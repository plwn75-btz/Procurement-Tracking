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pipes\OneDrive\Documents\Google_AntiGravity\Project\Procurement Tracking\"/>
    </mc:Choice>
  </mc:AlternateContent>
  <xr:revisionPtr revIDLastSave="0" documentId="13_ncr:1_{2347A816-FBA1-4252-9E30-2BC8891D4D0B}" xr6:coauthVersionLast="47" xr6:coauthVersionMax="47" xr10:uidLastSave="{00000000-0000-0000-0000-000000000000}"/>
  <bookViews>
    <workbookView xWindow="-108" yWindow="-108" windowWidth="23256" windowHeight="12456" xr2:uid="{00000000-000D-0000-FFFF-FFFF00000000}"/>
  </bookViews>
  <sheets>
    <sheet name="PSR Overall Cycle" sheetId="3" r:id="rId1"/>
    <sheet name="Sheet1" sheetId="8" r:id="rId2"/>
    <sheet name="P6" sheetId="7" state="hidden" r:id="rId3"/>
    <sheet name="Before Award" sheetId="1" state="hidden" r:id="rId4"/>
    <sheet name="After Award" sheetId="2" state="hidden" r:id="rId5"/>
    <sheet name="Thai Holidays" sheetId="5" r:id="rId6"/>
    <sheet name="China Holidays" sheetId="6"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c">#N/A</definedName>
    <definedName name="\i">#N/A</definedName>
    <definedName name="\z">#N/A</definedName>
    <definedName name="________Sh7" localSheetId="6" hidden="1">{#N/A,#N/A,FALSE,"Vessel1 1";#N/A,#N/A,FALSE,"Vessel1 2";#N/A,#N/A,FALSE,"Vessel1 3";#N/A,#N/A,FALSE,"Vessel1 4";#N/A,#N/A,FALSE,"Vessel1 5";#N/A,#N/A,FALSE,"Vessel1 6";#N/A,#N/A,FALSE,"Vessel1 7";#N/A,#N/A,FALSE,"Vessel1 8";#N/A,#N/A,FALSE,"Vessel1 9";#N/A,#N/A,FALSE,"Vessel1 10";#N/A,#N/A,FALSE,"Vessel1 11"}</definedName>
    <definedName name="________Sh7" hidden="1">{#N/A,#N/A,FALSE,"Vessel1 1";#N/A,#N/A,FALSE,"Vessel1 2";#N/A,#N/A,FALSE,"Vessel1 3";#N/A,#N/A,FALSE,"Vessel1 4";#N/A,#N/A,FALSE,"Vessel1 5";#N/A,#N/A,FALSE,"Vessel1 6";#N/A,#N/A,FALSE,"Vessel1 7";#N/A,#N/A,FALSE,"Vessel1 8";#N/A,#N/A,FALSE,"Vessel1 9";#N/A,#N/A,FALSE,"Vessel1 10";#N/A,#N/A,FALSE,"Vessel1 11"}</definedName>
    <definedName name="_______Sh7" localSheetId="6" hidden="1">{#N/A,#N/A,FALSE,"Vessel1 1";#N/A,#N/A,FALSE,"Vessel1 2";#N/A,#N/A,FALSE,"Vessel1 3";#N/A,#N/A,FALSE,"Vessel1 4";#N/A,#N/A,FALSE,"Vessel1 5";#N/A,#N/A,FALSE,"Vessel1 6";#N/A,#N/A,FALSE,"Vessel1 7";#N/A,#N/A,FALSE,"Vessel1 8";#N/A,#N/A,FALSE,"Vessel1 9";#N/A,#N/A,FALSE,"Vessel1 10";#N/A,#N/A,FALSE,"Vessel1 11"}</definedName>
    <definedName name="_______Sh7" hidden="1">{#N/A,#N/A,FALSE,"Vessel1 1";#N/A,#N/A,FALSE,"Vessel1 2";#N/A,#N/A,FALSE,"Vessel1 3";#N/A,#N/A,FALSE,"Vessel1 4";#N/A,#N/A,FALSE,"Vessel1 5";#N/A,#N/A,FALSE,"Vessel1 6";#N/A,#N/A,FALSE,"Vessel1 7";#N/A,#N/A,FALSE,"Vessel1 8";#N/A,#N/A,FALSE,"Vessel1 9";#N/A,#N/A,FALSE,"Vessel1 10";#N/A,#N/A,FALSE,"Vessel1 11"}</definedName>
    <definedName name="_____Sh7" localSheetId="6" hidden="1">{#N/A,#N/A,FALSE,"Vessel1 1";#N/A,#N/A,FALSE,"Vessel1 2";#N/A,#N/A,FALSE,"Vessel1 3";#N/A,#N/A,FALSE,"Vessel1 4";#N/A,#N/A,FALSE,"Vessel1 5";#N/A,#N/A,FALSE,"Vessel1 6";#N/A,#N/A,FALSE,"Vessel1 7";#N/A,#N/A,FALSE,"Vessel1 8";#N/A,#N/A,FALSE,"Vessel1 9";#N/A,#N/A,FALSE,"Vessel1 10";#N/A,#N/A,FALSE,"Vessel1 11"}</definedName>
    <definedName name="_____Sh7" hidden="1">{#N/A,#N/A,FALSE,"Vessel1 1";#N/A,#N/A,FALSE,"Vessel1 2";#N/A,#N/A,FALSE,"Vessel1 3";#N/A,#N/A,FALSE,"Vessel1 4";#N/A,#N/A,FALSE,"Vessel1 5";#N/A,#N/A,FALSE,"Vessel1 6";#N/A,#N/A,FALSE,"Vessel1 7";#N/A,#N/A,FALSE,"Vessel1 8";#N/A,#N/A,FALSE,"Vessel1 9";#N/A,#N/A,FALSE,"Vessel1 10";#N/A,#N/A,FALSE,"Vessel1 11"}</definedName>
    <definedName name="___Sh7" localSheetId="6" hidden="1">{#N/A,#N/A,FALSE,"Vessel1 1";#N/A,#N/A,FALSE,"Vessel1 2";#N/A,#N/A,FALSE,"Vessel1 3";#N/A,#N/A,FALSE,"Vessel1 4";#N/A,#N/A,FALSE,"Vessel1 5";#N/A,#N/A,FALSE,"Vessel1 6";#N/A,#N/A,FALSE,"Vessel1 7";#N/A,#N/A,FALSE,"Vessel1 8";#N/A,#N/A,FALSE,"Vessel1 9";#N/A,#N/A,FALSE,"Vessel1 10";#N/A,#N/A,FALSE,"Vessel1 11"}</definedName>
    <definedName name="___Sh7" hidden="1">{#N/A,#N/A,FALSE,"Vessel1 1";#N/A,#N/A,FALSE,"Vessel1 2";#N/A,#N/A,FALSE,"Vessel1 3";#N/A,#N/A,FALSE,"Vessel1 4";#N/A,#N/A,FALSE,"Vessel1 5";#N/A,#N/A,FALSE,"Vessel1 6";#N/A,#N/A,FALSE,"Vessel1 7";#N/A,#N/A,FALSE,"Vessel1 8";#N/A,#N/A,FALSE,"Vessel1 9";#N/A,#N/A,FALSE,"Vessel1 10";#N/A,#N/A,FALSE,"Vessel1 11"}</definedName>
    <definedName name="__123Graph_A" hidden="1">[1]List!#REF!</definedName>
    <definedName name="__123Graph_AABSKVA" hidden="1">'[2]2695 Intercross STEAM Load Bal.'!#REF!</definedName>
    <definedName name="__123Graph_AABSKW" hidden="1">'[3]Consumer List and Load B'!#REF!</definedName>
    <definedName name="__123Graph_AMIDKW" hidden="1">'[3]Consumer List and Load B'!#REF!</definedName>
    <definedName name="__123Graph_ANCF" hidden="1">'[4]Cashflow Analysis'!#REF!</definedName>
    <definedName name="__123Graph_ASIMKVA" hidden="1">'[2]2695 Intercross STEAM Load Bal.'!#REF!</definedName>
    <definedName name="__123Graph_ASIMKW" hidden="1">'[3]Consumer List and Load B'!#REF!</definedName>
    <definedName name="__123Graph_B" hidden="1">[1]List!#REF!</definedName>
    <definedName name="__123Graph_BABSKVA" hidden="1">'[3]Consumer List and Load B'!#REF!</definedName>
    <definedName name="__123Graph_BABSKW" hidden="1">'[3]Consumer List and Load B'!#REF!</definedName>
    <definedName name="__123Graph_BNCF" hidden="1">'[4]Cashflow Analysis'!#REF!</definedName>
    <definedName name="__123Graph_BPERFORMANCE" hidden="1">[5]BQMPALOC!#REF!</definedName>
    <definedName name="__123Graph_BSIMKVA" hidden="1">'[3]Consumer List and Load B'!#REF!</definedName>
    <definedName name="__123Graph_BSIMKW" hidden="1">'[3]Consumer List and Load B'!#REF!</definedName>
    <definedName name="__123Graph_C" hidden="1">[1]List!#REF!</definedName>
    <definedName name="__123Graph_D" hidden="1">[1]List!#REF!</definedName>
    <definedName name="__123Graph_E" hidden="1">[1]List!#REF!</definedName>
    <definedName name="__123Graph_X" hidden="1">'[6]Cashflow Analysis'!$E$63:$BL$63</definedName>
    <definedName name="__123Graph_XABSKVA" hidden="1">'[3]Consumer List and Load B'!#REF!</definedName>
    <definedName name="__123Graph_XABSKW" hidden="1">'[3]Consumer List and Load B'!#REF!</definedName>
    <definedName name="__123Graph_XMIDKW" hidden="1">'[3]Consumer List and Load B'!#REF!</definedName>
    <definedName name="__123Graph_XNCF" hidden="1">'[6]Cashflow Analysis'!$E$63:$BL$63</definedName>
    <definedName name="__123Graph_XSIMKVA" hidden="1">'[3]Consumer List and Load B'!#REF!</definedName>
    <definedName name="__123Graph_XSIMKW" hidden="1">'[3]Consumer List and Load B'!#REF!</definedName>
    <definedName name="__material_he_tubes_alternative">#REF!</definedName>
    <definedName name="__sf400">'[7]Pull-Down Menus'!$J$2486:$J$2491</definedName>
    <definedName name="__sf404">'[7]Pull-Down Menus'!$J$699:$J$701</definedName>
    <definedName name="_1__123Graph_ACONTRAC._OIL" hidden="1">'[4]Cashflow Analysis'!#REF!</definedName>
    <definedName name="_1_0_0_F" hidden="1">'[8]#REF'!#REF!</definedName>
    <definedName name="_1F" hidden="1">'[9]CAB.XLS'!#REF!</definedName>
    <definedName name="_2__123Graph_BCONTRAC._OIL" hidden="1">'[4]Cashflow Analysis'!#REF!</definedName>
    <definedName name="_3__123Graph_CCONTRAC._OIL" hidden="1">'[4]Cashflow Analysis'!#REF!</definedName>
    <definedName name="_4__123Graph_DCONTRAC._OIL" hidden="1">'[4]Cashflow Analysis'!#REF!</definedName>
    <definedName name="_5__123Graph_XCONTRAC._OIL" hidden="1">'[6]Cashflow Analysis'!$E$63:$BL$63</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al11">[10]bal11!$B$1:$AV$66</definedName>
    <definedName name="_bal12">[10]bal12!$B$1:$AU$66</definedName>
    <definedName name="_bal6">[10]bal6!$B$1:$CN$66</definedName>
    <definedName name="_DESIGN_MAT_SHELL">#REF!</definedName>
    <definedName name="_DESIGN_MAT_TUBES">#REF!</definedName>
    <definedName name="_DESIGN_TEMP_MAX_1">#REF!</definedName>
    <definedName name="_DESIGN_TEMP_MAX_2">#REF!</definedName>
    <definedName name="_DESIGN_TEMP_MIN_1">#REF!</definedName>
    <definedName name="_DESIGN_TEMP_MIN_2">#REF!</definedName>
    <definedName name="_DIMENSIONS_BOT">#REF!</definedName>
    <definedName name="_DIMENSIONS_MID">#REF!</definedName>
    <definedName name="_DIMENSIONS_PIPE_SHELL">#REF!</definedName>
    <definedName name="_DIMENSIONS_PIPE_TUBE">#REF!</definedName>
    <definedName name="_DIMENSIONS_TOP_MAIN">#REF!</definedName>
    <definedName name="_din24420">#REF!</definedName>
    <definedName name="_din28005">#REF!</definedName>
    <definedName name="_din28006">#REF!</definedName>
    <definedName name="_din28007">#REF!</definedName>
    <definedName name="_din28008">#REF!</definedName>
    <definedName name="_din28015">#REF!</definedName>
    <definedName name="_din28017">#REF!</definedName>
    <definedName name="_din28083">#REF!</definedName>
    <definedName name="_din28084">#REF!</definedName>
    <definedName name="_din28105">#REF!</definedName>
    <definedName name="_din28161">#REF!</definedName>
    <definedName name="_din28182">#REF!</definedName>
    <definedName name="_din4119">#REF!</definedName>
    <definedName name="_doc_foundation_plan_loads_digital">#REF!</definedName>
    <definedName name="_doc_foundation_plan_loads_paper">#REF!</definedName>
    <definedName name="_doc_foundation_plan_loads_week">#REF!</definedName>
    <definedName name="_Fill" hidden="1">#REF!</definedName>
    <definedName name="_xlnm._FilterDatabase" localSheetId="3" hidden="1">'Before Award'!$A$16:$BK$247</definedName>
    <definedName name="_xlnm._FilterDatabase" localSheetId="6" hidden="1">'China Holidays'!$A$1:$I$80</definedName>
    <definedName name="_xlnm._FilterDatabase" localSheetId="0" hidden="1">'PSR Overall Cycle'!$A$18:$AT$417</definedName>
    <definedName name="_xlnm._FilterDatabase" localSheetId="5" hidden="1">'Thai Holidays'!$A$1:$I$47</definedName>
    <definedName name="_xlnm._FilterDatabase" hidden="1">'[11]PROCPLAN-TOTAL'!#REF!</definedName>
    <definedName name="_installed_area_per_unit">#REF!</definedName>
    <definedName name="_Jos2">#REF!</definedName>
    <definedName name="_Key1" hidden="1">#REF!</definedName>
    <definedName name="_Key2" hidden="1">#REF!</definedName>
    <definedName name="_mat1">#REF!</definedName>
    <definedName name="_mat2">#REF!</definedName>
    <definedName name="_mat3">#REF!</definedName>
    <definedName name="_mat4">#REF!</definedName>
    <definedName name="_material_he_tubes">#REF!</definedName>
    <definedName name="_MatInverse_In" hidden="1">#REF!</definedName>
    <definedName name="_mc230">#REF!</definedName>
    <definedName name="_mc240">#REF!</definedName>
    <definedName name="_mc245">#REF!</definedName>
    <definedName name="_mc250">#REF!</definedName>
    <definedName name="_mc251">#REF!</definedName>
    <definedName name="_mc252">#REF!</definedName>
    <definedName name="_mc253">#REF!</definedName>
    <definedName name="_mc254">#REF!</definedName>
    <definedName name="_mc255">#REF!</definedName>
    <definedName name="_mc260">#REF!</definedName>
    <definedName name="_mc310">#REF!</definedName>
    <definedName name="_mc311">#REF!</definedName>
    <definedName name="_mc335">#REF!</definedName>
    <definedName name="_mc336">#REF!</definedName>
    <definedName name="_mc337">#REF!</definedName>
    <definedName name="_mc338">#REF!</definedName>
    <definedName name="_mc339">#REF!</definedName>
    <definedName name="_mc340">#REF!</definedName>
    <definedName name="_mc341">#REF!</definedName>
    <definedName name="_mc342">#REF!</definedName>
    <definedName name="_mc343">#REF!</definedName>
    <definedName name="_mc344">#REF!</definedName>
    <definedName name="_md_bracket_support_enabled">'[12]P. 5'!#REF!</definedName>
    <definedName name="_md_checkbox_notice2">'[12]P. 6'!#REF!</definedName>
    <definedName name="_md_guide_support_enabled">'[12]P. 5'!#REF!</definedName>
    <definedName name="_md_saddles_enabled">'[12]P. 5'!#REF!</definedName>
    <definedName name="_md_saddles_value">'[12]P. 5'!#REF!</definedName>
    <definedName name="_md_skirt_enabled">'[12]P. 5'!#REF!</definedName>
    <definedName name="_md_struct_steel_support_legs_enabled">'[12]P. 5'!#REF!</definedName>
    <definedName name="_md_support_ring_enabled">'[12]P. 5'!#REF!</definedName>
    <definedName name="_md_support_ring_value">'[12]P. 5'!#REF!</definedName>
    <definedName name="_md_tubular_support_value">'[12]P. 5'!#REF!</definedName>
    <definedName name="_md_vendor_enabled">'[12]P. 5'!#REF!</definedName>
    <definedName name="_Order1" hidden="1">255</definedName>
    <definedName name="_Order2" hidden="1">255</definedName>
    <definedName name="_Parse_Out" hidden="1">#REF!</definedName>
    <definedName name="_Regression_Int" hidden="1">1</definedName>
    <definedName name="_sf300">#REF!</definedName>
    <definedName name="_sf400">#REF!</definedName>
    <definedName name="_sf401">#REF!</definedName>
    <definedName name="_sf404">#REF!</definedName>
    <definedName name="_sf450">#REF!</definedName>
    <definedName name="_Sh7" localSheetId="6"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ell_side_p_max">#REF!</definedName>
    <definedName name="_shell_side_p_min">#REF!</definedName>
    <definedName name="_sliding_plates_scope_delivery">'[12]P. 6'!#REF!</definedName>
    <definedName name="_Sort" hidden="1">#REF!</definedName>
    <definedName name="_Table1_In1" hidden="1">#REF!</definedName>
    <definedName name="_Table2_In1" hidden="1">#REF!</definedName>
    <definedName name="_TL3">'[13]2.0-A4'!#REF!</definedName>
    <definedName name="_tube_side_p_max">#REF!</definedName>
    <definedName name="_tube_side_p_min">#REF!</definedName>
    <definedName name="_tubes_he_diameter">#REF!</definedName>
    <definedName name="_tubes_he_length">#REF!</definedName>
    <definedName name="_vol1">#REF!</definedName>
    <definedName name="A">#N/A</definedName>
    <definedName name="aa">#REF!</definedName>
    <definedName name="aaaa" hidden="1">#REF!</definedName>
    <definedName name="AAAAA" localSheetId="6" hidden="1">{#N/A,#N/A,FALSE,"Ejector 1";#N/A,#N/A,FALSE,"Ejector 2"}</definedName>
    <definedName name="AAAAA" hidden="1">{#N/A,#N/A,FALSE,"Ejector 1";#N/A,#N/A,FALSE,"Ejector 2"}</definedName>
    <definedName name="abcd" localSheetId="6" hidden="1">{"'장비'!$A$3:$M$12"}</definedName>
    <definedName name="abcd" hidden="1">{"'장비'!$A$3:$M$12"}</definedName>
    <definedName name="access">#REF!</definedName>
    <definedName name="Access_Button" hidden="1">"PCDA_Commercial_evaluation__Iss_D3__Liste"</definedName>
    <definedName name="AccessDatabase" hidden="1">"Q:\2122\5922\EMR\INSTRUM\BESCHAFF\411 PCDA\Angebotsvergleich\PCDA.mdb"</definedName>
    <definedName name="ad" hidden="1">[1]List!#REF!</definedName>
    <definedName name="adfad" localSheetId="6" hidden="1">{#N/A,#N/A,FALSE,"cover";#N/A,#N/A,FALSE,"page_1";#N/A,#N/A,FALSE,"page_2";#N/A,#N/A,FALSE,"page_3";#N/A,#N/A,FALSE,"page_4"}</definedName>
    <definedName name="adfad" hidden="1">{#N/A,#N/A,FALSE,"cover";#N/A,#N/A,FALSE,"page_1";#N/A,#N/A,FALSE,"page_2";#N/A,#N/A,FALSE,"page_3";#N/A,#N/A,FALSE,"page_4"}</definedName>
    <definedName name="aggregationstate">#REF!</definedName>
    <definedName name="agibolts">#REF!</definedName>
    <definedName name="agiboltsmat">#REF!</definedName>
    <definedName name="agidesign">#REF!</definedName>
    <definedName name="agigasketmat">#REF!</definedName>
    <definedName name="agigasketmatagitatorunit">#REF!</definedName>
    <definedName name="agigaskettype">#REF!</definedName>
    <definedName name="agigaskettypeagitatorunit">#REF!</definedName>
    <definedName name="agitatordrive">#REF!</definedName>
    <definedName name="agitatordrivespec">#REF!</definedName>
    <definedName name="agitatorflange">#REF!</definedName>
    <definedName name="agitatortype">#REF!</definedName>
    <definedName name="agiwallthick">#REF!</definedName>
    <definedName name="airflow">#REF!</definedName>
    <definedName name="airquality">#REF!</definedName>
    <definedName name="amit" localSheetId="6" hidden="1">{"Cost Summary",#N/A,FALSE,"B";"Cost Detail 1",#N/A,FALSE,"C";"Cost Detail 2",#N/A,FALSE,"C"}</definedName>
    <definedName name="amit" hidden="1">{"Cost Summary",#N/A,FALSE,"B";"Cost Detail 1",#N/A,FALSE,"C";"Cost Detail 2",#N/A,FALSE,"C"}</definedName>
    <definedName name="anchorboltmat">#REF!</definedName>
    <definedName name="antivoba">#REF!</definedName>
    <definedName name="area">#REF!</definedName>
    <definedName name="areaload">#REF!</definedName>
    <definedName name="arrangement">#REF!</definedName>
    <definedName name="AS" localSheetId="6" hidden="1">{#N/A,#N/A,FALSE,"Ejector 1";#N/A,#N/A,FALSE,"Ejector 2"}</definedName>
    <definedName name="AS" hidden="1">{#N/A,#N/A,FALSE,"Ejector 1";#N/A,#N/A,FALSE,"Ejector 2"}</definedName>
    <definedName name="assemblydimensions">#REF!</definedName>
    <definedName name="authority">#REF!</definedName>
    <definedName name="authorityaircooler">#REF!</definedName>
    <definedName name="AUX_PI_PL_LIST">#REF!</definedName>
    <definedName name="B">[14]SV!#REF!</definedName>
    <definedName name="baffletype">#REF!</definedName>
    <definedName name="balancequalitygrade">#REF!</definedName>
    <definedName name="baseline">#REF!</definedName>
    <definedName name="baselineagreement">#REF!</definedName>
    <definedName name="baselinecompetencecenter">#REF!</definedName>
    <definedName name="baselineinspectionemail">#REF!</definedName>
    <definedName name="baselinetubes">#REF!</definedName>
    <definedName name="BBBBB" localSheetId="6" hidden="1">{#N/A,#N/A,FALSE,"Ejector 1";#N/A,#N/A,FALSE,"Ejector 2"}</definedName>
    <definedName name="BBBBB" hidden="1">{#N/A,#N/A,FALSE,"Ejector 1";#N/A,#N/A,FALSE,"Ejector 2"}</definedName>
    <definedName name="bearing">#REF!</definedName>
    <definedName name="bearingrotor">#REF!</definedName>
    <definedName name="beltdrivetype">#REF!</definedName>
    <definedName name="bgv">#REF!</definedName>
    <definedName name="bladepitch">#REF!</definedName>
    <definedName name="bodyfl">#REF!</definedName>
    <definedName name="Boiling">#REF!</definedName>
    <definedName name="boltmat">#REF!</definedName>
    <definedName name="bolts">#REF!</definedName>
    <definedName name="boltsize">#REF!</definedName>
    <definedName name="boltsmountingflange">#REF!</definedName>
    <definedName name="bottomdesignstandard">#REF!</definedName>
    <definedName name="bottomslope">#REF!</definedName>
    <definedName name="bottomwelding">#REF!</definedName>
    <definedName name="bracket">#REF!</definedName>
    <definedName name="breakup" localSheetId="6" hidden="1">{"'Sheet1'!$L$16"}</definedName>
    <definedName name="breakup" hidden="1">{"'Sheet1'!$L$16"}</definedName>
    <definedName name="bridging">[15]Unit!$E$4:$E$7</definedName>
    <definedName name="bubble">#REF!</definedName>
    <definedName name="bubblepressure">#REF!</definedName>
    <definedName name="bufferfluid">#REF!</definedName>
    <definedName name="bufferfluidproperties">#REF!</definedName>
    <definedName name="buffervesselmat1">#REF!</definedName>
    <definedName name="buffervesselmat2">#REF!</definedName>
    <definedName name="C_">[14]SV!#REF!</definedName>
    <definedName name="CABLE_SCHEDULE">'[9]#REF'!$A$1:$BP$4565</definedName>
    <definedName name="CABLE_SIZE">#REF!</definedName>
    <definedName name="CBLTYPE">#N/A</definedName>
    <definedName name="CBWorkbookPriority" hidden="1">-1411612577</definedName>
    <definedName name="CC" localSheetId="6" hidden="1">{#N/A,#N/A,TRUE,"COVER";#N/A,#N/A,TRUE,"CONTENTS";#N/A,#N/A,TRUE,"CALC SHEET FOR MMA AND PET";#N/A,#N/A,TRUE,"LOAD LIST FOR MMA AND PET"}</definedName>
    <definedName name="CC" hidden="1">{#N/A,#N/A,TRUE,"COVER";#N/A,#N/A,TRUE,"CONTENTS";#N/A,#N/A,TRUE,"CALC SHEET FOR MMA AND PET";#N/A,#N/A,TRUE,"LOAD LIST FOR MMA AND PET"}</definedName>
    <definedName name="CC_Graph1">"グラフ 52"</definedName>
    <definedName name="CCCC" localSheetId="6" hidden="1">{#N/A,#N/A,FALSE,"Ejector 1";#N/A,#N/A,FALSE,"Ejector 2"}</definedName>
    <definedName name="CCCC" hidden="1">{#N/A,#N/A,FALSE,"Ejector 1";#N/A,#N/A,FALSE,"Ejector 2"}</definedName>
    <definedName name="CERT">#N/A</definedName>
    <definedName name="certificateaddress">#REF!</definedName>
    <definedName name="certifiedwelder">#REF!</definedName>
    <definedName name="certifiedwelderagitatorunit">#REF!</definedName>
    <definedName name="chimney">#REF!</definedName>
    <definedName name="chlorid">#REF!</definedName>
    <definedName name="chloridtank">#REF!</definedName>
    <definedName name="choice1">#REF!</definedName>
    <definedName name="choice2">#REF!</definedName>
    <definedName name="ChoixSys">[16]Parameters!$A$30:$A$32</definedName>
    <definedName name="circulationpump">#REF!</definedName>
    <definedName name="circumspeed">#REF!</definedName>
    <definedName name="circumveloc">#REF!</definedName>
    <definedName name="cladding">#REF!</definedName>
    <definedName name="cladmat">#REF!</definedName>
    <definedName name="classification">#REF!</definedName>
    <definedName name="cleansyscontrol">#REF!</definedName>
    <definedName name="cleansystype">#REF!</definedName>
    <definedName name="clearancetotankshell">#REF!</definedName>
    <definedName name="closure">#REF!</definedName>
    <definedName name="coildiam">#REF!</definedName>
    <definedName name="completecs">#REF!</definedName>
    <definedName name="completess">#REF!</definedName>
    <definedName name="compressionring">#REF!</definedName>
    <definedName name="concentration">#REF!</definedName>
    <definedName name="CONSTRUCTION">#REF!</definedName>
    <definedName name="CONSUMER_DAT_AB">#N/A</definedName>
    <definedName name="CONSUMER_DAT_BL">#N/A</definedName>
    <definedName name="CONSUMER_DAT_CR">#N/A</definedName>
    <definedName name="CONSUMER_DAT_DB">#REF!</definedName>
    <definedName name="CONSUMER_DAT_DF">#N/A</definedName>
    <definedName name="CONSUMER_DAT_EN">#N/A</definedName>
    <definedName name="CONSUMER_DAT_MA">#N/A</definedName>
    <definedName name="contactaddress">#REF!</definedName>
    <definedName name="CONTACTOR">[17]contactor!$A$5:$J$37</definedName>
    <definedName name="coolingbufferfluid">#REF!</definedName>
    <definedName name="copyright">#REF!</definedName>
    <definedName name="corrosion">#REF!</definedName>
    <definedName name="corrosion1">#REF!</definedName>
    <definedName name="COSQ">#REF!</definedName>
    <definedName name="COSQLR">#REF!</definedName>
    <definedName name="coupling">#REF!</definedName>
    <definedName name="covering">#REF!</definedName>
    <definedName name="_xlnm.Criteria">#REF!</definedName>
    <definedName name="criticalspeed">#REF!</definedName>
    <definedName name="CV" localSheetId="6" hidden="1">{#N/A,#N/A,FALSE,"Vessel1 1";#N/A,#N/A,FALSE,"Vessel1 2";#N/A,#N/A,FALSE,"Vessel1 3";#N/A,#N/A,FALSE,"Vessel1 4";#N/A,#N/A,FALSE,"Vessel1 5";#N/A,#N/A,FALSE,"Vessel1 6";#N/A,#N/A,FALSE,"Vessel1 7";#N/A,#N/A,FALSE,"Vessel1 8";#N/A,#N/A,FALSE,"Vessel1 9";#N/A,#N/A,FALSE,"Vessel1 10";#N/A,#N/A,FALSE,"Vessel1 11"}</definedName>
    <definedName name="CV" hidden="1">{#N/A,#N/A,FALSE,"Vessel1 1";#N/A,#N/A,FALSE,"Vessel1 2";#N/A,#N/A,FALSE,"Vessel1 3";#N/A,#N/A,FALSE,"Vessel1 4";#N/A,#N/A,FALSE,"Vessel1 5";#N/A,#N/A,FALSE,"Vessel1 6";#N/A,#N/A,FALSE,"Vessel1 7";#N/A,#N/A,FALSE,"Vessel1 8";#N/A,#N/A,FALSE,"Vessel1 9";#N/A,#N/A,FALSE,"Vessel1 10";#N/A,#N/A,FALSE,"Vessel1 11"}</definedName>
    <definedName name="CW_PIPE_PN_LIST">#REF!</definedName>
    <definedName name="D">[14]SV!#REF!</definedName>
    <definedName name="Data">#REF!</definedName>
    <definedName name="_xlnm.Database">#REF!</definedName>
    <definedName name="Database_MI">#REF!</definedName>
    <definedName name="DATE">#REF!</definedName>
    <definedName name="date_révision">[16]Parameters!$AL$8</definedName>
    <definedName name="davit">#REF!</definedName>
    <definedName name="ddd" localSheetId="6"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ébit">'[18]Liste Récept'!$F$15:$F$31</definedName>
    <definedName name="del" localSheetId="6" hidden="1">{#N/A,#N/A,FALSE,"B-Rated fire doors"}</definedName>
    <definedName name="del" hidden="1">{#N/A,#N/A,FALSE,"B-Rated fire doors"}</definedName>
    <definedName name="density">#REF!</definedName>
    <definedName name="departmentcode">#REF!</definedName>
    <definedName name="DESCRA">#REF!</definedName>
    <definedName name="DESCRB">#REF!</definedName>
    <definedName name="designcode">#REF!</definedName>
    <definedName name="designcodeaircooler">#REF!</definedName>
    <definedName name="designcodeheatexchanger">#REF!</definedName>
    <definedName name="designcodeplateexchanger">#REF!</definedName>
    <definedName name="designcodespiralexchanger">#REF!</definedName>
    <definedName name="designcodetank">#REF!</definedName>
    <definedName name="designcodetower">#REF!</definedName>
    <definedName name="designreqplateexchanger">#REF!</definedName>
    <definedName name="designreqspiralexchanger">#REF!</definedName>
    <definedName name="df" localSheetId="6" hidden="1">{#N/A,#N/A,TRUE,"COVER";#N/A,#N/A,TRUE,"CONTENTS";#N/A,#N/A,TRUE,"CALC SHEET FOR MMA AND PET";#N/A,#N/A,TRUE,"LOAD LIST FOR MMA AND PET"}</definedName>
    <definedName name="df" hidden="1">{#N/A,#N/A,TRUE,"COVER";#N/A,#N/A,TRUE,"CONTENTS";#N/A,#N/A,TRUE,"CALC SHEET FOR MMA AND PET";#N/A,#N/A,TRUE,"LOAD LIST FOR MMA AND PET"}</definedName>
    <definedName name="dfd" hidden="1">'[8]#REF'!#REF!</definedName>
    <definedName name="dfsag" localSheetId="6" hidden="1">{#N/A,#N/A,FALSE,"COVER";#N/A,#N/A,FALSE,"CONTENTS";#N/A,#N/A,FALSE,"CALC SHEET FOR MMA AND PET DOL";#N/A,#N/A,FALSE,"LOAD LIST FOR MMA AND PET DOL"}</definedName>
    <definedName name="dfsag" hidden="1">{#N/A,#N/A,FALSE,"COVER";#N/A,#N/A,FALSE,"CONTENTS";#N/A,#N/A,FALSE,"CALC SHEET FOR MMA AND PET DOL";#N/A,#N/A,FALSE,"LOAD LIST FOR MMA AND PET DOL"}</definedName>
    <definedName name="dghjdxj" localSheetId="6" hidden="1">{#N/A,#N/A,FALSE,"cover";#N/A,#N/A,FALSE,"page_1";#N/A,#N/A,FALSE,"page_2";#N/A,#N/A,FALSE,"page_3";#N/A,#N/A,FALSE,"page_4"}</definedName>
    <definedName name="dghjdxj" hidden="1">{#N/A,#N/A,FALSE,"cover";#N/A,#N/A,FALSE,"page_1";#N/A,#N/A,FALSE,"page_2";#N/A,#N/A,FALSE,"page_3";#N/A,#N/A,FALSE,"page_4"}</definedName>
    <definedName name="din28005_28008">#REF!</definedName>
    <definedName name="din28005_28008_iso13920">#REF!</definedName>
    <definedName name="din28017_1">#REF!</definedName>
    <definedName name="din28017_2">#REF!</definedName>
    <definedName name="din28017_3">#REF!</definedName>
    <definedName name="din28017_4">#REF!</definedName>
    <definedName name="din28081_1">#REF!</definedName>
    <definedName name="din28081_2">#REF!</definedName>
    <definedName name="dippipesupport">#REF!</definedName>
    <definedName name="directiveex">#REF!</definedName>
    <definedName name="DISCH_POSIT_LIST">#REF!</definedName>
    <definedName name="display">#REF!</definedName>
    <definedName name="Dissolved_water_in_WS_outlet_D1220">[19]Data!$E$31</definedName>
    <definedName name="Dissolved_water_in_WS_outlet_E1250">[19]Data!$E$32</definedName>
    <definedName name="DME_BeforeCloseCompleted" hidden="1">[20]XDO_HIDDEN!#REF!</definedName>
    <definedName name="DME_Dirty" hidden="1">[20]XDO_HIDDEN!#REF!</definedName>
    <definedName name="DME_LocalFile" hidden="1">"True"</definedName>
    <definedName name="DME_ODMALinks1" hidden="1">"::ODMA\DME-MSE\HGS-43444=C:\DOCUME~1\sk\LOCALS~1\Temp\Dme\HGS-43444.xls"</definedName>
    <definedName name="DME_ODMALinks2" hidden="1">"::ODMA\DME-MSE\HGS-39952=C:\DOCUME~1\bha\LOCALS~1\Temp\Dme\HGS-39952.xls"</definedName>
    <definedName name="DME_ODMALinks3" hidden="1">"::ODMA\DME-MSE\HGS-59436=C:\DOCUME~1\sk\LOCALS~1\Temp\Dme\HGS-59436.xls"</definedName>
    <definedName name="DME_ODMALinks4" hidden="1">"::ODMA\DME-MSE\HGS-57294=C:\DOCUME~1\sk\LOCALS~1\Temp\Dme\HGS-57294(2).xls"</definedName>
    <definedName name="DME_ODMALinks5" hidden="1">"::ODMA\DME-MSE\HGS-58308=C:\DOCUME~1\sk\LOCALS~1\Temp\Dme\DME58308.xls"</definedName>
    <definedName name="DME_ODMALinks6" hidden="1">"::ODMA\DME-MSE\HGS-50279=C:\DOCUME~1\sk\LOCALS~1\Temp\Dme\HGS-50279.xls"</definedName>
    <definedName name="DME_ODMALinks7" hidden="1">"::ODMA\DME-MSE\HGS-94737=C:\DOCUME~1\sk\LOCALS~1\Temp\Dme\HGS-94737.xls"</definedName>
    <definedName name="DME_ODMALinksCount" hidden="1">"6"</definedName>
    <definedName name="DNEW" hidden="1">'[11]PROCPLAN-TOTAL'!#REF!</definedName>
    <definedName name="doublebottom">#REF!</definedName>
    <definedName name="drawing">'[9]#REF'!$A$2:$A$80</definedName>
    <definedName name="drawingexamination">#REF!</definedName>
    <definedName name="drive">#REF!</definedName>
    <definedName name="driveagitatorunit">#REF!</definedName>
    <definedName name="driveposition">#REF!</definedName>
    <definedName name="drivescope">#REF!</definedName>
    <definedName name="DWPRICE" hidden="1">[21]Quantity!#REF!</definedName>
    <definedName name="dynvisco">#REF!</definedName>
    <definedName name="earthquake">#REF!</definedName>
    <definedName name="earthquaketank">#REF!</definedName>
    <definedName name="EEPC3">'[13]2.0-A4'!#REF!</definedName>
    <definedName name="EFF">#REF!</definedName>
    <definedName name="eniso4287">#REF!</definedName>
    <definedName name="esmc211_1">#REF!</definedName>
    <definedName name="esmc211_2">#REF!</definedName>
    <definedName name="EV__LASTREFTIME__" hidden="1">39890.5126388889</definedName>
    <definedName name="EV__LASTREFTIME___1" hidden="1">39742.5442013889</definedName>
    <definedName name="expanjoint">#REF!</definedName>
    <definedName name="expediting">#REF!</definedName>
    <definedName name="exproof">#REF!</definedName>
    <definedName name="exprotect">#REF!</definedName>
    <definedName name="extension">#REF!</definedName>
    <definedName name="_xlnm.Extract">[22]P!#REF!</definedName>
    <definedName name="exzone">#REF!</definedName>
    <definedName name="F1_CR">#N/A</definedName>
    <definedName name="F2_CR">#N/A</definedName>
    <definedName name="F3_CR">#N/A</definedName>
    <definedName name="F4_CR">#N/A</definedName>
    <definedName name="F5_CR">#N/A</definedName>
    <definedName name="F6_CR">#N/A</definedName>
    <definedName name="F7_CR">#N/A</definedName>
    <definedName name="fadsf" localSheetId="6" hidden="1">{#N/A,#N/A,TRUE,"COVER";#N/A,#N/A,TRUE,"CONTENTS";#N/A,#N/A,TRUE,"CALC SHEET FOR MMA AND PET";#N/A,#N/A,TRUE,"LOAD LIST FOR MMA AND PET"}</definedName>
    <definedName name="fadsf" hidden="1">{#N/A,#N/A,TRUE,"COVER";#N/A,#N/A,TRUE,"CONTENTS";#N/A,#N/A,TRUE,"CALC SHEET FOR MMA AND PET";#N/A,#N/A,TRUE,"LOAD LIST FOR MMA AND PET"}</definedName>
    <definedName name="fanblademat">#REF!</definedName>
    <definedName name="fancontrol">#REF!</definedName>
    <definedName name="fatiguestrength">#REF!</definedName>
    <definedName name="FDRTYPE">#REF!</definedName>
    <definedName name="fff" localSheetId="6" hidden="1">{#N/A,#N/A,FALSE,"cover";#N/A,#N/A,FALSE,"page_1";#N/A,#N/A,FALSE,"page_2";#N/A,#N/A,FALSE,"page_3";#N/A,#N/A,FALSE,"page_4"}</definedName>
    <definedName name="fff" hidden="1">{#N/A,#N/A,FALSE,"cover";#N/A,#N/A,FALSE,"page_1";#N/A,#N/A,FALSE,"page_2";#N/A,#N/A,FALSE,"page_3";#N/A,#N/A,FALSE,"page_4"}</definedName>
    <definedName name="fffff" hidden="1">'[23]Page 5 of 7'!#REF!</definedName>
    <definedName name="fg" hidden="1">#REF!</definedName>
    <definedName name="fillt" hidden="1">#REF!</definedName>
    <definedName name="filterelement">#REF!</definedName>
    <definedName name="filterinstall">#REF!</definedName>
    <definedName name="filterremoval">#REF!</definedName>
    <definedName name="find_cable_length_differences">'[9]#REF'!$A$1:$C$134</definedName>
    <definedName name="finsmat">#REF!</definedName>
    <definedName name="flangeface">#REF!</definedName>
    <definedName name="flangestd">#REF!</definedName>
    <definedName name="flangetype">#REF!</definedName>
    <definedName name="FLC">#REF!</definedName>
    <definedName name="flowdirect1">#REF!</definedName>
    <definedName name="flowdirect2">#REF!</definedName>
    <definedName name="flowindicator">#REF!</definedName>
    <definedName name="flowpattern">#REF!</definedName>
    <definedName name="fluid1">#REF!</definedName>
    <definedName name="fluidf">#REF!</definedName>
    <definedName name="fluidfiltered">#REF!</definedName>
    <definedName name="fluidstate">[15]Unit!$D$4:$D$12</definedName>
    <definedName name="format1">#REF!</definedName>
    <definedName name="format2">#REF!</definedName>
    <definedName name="fouling">#REF!</definedName>
    <definedName name="foundationtolerance">#REF!</definedName>
    <definedName name="Free_water_in_WS_outlet_D1220">[19]Data!$E$30</definedName>
    <definedName name="freeflowarea">#REF!</definedName>
    <definedName name="FUSE">#REF!</definedName>
    <definedName name="galvanizingbolts">#REF!</definedName>
    <definedName name="galvanizingplatform">#REF!</definedName>
    <definedName name="gasketfix">#REF!</definedName>
    <definedName name="gasketmat">#REF!</definedName>
    <definedName name="gasketplates">#REF!</definedName>
    <definedName name="gaskettype">#REF!</definedName>
    <definedName name="gb" localSheetId="6" hidden="1">{#N/A,#N/A,FALSE,"Vessel1 1";#N/A,#N/A,FALSE,"Vessel1 2";#N/A,#N/A,FALSE,"Vessel1 3";#N/A,#N/A,FALSE,"Vessel1 4";#N/A,#N/A,FALSE,"Vessel1 5";#N/A,#N/A,FALSE,"Vessel1 6";#N/A,#N/A,FALSE,"Vessel1 7";#N/A,#N/A,FALSE,"Vessel1 8";#N/A,#N/A,FALSE,"Vessel1 9";#N/A,#N/A,FALSE,"Vessel1 10";#N/A,#N/A,FALSE,"Vessel1 11"}</definedName>
    <definedName name="gb" hidden="1">{#N/A,#N/A,FALSE,"Vessel1 1";#N/A,#N/A,FALSE,"Vessel1 2";#N/A,#N/A,FALSE,"Vessel1 3";#N/A,#N/A,FALSE,"Vessel1 4";#N/A,#N/A,FALSE,"Vessel1 5";#N/A,#N/A,FALSE,"Vessel1 6";#N/A,#N/A,FALSE,"Vessel1 7";#N/A,#N/A,FALSE,"Vessel1 8";#N/A,#N/A,FALSE,"Vessel1 9";#N/A,#N/A,FALSE,"Vessel1 10";#N/A,#N/A,FALSE,"Vessel1 11"}</definedName>
    <definedName name="gearequipment">#REF!</definedName>
    <definedName name="gearsuppliers">#REF!</definedName>
    <definedName name="geartype">#REF!</definedName>
    <definedName name="generalspec">#REF!</definedName>
    <definedName name="generalspec2">#REF!</definedName>
    <definedName name="generalspecagitatorunit">#REF!</definedName>
    <definedName name="generalspecaircooler">#REF!</definedName>
    <definedName name="generalspecexchanger">#REF!</definedName>
    <definedName name="generalspecpacking">#REF!</definedName>
    <definedName name="generalspecplateexchanger">#REF!</definedName>
    <definedName name="generalspectank">#REF!</definedName>
    <definedName name="generalspectrays">#REF!</definedName>
    <definedName name="ghfhf" localSheetId="6" hidden="1">{#N/A,#N/A,FALSE,"cover";#N/A,#N/A,FALSE,"page_1";#N/A,#N/A,FALSE,"page_2";#N/A,#N/A,FALSE,"page_3";#N/A,#N/A,FALSE,"page_4"}</definedName>
    <definedName name="ghfhf" hidden="1">{#N/A,#N/A,FALSE,"cover";#N/A,#N/A,FALSE,"page_1";#N/A,#N/A,FALSE,"page_2";#N/A,#N/A,FALSE,"page_3";#N/A,#N/A,FALSE,"page_4"}</definedName>
    <definedName name="glasslining">#REF!</definedName>
    <definedName name="glassliningtest">#REF!</definedName>
    <definedName name="grindarea">#REF!</definedName>
    <definedName name="grindareaagitatorunit">#REF!</definedName>
    <definedName name="ground">#REF!</definedName>
    <definedName name="GROUP1">[14]SV!$B$8:$O$50</definedName>
    <definedName name="GROUP2">[14]SV!#REF!</definedName>
    <definedName name="GROUP3">[14]SV!#REF!</definedName>
    <definedName name="GROUP4">[14]SV!#REF!</definedName>
    <definedName name="GROUP5">[14]SV!#REF!</definedName>
    <definedName name="gsg" localSheetId="6" hidden="1">{#N/A,#N/A,FALSE,"Pumps 1";#N/A,#N/A,FALSE,"Pumps 2";#N/A,#N/A,FALSE,"Pumps 3";#N/A,#N/A,FALSE,"Pumps 4";#N/A,#N/A,FALSE,"Pumps 5";#N/A,#N/A,FALSE,"Pumps 6"}</definedName>
    <definedName name="gsg" hidden="1">{#N/A,#N/A,FALSE,"Pumps 1";#N/A,#N/A,FALSE,"Pumps 2";#N/A,#N/A,FALSE,"Pumps 3";#N/A,#N/A,FALSE,"Pumps 4";#N/A,#N/A,FALSE,"Pumps 5";#N/A,#N/A,FALSE,"Pumps 6"}</definedName>
    <definedName name="guideline">#REF!</definedName>
    <definedName name="H" hidden="1">'[8]#REF'!#REF!</definedName>
    <definedName name="H3PO4_concentration">[19]Data!$E$19</definedName>
    <definedName name="handrefillpump">#REF!</definedName>
    <definedName name="hardness">#REF!</definedName>
    <definedName name="header">#REF!</definedName>
    <definedName name="headtype">#REF!</definedName>
    <definedName name="heatcapacity">#REF!</definedName>
    <definedName name="heatcool">#REF!</definedName>
    <definedName name="heatcooltank">#REF!</definedName>
    <definedName name="heatduty">#REF!</definedName>
    <definedName name="heatingfluid">#REF!</definedName>
    <definedName name="heattrans">#REF!</definedName>
    <definedName name="helium">#REF!</definedName>
    <definedName name="hgh" localSheetId="6" hidden="1">{#N/A,#N/A,FALSE,"cover";#N/A,#N/A,FALSE,"page_1";#N/A,#N/A,FALSE,"page_2";#N/A,#N/A,FALSE,"page_3";#N/A,#N/A,FALSE,"page_4"}</definedName>
    <definedName name="hgh" hidden="1">{#N/A,#N/A,FALSE,"cover";#N/A,#N/A,FALSE,"page_1";#N/A,#N/A,FALSE,"page_2";#N/A,#N/A,FALSE,"page_3";#N/A,#N/A,FALSE,"page_4"}</definedName>
    <definedName name="HHH" localSheetId="6"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jhj" localSheetId="6" hidden="1">{#N/A,#N/A,FALSE,"cover";#N/A,#N/A,FALSE,"page_1";#N/A,#N/A,FALSE,"page_2";#N/A,#N/A,FALSE,"page_3";#N/A,#N/A,FALSE,"page_4"}</definedName>
    <definedName name="hhhjhj" hidden="1">{#N/A,#N/A,FALSE,"cover";#N/A,#N/A,FALSE,"page_1";#N/A,#N/A,FALSE,"page_2";#N/A,#N/A,FALSE,"page_3";#N/A,#N/A,FALSE,"page_4"}</definedName>
    <definedName name="hjjk" localSheetId="6" hidden="1">{#N/A,#N/A,FALSE,"cover";#N/A,#N/A,FALSE,"page_1";#N/A,#N/A,FALSE,"page_2";#N/A,#N/A,FALSE,"page_3";#N/A,#N/A,FALSE,"page_4"}</definedName>
    <definedName name="hjjk" hidden="1">{#N/A,#N/A,FALSE,"cover";#N/A,#N/A,FALSE,"page_1";#N/A,#N/A,FALSE,"page_2";#N/A,#N/A,FALSE,"page_3";#N/A,#N/A,FALSE,"page_4"}</definedName>
    <definedName name="HOOK_UP">#REF!</definedName>
    <definedName name="HTML_CodePage" hidden="1">949</definedName>
    <definedName name="HTML_Control" localSheetId="6"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1_1" hidden="1">"[RDS00701.xls]Sheet1!$A$1:$J$68"</definedName>
    <definedName name="HTML1_10" hidden="1">""</definedName>
    <definedName name="HTML1_11" hidden="1">1</definedName>
    <definedName name="HTML1_12" hidden="1">"C:\My Documents\FERD_ST\R_MECHAN\RCR00102\DATAARK\RDS007\MyHTML.htm"</definedName>
    <definedName name="HTML1_2" hidden="1">1</definedName>
    <definedName name="HTML1_3" hidden="1">"RDS00701"</definedName>
    <definedName name="HTML1_4" hidden="1">"Sheet1"</definedName>
    <definedName name="HTML1_5" hidden="1">""</definedName>
    <definedName name="HTML1_6" hidden="1">-4146</definedName>
    <definedName name="HTML1_7" hidden="1">-4146</definedName>
    <definedName name="HTML1_8" hidden="1">"30.04.96"</definedName>
    <definedName name="HTML1_9" hidden="1">"NTS"</definedName>
    <definedName name="HTMLCount" hidden="1">1</definedName>
    <definedName name="huy" localSheetId="6" hidden="1">{"'Sheet1'!$L$16"}</definedName>
    <definedName name="huy" hidden="1">{"'Sheet1'!$L$16"}</definedName>
    <definedName name="i" localSheetId="6" hidden="1">{#N/A,#N/A,FALSE,"cover";#N/A,#N/A,FALSE,"page_1";#N/A,#N/A,FALSE,"page_2";#N/A,#N/A,FALSE,"page_3";#N/A,#N/A,FALSE,"page_4"}</definedName>
    <definedName name="i" hidden="1">{#N/A,#N/A,FALSE,"cover";#N/A,#N/A,FALSE,"page_1";#N/A,#N/A,FALSE,"page_2";#N/A,#N/A,FALSE,"page_3";#N/A,#N/A,FALSE,"page_4"}</definedName>
    <definedName name="impingeprotec">#REF!</definedName>
    <definedName name="importancefactor">#REF!</definedName>
    <definedName name="incomers">'[9]#REF'!$A$6:$O$77</definedName>
    <definedName name="independenceshaft">#REF!</definedName>
    <definedName name="inspectcode">#REF!</definedName>
    <definedName name="inspectcodeaircooler">#REF!</definedName>
    <definedName name="inspectcodeheatexchanger">#REF!</definedName>
    <definedName name="inspectcodeplateexchanger">#REF!</definedName>
    <definedName name="inspectcodespiralexchanger">#REF!</definedName>
    <definedName name="inspectcodetank">#REF!</definedName>
    <definedName name="inspectcodetower">#REF!</definedName>
    <definedName name="INSTALL_AUTRE">[16]Other!$H:$H</definedName>
    <definedName name="INSTALL_CHO">[16]Vessels!$H:$H</definedName>
    <definedName name="INSTALL_TOU">[16]Rotating!$H:$H</definedName>
    <definedName name="installationmixingelement">#REF!</definedName>
    <definedName name="insulcollar">#REF!</definedName>
    <definedName name="insulcollartank">#REF!</definedName>
    <definedName name="insuldiscs">#REF!</definedName>
    <definedName name="insuldiscstank">#REF!</definedName>
    <definedName name="insulsupp">#REF!</definedName>
    <definedName name="insultype">#REF!</definedName>
    <definedName name="integraltesting">#REF!</definedName>
    <definedName name="InterlockPP">#REF!</definedName>
    <definedName name="intracs" localSheetId="6"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JLUcheck">'[9]#REF'!$A$1:$F$1872</definedName>
    <definedName name="jointprep1">#REF!</definedName>
    <definedName name="jointprep2">#REF!</definedName>
    <definedName name="jointprepagitatorunit">#REF!</definedName>
    <definedName name="JOS">#REF!</definedName>
    <definedName name="JOSLUYENDIJK">#REF!</definedName>
    <definedName name="kjhkjh" localSheetId="6" hidden="1">{#N/A,#N/A,FALSE,"cover";#N/A,#N/A,FALSE,"page_1";#N/A,#N/A,FALSE,"page_2";#N/A,#N/A,FALSE,"page_3";#N/A,#N/A,FALSE,"page_4"}</definedName>
    <definedName name="kjhkjh" hidden="1">{#N/A,#N/A,FALSE,"cover";#N/A,#N/A,FALSE,"page_1";#N/A,#N/A,FALSE,"page_2";#N/A,#N/A,FALSE,"page_3";#N/A,#N/A,FALSE,"page_4"}</definedName>
    <definedName name="kkk" hidden="1">#REF!</definedName>
    <definedName name="L" localSheetId="6"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anguage">#REF!</definedName>
    <definedName name="lanternspec">#REF!</definedName>
    <definedName name="latentheat">#REF!</definedName>
    <definedName name="leakage">#REF!</definedName>
    <definedName name="LENGTH">#REF!</definedName>
    <definedName name="length1">#REF!</definedName>
    <definedName name="length2">#REF!</definedName>
    <definedName name="length3">#REF!</definedName>
    <definedName name="length4">#REF!</definedName>
    <definedName name="length5">#REF!</definedName>
    <definedName name="letterheight1">#REF!</definedName>
    <definedName name="letterheight2">#REF!</definedName>
    <definedName name="levelindicator">#REF!</definedName>
    <definedName name="lipsealtype">#REF!</definedName>
    <definedName name="liquidpenetrant">#REF!</definedName>
    <definedName name="LLLLLLLLLLLLLL" localSheetId="6" hidden="1">{#N/A,#N/A,FALSE,"Ejector 1";#N/A,#N/A,FALSE,"Ejector 2"}</definedName>
    <definedName name="LLLLLLLLLLLLLL" hidden="1">{#N/A,#N/A,FALSE,"Ejector 1";#N/A,#N/A,FALSE,"Ejector 2"}</definedName>
    <definedName name="LM_SteamConfig" hidden="1">'[24]ProSteam Config'!$A$8</definedName>
    <definedName name="LOAD">#REF!</definedName>
    <definedName name="load1">#REF!</definedName>
    <definedName name="load2">#REF!</definedName>
    <definedName name="loadcycles">#REF!</definedName>
    <definedName name="loadtank1">#REF!</definedName>
    <definedName name="loadtank2">#REF!</definedName>
    <definedName name="loadtank3">#REF!</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uvers">#REF!</definedName>
    <definedName name="LRC">#REF!</definedName>
    <definedName name="machinerydirective">#REF!</definedName>
    <definedName name="machinerydirective2">#REF!</definedName>
    <definedName name="magneticparticle">#REF!</definedName>
    <definedName name="MANPOWER2" localSheetId="6"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ssflow1">#REF!</definedName>
    <definedName name="massflow2">#REF!</definedName>
    <definedName name="massflow3">#REF!</definedName>
    <definedName name="matcode">#REF!</definedName>
    <definedName name="matcodeaircooler">#REF!</definedName>
    <definedName name="matcodeplateexchanger">#REF!</definedName>
    <definedName name="matcodespiralexchanger">#REF!</definedName>
    <definedName name="matcodetank">#REF!</definedName>
    <definedName name="maxdeflect">#REF!</definedName>
    <definedName name="mc245tr">#REF!</definedName>
    <definedName name="mc254tank">#REF!</definedName>
    <definedName name="mechanicsealarrange">#REF!</definedName>
    <definedName name="mechanicsealmanufac">#REF!</definedName>
    <definedName name="mechanicsealstandard">#REF!</definedName>
    <definedName name="mechanicsealtype">#REF!</definedName>
    <definedName name="mediumremoved">#REF!</definedName>
    <definedName name="MELTTIME">#REF!</definedName>
    <definedName name="Methodology3" localSheetId="6" hidden="1">{#N/A,#N/A,FALSE,"cover";#N/A,#N/A,FALSE,"page_1";#N/A,#N/A,FALSE,"page_2";#N/A,#N/A,FALSE,"page_3";#N/A,#N/A,FALSE,"page_4"}</definedName>
    <definedName name="Methodology3" hidden="1">{#N/A,#N/A,FALSE,"cover";#N/A,#N/A,FALSE,"page_1";#N/A,#N/A,FALSE,"page_2";#N/A,#N/A,FALSE,"page_3";#N/A,#N/A,FALSE,"page_4"}</definedName>
    <definedName name="minfinpitch">#REF!</definedName>
    <definedName name="minplatethick">#REF!</definedName>
    <definedName name="minplatethickness">#REF!</definedName>
    <definedName name="minrequi1">#REF!</definedName>
    <definedName name="minrequi2">#REF!</definedName>
    <definedName name="minrequi3">#REF!</definedName>
    <definedName name="minwallthick">#REF!</definedName>
    <definedName name="minwallthickexchanger">#REF!</definedName>
    <definedName name="mixerinstallation">#REF!</definedName>
    <definedName name="mixertype">#REF!</definedName>
    <definedName name="mixingelements">#REF!</definedName>
    <definedName name="mixingnozzledesign">#REF!</definedName>
    <definedName name="mixingnozzleinstall">#REF!</definedName>
    <definedName name="mixingtask">#REF!</definedName>
    <definedName name="module" hidden="1">'[11]PROCPLAN-TOTAL'!#REF!</definedName>
    <definedName name="motor">#REF!</definedName>
    <definedName name="mounting">#REF!</definedName>
    <definedName name="mountingflange">#REF!</definedName>
    <definedName name="mountingflangescope">#REF!</definedName>
    <definedName name="mpas___°C">#N/A</definedName>
    <definedName name="nameplatedata">#REF!</definedName>
    <definedName name="ncbcb" localSheetId="6" hidden="1">{#N/A,#N/A,FALSE,"cover";#N/A,#N/A,FALSE,"page_1";#N/A,#N/A,FALSE,"page_2";#N/A,#N/A,FALSE,"page_3";#N/A,#N/A,FALSE,"page_4"}</definedName>
    <definedName name="ncbcb" hidden="1">{#N/A,#N/A,FALSE,"cover";#N/A,#N/A,FALSE,"page_1";#N/A,#N/A,FALSE,"page_2";#N/A,#N/A,FALSE,"page_3";#N/A,#N/A,FALSE,"page_4"}</definedName>
    <definedName name="NNN" localSheetId="6" hidden="1">{#N/A,#N/A,FALSE,"Ejector 1";#N/A,#N/A,FALSE,"Ejector 2"}</definedName>
    <definedName name="NNN" hidden="1">{#N/A,#N/A,FALSE,"Ejector 1";#N/A,#N/A,FALSE,"Ejector 2"}</definedName>
    <definedName name="NomMenu_Liste">[16]Parameters!$B$35</definedName>
    <definedName name="normconcentration">#REF!</definedName>
    <definedName name="notifiedbody">#REF!</definedName>
    <definedName name="nozzle1">#REF!</definedName>
    <definedName name="nozzle2">#REF!</definedName>
    <definedName name="nozzleelement">#REF!</definedName>
    <definedName name="nozzlelength">#REF!</definedName>
    <definedName name="nozzleloc">#REF!</definedName>
    <definedName name="nozzleprimsec">#REF!</definedName>
    <definedName name="nps">#REF!</definedName>
    <definedName name="npsagitatorunit">#REF!</definedName>
    <definedName name="NumListe">[16]Parameters!$AL$6</definedName>
    <definedName name="ODH" hidden="1">[25]산근!#REF!</definedName>
    <definedName name="opening">#REF!</definedName>
    <definedName name="openingagitatorunit">#REF!</definedName>
    <definedName name="OPERATION">#REF!</definedName>
    <definedName name="operatmode">#REF!</definedName>
    <definedName name="Organic_cycle_flow_rate">'[26]C201 RevB Design'!$B$2</definedName>
    <definedName name="organiccoat">#REF!</definedName>
    <definedName name="organiccoatingtest">#REF!</definedName>
    <definedName name="organiclining">#REF!</definedName>
    <definedName name="organicliningtype">#REF!</definedName>
    <definedName name="otherapplicablerules">#REF!</definedName>
    <definedName name="page" hidden="1">'[11]PROCPLAN-TOTAL'!#REF!</definedName>
    <definedName name="PAGE1">[14]SV!$B$8:$O$50</definedName>
    <definedName name="PAGE10">[14]SV!#REF!</definedName>
    <definedName name="PAGE11">[14]SV!#REF!</definedName>
    <definedName name="PAGE12">[14]SV!#REF!</definedName>
    <definedName name="PAGE13">[14]SV!#REF!</definedName>
    <definedName name="PAGE14">[14]SV!#REF!</definedName>
    <definedName name="PAGE15">[14]SV!#REF!</definedName>
    <definedName name="PAGE16">[14]SV!#REF!</definedName>
    <definedName name="PAGE17">[14]SV!#REF!</definedName>
    <definedName name="PAGE18">[14]SV!#REF!</definedName>
    <definedName name="PAGE19">[14]SV!#REF!</definedName>
    <definedName name="PAGE2">[14]SV!#REF!</definedName>
    <definedName name="PAGE20">[14]SV!#REF!</definedName>
    <definedName name="PAGE21">[14]SV!#REF!</definedName>
    <definedName name="PAGE22">[14]SV!#REF!</definedName>
    <definedName name="PAGE23">[14]SV!#REF!</definedName>
    <definedName name="PAGE24">[14]SV!#REF!</definedName>
    <definedName name="PAGE25">[14]SV!#REF!</definedName>
    <definedName name="PAGE26">[14]SV!#REF!</definedName>
    <definedName name="PAGE27">[14]SV!#REF!</definedName>
    <definedName name="PAGE28">[14]SV!#REF!</definedName>
    <definedName name="PAGE29">[14]SV!#REF!</definedName>
    <definedName name="PAGE3">[14]SV!#REF!</definedName>
    <definedName name="PAGE30">[14]SV!#REF!</definedName>
    <definedName name="PAGE31">[14]SV!#REF!</definedName>
    <definedName name="PAGE32">[14]SV!#REF!</definedName>
    <definedName name="PAGE33">[14]SV!#REF!</definedName>
    <definedName name="PAGE34">[14]SV!#REF!</definedName>
    <definedName name="PAGE36">[14]SV!#REF!</definedName>
    <definedName name="PAGE37">[14]SV!#REF!</definedName>
    <definedName name="PAGE38">[14]SV!#REF!</definedName>
    <definedName name="PAGE39">[14]SV!#REF!</definedName>
    <definedName name="PAGE4">[14]SV!#REF!</definedName>
    <definedName name="PAGE40">[14]SV!#REF!</definedName>
    <definedName name="PAGE41">[14]SV!#REF!</definedName>
    <definedName name="PAGE42">[14]SV!#REF!</definedName>
    <definedName name="PAGE43">[14]SV!#REF!</definedName>
    <definedName name="PAGE44">[14]SV!#REF!</definedName>
    <definedName name="PAGE45">[14]SV!#REF!</definedName>
    <definedName name="PAGE46">[14]SV!#REF!</definedName>
    <definedName name="PAGE47">[14]SV!#REF!</definedName>
    <definedName name="PAGE48">[14]SV!#REF!</definedName>
    <definedName name="PAGE49">[14]SV!#REF!</definedName>
    <definedName name="PAGE5">[14]SV!#REF!</definedName>
    <definedName name="PAGE50">[14]SV!#REF!</definedName>
    <definedName name="PAGE6">[14]SV!#REF!</definedName>
    <definedName name="PAGE7">[14]SV!#REF!</definedName>
    <definedName name="PAGE8">[14]SV!#REF!</definedName>
    <definedName name="PAGE9">[14]SV!#REF!</definedName>
    <definedName name="Pal_Workbook_GUID" hidden="1">"1CM6GDAYHQNFEXWP2WH7TBEI"</definedName>
    <definedName name="PANEL_">#REF!</definedName>
    <definedName name="PARTI_DB">#N/A</definedName>
    <definedName name="PARTII_DB">#N/A</definedName>
    <definedName name="partsize">#REF!</definedName>
    <definedName name="passpartition">#REF!</definedName>
    <definedName name="ped">#REF!</definedName>
    <definedName name="performer">#REF!</definedName>
    <definedName name="phonenumber">#REF!</definedName>
    <definedName name="pipesupport">#REF!</definedName>
    <definedName name="Piping" hidden="1">'[11]PROCPLAN-TOTAL'!#REF!</definedName>
    <definedName name="pipingbuffersystemmat">#REF!</definedName>
    <definedName name="pivotframe">#REF!</definedName>
    <definedName name="pl"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atemat">#REF!</definedName>
    <definedName name="platetype">#REF!</definedName>
    <definedName name="platform">#REF!</definedName>
    <definedName name="platformassembly">#REF!</definedName>
    <definedName name="platformmat">#REF!</definedName>
    <definedName name="platformshipment">#REF!</definedName>
    <definedName name="Pmoteur">'[18]Liste Récept'!$L$15:$L$31</definedName>
    <definedName name="POLES">#REF!</definedName>
    <definedName name="power">#REF!</definedName>
    <definedName name="power1">#REF!</definedName>
    <definedName name="pressdrop1">#REF!</definedName>
    <definedName name="pressdrop2">#REF!</definedName>
    <definedName name="pressure">#REF!</definedName>
    <definedName name="pressuregasconnection">#REF!</definedName>
    <definedName name="pressuregauge">#REF!</definedName>
    <definedName name="pressurerating">#REF!</definedName>
    <definedName name="pressureretainingunit">#REF!</definedName>
    <definedName name="primercs">#REF!</definedName>
    <definedName name="primerss">#REF!</definedName>
    <definedName name="_xlnm.Print_Area" localSheetId="3">'Before Award'!$A$1:$AK$247</definedName>
    <definedName name="_xlnm.Print_Area" localSheetId="6">'China Holidays'!$A$1:$B$82</definedName>
    <definedName name="_xlnm.Print_Area" localSheetId="0">'PSR Overall Cycle'!$A$3:$AT$417</definedName>
    <definedName name="_xlnm.Print_Area" localSheetId="5">'Thai Holidays'!$A$1:$F$63</definedName>
    <definedName name="Print_Titles_MI">[14]SV!$A$2:$IV$7</definedName>
    <definedName name="procurement" localSheetId="6"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ject">#REF!</definedName>
    <definedName name="PROTCLASS">#REF!</definedName>
    <definedName name="qq" hidden="1">'[11]PROCPLAN-TOTAL'!#REF!</definedName>
    <definedName name="qrq"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rq"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ualitylevel1">#REF!</definedName>
    <definedName name="qualitylevel2">#REF!</definedName>
    <definedName name="qw" localSheetId="6" hidden="1">{"'장비'!$A$3:$M$12"}</definedName>
    <definedName name="qw" hidden="1">{"'장비'!$A$3:$M$12"}</definedName>
    <definedName name="RA">'[27]Pipe Calc'!$A$11:$BI$46</definedName>
    <definedName name="railing">#REF!</definedName>
    <definedName name="railingheight">#REF!</definedName>
    <definedName name="rainskirt">#REF!</definedName>
    <definedName name="range2">'[28]CAB.XLS'!#REF!</definedName>
    <definedName name="RATING">#REF!</definedName>
    <definedName name="RB_30">"ピクチャ 29"</definedName>
    <definedName name="RB_45">"ピクチャ 31"</definedName>
    <definedName name="RB_60">"ピクチャ 32"</definedName>
    <definedName name="RB_90">"ピクチャ 30"</definedName>
    <definedName name="RB_B">"楕円 26"</definedName>
    <definedName name="RB_C">"楕円 28"</definedName>
    <definedName name="RB_NO">"楕円 14"</definedName>
    <definedName name="RB_R">"楕円 24"</definedName>
    <definedName name="RB_YES">"楕円 16"</definedName>
    <definedName name="readyforshipmentemail">#REF!</definedName>
    <definedName name="readyforshipmentfax">#REF!</definedName>
    <definedName name="Rec_30">"四角形 38"</definedName>
    <definedName name="Rec_45">"四角形 41"</definedName>
    <definedName name="Rec_60">"四角形 39"</definedName>
    <definedName name="Rec_90">"四角形 40"</definedName>
    <definedName name="REC_NO">#N/A</definedName>
    <definedName name="recipient">#REF!</definedName>
    <definedName name="regulation">[15]Unit!$F$4:$F$13</definedName>
    <definedName name="REMARKS">#REF!</definedName>
    <definedName name="RESTART">#REF!</definedName>
    <definedName name="retainerdesign">#REF!</definedName>
    <definedName name="REV">#REF!</definedName>
    <definedName name="révision">[16]Parameters!$AL$7</definedName>
    <definedName name="revolution">#REF!</definedName>
    <definedName name="risk_phrase">[15]Unit!$G$4:$G$22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O">#REF!</definedName>
    <definedName name="roofslope">#REF!</definedName>
    <definedName name="roofsupportingdesign">#REF!</definedName>
    <definedName name="roofsupportingposition">#REF!</definedName>
    <definedName name="rooftype">#REF!</definedName>
    <definedName name="roofwelding">#REF!</definedName>
    <definedName name="rotation">#REF!</definedName>
    <definedName name="rotorshape">#REF!</definedName>
    <definedName name="rotortype">#REF!</definedName>
    <definedName name="roughness">#REF!</definedName>
    <definedName name="roughtype">#REF!</definedName>
    <definedName name="rr" localSheetId="6" hidden="1">{#N/A,#N/A,FALSE,"COVER";#N/A,#N/A,FALSE,"CONTENTS";#N/A,#N/A,FALSE,"CALC SHEET FOR MMA AND PET DOL";#N/A,#N/A,FALSE,"LOAD LIST FOR MMA AND PET DOL"}</definedName>
    <definedName name="rr" hidden="1">{#N/A,#N/A,FALSE,"COVER";#N/A,#N/A,FALSE,"CONTENTS";#N/A,#N/A,FALSE,"CALC SHEET FOR MMA AND PET DOL";#N/A,#N/A,FALSE,"LOAD LIST FOR MMA AND PET DOL"}</definedName>
    <definedName name="rrr" localSheetId="6" hidden="1">{#N/A,#N/A,FALSE,"COVER";#N/A,#N/A,FALSE,"CONTENTS";#N/A,#N/A,FALSE,"CALC SHEET FOR MMA AND PET DOL";#N/A,#N/A,FALSE,"LOAD LIST FOR MMA AND PET DOL"}</definedName>
    <definedName name="rrr" hidden="1">{#N/A,#N/A,FALSE,"COVER";#N/A,#N/A,FALSE,"CONTENTS";#N/A,#N/A,FALSE,"CALC SHEET FOR MMA AND PET DOL";#N/A,#N/A,FALSE,"LOAD LIST FOR MMA AND PET DOL"}</definedName>
    <definedName name="rt" localSheetId="6" hidden="1">{#N/A,#N/A,TRUE,"COVER";#N/A,#N/A,TRUE,"CONTENTS";#N/A,#N/A,TRUE,"CALC SHEET FOR MMA AND PET";#N/A,#N/A,TRUE,"LOAD LIST FOR MMA AND PET"}</definedName>
    <definedName name="rt" hidden="1">{#N/A,#N/A,TRUE,"COVER";#N/A,#N/A,TRUE,"CONTENTS";#N/A,#N/A,TRUE,"CALC SHEET FOR MMA AND PET";#N/A,#N/A,TRUE,"LOAD LIST FOR MMA AND PET"}</definedName>
    <definedName name="rtduy" hidden="1">[5]BQMPALOC!#REF!</definedName>
    <definedName name="RUA">'[27]Pipe Calc'!$AF$1:$BI$2</definedName>
    <definedName name="rustproofing">#REF!</definedName>
    <definedName name="rwr"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rw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dles_enabled">'[12]P. 5'!#REF!</definedName>
    <definedName name="SAPBEXdnldView" hidden="1">"3ZMJLLIT5ZT9ACAOXDQNBDLBJ"</definedName>
    <definedName name="SAPBEXsysID" hidden="1">"PB6"</definedName>
    <definedName name="SD">#REF!</definedName>
    <definedName name="SDC">'[9]#REF'!$B$2:$B$80</definedName>
    <definedName name="sdf" hidden="1">#REF!</definedName>
    <definedName name="sdfds" hidden="1">#REF!</definedName>
    <definedName name="SEAL_PI_PL_LIST">#REF!</definedName>
    <definedName name="sealface">#REF!</definedName>
    <definedName name="sealingtapemat">#REF!</definedName>
    <definedName name="sealmat">#REF!</definedName>
    <definedName name="seamlesstubecoat">#REF!</definedName>
    <definedName name="seamlesstubecs">#REF!</definedName>
    <definedName name="seamlesstubess">#REF!</definedName>
    <definedName name="SECOURS_TOU">[16]Rotating!$J:$J</definedName>
    <definedName name="sencount" hidden="1">1</definedName>
    <definedName name="SERVICE_TOU">[16]Rotating!$I:$I</definedName>
    <definedName name="servicefactor">#REF!</definedName>
    <definedName name="shaftdesign">#REF!</definedName>
    <definedName name="shaftend">#REF!</definedName>
    <definedName name="shaftring">#REF!</definedName>
    <definedName name="shaftseal">#REF!</definedName>
    <definedName name="shaftsealing">#REF!</definedName>
    <definedName name="shaftsealscope">#REF!</definedName>
    <definedName name="ship">"H907"</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address">#REF!</definedName>
    <definedName name="sightglass">#REF!</definedName>
    <definedName name="slett" hidden="1">'[3]Consumer List and Load B'!#REF!</definedName>
    <definedName name="soilground">#REF!</definedName>
    <definedName name="solidproperty">#REF!</definedName>
    <definedName name="solubility">#REF!</definedName>
    <definedName name="soundpower">#REF!</definedName>
    <definedName name="springmat">#REF!</definedName>
    <definedName name="SSS" localSheetId="6"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SSSS" hidden="1">'[29]M 11'!#REF!</definedName>
    <definedName name="sstreatment">#REF!</definedName>
    <definedName name="sstreatmenttype">#REF!</definedName>
    <definedName name="stamp">#REF!</definedName>
    <definedName name="STARTTIME">#REF!</definedName>
    <definedName name="staticheight">#REF!</definedName>
    <definedName name="STATUS">#REF!</definedName>
    <definedName name="STATUT_AUTRE">[16]Other!$L:$L</definedName>
    <definedName name="STATUT_CHO">[16]Vessels!$L:$L</definedName>
    <definedName name="STATUT_TOU">[16]Rotating!$L:$L</definedName>
    <definedName name="strain">#REF!</definedName>
    <definedName name="strength">#REF!</definedName>
    <definedName name="SUCT_FACE_LIST">#REF!</definedName>
    <definedName name="SUCT_POSIT_LIST">#REF!</definedName>
    <definedName name="supplier">#REF!</definedName>
    <definedName name="supply1">#REF!</definedName>
    <definedName name="supply2">#REF!</definedName>
    <definedName name="supportgratedesigncode">#REF!</definedName>
    <definedName name="supportgrateflatness">#REF!</definedName>
    <definedName name="supportgratemat">#REF!</definedName>
    <definedName name="surface">#REF!</definedName>
    <definedName name="surfacequality">#REF!</definedName>
    <definedName name="surfacetension">#REF!</definedName>
    <definedName name="SWBRD">#REF!</definedName>
    <definedName name="swk" hidden="1">'[30]Page 1'!#REF!</definedName>
    <definedName name="T">#REF!</definedName>
    <definedName name="tabel2">'[28]CAB.XLS'!#REF!</definedName>
    <definedName name="Table_moteur">'[31]Motor list'!$B$5:$C$44</definedName>
    <definedName name="TAGNO">#REF!</definedName>
    <definedName name="tata" localSheetId="6" hidden="1">{"AH36 MTO BOM - Landscape",#N/A,TRUE,"MTO BOM Summary Data - AH36";"EH36 MTO BOM - Landscape",#N/A,TRUE,"MTO BOM Summary Data - EH36";"MTO Plt - Landscape",#N/A,TRUE,"MTO Plt";"MTO Pipe - Portrait",#N/A,TRUE,"MTO Pipe"}</definedName>
    <definedName name="tata" hidden="1">{"AH36 MTO BOM - Landscape",#N/A,TRUE,"MTO BOM Summary Data - AH36";"EH36 MTO BOM - Landscape",#N/A,TRUE,"MTO BOM Summary Data - EH36";"MTO Plt - Landscape",#N/A,TRUE,"MTO Plt";"MTO Pipe - Portrait",#N/A,TRUE,"MTO Pipe"}</definedName>
    <definedName name="temp">#REF!</definedName>
    <definedName name="temperature">[15]Unit!$C$4:$C$9</definedName>
    <definedName name="temporaneo" localSheetId="6" hidden="1">{#N/A,#N/A,FALSE,"1 SUMM";#N/A,#N/A,FALSE,"4 FACIL"}</definedName>
    <definedName name="temporaneo" hidden="1">{#N/A,#N/A,FALSE,"1 SUMM";#N/A,#N/A,FALSE,"4 FACIL"}</definedName>
    <definedName name="TEST" localSheetId="6" hidden="1">{#N/A,#N/A,FALSE,"Ejector 1";#N/A,#N/A,FALSE,"Ejector 2"}</definedName>
    <definedName name="TEST" hidden="1">{#N/A,#N/A,FALSE,"Ejector 1";#N/A,#N/A,FALSE,"Ejector 2"}</definedName>
    <definedName name="testweld">#REF!</definedName>
    <definedName name="TG">[32]L!#REF!</definedName>
    <definedName name="thermconduct">#REF!</definedName>
    <definedName name="TITLE">[14]SV!$B$1:$O$7</definedName>
    <definedName name="toleranceplateexchanger">#REF!</definedName>
    <definedName name="tolerancespiralexchanger">#REF!</definedName>
    <definedName name="TOPBORDER">[14]SV!$B$2:$O$7</definedName>
    <definedName name="topcompletecs">#REF!</definedName>
    <definedName name="topcompletess">#REF!</definedName>
    <definedName name="transrate">#REF!</definedName>
    <definedName name="traydeflect">#REF!</definedName>
    <definedName name="trays">#REF!</definedName>
    <definedName name="traythickcs">#REF!</definedName>
    <definedName name="traythickss">#REF!</definedName>
    <definedName name="treadsurface">#REF!</definedName>
    <definedName name="tubebundle">#REF!</definedName>
    <definedName name="tubejoint">#REF!</definedName>
    <definedName name="tubejointbundle">#REF!</definedName>
    <definedName name="tubetype">#REF!</definedName>
    <definedName name="tubular_support_enabled">'[12]P. 5'!#REF!</definedName>
    <definedName name="type">#REF!</definedName>
    <definedName name="typearra">#REF!</definedName>
    <definedName name="typedraft">#REF!</definedName>
    <definedName name="u" hidden="1">'[11]PROCPLAN-TOTAL'!#REF!</definedName>
    <definedName name="UNI_AA_VERSION" hidden="1">"322.3.0"</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loadingpoint">#REF!</definedName>
    <definedName name="us">#REF!</definedName>
    <definedName name="User_Language">#REF!</definedName>
    <definedName name="User_Level">#REF!</definedName>
    <definedName name="User_Region">#REF!</definedName>
    <definedName name="User_Site_AP">#REF!</definedName>
    <definedName name="User_Site_EU">#REF!</definedName>
    <definedName name="User_Site_NA">#REF!</definedName>
    <definedName name="User_Status">#REF!</definedName>
    <definedName name="user_status_de">#REF!</definedName>
    <definedName name="user_status_en">#REF!</definedName>
    <definedName name="User_TDS_Type">#REF!</definedName>
    <definedName name="User_Type">#REF!</definedName>
    <definedName name="uu" localSheetId="6" hidden="1">{#N/A,#N/A,TRUE,"COVER";#N/A,#N/A,TRUE,"CONTENTS";#N/A,#N/A,TRUE,"CALC SHEET FOR MMA AND PET";#N/A,#N/A,TRUE,"LOAD LIST FOR MMA AND PET"}</definedName>
    <definedName name="uu" hidden="1">{#N/A,#N/A,TRUE,"COVER";#N/A,#N/A,TRUE,"CONTENTS";#N/A,#N/A,TRUE,"CALC SHEET FOR MMA AND PET";#N/A,#N/A,TRUE,"LOAD LIST FOR MMA AND PET"}</definedName>
    <definedName name="vbnc" localSheetId="6" hidden="1">{#N/A,#N/A,FALSE,"cover";#N/A,#N/A,FALSE,"page_1";#N/A,#N/A,FALSE,"page_2";#N/A,#N/A,FALSE,"page_3";#N/A,#N/A,FALSE,"page_4"}</definedName>
    <definedName name="vbnc" hidden="1">{#N/A,#N/A,FALSE,"cover";#N/A,#N/A,FALSE,"page_1";#N/A,#N/A,FALSE,"page_2";#N/A,#N/A,FALSE,"page_3";#N/A,#N/A,FALSE,"page_4"}</definedName>
    <definedName name="VITAL">#REF!</definedName>
    <definedName name="VK" localSheetId="6" hidden="1">{#N/A,#N/A,FALSE,"Vessel1 1";#N/A,#N/A,FALSE,"Vessel1 2";#N/A,#N/A,FALSE,"Vessel1 3";#N/A,#N/A,FALSE,"Vessel1 4";#N/A,#N/A,FALSE,"Vessel1 5";#N/A,#N/A,FALSE,"Vessel1 6";#N/A,#N/A,FALSE,"Vessel1 7";#N/A,#N/A,FALSE,"Vessel1 8";#N/A,#N/A,FALSE,"Vessel1 9";#N/A,#N/A,FALSE,"Vessel1 10";#N/A,#N/A,FALSE,"Vessel1 11"}</definedName>
    <definedName name="VK" hidden="1">{#N/A,#N/A,FALSE,"Vessel1 1";#N/A,#N/A,FALSE,"Vessel1 2";#N/A,#N/A,FALSE,"Vessel1 3";#N/A,#N/A,FALSE,"Vessel1 4";#N/A,#N/A,FALSE,"Vessel1 5";#N/A,#N/A,FALSE,"Vessel1 6";#N/A,#N/A,FALSE,"Vessel1 7";#N/A,#N/A,FALSE,"Vessel1 8";#N/A,#N/A,FALSE,"Vessel1 9";#N/A,#N/A,FALSE,"Vessel1 10";#N/A,#N/A,FALSE,"Vessel1 11"}</definedName>
    <definedName name="vol">#REF!</definedName>
    <definedName name="volflow">#REF!</definedName>
    <definedName name="volmassflow">#REF!</definedName>
    <definedName name="VOLT">#REF!</definedName>
    <definedName name="voltagesupply">#REF!</definedName>
    <definedName name="volume">#REF!</definedName>
    <definedName name="vz"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z"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 hidden="1">#REF!</definedName>
    <definedName name="washer">#REF!</definedName>
    <definedName name="waterhazardclass">#REF!</definedName>
    <definedName name="weight">#REF!</definedName>
    <definedName name="weldedtubess">#REF!</definedName>
    <definedName name="weldedtubesscoat">#REF!</definedName>
    <definedName name="weldfactor">#REF!</definedName>
    <definedName name="windload">#REF!</definedName>
    <definedName name="windloadtank">#REF!</definedName>
    <definedName name="wiperelementsmat">#REF!</definedName>
    <definedName name="wpq">#REF!</definedName>
    <definedName name="wrn.A." localSheetId="6" hidden="1">{#N/A,#N/A,FALSE,"Pumps 1";#N/A,#N/A,FALSE,"Pumps 2";#N/A,#N/A,FALSE,"Pumps 3";#N/A,#N/A,FALSE,"Pumps 4";#N/A,#N/A,FALSE,"Pumps 5";#N/A,#N/A,FALSE,"Pumps 6"}</definedName>
    <definedName name="wrn.A." hidden="1">{#N/A,#N/A,FALSE,"Pumps 1";#N/A,#N/A,FALSE,"Pumps 2";#N/A,#N/A,FALSE,"Pumps 3";#N/A,#N/A,FALSE,"Pumps 4";#N/A,#N/A,FALSE,"Pumps 5";#N/A,#N/A,FALSE,"Pumps 6"}</definedName>
    <definedName name="wrn.AUTOTR." localSheetId="6" hidden="1">{#N/A,#N/A,TRUE,"COVER";#N/A,#N/A,TRUE,"CONTENTS";#N/A,#N/A,TRUE,"CALC SHEET FOR MMA AND PET";#N/A,#N/A,TRUE,"LOAD LIST FOR MMA AND PET"}</definedName>
    <definedName name="wrn.AUTOTR." hidden="1">{#N/A,#N/A,TRUE,"COVER";#N/A,#N/A,TRUE,"CONTENTS";#N/A,#N/A,TRUE,"CALC SHEET FOR MMA AND PET";#N/A,#N/A,TRUE,"LOAD LIST FOR MMA AND PET"}</definedName>
    <definedName name="wrn.BOM._.OPTI._.6000._.ALT._.2." localSheetId="6"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calculation._.sheets" localSheetId="6" hidden="1">{#N/A,#N/A,FALSE,"cover";#N/A,#N/A,FALSE,"page_1";#N/A,#N/A,FALSE,"page_2";#N/A,#N/A,FALSE,"page_3";#N/A,#N/A,FALSE,"page_4"}</definedName>
    <definedName name="wrn.calculation._.sheets" hidden="1">{#N/A,#N/A,FALSE,"cover";#N/A,#N/A,FALSE,"page_1";#N/A,#N/A,FALSE,"page_2";#N/A,#N/A,FALSE,"page_3";#N/A,#N/A,FALSE,"page_4"}</definedName>
    <definedName name="wrn.Calulation._.Sheets." localSheetId="6" hidden="1">{#N/A,#N/A,FALSE,"cover";#N/A,#N/A,FALSE,"page_1";#N/A,#N/A,FALSE,"page_2";#N/A,#N/A,FALSE,"page_3";#N/A,#N/A,FALSE,"page_4"}</definedName>
    <definedName name="wrn.Calulation._.Sheets." hidden="1">{#N/A,#N/A,FALSE,"cover";#N/A,#N/A,FALSE,"page_1";#N/A,#N/A,FALSE,"page_2";#N/A,#N/A,FALSE,"page_3";#N/A,#N/A,FALSE,"page_4"}</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6" hidden="1">{"Cost Summary",#N/A,FALSE,"B";"Cost Detail 1",#N/A,FALSE,"C";"Cost Detail 2",#N/A,FALSE,"C"}</definedName>
    <definedName name="wrn.Cost._.Summary." hidden="1">{"Cost Summary",#N/A,FALSE,"B";"Cost Detail 1",#N/A,FALSE,"C";"Cost Detail 2",#N/A,FALSE,"C"}</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OL." localSheetId="6" hidden="1">{#N/A,#N/A,FALSE,"COVER";#N/A,#N/A,FALSE,"CONTENTS";#N/A,#N/A,FALSE,"CALC SHEET FOR MMA AND PET DOL";#N/A,#N/A,FALSE,"LOAD LIST FOR MMA AND PET DOL"}</definedName>
    <definedName name="wrn.DOL." hidden="1">{#N/A,#N/A,FALSE,"COVER";#N/A,#N/A,FALSE,"CONTENTS";#N/A,#N/A,FALSE,"CALC SHEET FOR MMA AND PET DOL";#N/A,#N/A,FALSE,"LOAD LIST FOR MMA AND PET DOL"}</definedName>
    <definedName name="wrn.Equip._.List." localSheetId="6" hidden="1">{#N/A,#N/A,FALSE,"COVER";#N/A,#N/A,FALSE,"CPPEQUIP"}</definedName>
    <definedName name="wrn.Equip._.List." hidden="1">{#N/A,#N/A,FALSE,"COVER";#N/A,#N/A,FALSE,"CPPEQUIP"}</definedName>
    <definedName name="wrn.Equipment._.List." localSheetId="6" hidden="1">{#N/A,#N/A,FALSE,"Sheet2";#N/A,#N/A,FALSE,"Sheet1"}</definedName>
    <definedName name="wrn.Equipment._.List." hidden="1">{#N/A,#N/A,FALSE,"Sheet2";#N/A,#N/A,FALSE,"Sheet1"}</definedName>
    <definedName name="wrn.Extended._.Equipment._.List." localSheetId="6" hidden="1">{#N/A,#N/A,FALSE,"Sheet2";#N/A,#N/A,FALSE,"Sheet1 (2)";#N/A,#N/A,FALSE,"Sheet1 (3)";#N/A,#N/A,FALSE,"Sheet1 (4)";#N/A,#N/A,FALSE,"Sheet1 (5)";#N/A,#N/A,FALSE,"Sheet1 (6)";#N/A,#N/A,FALSE,"Sheet1 (7)";#N/A,#N/A,FALSE,"Sheet1 (8)";#N/A,#N/A,FALSE,"Sheet1 (9)";#N/A,#N/A,FALSE,"Sheet1 (10)"}</definedName>
    <definedName name="wrn.Extended._.Equipment._.List." hidden="1">{#N/A,#N/A,FALSE,"Sheet2";#N/A,#N/A,FALSE,"Sheet1 (2)";#N/A,#N/A,FALSE,"Sheet1 (3)";#N/A,#N/A,FALSE,"Sheet1 (4)";#N/A,#N/A,FALSE,"Sheet1 (5)";#N/A,#N/A,FALSE,"Sheet1 (6)";#N/A,#N/A,FALSE,"Sheet1 (7)";#N/A,#N/A,FALSE,"Sheet1 (8)";#N/A,#N/A,FALSE,"Sheet1 (9)";#N/A,#N/A,FALSE,"Sheet1 (10)"}</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quisition." localSheetId="6" hidden="1">{#N/A,#N/A,FALSE,"INT.TRANSMIT ";#N/A,#N/A,FALSE,"SCOPE";#N/A,#N/A,FALSE,"General notes";#N/A,#N/A,FALSE,"Manufacturing &amp;Inspection";#N/A,#N/A,FALSE,"Shipping";#N/A,#N/A,FALSE,"VDR-301 (3)";#N/A,#N/A,FALSE,"Instruct. Handling Vdr Docs (4)";#N/A,#N/A,FALSE,"Quality Dossier (5)";#N/A,#N/A,FALSE,"IOM (6)"}</definedName>
    <definedName name="wrn.Requisition." hidden="1">{#N/A,#N/A,FALSE,"INT.TRANSMIT ";#N/A,#N/A,FALSE,"SCOPE";#N/A,#N/A,FALSE,"General notes";#N/A,#N/A,FALSE,"Manufacturing &amp;Inspection";#N/A,#N/A,FALSE,"Shipping";#N/A,#N/A,FALSE,"VDR-301 (3)";#N/A,#N/A,FALSE,"Instruct. Handling Vdr Docs (4)";#N/A,#N/A,FALSE,"Quality Dossier (5)";#N/A,#N/A,FALSE,"IOM (6)"}</definedName>
    <definedName name="wrn.Sensitivity._.Pack._.Add._.Equity." localSheetId="6" hidden="1">{"Sens: Input",#N/A,FALSE,"Input parameters";"Sens: Cash Con",#N/A,FALSE,"Input parameters";"Sens: P&amp;L Con",#N/A,FALSE,"Input parameters"}</definedName>
    <definedName name="wrn.Sensitivity._.Pack._.Add._.Equity." hidden="1">{"Sens: Input",#N/A,FALSE,"Input parameters";"Sens: Cash Con",#N/A,FALSE,"Input parameters";"Sens: P&amp;L Con",#N/A,FALSE,"Input parameters"}</definedName>
    <definedName name="wrn.Sensitivity._.Pack._.All." localSheetId="6"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All."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FX._.Rate." localSheetId="6"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FX._.Rate."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Interest._.Rate." localSheetId="6" hidden="1">{"Sens: Input",#N/A,FALSE,"Input parameters";"Sens: P&amp;L Con",#N/A,FALSE,"Input parameters";"Sens: Cash Con",#N/A,FALSE,"Input parameters";"Sens: Cash Harry",#N/A,FALSE,"Input parameters"}</definedName>
    <definedName name="wrn.Sensitivity._.Pack._.Interest._.Rate." hidden="1">{"Sens: Input",#N/A,FALSE,"Input parameters";"Sens: P&amp;L Con",#N/A,FALSE,"Input parameters";"Sens: Cash Con",#N/A,FALSE,"Input parameters";"Sens: Cash Harry",#N/A,FALSE,"Input parameters"}</definedName>
    <definedName name="wrn.Sensitivity._.Pack._.Oil._.Price." localSheetId="6" hidden="1">{"Sens: Input",#N/A,FALSE,"Input parameters";"Sens: P&amp;L Con",#N/A,FALSE,"Input parameters";"Sens: Cash Con",#N/A,FALSE,"Input parameters";"Sens: Sales",#N/A,FALSE,"Input parameters";"Sens: Swap",#N/A,FALSE,"Input parameters"}</definedName>
    <definedName name="wrn.Sensitivity._.Pack._.Oil._.Price." hidden="1">{"Sens: Input",#N/A,FALSE,"Input parameters";"Sens: P&amp;L Con",#N/A,FALSE,"Input parameters";"Sens: Cash Con",#N/A,FALSE,"Input parameters";"Sens: Sales",#N/A,FALSE,"Input parameters";"Sens: Swap",#N/A,FALSE,"Input parameters"}</definedName>
    <definedName name="wrn.Sensitivity._.Pack._.Opex." localSheetId="6" hidden="1">{"Sens: Input",#N/A,FALSE,"Input parameters";"Sens: P&amp;L Con",#N/A,FALSE,"Input parameters";"Sens: Cash Con",#N/A,FALSE,"Input parameters";"Sens: Opex",#N/A,FALSE,"Input parameters"}</definedName>
    <definedName name="wrn.Sensitivity._.Pack._.Opex." hidden="1">{"Sens: Input",#N/A,FALSE,"Input parameters";"Sens: P&amp;L Con",#N/A,FALSE,"Input parameters";"Sens: Cash Con",#N/A,FALSE,"Input parameters";"Sens: Opex",#N/A,FALSE,"Input parameters"}</definedName>
    <definedName name="wrn.Sensitivity._.Pack._.Prod._.Delay." localSheetId="6" hidden="1">{"Sens: Input",#N/A,FALSE,"Input parameters";"Sens: P&amp;L Con",#N/A,FALSE,"Input parameters";"Sens: Cash Con",#N/A,FALSE,"Input parameters";"Sens: Prod",#N/A,FALSE,"Input parameters";"Sens: Opex",#N/A,FALSE,"Input parameters";"Sens: Sales",#N/A,FALSE,"Input parameters"}</definedName>
    <definedName name="wrn.Sensitivity._.Pack._.Prod._.Delay." hidden="1">{"Sens: Input",#N/A,FALSE,"Input parameters";"Sens: P&amp;L Con",#N/A,FALSE,"Input parameters";"Sens: Cash Con",#N/A,FALSE,"Input parameters";"Sens: Prod",#N/A,FALSE,"Input parameters";"Sens: Opex",#N/A,FALSE,"Input parameters";"Sens: Sales",#N/A,FALSE,"Input parameters"}</definedName>
    <definedName name="wrn.Sensitivity._.Pack._.Production." localSheetId="6" hidden="1">{"Sens: Input",#N/A,FALSE,"Input parameters";"Sens: P&amp;L Con",#N/A,FALSE,"Input parameters";"Sens: Cash Con",#N/A,FALSE,"Input parameters";"Sens: Prod",#N/A,FALSE,"Input parameters"}</definedName>
    <definedName name="wrn.Sensitivity._.Pack._.Production." hidden="1">{"Sens: Input",#N/A,FALSE,"Input parameters";"Sens: P&amp;L Con",#N/A,FALSE,"Input parameters";"Sens: Cash Con",#N/A,FALSE,"Input parameters";"Sens: Prod",#N/A,FALSE,"Input parameters"}</definedName>
    <definedName name="wrn.Sensitivity._.Pack._.Saltfltby._.Reserves." localSheetId="6"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ensitivity._.Pack._.Saltfltby._.Reserves."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intesi." localSheetId="6" hidden="1">{#N/A,#N/A,FALSE,"1 SUMM";#N/A,#N/A,FALSE,"4 FACIL"}</definedName>
    <definedName name="wrn.sintesi." hidden="1">{#N/A,#N/A,FALSE,"1 SUMM";#N/A,#N/A,FALSE,"4 FACIL"}</definedName>
    <definedName name="wrn.TO._.HITACHI." localSheetId="6" hidden="1">{#N/A,#N/A,FALSE,"B-Rated fire doors"}</definedName>
    <definedName name="wrn.TO._.HITACHI." hidden="1">{#N/A,#N/A,FALSE,"B-Rated fire doors"}</definedName>
    <definedName name="x" localSheetId="6" hidden="1">{"Sens: Input",#N/A,FALSE,"Input parameters";"Sens: P&amp;L Con",#N/A,FALSE,"Input parameters";"Sens: Cash Con",#N/A,FALSE,"Input parameters";"Sens: Cash Harry",#N/A,FALSE,"Input parameters"}</definedName>
    <definedName name="x" hidden="1">{"Sens: Input",#N/A,FALSE,"Input parameters";"Sens: P&amp;L Con",#N/A,FALSE,"Input parameters";"Sens: Cash Con",#N/A,FALSE,"Input parameters";"Sens: Cash Harry",#N/A,FALSE,"Input parameters"}</definedName>
    <definedName name="xray">#REF!</definedName>
    <definedName name="xv" localSheetId="6" hidden="1">{#N/A,#N/A,FALSE,"cover";#N/A,#N/A,FALSE,"page_1";#N/A,#N/A,FALSE,"page_2";#N/A,#N/A,FALSE,"page_3";#N/A,#N/A,FALSE,"page_4"}</definedName>
    <definedName name="xv" hidden="1">{#N/A,#N/A,FALSE,"cover";#N/A,#N/A,FALSE,"page_1";#N/A,#N/A,FALSE,"page_2";#N/A,#N/A,FALSE,"page_3";#N/A,#N/A,FALSE,"page_4"}</definedName>
    <definedName name="xx" localSheetId="6" hidden="1">{#N/A,#N/A,FALSE,"Vessel1 1";#N/A,#N/A,FALSE,"Vessel1 2";#N/A,#N/A,FALSE,"Vessel1 3";#N/A,#N/A,FALSE,"Vessel1 4";#N/A,#N/A,FALSE,"Vessel1 5";#N/A,#N/A,FALSE,"Vessel1 6";#N/A,#N/A,FALSE,"Vessel1 7";#N/A,#N/A,FALSE,"Vessel1 8";#N/A,#N/A,FALSE,"Vessel1 9";#N/A,#N/A,FALSE,"Vessel1 10";#N/A,#N/A,FALSE,"Vessel1 11"}</definedName>
    <definedName name="xx" hidden="1">{#N/A,#N/A,FALSE,"Vessel1 1";#N/A,#N/A,FALSE,"Vessel1 2";#N/A,#N/A,FALSE,"Vessel1 3";#N/A,#N/A,FALSE,"Vessel1 4";#N/A,#N/A,FALSE,"Vessel1 5";#N/A,#N/A,FALSE,"Vessel1 6";#N/A,#N/A,FALSE,"Vessel1 7";#N/A,#N/A,FALSE,"Vessel1 8";#N/A,#N/A,FALSE,"Vessel1 9";#N/A,#N/A,FALSE,"Vessel1 10";#N/A,#N/A,FALSE,"Vessel1 11"}</definedName>
    <definedName name="xxx" localSheetId="6" hidden="1">{#N/A,#N/A,FALSE,"Vessel1 1";#N/A,#N/A,FALSE,"Vessel1 2";#N/A,#N/A,FALSE,"Vessel1 3";#N/A,#N/A,FALSE,"Vessel1 4";#N/A,#N/A,FALSE,"Vessel1 5";#N/A,#N/A,FALSE,"Vessel1 6";#N/A,#N/A,FALSE,"Vessel1 7";#N/A,#N/A,FALSE,"Vessel1 8";#N/A,#N/A,FALSE,"Vessel1 9";#N/A,#N/A,FALSE,"Vessel1 10";#N/A,#N/A,FALSE,"Vessel1 11"}</definedName>
    <definedName name="xxx" hidden="1">{#N/A,#N/A,FALSE,"Vessel1 1";#N/A,#N/A,FALSE,"Vessel1 2";#N/A,#N/A,FALSE,"Vessel1 3";#N/A,#N/A,FALSE,"Vessel1 4";#N/A,#N/A,FALSE,"Vessel1 5";#N/A,#N/A,FALSE,"Vessel1 6";#N/A,#N/A,FALSE,"Vessel1 7";#N/A,#N/A,FALSE,"Vessel1 8";#N/A,#N/A,FALSE,"Vessel1 9";#N/A,#N/A,FALSE,"Vessel1 10";#N/A,#N/A,FALSE,"Vessel1 11"}</definedName>
    <definedName name="xza"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xza"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yellowchromate">#REF!</definedName>
    <definedName name="zone">#REF!</definedName>
    <definedName name="zz" hidden="1">'[11]PROCPLAN-TOTAL'!#REF!</definedName>
    <definedName name="zzz" hidden="1">'[33]M 11'!#REF!</definedName>
    <definedName name="zzzz" localSheetId="6" hidden="1">{#N/A,#N/A,FALSE,"cover";#N/A,#N/A,FALSE,"page_1";#N/A,#N/A,FALSE,"page_2";#N/A,#N/A,FALSE,"page_3";#N/A,#N/A,FALSE,"page_4"}</definedName>
    <definedName name="zzzz" hidden="1">{#N/A,#N/A,FALSE,"cover";#N/A,#N/A,FALSE,"page_1";#N/A,#N/A,FALSE,"page_2";#N/A,#N/A,FALSE,"page_3";#N/A,#N/A,FALSE,"page_4"}</definedName>
    <definedName name="zzzzz" localSheetId="6" hidden="1">{#N/A,#N/A,FALSE,"cover";#N/A,#N/A,FALSE,"page_1";#N/A,#N/A,FALSE,"page_2";#N/A,#N/A,FALSE,"page_3";#N/A,#N/A,FALSE,"page_4"}</definedName>
    <definedName name="zzzzz" hidden="1">{#N/A,#N/A,FALSE,"cover";#N/A,#N/A,FALSE,"page_1";#N/A,#N/A,FALSE,"page_2";#N/A,#N/A,FALSE,"page_3";#N/A,#N/A,FALSE,"page_4"}</definedName>
    <definedName name="zzzzzz" localSheetId="6" hidden="1">{#N/A,#N/A,FALSE,"cover";#N/A,#N/A,FALSE,"page_1";#N/A,#N/A,FALSE,"page_2";#N/A,#N/A,FALSE,"page_3";#N/A,#N/A,FALSE,"page_4"}</definedName>
    <definedName name="zzzzzz" hidden="1">{#N/A,#N/A,FALSE,"cover";#N/A,#N/A,FALSE,"page_1";#N/A,#N/A,FALSE,"page_2";#N/A,#N/A,FALSE,"page_3";#N/A,#N/A,FALSE,"page_4"}</definedName>
    <definedName name="견적갑지무" localSheetId="6" hidden="1">{"'장비'!$A$3:$M$12"}</definedName>
    <definedName name="견적갑지무" hidden="1">{"'장비'!$A$3:$M$12"}</definedName>
    <definedName name="견적조건" hidden="1">[34]산근!#REF!</definedName>
    <definedName name="부대공사" hidden="1">#REF!</definedName>
  </definedNames>
  <calcPr calcId="191029"/>
</workbook>
</file>

<file path=xl/calcChain.xml><?xml version="1.0" encoding="utf-8"?>
<calcChain xmlns="http://schemas.openxmlformats.org/spreadsheetml/2006/main">
  <c r="AV300" i="2" l="1"/>
  <c r="AU300" i="2"/>
  <c r="AT300" i="2"/>
  <c r="AS300" i="2"/>
  <c r="AR300" i="2"/>
  <c r="AQ300" i="2"/>
  <c r="AP300" i="2"/>
  <c r="AO300" i="2"/>
  <c r="AN300" i="2"/>
  <c r="AM300" i="2"/>
  <c r="I300" i="2"/>
  <c r="F300" i="2"/>
  <c r="E300" i="2"/>
  <c r="AV299" i="2"/>
  <c r="AU299" i="2"/>
  <c r="AT299" i="2"/>
  <c r="AS299" i="2"/>
  <c r="AR299" i="2"/>
  <c r="AQ299" i="2"/>
  <c r="AP299" i="2"/>
  <c r="AO299" i="2"/>
  <c r="AN299" i="2"/>
  <c r="AM299" i="2"/>
  <c r="AB299" i="2"/>
  <c r="AA299" i="2"/>
  <c r="Z299" i="2"/>
  <c r="Y299" i="2"/>
  <c r="X299" i="2"/>
  <c r="W299" i="2"/>
  <c r="V299" i="2"/>
  <c r="U299" i="2"/>
  <c r="T299" i="2"/>
  <c r="S299" i="2"/>
  <c r="L299" i="2"/>
  <c r="I299" i="2"/>
  <c r="F299" i="2"/>
  <c r="E299" i="2"/>
  <c r="AV298" i="2"/>
  <c r="AU298" i="2"/>
  <c r="AT298" i="2"/>
  <c r="AS298" i="2"/>
  <c r="AR298" i="2"/>
  <c r="AQ298" i="2"/>
  <c r="AP298" i="2"/>
  <c r="AO298" i="2"/>
  <c r="AN298" i="2"/>
  <c r="AM298" i="2"/>
  <c r="AJ298" i="2"/>
  <c r="AF298" i="2"/>
  <c r="AB298" i="2"/>
  <c r="AA298" i="2"/>
  <c r="Z298" i="2"/>
  <c r="Y298" i="2"/>
  <c r="X298" i="2"/>
  <c r="W298" i="2"/>
  <c r="V298" i="2"/>
  <c r="U298" i="2"/>
  <c r="T298" i="2"/>
  <c r="S298" i="2"/>
  <c r="K298" i="2"/>
  <c r="A298" i="2"/>
  <c r="AV297" i="2"/>
  <c r="AU297" i="2"/>
  <c r="AT297" i="2"/>
  <c r="AS297" i="2"/>
  <c r="AR297" i="2"/>
  <c r="AQ297" i="2"/>
  <c r="AP297" i="2"/>
  <c r="AO297" i="2"/>
  <c r="AN297" i="2"/>
  <c r="AM297" i="2"/>
  <c r="I297" i="2"/>
  <c r="H297" i="2"/>
  <c r="F297" i="2"/>
  <c r="E297" i="2"/>
  <c r="D297" i="2"/>
  <c r="AV296" i="2"/>
  <c r="AU296" i="2"/>
  <c r="AT296" i="2"/>
  <c r="AS296" i="2"/>
  <c r="AR296" i="2"/>
  <c r="AQ296" i="2"/>
  <c r="AP296" i="2"/>
  <c r="AO296" i="2"/>
  <c r="AN296" i="2"/>
  <c r="AM296" i="2"/>
  <c r="AB296" i="2"/>
  <c r="AA296" i="2"/>
  <c r="Z296" i="2"/>
  <c r="Y296" i="2"/>
  <c r="X296" i="2"/>
  <c r="W296" i="2"/>
  <c r="V296" i="2"/>
  <c r="U296" i="2"/>
  <c r="T296" i="2"/>
  <c r="S296" i="2"/>
  <c r="L296" i="2"/>
  <c r="I296" i="2"/>
  <c r="H296" i="2"/>
  <c r="F296" i="2"/>
  <c r="E296" i="2"/>
  <c r="D296" i="2"/>
  <c r="AV295" i="2"/>
  <c r="AU295" i="2"/>
  <c r="AT295" i="2"/>
  <c r="AS295" i="2"/>
  <c r="AR295" i="2"/>
  <c r="AQ295" i="2"/>
  <c r="AP295" i="2"/>
  <c r="AO295" i="2"/>
  <c r="AN295" i="2"/>
  <c r="AM295" i="2"/>
  <c r="AJ295" i="2"/>
  <c r="AF295" i="2"/>
  <c r="AB295" i="2"/>
  <c r="AA295" i="2"/>
  <c r="Z295" i="2"/>
  <c r="Y295" i="2"/>
  <c r="X295" i="2"/>
  <c r="W295" i="2"/>
  <c r="V295" i="2"/>
  <c r="U295" i="2"/>
  <c r="T295" i="2"/>
  <c r="S295" i="2"/>
  <c r="K295" i="2"/>
  <c r="A295" i="2"/>
  <c r="AV294" i="2"/>
  <c r="AU294" i="2"/>
  <c r="AT294" i="2"/>
  <c r="AS294" i="2"/>
  <c r="AR294" i="2"/>
  <c r="AQ294" i="2"/>
  <c r="AP294" i="2"/>
  <c r="AO294" i="2"/>
  <c r="AN294" i="2"/>
  <c r="AM294" i="2"/>
  <c r="I294" i="2"/>
  <c r="H294" i="2"/>
  <c r="F294" i="2"/>
  <c r="E294" i="2"/>
  <c r="D294" i="2"/>
  <c r="AV293" i="2"/>
  <c r="AU293" i="2"/>
  <c r="AT293" i="2"/>
  <c r="AS293" i="2"/>
  <c r="AR293" i="2"/>
  <c r="AQ293" i="2"/>
  <c r="AP293" i="2"/>
  <c r="AO293" i="2"/>
  <c r="AN293" i="2"/>
  <c r="AM293" i="2"/>
  <c r="AB293" i="2"/>
  <c r="AA293" i="2"/>
  <c r="Z293" i="2"/>
  <c r="Y293" i="2"/>
  <c r="X293" i="2"/>
  <c r="W293" i="2"/>
  <c r="V293" i="2"/>
  <c r="U293" i="2"/>
  <c r="T293" i="2"/>
  <c r="S293" i="2"/>
  <c r="L293" i="2"/>
  <c r="I293" i="2"/>
  <c r="H293" i="2"/>
  <c r="F293" i="2"/>
  <c r="E293" i="2"/>
  <c r="D293" i="2"/>
  <c r="AV292" i="2"/>
  <c r="AU292" i="2"/>
  <c r="AT292" i="2"/>
  <c r="AS292" i="2"/>
  <c r="AR292" i="2"/>
  <c r="AQ292" i="2"/>
  <c r="AP292" i="2"/>
  <c r="AO292" i="2"/>
  <c r="AN292" i="2"/>
  <c r="AM292" i="2"/>
  <c r="AJ292" i="2"/>
  <c r="AF292" i="2"/>
  <c r="AB292" i="2"/>
  <c r="AA292" i="2"/>
  <c r="Z292" i="2"/>
  <c r="Y292" i="2"/>
  <c r="X292" i="2"/>
  <c r="W292" i="2"/>
  <c r="V292" i="2"/>
  <c r="U292" i="2"/>
  <c r="T292" i="2"/>
  <c r="S292" i="2"/>
  <c r="K292" i="2"/>
  <c r="A292" i="2"/>
  <c r="AV291" i="2"/>
  <c r="AU291" i="2"/>
  <c r="AT291" i="2"/>
  <c r="AS291" i="2"/>
  <c r="AR291" i="2"/>
  <c r="AQ291" i="2"/>
  <c r="AP291" i="2"/>
  <c r="AO291" i="2"/>
  <c r="AN291" i="2"/>
  <c r="AM291" i="2"/>
  <c r="I291" i="2"/>
  <c r="H291" i="2"/>
  <c r="F291" i="2"/>
  <c r="E291" i="2"/>
  <c r="D291" i="2"/>
  <c r="AV290" i="2"/>
  <c r="AU290" i="2"/>
  <c r="AT290" i="2"/>
  <c r="AS290" i="2"/>
  <c r="AR290" i="2"/>
  <c r="AQ290" i="2"/>
  <c r="AP290" i="2"/>
  <c r="AO290" i="2"/>
  <c r="AN290" i="2"/>
  <c r="AM290" i="2"/>
  <c r="AB290" i="2"/>
  <c r="AA290" i="2"/>
  <c r="Z290" i="2"/>
  <c r="Y290" i="2"/>
  <c r="X290" i="2"/>
  <c r="W290" i="2"/>
  <c r="V290" i="2"/>
  <c r="U290" i="2"/>
  <c r="T290" i="2"/>
  <c r="S290" i="2"/>
  <c r="L290" i="2"/>
  <c r="I290" i="2"/>
  <c r="H290" i="2"/>
  <c r="F290" i="2"/>
  <c r="E290" i="2"/>
  <c r="D290" i="2"/>
  <c r="AV289" i="2"/>
  <c r="AU289" i="2"/>
  <c r="AT289" i="2"/>
  <c r="AS289" i="2"/>
  <c r="AR289" i="2"/>
  <c r="AQ289" i="2"/>
  <c r="AP289" i="2"/>
  <c r="AO289" i="2"/>
  <c r="AN289" i="2"/>
  <c r="AM289" i="2"/>
  <c r="AJ289" i="2"/>
  <c r="AF289" i="2"/>
  <c r="AB289" i="2"/>
  <c r="AA289" i="2"/>
  <c r="Z289" i="2"/>
  <c r="Y289" i="2"/>
  <c r="X289" i="2"/>
  <c r="W289" i="2"/>
  <c r="V289" i="2"/>
  <c r="U289" i="2"/>
  <c r="T289" i="2"/>
  <c r="S289" i="2"/>
  <c r="K289" i="2"/>
  <c r="A289" i="2"/>
  <c r="AV288" i="2"/>
  <c r="AU288" i="2"/>
  <c r="AT288" i="2"/>
  <c r="AS288" i="2"/>
  <c r="AR288" i="2"/>
  <c r="AQ288" i="2"/>
  <c r="AP288" i="2"/>
  <c r="AO288" i="2"/>
  <c r="AN288" i="2"/>
  <c r="AM288" i="2"/>
  <c r="I288" i="2"/>
  <c r="H288" i="2"/>
  <c r="F288" i="2"/>
  <c r="E288" i="2"/>
  <c r="D288" i="2"/>
  <c r="AV287" i="2"/>
  <c r="AU287" i="2"/>
  <c r="AT287" i="2"/>
  <c r="AS287" i="2"/>
  <c r="AR287" i="2"/>
  <c r="AQ287" i="2"/>
  <c r="AP287" i="2"/>
  <c r="AO287" i="2"/>
  <c r="AN287" i="2"/>
  <c r="AM287" i="2"/>
  <c r="AB287" i="2"/>
  <c r="AA287" i="2"/>
  <c r="Z287" i="2"/>
  <c r="Y287" i="2"/>
  <c r="X287" i="2"/>
  <c r="W287" i="2"/>
  <c r="V287" i="2"/>
  <c r="U287" i="2"/>
  <c r="T287" i="2"/>
  <c r="S287" i="2"/>
  <c r="L287" i="2"/>
  <c r="I287" i="2"/>
  <c r="H287" i="2"/>
  <c r="F287" i="2"/>
  <c r="E287" i="2"/>
  <c r="D287" i="2"/>
  <c r="AV286" i="2"/>
  <c r="AU286" i="2"/>
  <c r="AT286" i="2"/>
  <c r="AS286" i="2"/>
  <c r="AR286" i="2"/>
  <c r="AQ286" i="2"/>
  <c r="AP286" i="2"/>
  <c r="AO286" i="2"/>
  <c r="AN286" i="2"/>
  <c r="AM286" i="2"/>
  <c r="AJ286" i="2"/>
  <c r="AF286" i="2"/>
  <c r="AB286" i="2"/>
  <c r="AA286" i="2"/>
  <c r="Z286" i="2"/>
  <c r="Y286" i="2"/>
  <c r="X286" i="2"/>
  <c r="W286" i="2"/>
  <c r="V286" i="2"/>
  <c r="U286" i="2"/>
  <c r="T286" i="2"/>
  <c r="S286" i="2"/>
  <c r="K286" i="2"/>
  <c r="A286" i="2"/>
  <c r="AV285" i="2"/>
  <c r="AU285" i="2"/>
  <c r="AT285" i="2"/>
  <c r="AS285" i="2"/>
  <c r="AR285" i="2"/>
  <c r="AQ285" i="2"/>
  <c r="AP285" i="2"/>
  <c r="AO285" i="2"/>
  <c r="AN285" i="2"/>
  <c r="AM285" i="2"/>
  <c r="I285" i="2"/>
  <c r="H285" i="2"/>
  <c r="F285" i="2"/>
  <c r="E285" i="2"/>
  <c r="D285" i="2"/>
  <c r="AV284" i="2"/>
  <c r="AU284" i="2"/>
  <c r="AT284" i="2"/>
  <c r="AS284" i="2"/>
  <c r="AR284" i="2"/>
  <c r="AQ284" i="2"/>
  <c r="AP284" i="2"/>
  <c r="AO284" i="2"/>
  <c r="AN284" i="2"/>
  <c r="AM284" i="2"/>
  <c r="AB284" i="2"/>
  <c r="AA284" i="2"/>
  <c r="Z284" i="2"/>
  <c r="Y284" i="2"/>
  <c r="X284" i="2"/>
  <c r="W284" i="2"/>
  <c r="V284" i="2"/>
  <c r="U284" i="2"/>
  <c r="T284" i="2"/>
  <c r="S284" i="2"/>
  <c r="L284" i="2"/>
  <c r="I284" i="2"/>
  <c r="H284" i="2"/>
  <c r="F284" i="2"/>
  <c r="E284" i="2"/>
  <c r="D284" i="2"/>
  <c r="AV283" i="2"/>
  <c r="AU283" i="2"/>
  <c r="AT283" i="2"/>
  <c r="AS283" i="2"/>
  <c r="AR283" i="2"/>
  <c r="AQ283" i="2"/>
  <c r="AP283" i="2"/>
  <c r="AO283" i="2"/>
  <c r="AN283" i="2"/>
  <c r="AM283" i="2"/>
  <c r="AJ283" i="2"/>
  <c r="AF283" i="2"/>
  <c r="AB283" i="2"/>
  <c r="AA283" i="2"/>
  <c r="Z283" i="2"/>
  <c r="Y283" i="2"/>
  <c r="X283" i="2"/>
  <c r="W283" i="2"/>
  <c r="V283" i="2"/>
  <c r="U283" i="2"/>
  <c r="T283" i="2"/>
  <c r="S283" i="2"/>
  <c r="K283" i="2"/>
  <c r="A283" i="2"/>
  <c r="AV282" i="2"/>
  <c r="AU282" i="2"/>
  <c r="AT282" i="2"/>
  <c r="AS282" i="2"/>
  <c r="AR282" i="2"/>
  <c r="AQ282" i="2"/>
  <c r="AP282" i="2"/>
  <c r="AO282" i="2"/>
  <c r="AN282" i="2"/>
  <c r="AM282" i="2"/>
  <c r="I282" i="2"/>
  <c r="H282" i="2"/>
  <c r="F282" i="2"/>
  <c r="E282" i="2"/>
  <c r="D282" i="2"/>
  <c r="AV281" i="2"/>
  <c r="AU281" i="2"/>
  <c r="AT281" i="2"/>
  <c r="AS281" i="2"/>
  <c r="AR281" i="2"/>
  <c r="AQ281" i="2"/>
  <c r="AP281" i="2"/>
  <c r="AO281" i="2"/>
  <c r="AN281" i="2"/>
  <c r="AM281" i="2"/>
  <c r="AB281" i="2"/>
  <c r="AA281" i="2"/>
  <c r="Z281" i="2"/>
  <c r="Y281" i="2"/>
  <c r="X281" i="2"/>
  <c r="W281" i="2"/>
  <c r="V281" i="2"/>
  <c r="U281" i="2"/>
  <c r="T281" i="2"/>
  <c r="S281" i="2"/>
  <c r="L281" i="2"/>
  <c r="I281" i="2"/>
  <c r="H281" i="2"/>
  <c r="F281" i="2"/>
  <c r="E281" i="2"/>
  <c r="D281" i="2"/>
  <c r="AV280" i="2"/>
  <c r="AU280" i="2"/>
  <c r="AT280" i="2"/>
  <c r="AS280" i="2"/>
  <c r="AR280" i="2"/>
  <c r="AQ280" i="2"/>
  <c r="AP280" i="2"/>
  <c r="AO280" i="2"/>
  <c r="AN280" i="2"/>
  <c r="AM280" i="2"/>
  <c r="AJ280" i="2"/>
  <c r="AF280" i="2"/>
  <c r="AB280" i="2"/>
  <c r="AA280" i="2"/>
  <c r="Z280" i="2"/>
  <c r="Y280" i="2"/>
  <c r="X280" i="2"/>
  <c r="W280" i="2"/>
  <c r="V280" i="2"/>
  <c r="U280" i="2"/>
  <c r="T280" i="2"/>
  <c r="S280" i="2"/>
  <c r="K280" i="2"/>
  <c r="A280" i="2"/>
  <c r="AV279" i="2"/>
  <c r="AU279" i="2"/>
  <c r="AT279" i="2"/>
  <c r="AS279" i="2"/>
  <c r="AR279" i="2"/>
  <c r="AQ279" i="2"/>
  <c r="AP279" i="2"/>
  <c r="AO279" i="2"/>
  <c r="AN279" i="2"/>
  <c r="AM279" i="2"/>
  <c r="I279" i="2"/>
  <c r="H279" i="2"/>
  <c r="F279" i="2"/>
  <c r="E279" i="2"/>
  <c r="D279" i="2"/>
  <c r="AV278" i="2"/>
  <c r="AU278" i="2"/>
  <c r="AT278" i="2"/>
  <c r="AS278" i="2"/>
  <c r="AR278" i="2"/>
  <c r="AQ278" i="2"/>
  <c r="AP278" i="2"/>
  <c r="AO278" i="2"/>
  <c r="AN278" i="2"/>
  <c r="AM278" i="2"/>
  <c r="AB278" i="2"/>
  <c r="AA278" i="2"/>
  <c r="Z278" i="2"/>
  <c r="Y278" i="2"/>
  <c r="X278" i="2"/>
  <c r="W278" i="2"/>
  <c r="V278" i="2"/>
  <c r="U278" i="2"/>
  <c r="T278" i="2"/>
  <c r="S278" i="2"/>
  <c r="L278" i="2"/>
  <c r="I278" i="2"/>
  <c r="H278" i="2"/>
  <c r="F278" i="2"/>
  <c r="E278" i="2"/>
  <c r="D278" i="2"/>
  <c r="AV277" i="2"/>
  <c r="AU277" i="2"/>
  <c r="AT277" i="2"/>
  <c r="AS277" i="2"/>
  <c r="AR277" i="2"/>
  <c r="AQ277" i="2"/>
  <c r="AP277" i="2"/>
  <c r="AO277" i="2"/>
  <c r="AN277" i="2"/>
  <c r="AM277" i="2"/>
  <c r="AJ277" i="2"/>
  <c r="AF277" i="2"/>
  <c r="AB277" i="2"/>
  <c r="AA277" i="2"/>
  <c r="Z277" i="2"/>
  <c r="Y277" i="2"/>
  <c r="X277" i="2"/>
  <c r="W277" i="2"/>
  <c r="V277" i="2"/>
  <c r="U277" i="2"/>
  <c r="T277" i="2"/>
  <c r="S277" i="2"/>
  <c r="K277" i="2"/>
  <c r="A277" i="2"/>
  <c r="AV276" i="2"/>
  <c r="AU276" i="2"/>
  <c r="AT276" i="2"/>
  <c r="AS276" i="2"/>
  <c r="AR276" i="2"/>
  <c r="AQ276" i="2"/>
  <c r="AP276" i="2"/>
  <c r="AO276" i="2"/>
  <c r="AN276" i="2"/>
  <c r="AM276" i="2"/>
  <c r="I276" i="2"/>
  <c r="H276" i="2"/>
  <c r="F276" i="2"/>
  <c r="E276" i="2"/>
  <c r="D276" i="2"/>
  <c r="AV275" i="2"/>
  <c r="AU275" i="2"/>
  <c r="AT275" i="2"/>
  <c r="AS275" i="2"/>
  <c r="AR275" i="2"/>
  <c r="AQ275" i="2"/>
  <c r="AP275" i="2"/>
  <c r="AO275" i="2"/>
  <c r="AN275" i="2"/>
  <c r="AM275" i="2"/>
  <c r="AB275" i="2"/>
  <c r="AA275" i="2"/>
  <c r="Z275" i="2"/>
  <c r="Y275" i="2"/>
  <c r="X275" i="2"/>
  <c r="W275" i="2"/>
  <c r="V275" i="2"/>
  <c r="U275" i="2"/>
  <c r="T275" i="2"/>
  <c r="S275" i="2"/>
  <c r="L275" i="2"/>
  <c r="I275" i="2"/>
  <c r="H275" i="2"/>
  <c r="F275" i="2"/>
  <c r="E275" i="2"/>
  <c r="D275" i="2"/>
  <c r="AV274" i="2"/>
  <c r="AU274" i="2"/>
  <c r="AT274" i="2"/>
  <c r="AS274" i="2"/>
  <c r="AR274" i="2"/>
  <c r="AQ274" i="2"/>
  <c r="AP274" i="2"/>
  <c r="AO274" i="2"/>
  <c r="AN274" i="2"/>
  <c r="AM274" i="2"/>
  <c r="AJ274" i="2"/>
  <c r="AF274" i="2"/>
  <c r="AB274" i="2"/>
  <c r="AA274" i="2"/>
  <c r="Z274" i="2"/>
  <c r="Y274" i="2"/>
  <c r="X274" i="2"/>
  <c r="W274" i="2"/>
  <c r="V274" i="2"/>
  <c r="U274" i="2"/>
  <c r="T274" i="2"/>
  <c r="S274" i="2"/>
  <c r="K274" i="2"/>
  <c r="A274" i="2"/>
  <c r="AV273" i="2"/>
  <c r="AU273" i="2"/>
  <c r="AT273" i="2"/>
  <c r="AS273" i="2"/>
  <c r="AR273" i="2"/>
  <c r="AQ273" i="2"/>
  <c r="AP273" i="2"/>
  <c r="AO273" i="2"/>
  <c r="AN273" i="2"/>
  <c r="AM273" i="2"/>
  <c r="I273" i="2"/>
  <c r="H273" i="2"/>
  <c r="F273" i="2"/>
  <c r="E273" i="2"/>
  <c r="D273" i="2"/>
  <c r="AV272" i="2"/>
  <c r="AU272" i="2"/>
  <c r="AT272" i="2"/>
  <c r="AS272" i="2"/>
  <c r="AR272" i="2"/>
  <c r="AQ272" i="2"/>
  <c r="AP272" i="2"/>
  <c r="AO272" i="2"/>
  <c r="AN272" i="2"/>
  <c r="AM272" i="2"/>
  <c r="AB272" i="2"/>
  <c r="AA272" i="2"/>
  <c r="Z272" i="2"/>
  <c r="Y272" i="2"/>
  <c r="X272" i="2"/>
  <c r="W272" i="2"/>
  <c r="V272" i="2"/>
  <c r="U272" i="2"/>
  <c r="T272" i="2"/>
  <c r="S272" i="2"/>
  <c r="L272" i="2"/>
  <c r="I272" i="2"/>
  <c r="H272" i="2"/>
  <c r="F272" i="2"/>
  <c r="E272" i="2"/>
  <c r="D272" i="2"/>
  <c r="AV271" i="2"/>
  <c r="AU271" i="2"/>
  <c r="AT271" i="2"/>
  <c r="AS271" i="2"/>
  <c r="AR271" i="2"/>
  <c r="AQ271" i="2"/>
  <c r="AP271" i="2"/>
  <c r="AO271" i="2"/>
  <c r="AN271" i="2"/>
  <c r="AM271" i="2"/>
  <c r="AJ271" i="2"/>
  <c r="AF271" i="2"/>
  <c r="AB271" i="2"/>
  <c r="AA271" i="2"/>
  <c r="Z271" i="2"/>
  <c r="Y271" i="2"/>
  <c r="X271" i="2"/>
  <c r="W271" i="2"/>
  <c r="V271" i="2"/>
  <c r="U271" i="2"/>
  <c r="T271" i="2"/>
  <c r="S271" i="2"/>
  <c r="K271" i="2"/>
  <c r="A271" i="2"/>
  <c r="AV270" i="2"/>
  <c r="AU270" i="2"/>
  <c r="AT270" i="2"/>
  <c r="AS270" i="2"/>
  <c r="AR270" i="2"/>
  <c r="AQ270" i="2"/>
  <c r="AP270" i="2"/>
  <c r="AO270" i="2"/>
  <c r="AN270" i="2"/>
  <c r="AM270" i="2"/>
  <c r="I270" i="2"/>
  <c r="H270" i="2"/>
  <c r="F270" i="2"/>
  <c r="E270" i="2"/>
  <c r="D270" i="2"/>
  <c r="AV269" i="2"/>
  <c r="AU269" i="2"/>
  <c r="AT269" i="2"/>
  <c r="AS269" i="2"/>
  <c r="AR269" i="2"/>
  <c r="AQ269" i="2"/>
  <c r="AP269" i="2"/>
  <c r="AO269" i="2"/>
  <c r="AN269" i="2"/>
  <c r="AM269" i="2"/>
  <c r="AB269" i="2"/>
  <c r="AA269" i="2"/>
  <c r="Z269" i="2"/>
  <c r="Y269" i="2"/>
  <c r="X269" i="2"/>
  <c r="W269" i="2"/>
  <c r="V269" i="2"/>
  <c r="U269" i="2"/>
  <c r="T269" i="2"/>
  <c r="S269" i="2"/>
  <c r="L269" i="2"/>
  <c r="I269" i="2"/>
  <c r="H269" i="2"/>
  <c r="F269" i="2"/>
  <c r="E269" i="2"/>
  <c r="D269" i="2"/>
  <c r="AV268" i="2"/>
  <c r="AU268" i="2"/>
  <c r="AT268" i="2"/>
  <c r="AS268" i="2"/>
  <c r="AR268" i="2"/>
  <c r="AQ268" i="2"/>
  <c r="AP268" i="2"/>
  <c r="AO268" i="2"/>
  <c r="AN268" i="2"/>
  <c r="AM268" i="2"/>
  <c r="AJ268" i="2"/>
  <c r="AF268" i="2"/>
  <c r="AB268" i="2"/>
  <c r="AA268" i="2"/>
  <c r="Z268" i="2"/>
  <c r="Y268" i="2"/>
  <c r="X268" i="2"/>
  <c r="W268" i="2"/>
  <c r="V268" i="2"/>
  <c r="U268" i="2"/>
  <c r="T268" i="2"/>
  <c r="S268" i="2"/>
  <c r="K268" i="2"/>
  <c r="A268" i="2"/>
  <c r="AV267" i="2"/>
  <c r="AU267" i="2"/>
  <c r="AT267" i="2"/>
  <c r="AS267" i="2"/>
  <c r="AR267" i="2"/>
  <c r="AQ267" i="2"/>
  <c r="AP267" i="2"/>
  <c r="AO267" i="2"/>
  <c r="AN267" i="2"/>
  <c r="AM267" i="2"/>
  <c r="I267" i="2"/>
  <c r="H267" i="2"/>
  <c r="F267" i="2"/>
  <c r="E267" i="2"/>
  <c r="D267" i="2"/>
  <c r="AV266" i="2"/>
  <c r="AU266" i="2"/>
  <c r="AT266" i="2"/>
  <c r="AS266" i="2"/>
  <c r="AR266" i="2"/>
  <c r="AQ266" i="2"/>
  <c r="AP266" i="2"/>
  <c r="AO266" i="2"/>
  <c r="AN266" i="2"/>
  <c r="AM266" i="2"/>
  <c r="AB266" i="2"/>
  <c r="AA266" i="2"/>
  <c r="Z266" i="2"/>
  <c r="Y266" i="2"/>
  <c r="X266" i="2"/>
  <c r="W266" i="2"/>
  <c r="V266" i="2"/>
  <c r="U266" i="2"/>
  <c r="T266" i="2"/>
  <c r="S266" i="2"/>
  <c r="L266" i="2"/>
  <c r="I266" i="2"/>
  <c r="H266" i="2"/>
  <c r="F266" i="2"/>
  <c r="E266" i="2"/>
  <c r="D266" i="2"/>
  <c r="AV265" i="2"/>
  <c r="AU265" i="2"/>
  <c r="AT265" i="2"/>
  <c r="AS265" i="2"/>
  <c r="AR265" i="2"/>
  <c r="AQ265" i="2"/>
  <c r="AP265" i="2"/>
  <c r="AO265" i="2"/>
  <c r="AN265" i="2"/>
  <c r="AM265" i="2"/>
  <c r="AJ265" i="2"/>
  <c r="AF265" i="2"/>
  <c r="AB265" i="2"/>
  <c r="AA265" i="2"/>
  <c r="Z265" i="2"/>
  <c r="Y265" i="2"/>
  <c r="X265" i="2"/>
  <c r="W265" i="2"/>
  <c r="V265" i="2"/>
  <c r="U265" i="2"/>
  <c r="T265" i="2"/>
  <c r="S265" i="2"/>
  <c r="K265" i="2"/>
  <c r="A265" i="2"/>
  <c r="AV264" i="2"/>
  <c r="AU264" i="2"/>
  <c r="AT264" i="2"/>
  <c r="AS264" i="2"/>
  <c r="AR264" i="2"/>
  <c r="AQ264" i="2"/>
  <c r="AP264" i="2"/>
  <c r="AO264" i="2"/>
  <c r="AN264" i="2"/>
  <c r="AM264" i="2"/>
  <c r="I264" i="2"/>
  <c r="H264" i="2"/>
  <c r="F264" i="2"/>
  <c r="E264" i="2"/>
  <c r="D264" i="2"/>
  <c r="AV263" i="2"/>
  <c r="AU263" i="2"/>
  <c r="AT263" i="2"/>
  <c r="AS263" i="2"/>
  <c r="AR263" i="2"/>
  <c r="AQ263" i="2"/>
  <c r="AP263" i="2"/>
  <c r="AO263" i="2"/>
  <c r="AN263" i="2"/>
  <c r="AM263" i="2"/>
  <c r="AB263" i="2"/>
  <c r="AA263" i="2"/>
  <c r="Z263" i="2"/>
  <c r="Y263" i="2"/>
  <c r="X263" i="2"/>
  <c r="W263" i="2"/>
  <c r="V263" i="2"/>
  <c r="U263" i="2"/>
  <c r="T263" i="2"/>
  <c r="S263" i="2"/>
  <c r="L263" i="2"/>
  <c r="I263" i="2"/>
  <c r="H263" i="2"/>
  <c r="F263" i="2"/>
  <c r="E263" i="2"/>
  <c r="D263" i="2"/>
  <c r="AV262" i="2"/>
  <c r="AU262" i="2"/>
  <c r="AT262" i="2"/>
  <c r="AS262" i="2"/>
  <c r="AR262" i="2"/>
  <c r="AQ262" i="2"/>
  <c r="AP262" i="2"/>
  <c r="AO262" i="2"/>
  <c r="AN262" i="2"/>
  <c r="AM262" i="2"/>
  <c r="AJ262" i="2"/>
  <c r="AF262" i="2"/>
  <c r="AB262" i="2"/>
  <c r="AA262" i="2"/>
  <c r="Z262" i="2"/>
  <c r="Y262" i="2"/>
  <c r="X262" i="2"/>
  <c r="W262" i="2"/>
  <c r="V262" i="2"/>
  <c r="U262" i="2"/>
  <c r="T262" i="2"/>
  <c r="S262" i="2"/>
  <c r="K262" i="2"/>
  <c r="A262" i="2"/>
  <c r="AV261" i="2"/>
  <c r="AU261" i="2"/>
  <c r="AT261" i="2"/>
  <c r="AS261" i="2"/>
  <c r="AR261" i="2"/>
  <c r="AQ261" i="2"/>
  <c r="AP261" i="2"/>
  <c r="AO261" i="2"/>
  <c r="AN261" i="2"/>
  <c r="AM261" i="2"/>
  <c r="I261" i="2"/>
  <c r="H261" i="2"/>
  <c r="F261" i="2"/>
  <c r="E261" i="2"/>
  <c r="D261" i="2"/>
  <c r="AV260" i="2"/>
  <c r="AU260" i="2"/>
  <c r="AT260" i="2"/>
  <c r="AS260" i="2"/>
  <c r="AR260" i="2"/>
  <c r="AQ260" i="2"/>
  <c r="AP260" i="2"/>
  <c r="AO260" i="2"/>
  <c r="AN260" i="2"/>
  <c r="AM260" i="2"/>
  <c r="AB260" i="2"/>
  <c r="AA260" i="2"/>
  <c r="Z260" i="2"/>
  <c r="Y260" i="2"/>
  <c r="X260" i="2"/>
  <c r="W260" i="2"/>
  <c r="V260" i="2"/>
  <c r="U260" i="2"/>
  <c r="T260" i="2"/>
  <c r="S260" i="2"/>
  <c r="L260" i="2"/>
  <c r="I260" i="2"/>
  <c r="H260" i="2"/>
  <c r="F260" i="2"/>
  <c r="E260" i="2"/>
  <c r="D260" i="2"/>
  <c r="AV259" i="2"/>
  <c r="AU259" i="2"/>
  <c r="AT259" i="2"/>
  <c r="AS259" i="2"/>
  <c r="AR259" i="2"/>
  <c r="AQ259" i="2"/>
  <c r="AP259" i="2"/>
  <c r="AO259" i="2"/>
  <c r="AN259" i="2"/>
  <c r="AM259" i="2"/>
  <c r="AJ259" i="2"/>
  <c r="AF259" i="2"/>
  <c r="AB259" i="2"/>
  <c r="AA259" i="2"/>
  <c r="Z259" i="2"/>
  <c r="Y259" i="2"/>
  <c r="X259" i="2"/>
  <c r="W259" i="2"/>
  <c r="V259" i="2"/>
  <c r="U259" i="2"/>
  <c r="T259" i="2"/>
  <c r="S259" i="2"/>
  <c r="K259" i="2"/>
  <c r="A259" i="2"/>
  <c r="AV258" i="2"/>
  <c r="AU258" i="2"/>
  <c r="AT258" i="2"/>
  <c r="AS258" i="2"/>
  <c r="AR258" i="2"/>
  <c r="AQ258" i="2"/>
  <c r="AP258" i="2"/>
  <c r="AO258" i="2"/>
  <c r="AN258" i="2"/>
  <c r="AM258" i="2"/>
  <c r="I258" i="2"/>
  <c r="H258" i="2"/>
  <c r="F258" i="2"/>
  <c r="E258" i="2"/>
  <c r="D258" i="2"/>
  <c r="AV257" i="2"/>
  <c r="AU257" i="2"/>
  <c r="AT257" i="2"/>
  <c r="AS257" i="2"/>
  <c r="AR257" i="2"/>
  <c r="AQ257" i="2"/>
  <c r="AP257" i="2"/>
  <c r="AO257" i="2"/>
  <c r="AN257" i="2"/>
  <c r="AM257" i="2"/>
  <c r="AB257" i="2"/>
  <c r="AA257" i="2"/>
  <c r="Z257" i="2"/>
  <c r="Y257" i="2"/>
  <c r="X257" i="2"/>
  <c r="W257" i="2"/>
  <c r="V257" i="2"/>
  <c r="U257" i="2"/>
  <c r="T257" i="2"/>
  <c r="S257" i="2"/>
  <c r="L257" i="2"/>
  <c r="I257" i="2"/>
  <c r="H257" i="2"/>
  <c r="F257" i="2"/>
  <c r="E257" i="2"/>
  <c r="D257" i="2"/>
  <c r="AV256" i="2"/>
  <c r="AU256" i="2"/>
  <c r="AT256" i="2"/>
  <c r="AS256" i="2"/>
  <c r="AR256" i="2"/>
  <c r="AQ256" i="2"/>
  <c r="AP256" i="2"/>
  <c r="AO256" i="2"/>
  <c r="AN256" i="2"/>
  <c r="AM256" i="2"/>
  <c r="AJ256" i="2"/>
  <c r="AF256" i="2"/>
  <c r="AB256" i="2"/>
  <c r="AA256" i="2"/>
  <c r="Z256" i="2"/>
  <c r="Y256" i="2"/>
  <c r="X256" i="2"/>
  <c r="W256" i="2"/>
  <c r="V256" i="2"/>
  <c r="U256" i="2"/>
  <c r="T256" i="2"/>
  <c r="S256" i="2"/>
  <c r="K256" i="2"/>
  <c r="A256" i="2"/>
  <c r="AV255" i="2"/>
  <c r="AU255" i="2"/>
  <c r="AT255" i="2"/>
  <c r="AS255" i="2"/>
  <c r="AR255" i="2"/>
  <c r="AQ255" i="2"/>
  <c r="AP255" i="2"/>
  <c r="AO255" i="2"/>
  <c r="AN255" i="2"/>
  <c r="AM255" i="2"/>
  <c r="I255" i="2"/>
  <c r="H255" i="2"/>
  <c r="F255" i="2"/>
  <c r="E255" i="2"/>
  <c r="D255" i="2"/>
  <c r="AV254" i="2"/>
  <c r="AU254" i="2"/>
  <c r="AT254" i="2"/>
  <c r="AS254" i="2"/>
  <c r="AR254" i="2"/>
  <c r="AQ254" i="2"/>
  <c r="AP254" i="2"/>
  <c r="AO254" i="2"/>
  <c r="AN254" i="2"/>
  <c r="AM254" i="2"/>
  <c r="AB254" i="2"/>
  <c r="AA254" i="2"/>
  <c r="Z254" i="2"/>
  <c r="Y254" i="2"/>
  <c r="X254" i="2"/>
  <c r="W254" i="2"/>
  <c r="V254" i="2"/>
  <c r="U254" i="2"/>
  <c r="T254" i="2"/>
  <c r="S254" i="2"/>
  <c r="L254" i="2"/>
  <c r="I254" i="2"/>
  <c r="H254" i="2"/>
  <c r="F254" i="2"/>
  <c r="E254" i="2"/>
  <c r="D254" i="2"/>
  <c r="AV253" i="2"/>
  <c r="AU253" i="2"/>
  <c r="AT253" i="2"/>
  <c r="AS253" i="2"/>
  <c r="AR253" i="2"/>
  <c r="AQ253" i="2"/>
  <c r="AP253" i="2"/>
  <c r="AO253" i="2"/>
  <c r="AN253" i="2"/>
  <c r="AM253" i="2"/>
  <c r="AJ253" i="2"/>
  <c r="AF253" i="2"/>
  <c r="AB253" i="2"/>
  <c r="AA253" i="2"/>
  <c r="Z253" i="2"/>
  <c r="Y253" i="2"/>
  <c r="X253" i="2"/>
  <c r="W253" i="2"/>
  <c r="V253" i="2"/>
  <c r="U253" i="2"/>
  <c r="T253" i="2"/>
  <c r="S253" i="2"/>
  <c r="K253" i="2"/>
  <c r="A253" i="2"/>
  <c r="AV252" i="2"/>
  <c r="AU252" i="2"/>
  <c r="AT252" i="2"/>
  <c r="AS252" i="2"/>
  <c r="AR252" i="2"/>
  <c r="AQ252" i="2"/>
  <c r="AP252" i="2"/>
  <c r="AO252" i="2"/>
  <c r="AN252" i="2"/>
  <c r="AM252" i="2"/>
  <c r="I252" i="2"/>
  <c r="H252" i="2"/>
  <c r="F252" i="2"/>
  <c r="E252" i="2"/>
  <c r="D252" i="2"/>
  <c r="AV251" i="2"/>
  <c r="AU251" i="2"/>
  <c r="AT251" i="2"/>
  <c r="AS251" i="2"/>
  <c r="AR251" i="2"/>
  <c r="AQ251" i="2"/>
  <c r="AP251" i="2"/>
  <c r="AO251" i="2"/>
  <c r="AN251" i="2"/>
  <c r="AM251" i="2"/>
  <c r="AB251" i="2"/>
  <c r="AA251" i="2"/>
  <c r="Z251" i="2"/>
  <c r="Y251" i="2"/>
  <c r="X251" i="2"/>
  <c r="W251" i="2"/>
  <c r="V251" i="2"/>
  <c r="U251" i="2"/>
  <c r="T251" i="2"/>
  <c r="S251" i="2"/>
  <c r="L251" i="2"/>
  <c r="I251" i="2"/>
  <c r="H251" i="2"/>
  <c r="F251" i="2"/>
  <c r="E251" i="2"/>
  <c r="D251" i="2"/>
  <c r="AV250" i="2"/>
  <c r="AU250" i="2"/>
  <c r="AT250" i="2"/>
  <c r="AS250" i="2"/>
  <c r="AR250" i="2"/>
  <c r="AQ250" i="2"/>
  <c r="AP250" i="2"/>
  <c r="AO250" i="2"/>
  <c r="AN250" i="2"/>
  <c r="AM250" i="2"/>
  <c r="AJ250" i="2"/>
  <c r="AF250" i="2"/>
  <c r="AB250" i="2"/>
  <c r="AA250" i="2"/>
  <c r="Z250" i="2"/>
  <c r="Y250" i="2"/>
  <c r="X250" i="2"/>
  <c r="W250" i="2"/>
  <c r="V250" i="2"/>
  <c r="U250" i="2"/>
  <c r="T250" i="2"/>
  <c r="S250" i="2"/>
  <c r="K250" i="2"/>
  <c r="A250" i="2"/>
  <c r="AV249" i="2"/>
  <c r="AU249" i="2"/>
  <c r="AT249" i="2"/>
  <c r="AS249" i="2"/>
  <c r="AR249" i="2"/>
  <c r="AQ249" i="2"/>
  <c r="AP249" i="2"/>
  <c r="AO249" i="2"/>
  <c r="AN249" i="2"/>
  <c r="AM249" i="2"/>
  <c r="I249" i="2"/>
  <c r="H249" i="2"/>
  <c r="F249" i="2"/>
  <c r="E249" i="2"/>
  <c r="D249" i="2"/>
  <c r="AV248" i="2"/>
  <c r="AU248" i="2"/>
  <c r="AT248" i="2"/>
  <c r="AS248" i="2"/>
  <c r="AR248" i="2"/>
  <c r="AQ248" i="2"/>
  <c r="AP248" i="2"/>
  <c r="AO248" i="2"/>
  <c r="AN248" i="2"/>
  <c r="AM248" i="2"/>
  <c r="AB248" i="2"/>
  <c r="AA248" i="2"/>
  <c r="Z248" i="2"/>
  <c r="Y248" i="2"/>
  <c r="X248" i="2"/>
  <c r="W248" i="2"/>
  <c r="V248" i="2"/>
  <c r="U248" i="2"/>
  <c r="T248" i="2"/>
  <c r="S248" i="2"/>
  <c r="L248" i="2"/>
  <c r="I248" i="2"/>
  <c r="H248" i="2"/>
  <c r="F248" i="2"/>
  <c r="E248" i="2"/>
  <c r="D248" i="2"/>
  <c r="AV247" i="2"/>
  <c r="AU247" i="2"/>
  <c r="AT247" i="2"/>
  <c r="AS247" i="2"/>
  <c r="AR247" i="2"/>
  <c r="AQ247" i="2"/>
  <c r="AP247" i="2"/>
  <c r="AO247" i="2"/>
  <c r="AN247" i="2"/>
  <c r="AM247" i="2"/>
  <c r="AJ247" i="2"/>
  <c r="AF247" i="2"/>
  <c r="AB247" i="2"/>
  <c r="AA247" i="2"/>
  <c r="Z247" i="2"/>
  <c r="Y247" i="2"/>
  <c r="X247" i="2"/>
  <c r="W247" i="2"/>
  <c r="V247" i="2"/>
  <c r="U247" i="2"/>
  <c r="T247" i="2"/>
  <c r="S247" i="2"/>
  <c r="K247" i="2"/>
  <c r="A247" i="2"/>
  <c r="AV246" i="2"/>
  <c r="AU246" i="2"/>
  <c r="AT246" i="2"/>
  <c r="AS246" i="2"/>
  <c r="AR246" i="2"/>
  <c r="AQ246" i="2"/>
  <c r="AP246" i="2"/>
  <c r="AO246" i="2"/>
  <c r="AN246" i="2"/>
  <c r="AM246" i="2"/>
  <c r="I246" i="2"/>
  <c r="H246" i="2"/>
  <c r="F246" i="2"/>
  <c r="E246" i="2"/>
  <c r="D246" i="2"/>
  <c r="AV245" i="2"/>
  <c r="AU245" i="2"/>
  <c r="AT245" i="2"/>
  <c r="AS245" i="2"/>
  <c r="AR245" i="2"/>
  <c r="AQ245" i="2"/>
  <c r="AP245" i="2"/>
  <c r="AO245" i="2"/>
  <c r="AN245" i="2"/>
  <c r="AM245" i="2"/>
  <c r="AB245" i="2"/>
  <c r="AA245" i="2"/>
  <c r="Z245" i="2"/>
  <c r="Y245" i="2"/>
  <c r="X245" i="2"/>
  <c r="W245" i="2"/>
  <c r="V245" i="2"/>
  <c r="U245" i="2"/>
  <c r="T245" i="2"/>
  <c r="S245" i="2"/>
  <c r="L245" i="2"/>
  <c r="I245" i="2"/>
  <c r="H245" i="2"/>
  <c r="F245" i="2"/>
  <c r="E245" i="2"/>
  <c r="D245" i="2"/>
  <c r="AV244" i="2"/>
  <c r="AU244" i="2"/>
  <c r="AT244" i="2"/>
  <c r="AS244" i="2"/>
  <c r="AR244" i="2"/>
  <c r="AQ244" i="2"/>
  <c r="AP244" i="2"/>
  <c r="AO244" i="2"/>
  <c r="AN244" i="2"/>
  <c r="AM244" i="2"/>
  <c r="AJ244" i="2"/>
  <c r="AF244" i="2"/>
  <c r="AB244" i="2"/>
  <c r="AA244" i="2"/>
  <c r="Z244" i="2"/>
  <c r="Y244" i="2"/>
  <c r="X244" i="2"/>
  <c r="W244" i="2"/>
  <c r="V244" i="2"/>
  <c r="U244" i="2"/>
  <c r="T244" i="2"/>
  <c r="S244" i="2"/>
  <c r="K244" i="2"/>
  <c r="A244" i="2"/>
  <c r="AV243" i="2"/>
  <c r="AU243" i="2"/>
  <c r="AT243" i="2"/>
  <c r="AS243" i="2"/>
  <c r="AR243" i="2"/>
  <c r="AQ243" i="2"/>
  <c r="AP243" i="2"/>
  <c r="AO243" i="2"/>
  <c r="AN243" i="2"/>
  <c r="AM243" i="2"/>
  <c r="I243" i="2"/>
  <c r="H243" i="2"/>
  <c r="F243" i="2"/>
  <c r="E243" i="2"/>
  <c r="D243" i="2"/>
  <c r="AV242" i="2"/>
  <c r="AU242" i="2"/>
  <c r="AT242" i="2"/>
  <c r="AS242" i="2"/>
  <c r="AR242" i="2"/>
  <c r="AQ242" i="2"/>
  <c r="AP242" i="2"/>
  <c r="AO242" i="2"/>
  <c r="AN242" i="2"/>
  <c r="AM242" i="2"/>
  <c r="AB242" i="2"/>
  <c r="AA242" i="2"/>
  <c r="Z242" i="2"/>
  <c r="Y242" i="2"/>
  <c r="X242" i="2"/>
  <c r="W242" i="2"/>
  <c r="V242" i="2"/>
  <c r="U242" i="2"/>
  <c r="T242" i="2"/>
  <c r="S242" i="2"/>
  <c r="L242" i="2"/>
  <c r="I242" i="2"/>
  <c r="H242" i="2"/>
  <c r="F242" i="2"/>
  <c r="E242" i="2"/>
  <c r="D242" i="2"/>
  <c r="AV241" i="2"/>
  <c r="AU241" i="2"/>
  <c r="AT241" i="2"/>
  <c r="AS241" i="2"/>
  <c r="AR241" i="2"/>
  <c r="AQ241" i="2"/>
  <c r="AP241" i="2"/>
  <c r="AO241" i="2"/>
  <c r="AN241" i="2"/>
  <c r="AM241" i="2"/>
  <c r="AJ241" i="2"/>
  <c r="AF241" i="2"/>
  <c r="AB241" i="2"/>
  <c r="AA241" i="2"/>
  <c r="Z241" i="2"/>
  <c r="Y241" i="2"/>
  <c r="X241" i="2"/>
  <c r="W241" i="2"/>
  <c r="V241" i="2"/>
  <c r="U241" i="2"/>
  <c r="T241" i="2"/>
  <c r="S241" i="2"/>
  <c r="K241" i="2"/>
  <c r="A241" i="2"/>
  <c r="AV240" i="2"/>
  <c r="AU240" i="2"/>
  <c r="AT240" i="2"/>
  <c r="AS240" i="2"/>
  <c r="AR240" i="2"/>
  <c r="AQ240" i="2"/>
  <c r="AP240" i="2"/>
  <c r="AO240" i="2"/>
  <c r="AN240" i="2"/>
  <c r="AM240" i="2"/>
  <c r="I240" i="2"/>
  <c r="H240" i="2"/>
  <c r="F240" i="2"/>
  <c r="E240" i="2"/>
  <c r="D240" i="2"/>
  <c r="AV239" i="2"/>
  <c r="AU239" i="2"/>
  <c r="AT239" i="2"/>
  <c r="AS239" i="2"/>
  <c r="AR239" i="2"/>
  <c r="AQ239" i="2"/>
  <c r="AP239" i="2"/>
  <c r="AO239" i="2"/>
  <c r="AN239" i="2"/>
  <c r="AM239" i="2"/>
  <c r="AB239" i="2"/>
  <c r="AA239" i="2"/>
  <c r="Z239" i="2"/>
  <c r="Y239" i="2"/>
  <c r="X239" i="2"/>
  <c r="W239" i="2"/>
  <c r="V239" i="2"/>
  <c r="U239" i="2"/>
  <c r="T239" i="2"/>
  <c r="S239" i="2"/>
  <c r="L239" i="2"/>
  <c r="I239" i="2"/>
  <c r="H239" i="2"/>
  <c r="F239" i="2"/>
  <c r="E239" i="2"/>
  <c r="D239" i="2"/>
  <c r="AV238" i="2"/>
  <c r="AU238" i="2"/>
  <c r="AT238" i="2"/>
  <c r="AS238" i="2"/>
  <c r="AR238" i="2"/>
  <c r="AQ238" i="2"/>
  <c r="AP238" i="2"/>
  <c r="AO238" i="2"/>
  <c r="AN238" i="2"/>
  <c r="AM238" i="2"/>
  <c r="AJ238" i="2"/>
  <c r="AF238" i="2"/>
  <c r="AB238" i="2"/>
  <c r="AA238" i="2"/>
  <c r="Z238" i="2"/>
  <c r="Y238" i="2"/>
  <c r="X238" i="2"/>
  <c r="W238" i="2"/>
  <c r="V238" i="2"/>
  <c r="U238" i="2"/>
  <c r="T238" i="2"/>
  <c r="S238" i="2"/>
  <c r="K238" i="2"/>
  <c r="A238" i="2"/>
  <c r="AV237" i="2"/>
  <c r="AU237" i="2"/>
  <c r="AT237" i="2"/>
  <c r="AS237" i="2"/>
  <c r="AR237" i="2"/>
  <c r="AQ237" i="2"/>
  <c r="AP237" i="2"/>
  <c r="AO237" i="2"/>
  <c r="AN237" i="2"/>
  <c r="AM237" i="2"/>
  <c r="I237" i="2"/>
  <c r="H237" i="2"/>
  <c r="F237" i="2"/>
  <c r="E237" i="2"/>
  <c r="D237" i="2"/>
  <c r="AV236" i="2"/>
  <c r="AU236" i="2"/>
  <c r="AT236" i="2"/>
  <c r="AS236" i="2"/>
  <c r="AR236" i="2"/>
  <c r="AQ236" i="2"/>
  <c r="AP236" i="2"/>
  <c r="AO236" i="2"/>
  <c r="AN236" i="2"/>
  <c r="AM236" i="2"/>
  <c r="AB236" i="2"/>
  <c r="AA236" i="2"/>
  <c r="Z236" i="2"/>
  <c r="Y236" i="2"/>
  <c r="X236" i="2"/>
  <c r="W236" i="2"/>
  <c r="V236" i="2"/>
  <c r="U236" i="2"/>
  <c r="T236" i="2"/>
  <c r="S236" i="2"/>
  <c r="L236" i="2"/>
  <c r="I236" i="2"/>
  <c r="H236" i="2"/>
  <c r="F236" i="2"/>
  <c r="E236" i="2"/>
  <c r="D236" i="2"/>
  <c r="AV235" i="2"/>
  <c r="AU235" i="2"/>
  <c r="AT235" i="2"/>
  <c r="AS235" i="2"/>
  <c r="AR235" i="2"/>
  <c r="AQ235" i="2"/>
  <c r="AP235" i="2"/>
  <c r="AO235" i="2"/>
  <c r="AN235" i="2"/>
  <c r="AM235" i="2"/>
  <c r="AJ235" i="2"/>
  <c r="AF235" i="2"/>
  <c r="AB235" i="2"/>
  <c r="AA235" i="2"/>
  <c r="Z235" i="2"/>
  <c r="Y235" i="2"/>
  <c r="X235" i="2"/>
  <c r="W235" i="2"/>
  <c r="V235" i="2"/>
  <c r="U235" i="2"/>
  <c r="T235" i="2"/>
  <c r="S235" i="2"/>
  <c r="K235" i="2"/>
  <c r="A235" i="2"/>
  <c r="AV234" i="2"/>
  <c r="AU234" i="2"/>
  <c r="AT234" i="2"/>
  <c r="AS234" i="2"/>
  <c r="AR234" i="2"/>
  <c r="AQ234" i="2"/>
  <c r="AP234" i="2"/>
  <c r="AO234" i="2"/>
  <c r="AN234" i="2"/>
  <c r="AM234" i="2"/>
  <c r="I234" i="2"/>
  <c r="H234" i="2"/>
  <c r="F234" i="2"/>
  <c r="E234" i="2"/>
  <c r="D234" i="2"/>
  <c r="AV233" i="2"/>
  <c r="AU233" i="2"/>
  <c r="AT233" i="2"/>
  <c r="AS233" i="2"/>
  <c r="AR233" i="2"/>
  <c r="AQ233" i="2"/>
  <c r="AP233" i="2"/>
  <c r="AO233" i="2"/>
  <c r="AN233" i="2"/>
  <c r="AM233" i="2"/>
  <c r="AB233" i="2"/>
  <c r="AA233" i="2"/>
  <c r="Z233" i="2"/>
  <c r="Y233" i="2"/>
  <c r="X233" i="2"/>
  <c r="W233" i="2"/>
  <c r="V233" i="2"/>
  <c r="U233" i="2"/>
  <c r="T233" i="2"/>
  <c r="S233" i="2"/>
  <c r="L233" i="2"/>
  <c r="I233" i="2"/>
  <c r="H233" i="2"/>
  <c r="F233" i="2"/>
  <c r="E233" i="2"/>
  <c r="D233" i="2"/>
  <c r="AV232" i="2"/>
  <c r="AU232" i="2"/>
  <c r="AT232" i="2"/>
  <c r="AS232" i="2"/>
  <c r="AR232" i="2"/>
  <c r="AQ232" i="2"/>
  <c r="AP232" i="2"/>
  <c r="AO232" i="2"/>
  <c r="AN232" i="2"/>
  <c r="AM232" i="2"/>
  <c r="AJ232" i="2"/>
  <c r="AF232" i="2"/>
  <c r="AB232" i="2"/>
  <c r="AA232" i="2"/>
  <c r="Z232" i="2"/>
  <c r="Y232" i="2"/>
  <c r="X232" i="2"/>
  <c r="W232" i="2"/>
  <c r="V232" i="2"/>
  <c r="U232" i="2"/>
  <c r="T232" i="2"/>
  <c r="S232" i="2"/>
  <c r="K232" i="2"/>
  <c r="A232" i="2"/>
  <c r="AV231" i="2"/>
  <c r="AU231" i="2"/>
  <c r="AT231" i="2"/>
  <c r="AS231" i="2"/>
  <c r="AR231" i="2"/>
  <c r="AQ231" i="2"/>
  <c r="AP231" i="2"/>
  <c r="AO231" i="2"/>
  <c r="AN231" i="2"/>
  <c r="AM231" i="2"/>
  <c r="I231" i="2"/>
  <c r="H231" i="2"/>
  <c r="F231" i="2"/>
  <c r="E231" i="2"/>
  <c r="D231" i="2"/>
  <c r="AV230" i="2"/>
  <c r="AU230" i="2"/>
  <c r="AT230" i="2"/>
  <c r="AS230" i="2"/>
  <c r="AR230" i="2"/>
  <c r="AQ230" i="2"/>
  <c r="AP230" i="2"/>
  <c r="AO230" i="2"/>
  <c r="AN230" i="2"/>
  <c r="AM230" i="2"/>
  <c r="AB230" i="2"/>
  <c r="AA230" i="2"/>
  <c r="Z230" i="2"/>
  <c r="Y230" i="2"/>
  <c r="X230" i="2"/>
  <c r="W230" i="2"/>
  <c r="V230" i="2"/>
  <c r="U230" i="2"/>
  <c r="T230" i="2"/>
  <c r="S230" i="2"/>
  <c r="L230" i="2"/>
  <c r="I230" i="2"/>
  <c r="H230" i="2"/>
  <c r="F230" i="2"/>
  <c r="E230" i="2"/>
  <c r="D230" i="2"/>
  <c r="AV229" i="2"/>
  <c r="AU229" i="2"/>
  <c r="AT229" i="2"/>
  <c r="AS229" i="2"/>
  <c r="AR229" i="2"/>
  <c r="AQ229" i="2"/>
  <c r="AP229" i="2"/>
  <c r="AO229" i="2"/>
  <c r="AN229" i="2"/>
  <c r="AM229" i="2"/>
  <c r="AJ229" i="2"/>
  <c r="AF229" i="2"/>
  <c r="AB229" i="2"/>
  <c r="AA229" i="2"/>
  <c r="Z229" i="2"/>
  <c r="Y229" i="2"/>
  <c r="X229" i="2"/>
  <c r="W229" i="2"/>
  <c r="V229" i="2"/>
  <c r="U229" i="2"/>
  <c r="T229" i="2"/>
  <c r="S229" i="2"/>
  <c r="K229" i="2"/>
  <c r="A229" i="2"/>
  <c r="AV228" i="2"/>
  <c r="AU228" i="2"/>
  <c r="AT228" i="2"/>
  <c r="AS228" i="2"/>
  <c r="AR228" i="2"/>
  <c r="AQ228" i="2"/>
  <c r="AP228" i="2"/>
  <c r="AO228" i="2"/>
  <c r="AN228" i="2"/>
  <c r="AM228" i="2"/>
  <c r="I228" i="2"/>
  <c r="H228" i="2"/>
  <c r="F228" i="2"/>
  <c r="E228" i="2"/>
  <c r="D228" i="2"/>
  <c r="AV227" i="2"/>
  <c r="AU227" i="2"/>
  <c r="AT227" i="2"/>
  <c r="AS227" i="2"/>
  <c r="AR227" i="2"/>
  <c r="AQ227" i="2"/>
  <c r="AP227" i="2"/>
  <c r="AO227" i="2"/>
  <c r="AN227" i="2"/>
  <c r="AM227" i="2"/>
  <c r="AB227" i="2"/>
  <c r="AA227" i="2"/>
  <c r="Z227" i="2"/>
  <c r="Y227" i="2"/>
  <c r="X227" i="2"/>
  <c r="W227" i="2"/>
  <c r="V227" i="2"/>
  <c r="U227" i="2"/>
  <c r="T227" i="2"/>
  <c r="S227" i="2"/>
  <c r="L227" i="2"/>
  <c r="I227" i="2"/>
  <c r="H227" i="2"/>
  <c r="F227" i="2"/>
  <c r="E227" i="2"/>
  <c r="D227" i="2"/>
  <c r="AV226" i="2"/>
  <c r="AU226" i="2"/>
  <c r="AT226" i="2"/>
  <c r="AS226" i="2"/>
  <c r="AR226" i="2"/>
  <c r="AQ226" i="2"/>
  <c r="AP226" i="2"/>
  <c r="AO226" i="2"/>
  <c r="AN226" i="2"/>
  <c r="AM226" i="2"/>
  <c r="AJ226" i="2"/>
  <c r="AF226" i="2"/>
  <c r="AB226" i="2"/>
  <c r="AA226" i="2"/>
  <c r="Z226" i="2"/>
  <c r="Y226" i="2"/>
  <c r="X226" i="2"/>
  <c r="W226" i="2"/>
  <c r="V226" i="2"/>
  <c r="U226" i="2"/>
  <c r="T226" i="2"/>
  <c r="S226" i="2"/>
  <c r="K226" i="2"/>
  <c r="A226" i="2"/>
  <c r="AV225" i="2"/>
  <c r="AU225" i="2"/>
  <c r="AT225" i="2"/>
  <c r="AS225" i="2"/>
  <c r="AR225" i="2"/>
  <c r="AQ225" i="2"/>
  <c r="AP225" i="2"/>
  <c r="AO225" i="2"/>
  <c r="AN225" i="2"/>
  <c r="AM225" i="2"/>
  <c r="I225" i="2"/>
  <c r="H225" i="2"/>
  <c r="F225" i="2"/>
  <c r="E225" i="2"/>
  <c r="D225" i="2"/>
  <c r="AV224" i="2"/>
  <c r="AU224" i="2"/>
  <c r="AT224" i="2"/>
  <c r="AS224" i="2"/>
  <c r="AR224" i="2"/>
  <c r="AQ224" i="2"/>
  <c r="AP224" i="2"/>
  <c r="AO224" i="2"/>
  <c r="AN224" i="2"/>
  <c r="AM224" i="2"/>
  <c r="AB224" i="2"/>
  <c r="AA224" i="2"/>
  <c r="Z224" i="2"/>
  <c r="Y224" i="2"/>
  <c r="X224" i="2"/>
  <c r="W224" i="2"/>
  <c r="V224" i="2"/>
  <c r="U224" i="2"/>
  <c r="T224" i="2"/>
  <c r="S224" i="2"/>
  <c r="L224" i="2"/>
  <c r="I224" i="2"/>
  <c r="H224" i="2"/>
  <c r="F224" i="2"/>
  <c r="E224" i="2"/>
  <c r="D224" i="2"/>
  <c r="AV223" i="2"/>
  <c r="AU223" i="2"/>
  <c r="AT223" i="2"/>
  <c r="AS223" i="2"/>
  <c r="AR223" i="2"/>
  <c r="AQ223" i="2"/>
  <c r="AP223" i="2"/>
  <c r="AO223" i="2"/>
  <c r="AN223" i="2"/>
  <c r="AM223" i="2"/>
  <c r="AJ223" i="2"/>
  <c r="AF223" i="2"/>
  <c r="AB223" i="2"/>
  <c r="AA223" i="2"/>
  <c r="Z223" i="2"/>
  <c r="Y223" i="2"/>
  <c r="X223" i="2"/>
  <c r="W223" i="2"/>
  <c r="V223" i="2"/>
  <c r="U223" i="2"/>
  <c r="T223" i="2"/>
  <c r="S223" i="2"/>
  <c r="K223" i="2"/>
  <c r="A223" i="2"/>
  <c r="AV222" i="2"/>
  <c r="AU222" i="2"/>
  <c r="AT222" i="2"/>
  <c r="AS222" i="2"/>
  <c r="AR222" i="2"/>
  <c r="AQ222" i="2"/>
  <c r="AP222" i="2"/>
  <c r="AO222" i="2"/>
  <c r="AN222" i="2"/>
  <c r="AM222" i="2"/>
  <c r="I222" i="2"/>
  <c r="H222" i="2"/>
  <c r="F222" i="2"/>
  <c r="E222" i="2"/>
  <c r="D222" i="2"/>
  <c r="AV221" i="2"/>
  <c r="AU221" i="2"/>
  <c r="AT221" i="2"/>
  <c r="AS221" i="2"/>
  <c r="AR221" i="2"/>
  <c r="AQ221" i="2"/>
  <c r="AP221" i="2"/>
  <c r="AO221" i="2"/>
  <c r="AN221" i="2"/>
  <c r="AM221" i="2"/>
  <c r="AB221" i="2"/>
  <c r="AA221" i="2"/>
  <c r="Z221" i="2"/>
  <c r="Y221" i="2"/>
  <c r="X221" i="2"/>
  <c r="W221" i="2"/>
  <c r="V221" i="2"/>
  <c r="U221" i="2"/>
  <c r="T221" i="2"/>
  <c r="S221" i="2"/>
  <c r="L221" i="2"/>
  <c r="I221" i="2"/>
  <c r="H221" i="2"/>
  <c r="F221" i="2"/>
  <c r="E221" i="2"/>
  <c r="D221" i="2"/>
  <c r="AV220" i="2"/>
  <c r="AU220" i="2"/>
  <c r="AT220" i="2"/>
  <c r="AS220" i="2"/>
  <c r="AR220" i="2"/>
  <c r="AQ220" i="2"/>
  <c r="AP220" i="2"/>
  <c r="AO220" i="2"/>
  <c r="AN220" i="2"/>
  <c r="AM220" i="2"/>
  <c r="AJ220" i="2"/>
  <c r="AF220" i="2"/>
  <c r="AB220" i="2"/>
  <c r="AA220" i="2"/>
  <c r="Z220" i="2"/>
  <c r="Y220" i="2"/>
  <c r="X220" i="2"/>
  <c r="W220" i="2"/>
  <c r="V220" i="2"/>
  <c r="U220" i="2"/>
  <c r="T220" i="2"/>
  <c r="S220" i="2"/>
  <c r="K220" i="2"/>
  <c r="A220" i="2"/>
  <c r="AV219" i="2"/>
  <c r="AU219" i="2"/>
  <c r="AT219" i="2"/>
  <c r="AS219" i="2"/>
  <c r="AR219" i="2"/>
  <c r="AQ219" i="2"/>
  <c r="AP219" i="2"/>
  <c r="AO219" i="2"/>
  <c r="AN219" i="2"/>
  <c r="AM219" i="2"/>
  <c r="I219" i="2"/>
  <c r="H219" i="2"/>
  <c r="F219" i="2"/>
  <c r="E219" i="2"/>
  <c r="D219" i="2"/>
  <c r="AV218" i="2"/>
  <c r="AU218" i="2"/>
  <c r="AT218" i="2"/>
  <c r="AS218" i="2"/>
  <c r="AR218" i="2"/>
  <c r="AQ218" i="2"/>
  <c r="AP218" i="2"/>
  <c r="AO218" i="2"/>
  <c r="AN218" i="2"/>
  <c r="AM218" i="2"/>
  <c r="AB218" i="2"/>
  <c r="AA218" i="2"/>
  <c r="Z218" i="2"/>
  <c r="Y218" i="2"/>
  <c r="X218" i="2"/>
  <c r="W218" i="2"/>
  <c r="V218" i="2"/>
  <c r="U218" i="2"/>
  <c r="T218" i="2"/>
  <c r="S218" i="2"/>
  <c r="L218" i="2"/>
  <c r="I218" i="2"/>
  <c r="H218" i="2"/>
  <c r="F218" i="2"/>
  <c r="E218" i="2"/>
  <c r="D218" i="2"/>
  <c r="AV217" i="2"/>
  <c r="AU217" i="2"/>
  <c r="AT217" i="2"/>
  <c r="AS217" i="2"/>
  <c r="AR217" i="2"/>
  <c r="AQ217" i="2"/>
  <c r="AP217" i="2"/>
  <c r="AO217" i="2"/>
  <c r="AN217" i="2"/>
  <c r="AM217" i="2"/>
  <c r="AJ217" i="2"/>
  <c r="AF217" i="2"/>
  <c r="AB217" i="2"/>
  <c r="AA217" i="2"/>
  <c r="Z217" i="2"/>
  <c r="Y217" i="2"/>
  <c r="X217" i="2"/>
  <c r="W217" i="2"/>
  <c r="V217" i="2"/>
  <c r="U217" i="2"/>
  <c r="T217" i="2"/>
  <c r="S217" i="2"/>
  <c r="K217" i="2"/>
  <c r="A217" i="2"/>
  <c r="AV216" i="2"/>
  <c r="AU216" i="2"/>
  <c r="AT216" i="2"/>
  <c r="AS216" i="2"/>
  <c r="AR216" i="2"/>
  <c r="AQ216" i="2"/>
  <c r="AP216" i="2"/>
  <c r="AO216" i="2"/>
  <c r="AN216" i="2"/>
  <c r="AM216" i="2"/>
  <c r="I216" i="2"/>
  <c r="H216" i="2"/>
  <c r="F216" i="2"/>
  <c r="E216" i="2"/>
  <c r="D216" i="2"/>
  <c r="AV215" i="2"/>
  <c r="AU215" i="2"/>
  <c r="AT215" i="2"/>
  <c r="AS215" i="2"/>
  <c r="AR215" i="2"/>
  <c r="AQ215" i="2"/>
  <c r="AP215" i="2"/>
  <c r="AO215" i="2"/>
  <c r="AN215" i="2"/>
  <c r="AM215" i="2"/>
  <c r="AB215" i="2"/>
  <c r="AA215" i="2"/>
  <c r="Z215" i="2"/>
  <c r="Y215" i="2"/>
  <c r="X215" i="2"/>
  <c r="W215" i="2"/>
  <c r="V215" i="2"/>
  <c r="U215" i="2"/>
  <c r="T215" i="2"/>
  <c r="S215" i="2"/>
  <c r="L215" i="2"/>
  <c r="I215" i="2"/>
  <c r="H215" i="2"/>
  <c r="F215" i="2"/>
  <c r="E215" i="2"/>
  <c r="D215" i="2"/>
  <c r="AV214" i="2"/>
  <c r="AU214" i="2"/>
  <c r="AT214" i="2"/>
  <c r="AS214" i="2"/>
  <c r="AR214" i="2"/>
  <c r="AQ214" i="2"/>
  <c r="AP214" i="2"/>
  <c r="AO214" i="2"/>
  <c r="AN214" i="2"/>
  <c r="AM214" i="2"/>
  <c r="AJ214" i="2"/>
  <c r="AF214" i="2"/>
  <c r="AB214" i="2"/>
  <c r="AA214" i="2"/>
  <c r="Z214" i="2"/>
  <c r="Y214" i="2"/>
  <c r="X214" i="2"/>
  <c r="W214" i="2"/>
  <c r="V214" i="2"/>
  <c r="U214" i="2"/>
  <c r="T214" i="2"/>
  <c r="S214" i="2"/>
  <c r="K214" i="2"/>
  <c r="A214" i="2"/>
  <c r="AV213" i="2"/>
  <c r="AU213" i="2"/>
  <c r="AT213" i="2"/>
  <c r="AS213" i="2"/>
  <c r="AR213" i="2"/>
  <c r="AQ213" i="2"/>
  <c r="AP213" i="2"/>
  <c r="AO213" i="2"/>
  <c r="AN213" i="2"/>
  <c r="AM213" i="2"/>
  <c r="I213" i="2"/>
  <c r="H213" i="2"/>
  <c r="F213" i="2"/>
  <c r="E213" i="2"/>
  <c r="D213" i="2"/>
  <c r="AV212" i="2"/>
  <c r="AU212" i="2"/>
  <c r="AT212" i="2"/>
  <c r="AS212" i="2"/>
  <c r="AR212" i="2"/>
  <c r="AQ212" i="2"/>
  <c r="AP212" i="2"/>
  <c r="AO212" i="2"/>
  <c r="AN212" i="2"/>
  <c r="AM212" i="2"/>
  <c r="AB212" i="2"/>
  <c r="AA212" i="2"/>
  <c r="Z212" i="2"/>
  <c r="Y212" i="2"/>
  <c r="X212" i="2"/>
  <c r="W212" i="2"/>
  <c r="V212" i="2"/>
  <c r="U212" i="2"/>
  <c r="T212" i="2"/>
  <c r="S212" i="2"/>
  <c r="L212" i="2"/>
  <c r="I212" i="2"/>
  <c r="H212" i="2"/>
  <c r="F212" i="2"/>
  <c r="E212" i="2"/>
  <c r="D212" i="2"/>
  <c r="AV211" i="2"/>
  <c r="AU211" i="2"/>
  <c r="AT211" i="2"/>
  <c r="AS211" i="2"/>
  <c r="AR211" i="2"/>
  <c r="AQ211" i="2"/>
  <c r="AP211" i="2"/>
  <c r="AO211" i="2"/>
  <c r="AN211" i="2"/>
  <c r="AM211" i="2"/>
  <c r="AJ211" i="2"/>
  <c r="AF211" i="2"/>
  <c r="AB211" i="2"/>
  <c r="AA211" i="2"/>
  <c r="Z211" i="2"/>
  <c r="Y211" i="2"/>
  <c r="X211" i="2"/>
  <c r="W211" i="2"/>
  <c r="V211" i="2"/>
  <c r="U211" i="2"/>
  <c r="T211" i="2"/>
  <c r="S211" i="2"/>
  <c r="K211" i="2"/>
  <c r="A211" i="2"/>
  <c r="AV210" i="2"/>
  <c r="AU210" i="2"/>
  <c r="AT210" i="2"/>
  <c r="AS210" i="2"/>
  <c r="AR210" i="2"/>
  <c r="AQ210" i="2"/>
  <c r="AP210" i="2"/>
  <c r="AO210" i="2"/>
  <c r="AN210" i="2"/>
  <c r="AM210" i="2"/>
  <c r="I210" i="2"/>
  <c r="H210" i="2"/>
  <c r="F210" i="2"/>
  <c r="E210" i="2"/>
  <c r="D210" i="2"/>
  <c r="AV209" i="2"/>
  <c r="AU209" i="2"/>
  <c r="AT209" i="2"/>
  <c r="AS209" i="2"/>
  <c r="AR209" i="2"/>
  <c r="AQ209" i="2"/>
  <c r="AP209" i="2"/>
  <c r="AO209" i="2"/>
  <c r="AN209" i="2"/>
  <c r="AM209" i="2"/>
  <c r="AB209" i="2"/>
  <c r="AA209" i="2"/>
  <c r="Z209" i="2"/>
  <c r="Y209" i="2"/>
  <c r="X209" i="2"/>
  <c r="W209" i="2"/>
  <c r="V209" i="2"/>
  <c r="U209" i="2"/>
  <c r="T209" i="2"/>
  <c r="S209" i="2"/>
  <c r="L209" i="2"/>
  <c r="I209" i="2"/>
  <c r="H209" i="2"/>
  <c r="F209" i="2"/>
  <c r="E209" i="2"/>
  <c r="D209" i="2"/>
  <c r="AV208" i="2"/>
  <c r="AU208" i="2"/>
  <c r="AT208" i="2"/>
  <c r="AS208" i="2"/>
  <c r="AR208" i="2"/>
  <c r="AQ208" i="2"/>
  <c r="AP208" i="2"/>
  <c r="AO208" i="2"/>
  <c r="AN208" i="2"/>
  <c r="AM208" i="2"/>
  <c r="AJ208" i="2"/>
  <c r="AF208" i="2"/>
  <c r="AB208" i="2"/>
  <c r="AA208" i="2"/>
  <c r="Z208" i="2"/>
  <c r="Y208" i="2"/>
  <c r="X208" i="2"/>
  <c r="W208" i="2"/>
  <c r="V208" i="2"/>
  <c r="U208" i="2"/>
  <c r="T208" i="2"/>
  <c r="S208" i="2"/>
  <c r="K208" i="2"/>
  <c r="A208" i="2"/>
  <c r="AV207" i="2"/>
  <c r="AU207" i="2"/>
  <c r="AT207" i="2"/>
  <c r="AS207" i="2"/>
  <c r="AR207" i="2"/>
  <c r="AQ207" i="2"/>
  <c r="AP207" i="2"/>
  <c r="AO207" i="2"/>
  <c r="AN207" i="2"/>
  <c r="AM207" i="2"/>
  <c r="I207" i="2"/>
  <c r="H207" i="2"/>
  <c r="F207" i="2"/>
  <c r="E207" i="2"/>
  <c r="D207" i="2"/>
  <c r="AV206" i="2"/>
  <c r="AU206" i="2"/>
  <c r="AT206" i="2"/>
  <c r="AS206" i="2"/>
  <c r="AR206" i="2"/>
  <c r="AQ206" i="2"/>
  <c r="AP206" i="2"/>
  <c r="AO206" i="2"/>
  <c r="AN206" i="2"/>
  <c r="AM206" i="2"/>
  <c r="AB206" i="2"/>
  <c r="AA206" i="2"/>
  <c r="Z206" i="2"/>
  <c r="Y206" i="2"/>
  <c r="X206" i="2"/>
  <c r="W206" i="2"/>
  <c r="V206" i="2"/>
  <c r="U206" i="2"/>
  <c r="T206" i="2"/>
  <c r="S206" i="2"/>
  <c r="L206" i="2"/>
  <c r="I206" i="2"/>
  <c r="H206" i="2"/>
  <c r="F206" i="2"/>
  <c r="E206" i="2"/>
  <c r="D206" i="2"/>
  <c r="AV205" i="2"/>
  <c r="AU205" i="2"/>
  <c r="AT205" i="2"/>
  <c r="AS205" i="2"/>
  <c r="AR205" i="2"/>
  <c r="AQ205" i="2"/>
  <c r="AP205" i="2"/>
  <c r="AO205" i="2"/>
  <c r="AN205" i="2"/>
  <c r="AM205" i="2"/>
  <c r="AJ205" i="2"/>
  <c r="AF205" i="2"/>
  <c r="AB205" i="2"/>
  <c r="AA205" i="2"/>
  <c r="Z205" i="2"/>
  <c r="Y205" i="2"/>
  <c r="X205" i="2"/>
  <c r="W205" i="2"/>
  <c r="V205" i="2"/>
  <c r="U205" i="2"/>
  <c r="T205" i="2"/>
  <c r="S205" i="2"/>
  <c r="K205" i="2"/>
  <c r="A205" i="2"/>
  <c r="AV204" i="2"/>
  <c r="AU204" i="2"/>
  <c r="AT204" i="2"/>
  <c r="AS204" i="2"/>
  <c r="AR204" i="2"/>
  <c r="AQ204" i="2"/>
  <c r="AP204" i="2"/>
  <c r="AO204" i="2"/>
  <c r="AN204" i="2"/>
  <c r="AM204" i="2"/>
  <c r="I204" i="2"/>
  <c r="H204" i="2"/>
  <c r="F204" i="2"/>
  <c r="E204" i="2"/>
  <c r="D204" i="2"/>
  <c r="AV203" i="2"/>
  <c r="AU203" i="2"/>
  <c r="AT203" i="2"/>
  <c r="AS203" i="2"/>
  <c r="AR203" i="2"/>
  <c r="AQ203" i="2"/>
  <c r="AP203" i="2"/>
  <c r="AO203" i="2"/>
  <c r="AN203" i="2"/>
  <c r="AM203" i="2"/>
  <c r="AB203" i="2"/>
  <c r="AA203" i="2"/>
  <c r="Z203" i="2"/>
  <c r="Y203" i="2"/>
  <c r="X203" i="2"/>
  <c r="W203" i="2"/>
  <c r="V203" i="2"/>
  <c r="U203" i="2"/>
  <c r="T203" i="2"/>
  <c r="S203" i="2"/>
  <c r="L203" i="2"/>
  <c r="I203" i="2"/>
  <c r="H203" i="2"/>
  <c r="F203" i="2"/>
  <c r="E203" i="2"/>
  <c r="D203" i="2"/>
  <c r="AV202" i="2"/>
  <c r="AU202" i="2"/>
  <c r="AT202" i="2"/>
  <c r="AS202" i="2"/>
  <c r="AR202" i="2"/>
  <c r="AQ202" i="2"/>
  <c r="AP202" i="2"/>
  <c r="AO202" i="2"/>
  <c r="AN202" i="2"/>
  <c r="AM202" i="2"/>
  <c r="AJ202" i="2"/>
  <c r="AF202" i="2"/>
  <c r="AB202" i="2"/>
  <c r="AA202" i="2"/>
  <c r="Z202" i="2"/>
  <c r="Y202" i="2"/>
  <c r="X202" i="2"/>
  <c r="W202" i="2"/>
  <c r="V202" i="2"/>
  <c r="U202" i="2"/>
  <c r="T202" i="2"/>
  <c r="S202" i="2"/>
  <c r="K202" i="2"/>
  <c r="A202" i="2"/>
  <c r="AV201" i="2"/>
  <c r="AU201" i="2"/>
  <c r="AT201" i="2"/>
  <c r="AS201" i="2"/>
  <c r="AR201" i="2"/>
  <c r="AQ201" i="2"/>
  <c r="AP201" i="2"/>
  <c r="AO201" i="2"/>
  <c r="AN201" i="2"/>
  <c r="AM201" i="2"/>
  <c r="I201" i="2"/>
  <c r="H201" i="2"/>
  <c r="F201" i="2"/>
  <c r="E201" i="2"/>
  <c r="D201" i="2"/>
  <c r="AV200" i="2"/>
  <c r="AU200" i="2"/>
  <c r="AT200" i="2"/>
  <c r="AS200" i="2"/>
  <c r="AR200" i="2"/>
  <c r="AQ200" i="2"/>
  <c r="AP200" i="2"/>
  <c r="AO200" i="2"/>
  <c r="AN200" i="2"/>
  <c r="AM200" i="2"/>
  <c r="AB200" i="2"/>
  <c r="AA200" i="2"/>
  <c r="Z200" i="2"/>
  <c r="Y200" i="2"/>
  <c r="X200" i="2"/>
  <c r="W200" i="2"/>
  <c r="V200" i="2"/>
  <c r="U200" i="2"/>
  <c r="T200" i="2"/>
  <c r="S200" i="2"/>
  <c r="L200" i="2"/>
  <c r="I200" i="2"/>
  <c r="H200" i="2"/>
  <c r="F200" i="2"/>
  <c r="E200" i="2"/>
  <c r="D200" i="2"/>
  <c r="AV199" i="2"/>
  <c r="AU199" i="2"/>
  <c r="AT199" i="2"/>
  <c r="AS199" i="2"/>
  <c r="AR199" i="2"/>
  <c r="AQ199" i="2"/>
  <c r="AP199" i="2"/>
  <c r="AO199" i="2"/>
  <c r="AN199" i="2"/>
  <c r="AM199" i="2"/>
  <c r="AJ199" i="2"/>
  <c r="AF199" i="2"/>
  <c r="AB199" i="2"/>
  <c r="AA199" i="2"/>
  <c r="Z199" i="2"/>
  <c r="Y199" i="2"/>
  <c r="X199" i="2"/>
  <c r="W199" i="2"/>
  <c r="V199" i="2"/>
  <c r="U199" i="2"/>
  <c r="T199" i="2"/>
  <c r="S199" i="2"/>
  <c r="K199" i="2"/>
  <c r="A199" i="2"/>
  <c r="AV198" i="2"/>
  <c r="AU198" i="2"/>
  <c r="AT198" i="2"/>
  <c r="AS198" i="2"/>
  <c r="AR198" i="2"/>
  <c r="AQ198" i="2"/>
  <c r="AP198" i="2"/>
  <c r="AO198" i="2"/>
  <c r="AN198" i="2"/>
  <c r="AM198" i="2"/>
  <c r="I198" i="2"/>
  <c r="H198" i="2"/>
  <c r="F198" i="2"/>
  <c r="E198" i="2"/>
  <c r="D198" i="2"/>
  <c r="AV197" i="2"/>
  <c r="AU197" i="2"/>
  <c r="AT197" i="2"/>
  <c r="AS197" i="2"/>
  <c r="AR197" i="2"/>
  <c r="AQ197" i="2"/>
  <c r="AP197" i="2"/>
  <c r="AO197" i="2"/>
  <c r="AN197" i="2"/>
  <c r="AM197" i="2"/>
  <c r="AB197" i="2"/>
  <c r="AA197" i="2"/>
  <c r="Z197" i="2"/>
  <c r="Y197" i="2"/>
  <c r="X197" i="2"/>
  <c r="W197" i="2"/>
  <c r="V197" i="2"/>
  <c r="U197" i="2"/>
  <c r="T197" i="2"/>
  <c r="S197" i="2"/>
  <c r="L197" i="2"/>
  <c r="I197" i="2"/>
  <c r="H197" i="2"/>
  <c r="F197" i="2"/>
  <c r="E197" i="2"/>
  <c r="D197" i="2"/>
  <c r="AV196" i="2"/>
  <c r="AU196" i="2"/>
  <c r="AT196" i="2"/>
  <c r="AS196" i="2"/>
  <c r="AR196" i="2"/>
  <c r="AQ196" i="2"/>
  <c r="AP196" i="2"/>
  <c r="AO196" i="2"/>
  <c r="AN196" i="2"/>
  <c r="AM196" i="2"/>
  <c r="AJ196" i="2"/>
  <c r="AF196" i="2"/>
  <c r="AB196" i="2"/>
  <c r="AA196" i="2"/>
  <c r="Z196" i="2"/>
  <c r="Y196" i="2"/>
  <c r="X196" i="2"/>
  <c r="W196" i="2"/>
  <c r="V196" i="2"/>
  <c r="U196" i="2"/>
  <c r="T196" i="2"/>
  <c r="S196" i="2"/>
  <c r="K196" i="2"/>
  <c r="A196" i="2"/>
  <c r="AV195" i="2"/>
  <c r="AU195" i="2"/>
  <c r="AT195" i="2"/>
  <c r="AS195" i="2"/>
  <c r="AR195" i="2"/>
  <c r="AQ195" i="2"/>
  <c r="AP195" i="2"/>
  <c r="AO195" i="2"/>
  <c r="AN195" i="2"/>
  <c r="AM195" i="2"/>
  <c r="I195" i="2"/>
  <c r="H195" i="2"/>
  <c r="F195" i="2"/>
  <c r="E195" i="2"/>
  <c r="D195" i="2"/>
  <c r="AV194" i="2"/>
  <c r="AU194" i="2"/>
  <c r="AT194" i="2"/>
  <c r="AS194" i="2"/>
  <c r="AR194" i="2"/>
  <c r="AQ194" i="2"/>
  <c r="AP194" i="2"/>
  <c r="AO194" i="2"/>
  <c r="AN194" i="2"/>
  <c r="AM194" i="2"/>
  <c r="AB194" i="2"/>
  <c r="AA194" i="2"/>
  <c r="Z194" i="2"/>
  <c r="Y194" i="2"/>
  <c r="X194" i="2"/>
  <c r="W194" i="2"/>
  <c r="V194" i="2"/>
  <c r="U194" i="2"/>
  <c r="T194" i="2"/>
  <c r="S194" i="2"/>
  <c r="L194" i="2"/>
  <c r="I194" i="2"/>
  <c r="H194" i="2"/>
  <c r="F194" i="2"/>
  <c r="E194" i="2"/>
  <c r="D194" i="2"/>
  <c r="AV193" i="2"/>
  <c r="AU193" i="2"/>
  <c r="AT193" i="2"/>
  <c r="AS193" i="2"/>
  <c r="AR193" i="2"/>
  <c r="AQ193" i="2"/>
  <c r="AP193" i="2"/>
  <c r="AO193" i="2"/>
  <c r="AN193" i="2"/>
  <c r="AM193" i="2"/>
  <c r="AJ193" i="2"/>
  <c r="AF193" i="2"/>
  <c r="AB193" i="2"/>
  <c r="AA193" i="2"/>
  <c r="Z193" i="2"/>
  <c r="Y193" i="2"/>
  <c r="X193" i="2"/>
  <c r="W193" i="2"/>
  <c r="V193" i="2"/>
  <c r="U193" i="2"/>
  <c r="T193" i="2"/>
  <c r="S193" i="2"/>
  <c r="K193" i="2"/>
  <c r="A193" i="2"/>
  <c r="AV192" i="2"/>
  <c r="AU192" i="2"/>
  <c r="AT192" i="2"/>
  <c r="AS192" i="2"/>
  <c r="AR192" i="2"/>
  <c r="AQ192" i="2"/>
  <c r="AP192" i="2"/>
  <c r="AO192" i="2"/>
  <c r="AN192" i="2"/>
  <c r="AM192" i="2"/>
  <c r="I192" i="2"/>
  <c r="H192" i="2"/>
  <c r="F192" i="2"/>
  <c r="E192" i="2"/>
  <c r="D192" i="2"/>
  <c r="AV191" i="2"/>
  <c r="AU191" i="2"/>
  <c r="AT191" i="2"/>
  <c r="AS191" i="2"/>
  <c r="AR191" i="2"/>
  <c r="AQ191" i="2"/>
  <c r="AP191" i="2"/>
  <c r="AO191" i="2"/>
  <c r="AN191" i="2"/>
  <c r="AM191" i="2"/>
  <c r="AB191" i="2"/>
  <c r="AA191" i="2"/>
  <c r="Z191" i="2"/>
  <c r="Y191" i="2"/>
  <c r="X191" i="2"/>
  <c r="W191" i="2"/>
  <c r="V191" i="2"/>
  <c r="U191" i="2"/>
  <c r="T191" i="2"/>
  <c r="S191" i="2"/>
  <c r="L191" i="2"/>
  <c r="I191" i="2"/>
  <c r="H191" i="2"/>
  <c r="F191" i="2"/>
  <c r="E191" i="2"/>
  <c r="D191" i="2"/>
  <c r="AV190" i="2"/>
  <c r="AU190" i="2"/>
  <c r="AT190" i="2"/>
  <c r="AS190" i="2"/>
  <c r="AR190" i="2"/>
  <c r="AQ190" i="2"/>
  <c r="AP190" i="2"/>
  <c r="AO190" i="2"/>
  <c r="AN190" i="2"/>
  <c r="AM190" i="2"/>
  <c r="AJ190" i="2"/>
  <c r="AF190" i="2"/>
  <c r="AB190" i="2"/>
  <c r="AA190" i="2"/>
  <c r="Z190" i="2"/>
  <c r="Y190" i="2"/>
  <c r="X190" i="2"/>
  <c r="W190" i="2"/>
  <c r="V190" i="2"/>
  <c r="U190" i="2"/>
  <c r="T190" i="2"/>
  <c r="S190" i="2"/>
  <c r="K190" i="2"/>
  <c r="A190" i="2"/>
  <c r="AV189" i="2"/>
  <c r="AU189" i="2"/>
  <c r="AT189" i="2"/>
  <c r="AS189" i="2"/>
  <c r="AR189" i="2"/>
  <c r="AQ189" i="2"/>
  <c r="AP189" i="2"/>
  <c r="AO189" i="2"/>
  <c r="AN189" i="2"/>
  <c r="AM189" i="2"/>
  <c r="I189" i="2"/>
  <c r="H189" i="2"/>
  <c r="F189" i="2"/>
  <c r="E189" i="2"/>
  <c r="D189" i="2"/>
  <c r="AV188" i="2"/>
  <c r="AU188" i="2"/>
  <c r="AT188" i="2"/>
  <c r="AS188" i="2"/>
  <c r="AR188" i="2"/>
  <c r="AQ188" i="2"/>
  <c r="AP188" i="2"/>
  <c r="AO188" i="2"/>
  <c r="AN188" i="2"/>
  <c r="AM188" i="2"/>
  <c r="AB188" i="2"/>
  <c r="AA188" i="2"/>
  <c r="Z188" i="2"/>
  <c r="Y188" i="2"/>
  <c r="X188" i="2"/>
  <c r="W188" i="2"/>
  <c r="V188" i="2"/>
  <c r="U188" i="2"/>
  <c r="T188" i="2"/>
  <c r="S188" i="2"/>
  <c r="L188" i="2"/>
  <c r="I188" i="2"/>
  <c r="H188" i="2"/>
  <c r="F188" i="2"/>
  <c r="E188" i="2"/>
  <c r="D188" i="2"/>
  <c r="AV187" i="2"/>
  <c r="AU187" i="2"/>
  <c r="AT187" i="2"/>
  <c r="AS187" i="2"/>
  <c r="AR187" i="2"/>
  <c r="AQ187" i="2"/>
  <c r="AP187" i="2"/>
  <c r="AO187" i="2"/>
  <c r="AN187" i="2"/>
  <c r="AM187" i="2"/>
  <c r="AJ187" i="2"/>
  <c r="AF187" i="2"/>
  <c r="AB187" i="2"/>
  <c r="AA187" i="2"/>
  <c r="Z187" i="2"/>
  <c r="Y187" i="2"/>
  <c r="X187" i="2"/>
  <c r="W187" i="2"/>
  <c r="V187" i="2"/>
  <c r="U187" i="2"/>
  <c r="T187" i="2"/>
  <c r="S187" i="2"/>
  <c r="K187" i="2"/>
  <c r="A187" i="2"/>
  <c r="AV186" i="2"/>
  <c r="AU186" i="2"/>
  <c r="AT186" i="2"/>
  <c r="AS186" i="2"/>
  <c r="AR186" i="2"/>
  <c r="AQ186" i="2"/>
  <c r="AP186" i="2"/>
  <c r="AO186" i="2"/>
  <c r="AN186" i="2"/>
  <c r="AM186" i="2"/>
  <c r="I186" i="2"/>
  <c r="H186" i="2"/>
  <c r="F186" i="2"/>
  <c r="E186" i="2"/>
  <c r="D186" i="2"/>
  <c r="AV185" i="2"/>
  <c r="AU185" i="2"/>
  <c r="AT185" i="2"/>
  <c r="AS185" i="2"/>
  <c r="AR185" i="2"/>
  <c r="AQ185" i="2"/>
  <c r="AP185" i="2"/>
  <c r="AO185" i="2"/>
  <c r="AN185" i="2"/>
  <c r="AM185" i="2"/>
  <c r="AB185" i="2"/>
  <c r="AA185" i="2"/>
  <c r="Z185" i="2"/>
  <c r="Y185" i="2"/>
  <c r="X185" i="2"/>
  <c r="W185" i="2"/>
  <c r="V185" i="2"/>
  <c r="U185" i="2"/>
  <c r="T185" i="2"/>
  <c r="S185" i="2"/>
  <c r="L185" i="2"/>
  <c r="I185" i="2"/>
  <c r="H185" i="2"/>
  <c r="F185" i="2"/>
  <c r="E185" i="2"/>
  <c r="D185" i="2"/>
  <c r="AV184" i="2"/>
  <c r="AU184" i="2"/>
  <c r="AT184" i="2"/>
  <c r="AS184" i="2"/>
  <c r="AR184" i="2"/>
  <c r="AQ184" i="2"/>
  <c r="AP184" i="2"/>
  <c r="AO184" i="2"/>
  <c r="AN184" i="2"/>
  <c r="AM184" i="2"/>
  <c r="AJ184" i="2"/>
  <c r="AF184" i="2"/>
  <c r="AB184" i="2"/>
  <c r="AA184" i="2"/>
  <c r="Z184" i="2"/>
  <c r="Y184" i="2"/>
  <c r="X184" i="2"/>
  <c r="W184" i="2"/>
  <c r="V184" i="2"/>
  <c r="U184" i="2"/>
  <c r="T184" i="2"/>
  <c r="S184" i="2"/>
  <c r="K184" i="2"/>
  <c r="A184" i="2"/>
  <c r="AV183" i="2"/>
  <c r="AU183" i="2"/>
  <c r="AT183" i="2"/>
  <c r="AS183" i="2"/>
  <c r="AR183" i="2"/>
  <c r="AQ183" i="2"/>
  <c r="AP183" i="2"/>
  <c r="AO183" i="2"/>
  <c r="AN183" i="2"/>
  <c r="AM183" i="2"/>
  <c r="I183" i="2"/>
  <c r="H183" i="2"/>
  <c r="F183" i="2"/>
  <c r="E183" i="2"/>
  <c r="D183" i="2"/>
  <c r="AV182" i="2"/>
  <c r="AU182" i="2"/>
  <c r="AT182" i="2"/>
  <c r="AS182" i="2"/>
  <c r="AR182" i="2"/>
  <c r="AQ182" i="2"/>
  <c r="AP182" i="2"/>
  <c r="AO182" i="2"/>
  <c r="AN182" i="2"/>
  <c r="AM182" i="2"/>
  <c r="AB182" i="2"/>
  <c r="AA182" i="2"/>
  <c r="Z182" i="2"/>
  <c r="Y182" i="2"/>
  <c r="X182" i="2"/>
  <c r="W182" i="2"/>
  <c r="V182" i="2"/>
  <c r="U182" i="2"/>
  <c r="T182" i="2"/>
  <c r="S182" i="2"/>
  <c r="L182" i="2"/>
  <c r="I182" i="2"/>
  <c r="H182" i="2"/>
  <c r="F182" i="2"/>
  <c r="E182" i="2"/>
  <c r="D182" i="2"/>
  <c r="AV181" i="2"/>
  <c r="AU181" i="2"/>
  <c r="AT181" i="2"/>
  <c r="AS181" i="2"/>
  <c r="AR181" i="2"/>
  <c r="AQ181" i="2"/>
  <c r="AP181" i="2"/>
  <c r="AO181" i="2"/>
  <c r="AN181" i="2"/>
  <c r="AM181" i="2"/>
  <c r="AJ181" i="2"/>
  <c r="AF181" i="2"/>
  <c r="AB181" i="2"/>
  <c r="AA181" i="2"/>
  <c r="Z181" i="2"/>
  <c r="Y181" i="2"/>
  <c r="X181" i="2"/>
  <c r="W181" i="2"/>
  <c r="V181" i="2"/>
  <c r="U181" i="2"/>
  <c r="T181" i="2"/>
  <c r="S181" i="2"/>
  <c r="K181" i="2"/>
  <c r="A181" i="2"/>
  <c r="AV180" i="2"/>
  <c r="AU180" i="2"/>
  <c r="AT180" i="2"/>
  <c r="AS180" i="2"/>
  <c r="AR180" i="2"/>
  <c r="AQ180" i="2"/>
  <c r="AP180" i="2"/>
  <c r="AO180" i="2"/>
  <c r="AN180" i="2"/>
  <c r="AM180" i="2"/>
  <c r="I180" i="2"/>
  <c r="H180" i="2"/>
  <c r="F180" i="2"/>
  <c r="E180" i="2"/>
  <c r="D180" i="2"/>
  <c r="AV179" i="2"/>
  <c r="AU179" i="2"/>
  <c r="AT179" i="2"/>
  <c r="AS179" i="2"/>
  <c r="AR179" i="2"/>
  <c r="AQ179" i="2"/>
  <c r="AP179" i="2"/>
  <c r="AO179" i="2"/>
  <c r="AN179" i="2"/>
  <c r="AM179" i="2"/>
  <c r="AB179" i="2"/>
  <c r="AA179" i="2"/>
  <c r="Z179" i="2"/>
  <c r="Y179" i="2"/>
  <c r="X179" i="2"/>
  <c r="W179" i="2"/>
  <c r="V179" i="2"/>
  <c r="U179" i="2"/>
  <c r="T179" i="2"/>
  <c r="S179" i="2"/>
  <c r="L179" i="2"/>
  <c r="I179" i="2"/>
  <c r="H179" i="2"/>
  <c r="F179" i="2"/>
  <c r="E179" i="2"/>
  <c r="D179" i="2"/>
  <c r="AV178" i="2"/>
  <c r="AU178" i="2"/>
  <c r="AT178" i="2"/>
  <c r="AS178" i="2"/>
  <c r="AR178" i="2"/>
  <c r="AQ178" i="2"/>
  <c r="AP178" i="2"/>
  <c r="AO178" i="2"/>
  <c r="AN178" i="2"/>
  <c r="AM178" i="2"/>
  <c r="AJ178" i="2"/>
  <c r="AF178" i="2"/>
  <c r="AB178" i="2"/>
  <c r="W178" i="2"/>
  <c r="U178" i="2"/>
  <c r="T178" i="2"/>
  <c r="S178" i="2"/>
  <c r="R178" i="2"/>
  <c r="K178" i="2"/>
  <c r="A178" i="2"/>
  <c r="AV177" i="2"/>
  <c r="AU177" i="2"/>
  <c r="AT177" i="2"/>
  <c r="AS177" i="2"/>
  <c r="AR177" i="2"/>
  <c r="AQ177" i="2"/>
  <c r="AP177" i="2"/>
  <c r="AO177" i="2"/>
  <c r="AN177" i="2"/>
  <c r="AM177" i="2"/>
  <c r="I177" i="2"/>
  <c r="H177" i="2"/>
  <c r="F177" i="2"/>
  <c r="E177" i="2"/>
  <c r="D177" i="2"/>
  <c r="AV176" i="2"/>
  <c r="AU176" i="2"/>
  <c r="AT176" i="2"/>
  <c r="AS176" i="2"/>
  <c r="AR176" i="2"/>
  <c r="AQ176" i="2"/>
  <c r="AP176" i="2"/>
  <c r="AO176" i="2"/>
  <c r="AN176" i="2"/>
  <c r="AM176" i="2"/>
  <c r="AB176" i="2"/>
  <c r="AA176" i="2"/>
  <c r="Z176" i="2"/>
  <c r="Y176" i="2"/>
  <c r="X176" i="2"/>
  <c r="W176" i="2"/>
  <c r="V176" i="2"/>
  <c r="U176" i="2"/>
  <c r="T176" i="2"/>
  <c r="S176" i="2"/>
  <c r="L176" i="2"/>
  <c r="I176" i="2"/>
  <c r="H176" i="2"/>
  <c r="F176" i="2"/>
  <c r="E176" i="2"/>
  <c r="D176" i="2"/>
  <c r="AV175" i="2"/>
  <c r="AU175" i="2"/>
  <c r="AT175" i="2"/>
  <c r="AS175" i="2"/>
  <c r="AR175" i="2"/>
  <c r="AQ175" i="2"/>
  <c r="AP175" i="2"/>
  <c r="AO175" i="2"/>
  <c r="AN175" i="2"/>
  <c r="AM175" i="2"/>
  <c r="AJ175" i="2"/>
  <c r="AG175" i="2"/>
  <c r="AF175" i="2"/>
  <c r="AE175" i="2"/>
  <c r="AB175" i="2"/>
  <c r="W175" i="2"/>
  <c r="U175" i="2"/>
  <c r="T175" i="2"/>
  <c r="S175" i="2"/>
  <c r="R175" i="2"/>
  <c r="K175" i="2"/>
  <c r="F175" i="2"/>
  <c r="A175" i="2"/>
  <c r="AV174" i="2"/>
  <c r="AU174" i="2"/>
  <c r="AT174" i="2"/>
  <c r="AS174" i="2"/>
  <c r="AR174" i="2"/>
  <c r="AQ174" i="2"/>
  <c r="AP174" i="2"/>
  <c r="AO174" i="2"/>
  <c r="AN174" i="2"/>
  <c r="AM174" i="2"/>
  <c r="I174" i="2"/>
  <c r="H174" i="2"/>
  <c r="F174" i="2"/>
  <c r="E174" i="2"/>
  <c r="D174" i="2"/>
  <c r="AV173" i="2"/>
  <c r="AU173" i="2"/>
  <c r="AT173" i="2"/>
  <c r="AS173" i="2"/>
  <c r="AR173" i="2"/>
  <c r="AQ173" i="2"/>
  <c r="AP173" i="2"/>
  <c r="AO173" i="2"/>
  <c r="AN173" i="2"/>
  <c r="AM173" i="2"/>
  <c r="AB173" i="2"/>
  <c r="AA173" i="2"/>
  <c r="Z173" i="2"/>
  <c r="Y173" i="2"/>
  <c r="X173" i="2"/>
  <c r="W173" i="2"/>
  <c r="V173" i="2"/>
  <c r="U173" i="2"/>
  <c r="T173" i="2"/>
  <c r="S173" i="2"/>
  <c r="L173" i="2"/>
  <c r="I173" i="2"/>
  <c r="H173" i="2"/>
  <c r="F173" i="2"/>
  <c r="E173" i="2"/>
  <c r="D173" i="2"/>
  <c r="AV172" i="2"/>
  <c r="AU172" i="2"/>
  <c r="AT172" i="2"/>
  <c r="AS172" i="2"/>
  <c r="AR172" i="2"/>
  <c r="AQ172" i="2"/>
  <c r="AP172" i="2"/>
  <c r="AO172" i="2"/>
  <c r="AN172" i="2"/>
  <c r="AM172" i="2"/>
  <c r="AJ172" i="2"/>
  <c r="AG172" i="2"/>
  <c r="AF172" i="2"/>
  <c r="AE172" i="2"/>
  <c r="AB172" i="2"/>
  <c r="W172" i="2"/>
  <c r="U172" i="2"/>
  <c r="T172" i="2"/>
  <c r="S172" i="2"/>
  <c r="R172" i="2"/>
  <c r="K172" i="2"/>
  <c r="F172" i="2"/>
  <c r="A172" i="2"/>
  <c r="AV171" i="2"/>
  <c r="AU171" i="2"/>
  <c r="AT171" i="2"/>
  <c r="AS171" i="2"/>
  <c r="AR171" i="2"/>
  <c r="AQ171" i="2"/>
  <c r="AP171" i="2"/>
  <c r="AO171" i="2"/>
  <c r="AN171" i="2"/>
  <c r="AM171" i="2"/>
  <c r="I171" i="2"/>
  <c r="H171" i="2"/>
  <c r="F171" i="2"/>
  <c r="E171" i="2"/>
  <c r="D171" i="2"/>
  <c r="AV170" i="2"/>
  <c r="AU170" i="2"/>
  <c r="AT170" i="2"/>
  <c r="AS170" i="2"/>
  <c r="AR170" i="2"/>
  <c r="AQ170" i="2"/>
  <c r="AP170" i="2"/>
  <c r="AO170" i="2"/>
  <c r="AN170" i="2"/>
  <c r="AM170" i="2"/>
  <c r="AB170" i="2"/>
  <c r="AA170" i="2"/>
  <c r="Z170" i="2"/>
  <c r="Y170" i="2"/>
  <c r="X170" i="2"/>
  <c r="W170" i="2"/>
  <c r="V170" i="2"/>
  <c r="U170" i="2"/>
  <c r="T170" i="2"/>
  <c r="S170" i="2"/>
  <c r="L170" i="2"/>
  <c r="I170" i="2"/>
  <c r="H170" i="2"/>
  <c r="F170" i="2"/>
  <c r="E170" i="2"/>
  <c r="D170" i="2"/>
  <c r="AV169" i="2"/>
  <c r="AU169" i="2"/>
  <c r="AT169" i="2"/>
  <c r="AS169" i="2"/>
  <c r="AR169" i="2"/>
  <c r="AQ169" i="2"/>
  <c r="AP169" i="2"/>
  <c r="AO169" i="2"/>
  <c r="AN169" i="2"/>
  <c r="AM169" i="2"/>
  <c r="AJ169" i="2"/>
  <c r="AG169" i="2"/>
  <c r="AF169" i="2"/>
  <c r="AB169" i="2"/>
  <c r="W169" i="2"/>
  <c r="U169" i="2"/>
  <c r="T169" i="2"/>
  <c r="S169" i="2"/>
  <c r="R169" i="2"/>
  <c r="K169" i="2"/>
  <c r="F169" i="2"/>
  <c r="A169" i="2"/>
  <c r="AV168" i="2"/>
  <c r="AU168" i="2"/>
  <c r="AT168" i="2"/>
  <c r="AS168" i="2"/>
  <c r="AR168" i="2"/>
  <c r="AQ168" i="2"/>
  <c r="AP168" i="2"/>
  <c r="AO168" i="2"/>
  <c r="AN168" i="2"/>
  <c r="AM168" i="2"/>
  <c r="I168" i="2"/>
  <c r="H168" i="2"/>
  <c r="F168" i="2"/>
  <c r="E168" i="2"/>
  <c r="D168" i="2"/>
  <c r="AV167" i="2"/>
  <c r="AU167" i="2"/>
  <c r="AT167" i="2"/>
  <c r="AS167" i="2"/>
  <c r="AR167" i="2"/>
  <c r="AQ167" i="2"/>
  <c r="AP167" i="2"/>
  <c r="AO167" i="2"/>
  <c r="AN167" i="2"/>
  <c r="AM167" i="2"/>
  <c r="AB167" i="2"/>
  <c r="AA167" i="2"/>
  <c r="Z167" i="2"/>
  <c r="Y167" i="2"/>
  <c r="X167" i="2"/>
  <c r="W167" i="2"/>
  <c r="V167" i="2"/>
  <c r="U167" i="2"/>
  <c r="T167" i="2"/>
  <c r="S167" i="2"/>
  <c r="L167" i="2"/>
  <c r="I167" i="2"/>
  <c r="H167" i="2"/>
  <c r="F167" i="2"/>
  <c r="E167" i="2"/>
  <c r="D167" i="2"/>
  <c r="AV166" i="2"/>
  <c r="AU166" i="2"/>
  <c r="AT166" i="2"/>
  <c r="AS166" i="2"/>
  <c r="AR166" i="2"/>
  <c r="AQ166" i="2"/>
  <c r="AP166" i="2"/>
  <c r="AO166" i="2"/>
  <c r="AN166" i="2"/>
  <c r="AM166" i="2"/>
  <c r="AJ166" i="2"/>
  <c r="AG166" i="2"/>
  <c r="AF166" i="2"/>
  <c r="AB166" i="2"/>
  <c r="W166" i="2"/>
  <c r="U166" i="2"/>
  <c r="T166" i="2"/>
  <c r="S166" i="2"/>
  <c r="R166" i="2"/>
  <c r="K166" i="2"/>
  <c r="A166" i="2"/>
  <c r="AV165" i="2"/>
  <c r="AU165" i="2"/>
  <c r="AT165" i="2"/>
  <c r="AS165" i="2"/>
  <c r="AR165" i="2"/>
  <c r="AQ165" i="2"/>
  <c r="AP165" i="2"/>
  <c r="AO165" i="2"/>
  <c r="AN165" i="2"/>
  <c r="AM165" i="2"/>
  <c r="I165" i="2"/>
  <c r="H165" i="2"/>
  <c r="F165" i="2"/>
  <c r="E165" i="2"/>
  <c r="D165" i="2"/>
  <c r="AV164" i="2"/>
  <c r="AU164" i="2"/>
  <c r="AT164" i="2"/>
  <c r="AS164" i="2"/>
  <c r="AR164" i="2"/>
  <c r="AQ164" i="2"/>
  <c r="AP164" i="2"/>
  <c r="AO164" i="2"/>
  <c r="AN164" i="2"/>
  <c r="AM164" i="2"/>
  <c r="AB164" i="2"/>
  <c r="AA164" i="2"/>
  <c r="Z164" i="2"/>
  <c r="Y164" i="2"/>
  <c r="X164" i="2"/>
  <c r="W164" i="2"/>
  <c r="V164" i="2"/>
  <c r="U164" i="2"/>
  <c r="T164" i="2"/>
  <c r="S164" i="2"/>
  <c r="L164" i="2"/>
  <c r="I164" i="2"/>
  <c r="H164" i="2"/>
  <c r="F164" i="2"/>
  <c r="E164" i="2"/>
  <c r="AV163" i="2"/>
  <c r="AU163" i="2"/>
  <c r="AT163" i="2"/>
  <c r="AS163" i="2"/>
  <c r="AR163" i="2"/>
  <c r="AQ163" i="2"/>
  <c r="AP163" i="2"/>
  <c r="AO163" i="2"/>
  <c r="AN163" i="2"/>
  <c r="AM163" i="2"/>
  <c r="AJ163" i="2"/>
  <c r="AG163" i="2"/>
  <c r="AF163" i="2"/>
  <c r="AB163" i="2"/>
  <c r="W163" i="2"/>
  <c r="U163" i="2"/>
  <c r="T163" i="2"/>
  <c r="S163" i="2"/>
  <c r="R163" i="2"/>
  <c r="K163" i="2"/>
  <c r="A163" i="2"/>
  <c r="AV162" i="2"/>
  <c r="AU162" i="2"/>
  <c r="AT162" i="2"/>
  <c r="AS162" i="2"/>
  <c r="AR162" i="2"/>
  <c r="AQ162" i="2"/>
  <c r="AP162" i="2"/>
  <c r="AO162" i="2"/>
  <c r="AN162" i="2"/>
  <c r="AM162" i="2"/>
  <c r="I162" i="2"/>
  <c r="H162" i="2"/>
  <c r="F162" i="2"/>
  <c r="E162" i="2"/>
  <c r="D162" i="2"/>
  <c r="AV161" i="2"/>
  <c r="AU161" i="2"/>
  <c r="AT161" i="2"/>
  <c r="AS161" i="2"/>
  <c r="AR161" i="2"/>
  <c r="AQ161" i="2"/>
  <c r="AP161" i="2"/>
  <c r="AO161" i="2"/>
  <c r="AN161" i="2"/>
  <c r="AM161" i="2"/>
  <c r="AB161" i="2"/>
  <c r="AA161" i="2"/>
  <c r="Z161" i="2"/>
  <c r="Y161" i="2"/>
  <c r="X161" i="2"/>
  <c r="W161" i="2"/>
  <c r="V161" i="2"/>
  <c r="U161" i="2"/>
  <c r="T161" i="2"/>
  <c r="S161" i="2"/>
  <c r="L161" i="2"/>
  <c r="I161" i="2"/>
  <c r="H161" i="2"/>
  <c r="F161" i="2"/>
  <c r="E161" i="2"/>
  <c r="D161" i="2"/>
  <c r="AV160" i="2"/>
  <c r="AU160" i="2"/>
  <c r="AT160" i="2"/>
  <c r="AS160" i="2"/>
  <c r="AR160" i="2"/>
  <c r="AQ160" i="2"/>
  <c r="AP160" i="2"/>
  <c r="AO160" i="2"/>
  <c r="AN160" i="2"/>
  <c r="AM160" i="2"/>
  <c r="AJ160" i="2"/>
  <c r="AG160" i="2"/>
  <c r="AF160" i="2"/>
  <c r="AB160" i="2"/>
  <c r="W160" i="2"/>
  <c r="U160" i="2"/>
  <c r="T160" i="2"/>
  <c r="S160" i="2"/>
  <c r="R160" i="2"/>
  <c r="K160" i="2"/>
  <c r="A160" i="2"/>
  <c r="AV159" i="2"/>
  <c r="AU159" i="2"/>
  <c r="AT159" i="2"/>
  <c r="AS159" i="2"/>
  <c r="AR159" i="2"/>
  <c r="AQ159" i="2"/>
  <c r="AP159" i="2"/>
  <c r="AO159" i="2"/>
  <c r="AN159" i="2"/>
  <c r="AM159" i="2"/>
  <c r="I159" i="2"/>
  <c r="H159" i="2"/>
  <c r="F159" i="2"/>
  <c r="E159" i="2"/>
  <c r="D159" i="2"/>
  <c r="AV158" i="2"/>
  <c r="AU158" i="2"/>
  <c r="AT158" i="2"/>
  <c r="AS158" i="2"/>
  <c r="AR158" i="2"/>
  <c r="AQ158" i="2"/>
  <c r="AP158" i="2"/>
  <c r="AO158" i="2"/>
  <c r="AN158" i="2"/>
  <c r="AM158" i="2"/>
  <c r="AB158" i="2"/>
  <c r="AA158" i="2"/>
  <c r="Z158" i="2"/>
  <c r="Y158" i="2"/>
  <c r="X158" i="2"/>
  <c r="W158" i="2"/>
  <c r="V158" i="2"/>
  <c r="U158" i="2"/>
  <c r="T158" i="2"/>
  <c r="S158" i="2"/>
  <c r="L158" i="2"/>
  <c r="I158" i="2"/>
  <c r="H158" i="2"/>
  <c r="F158" i="2"/>
  <c r="E158" i="2"/>
  <c r="D158" i="2"/>
  <c r="AV157" i="2"/>
  <c r="AU157" i="2"/>
  <c r="AT157" i="2"/>
  <c r="AS157" i="2"/>
  <c r="AR157" i="2"/>
  <c r="AQ157" i="2"/>
  <c r="AP157" i="2"/>
  <c r="AO157" i="2"/>
  <c r="AN157" i="2"/>
  <c r="AM157" i="2"/>
  <c r="AJ157" i="2"/>
  <c r="AG157" i="2"/>
  <c r="AF157" i="2"/>
  <c r="AB157" i="2"/>
  <c r="W157" i="2"/>
  <c r="U157" i="2"/>
  <c r="T157" i="2"/>
  <c r="S157" i="2"/>
  <c r="R157" i="2"/>
  <c r="K157" i="2"/>
  <c r="A157" i="2"/>
  <c r="AV156" i="2"/>
  <c r="AU156" i="2"/>
  <c r="AT156" i="2"/>
  <c r="AS156" i="2"/>
  <c r="AR156" i="2"/>
  <c r="AQ156" i="2"/>
  <c r="AP156" i="2"/>
  <c r="AO156" i="2"/>
  <c r="AN156" i="2"/>
  <c r="AM156" i="2"/>
  <c r="I156" i="2"/>
  <c r="H156" i="2"/>
  <c r="F156" i="2"/>
  <c r="E156" i="2"/>
  <c r="D156" i="2"/>
  <c r="AV155" i="2"/>
  <c r="AU155" i="2"/>
  <c r="AT155" i="2"/>
  <c r="AS155" i="2"/>
  <c r="AR155" i="2"/>
  <c r="AQ155" i="2"/>
  <c r="AP155" i="2"/>
  <c r="AO155" i="2"/>
  <c r="AN155" i="2"/>
  <c r="AM155" i="2"/>
  <c r="AB155" i="2"/>
  <c r="AA155" i="2"/>
  <c r="Z155" i="2"/>
  <c r="Y155" i="2"/>
  <c r="X155" i="2"/>
  <c r="W155" i="2"/>
  <c r="V155" i="2"/>
  <c r="U155" i="2"/>
  <c r="T155" i="2"/>
  <c r="S155" i="2"/>
  <c r="L155" i="2"/>
  <c r="I155" i="2"/>
  <c r="H155" i="2"/>
  <c r="F155" i="2"/>
  <c r="E155" i="2"/>
  <c r="D155" i="2"/>
  <c r="AV154" i="2"/>
  <c r="AU154" i="2"/>
  <c r="AT154" i="2"/>
  <c r="AS154" i="2"/>
  <c r="AR154" i="2"/>
  <c r="AQ154" i="2"/>
  <c r="AP154" i="2"/>
  <c r="AO154" i="2"/>
  <c r="AN154" i="2"/>
  <c r="AM154" i="2"/>
  <c r="AJ154" i="2"/>
  <c r="AG154" i="2"/>
  <c r="AF154" i="2"/>
  <c r="AB154" i="2"/>
  <c r="W154" i="2"/>
  <c r="U154" i="2"/>
  <c r="T154" i="2"/>
  <c r="S154" i="2"/>
  <c r="R154" i="2"/>
  <c r="K154" i="2"/>
  <c r="A154" i="2"/>
  <c r="AV153" i="2"/>
  <c r="AU153" i="2"/>
  <c r="AT153" i="2"/>
  <c r="AS153" i="2"/>
  <c r="AR153" i="2"/>
  <c r="AQ153" i="2"/>
  <c r="AP153" i="2"/>
  <c r="AO153" i="2"/>
  <c r="AN153" i="2"/>
  <c r="AM153" i="2"/>
  <c r="I153" i="2"/>
  <c r="H153" i="2"/>
  <c r="F153" i="2"/>
  <c r="E153" i="2"/>
  <c r="D153" i="2"/>
  <c r="AV152" i="2"/>
  <c r="AU152" i="2"/>
  <c r="AT152" i="2"/>
  <c r="AS152" i="2"/>
  <c r="AR152" i="2"/>
  <c r="AQ152" i="2"/>
  <c r="AP152" i="2"/>
  <c r="AO152" i="2"/>
  <c r="AN152" i="2"/>
  <c r="AM152" i="2"/>
  <c r="AB152" i="2"/>
  <c r="AA152" i="2"/>
  <c r="Z152" i="2"/>
  <c r="Y152" i="2"/>
  <c r="X152" i="2"/>
  <c r="W152" i="2"/>
  <c r="V152" i="2"/>
  <c r="U152" i="2"/>
  <c r="T152" i="2"/>
  <c r="S152" i="2"/>
  <c r="L152" i="2"/>
  <c r="I152" i="2"/>
  <c r="H152" i="2"/>
  <c r="F152" i="2"/>
  <c r="E152" i="2"/>
  <c r="D152" i="2"/>
  <c r="AV151" i="2"/>
  <c r="AU151" i="2"/>
  <c r="AT151" i="2"/>
  <c r="AS151" i="2"/>
  <c r="AR151" i="2"/>
  <c r="AQ151" i="2"/>
  <c r="AP151" i="2"/>
  <c r="AO151" i="2"/>
  <c r="AN151" i="2"/>
  <c r="AM151" i="2"/>
  <c r="AJ151" i="2"/>
  <c r="AG151" i="2"/>
  <c r="AF151" i="2"/>
  <c r="AB151" i="2"/>
  <c r="W151" i="2"/>
  <c r="U151" i="2"/>
  <c r="T151" i="2"/>
  <c r="S151" i="2"/>
  <c r="R151" i="2"/>
  <c r="K151" i="2"/>
  <c r="A151" i="2"/>
  <c r="AV150" i="2"/>
  <c r="AU150" i="2"/>
  <c r="AT150" i="2"/>
  <c r="AS150" i="2"/>
  <c r="AR150" i="2"/>
  <c r="AQ150" i="2"/>
  <c r="AP150" i="2"/>
  <c r="AO150" i="2"/>
  <c r="AN150" i="2"/>
  <c r="AM150" i="2"/>
  <c r="I150" i="2"/>
  <c r="H150" i="2"/>
  <c r="F150" i="2"/>
  <c r="E150" i="2"/>
  <c r="D150" i="2"/>
  <c r="AV149" i="2"/>
  <c r="AU149" i="2"/>
  <c r="AT149" i="2"/>
  <c r="AS149" i="2"/>
  <c r="AR149" i="2"/>
  <c r="AQ149" i="2"/>
  <c r="AP149" i="2"/>
  <c r="AO149" i="2"/>
  <c r="AN149" i="2"/>
  <c r="AM149" i="2"/>
  <c r="AB149" i="2"/>
  <c r="AA149" i="2"/>
  <c r="Z149" i="2"/>
  <c r="Y149" i="2"/>
  <c r="X149" i="2"/>
  <c r="W149" i="2"/>
  <c r="V149" i="2"/>
  <c r="U149" i="2"/>
  <c r="T149" i="2"/>
  <c r="S149" i="2"/>
  <c r="L149" i="2"/>
  <c r="I149" i="2"/>
  <c r="F149" i="2"/>
  <c r="E149" i="2"/>
  <c r="D149" i="2"/>
  <c r="AV148" i="2"/>
  <c r="AU148" i="2"/>
  <c r="AT148" i="2"/>
  <c r="AS148" i="2"/>
  <c r="AR148" i="2"/>
  <c r="AQ148" i="2"/>
  <c r="AP148" i="2"/>
  <c r="AO148" i="2"/>
  <c r="AN148" i="2"/>
  <c r="AM148" i="2"/>
  <c r="AJ148" i="2"/>
  <c r="AG148" i="2"/>
  <c r="AF148" i="2"/>
  <c r="AE148" i="2"/>
  <c r="AB148" i="2"/>
  <c r="W148" i="2"/>
  <c r="U148" i="2"/>
  <c r="T148" i="2"/>
  <c r="S148" i="2"/>
  <c r="R148" i="2"/>
  <c r="K148" i="2"/>
  <c r="A148" i="2"/>
  <c r="AV147" i="2"/>
  <c r="AU147" i="2"/>
  <c r="AT147" i="2"/>
  <c r="AS147" i="2"/>
  <c r="AR147" i="2"/>
  <c r="AQ147" i="2"/>
  <c r="AP147" i="2"/>
  <c r="AO147" i="2"/>
  <c r="AN147" i="2"/>
  <c r="AM147" i="2"/>
  <c r="I147" i="2"/>
  <c r="H147" i="2"/>
  <c r="F147" i="2"/>
  <c r="E147" i="2"/>
  <c r="D147" i="2"/>
  <c r="AV146" i="2"/>
  <c r="AU146" i="2"/>
  <c r="AT146" i="2"/>
  <c r="AS146" i="2"/>
  <c r="AR146" i="2"/>
  <c r="AQ146" i="2"/>
  <c r="AP146" i="2"/>
  <c r="AO146" i="2"/>
  <c r="AN146" i="2"/>
  <c r="AM146" i="2"/>
  <c r="AB146" i="2"/>
  <c r="AA146" i="2"/>
  <c r="Z146" i="2"/>
  <c r="Y146" i="2"/>
  <c r="X146" i="2"/>
  <c r="W146" i="2"/>
  <c r="V146" i="2"/>
  <c r="U146" i="2"/>
  <c r="T146" i="2"/>
  <c r="S146" i="2"/>
  <c r="L146" i="2"/>
  <c r="I146" i="2"/>
  <c r="H146" i="2"/>
  <c r="F146" i="2"/>
  <c r="E146" i="2"/>
  <c r="D146" i="2"/>
  <c r="AV145" i="2"/>
  <c r="AU145" i="2"/>
  <c r="AT145" i="2"/>
  <c r="AS145" i="2"/>
  <c r="AR145" i="2"/>
  <c r="AQ145" i="2"/>
  <c r="AP145" i="2"/>
  <c r="AO145" i="2"/>
  <c r="AN145" i="2"/>
  <c r="AM145" i="2"/>
  <c r="AJ145" i="2"/>
  <c r="AG145" i="2"/>
  <c r="AF145" i="2"/>
  <c r="AB145" i="2"/>
  <c r="W145" i="2"/>
  <c r="U145" i="2"/>
  <c r="T145" i="2"/>
  <c r="S145" i="2"/>
  <c r="R145" i="2"/>
  <c r="K145" i="2"/>
  <c r="A145" i="2"/>
  <c r="AV144" i="2"/>
  <c r="AU144" i="2"/>
  <c r="AT144" i="2"/>
  <c r="AS144" i="2"/>
  <c r="AR144" i="2"/>
  <c r="AQ144" i="2"/>
  <c r="AP144" i="2"/>
  <c r="AO144" i="2"/>
  <c r="AN144" i="2"/>
  <c r="AM144" i="2"/>
  <c r="I144" i="2"/>
  <c r="H144" i="2"/>
  <c r="F144" i="2"/>
  <c r="E144" i="2"/>
  <c r="D144" i="2"/>
  <c r="AV143" i="2"/>
  <c r="AU143" i="2"/>
  <c r="AT143" i="2"/>
  <c r="AS143" i="2"/>
  <c r="AR143" i="2"/>
  <c r="AQ143" i="2"/>
  <c r="AP143" i="2"/>
  <c r="AO143" i="2"/>
  <c r="AN143" i="2"/>
  <c r="AM143" i="2"/>
  <c r="AB143" i="2"/>
  <c r="AA143" i="2"/>
  <c r="Z143" i="2"/>
  <c r="Y143" i="2"/>
  <c r="X143" i="2"/>
  <c r="W143" i="2"/>
  <c r="V143" i="2"/>
  <c r="U143" i="2"/>
  <c r="T143" i="2"/>
  <c r="S143" i="2"/>
  <c r="L143" i="2"/>
  <c r="I143" i="2"/>
  <c r="H143" i="2"/>
  <c r="F143" i="2"/>
  <c r="E143" i="2"/>
  <c r="D143" i="2"/>
  <c r="AV142" i="2"/>
  <c r="AU142" i="2"/>
  <c r="AT142" i="2"/>
  <c r="AS142" i="2"/>
  <c r="AR142" i="2"/>
  <c r="AQ142" i="2"/>
  <c r="AP142" i="2"/>
  <c r="AO142" i="2"/>
  <c r="AN142" i="2"/>
  <c r="AM142" i="2"/>
  <c r="AJ142" i="2"/>
  <c r="AG142" i="2"/>
  <c r="AF142" i="2"/>
  <c r="AE142" i="2"/>
  <c r="AB142" i="2"/>
  <c r="W142" i="2"/>
  <c r="U142" i="2"/>
  <c r="T142" i="2"/>
  <c r="S142" i="2"/>
  <c r="R142" i="2"/>
  <c r="K142" i="2"/>
  <c r="A142" i="2"/>
  <c r="AV141" i="2"/>
  <c r="AU141" i="2"/>
  <c r="AT141" i="2"/>
  <c r="AS141" i="2"/>
  <c r="AR141" i="2"/>
  <c r="AQ141" i="2"/>
  <c r="AP141" i="2"/>
  <c r="AO141" i="2"/>
  <c r="AN141" i="2"/>
  <c r="AM141" i="2"/>
  <c r="I141" i="2"/>
  <c r="H141" i="2"/>
  <c r="F141" i="2"/>
  <c r="E141" i="2"/>
  <c r="D141" i="2"/>
  <c r="AV140" i="2"/>
  <c r="AU140" i="2"/>
  <c r="AT140" i="2"/>
  <c r="AS140" i="2"/>
  <c r="AR140" i="2"/>
  <c r="AQ140" i="2"/>
  <c r="AP140" i="2"/>
  <c r="AO140" i="2"/>
  <c r="AN140" i="2"/>
  <c r="AM140" i="2"/>
  <c r="AB140" i="2"/>
  <c r="AA140" i="2"/>
  <c r="Z140" i="2"/>
  <c r="Y140" i="2"/>
  <c r="X140" i="2"/>
  <c r="W140" i="2"/>
  <c r="V140" i="2"/>
  <c r="U140" i="2"/>
  <c r="T140" i="2"/>
  <c r="S140" i="2"/>
  <c r="L140" i="2"/>
  <c r="I140" i="2"/>
  <c r="H140" i="2"/>
  <c r="F140" i="2"/>
  <c r="E140" i="2"/>
  <c r="D140" i="2"/>
  <c r="AV139" i="2"/>
  <c r="AU139" i="2"/>
  <c r="AT139" i="2"/>
  <c r="AS139" i="2"/>
  <c r="AR139" i="2"/>
  <c r="AQ139" i="2"/>
  <c r="AP139" i="2"/>
  <c r="AO139" i="2"/>
  <c r="AN139" i="2"/>
  <c r="AM139" i="2"/>
  <c r="AJ139" i="2"/>
  <c r="AG139" i="2"/>
  <c r="AF139" i="2"/>
  <c r="AB139" i="2"/>
  <c r="W139" i="2"/>
  <c r="U139" i="2"/>
  <c r="T139" i="2"/>
  <c r="S139" i="2"/>
  <c r="R139" i="2"/>
  <c r="K139" i="2"/>
  <c r="A139" i="2"/>
  <c r="AV138" i="2"/>
  <c r="AU138" i="2"/>
  <c r="AT138" i="2"/>
  <c r="AS138" i="2"/>
  <c r="AR138" i="2"/>
  <c r="AQ138" i="2"/>
  <c r="AP138" i="2"/>
  <c r="AO138" i="2"/>
  <c r="AN138" i="2"/>
  <c r="AM138" i="2"/>
  <c r="I138" i="2"/>
  <c r="H138" i="2"/>
  <c r="F138" i="2"/>
  <c r="E138" i="2"/>
  <c r="D138" i="2"/>
  <c r="AV137" i="2"/>
  <c r="AU137" i="2"/>
  <c r="AT137" i="2"/>
  <c r="AS137" i="2"/>
  <c r="AR137" i="2"/>
  <c r="AQ137" i="2"/>
  <c r="AP137" i="2"/>
  <c r="AO137" i="2"/>
  <c r="AN137" i="2"/>
  <c r="AM137" i="2"/>
  <c r="AB137" i="2"/>
  <c r="AA137" i="2"/>
  <c r="Z137" i="2"/>
  <c r="Y137" i="2"/>
  <c r="X137" i="2"/>
  <c r="W137" i="2"/>
  <c r="V137" i="2"/>
  <c r="U137" i="2"/>
  <c r="T137" i="2"/>
  <c r="S137" i="2"/>
  <c r="L137" i="2"/>
  <c r="I137" i="2"/>
  <c r="H137" i="2"/>
  <c r="F137" i="2"/>
  <c r="E137" i="2"/>
  <c r="D137" i="2"/>
  <c r="AV136" i="2"/>
  <c r="AU136" i="2"/>
  <c r="AT136" i="2"/>
  <c r="AS136" i="2"/>
  <c r="AR136" i="2"/>
  <c r="AQ136" i="2"/>
  <c r="AP136" i="2"/>
  <c r="AO136" i="2"/>
  <c r="AN136" i="2"/>
  <c r="AM136" i="2"/>
  <c r="AJ136" i="2"/>
  <c r="AG136" i="2"/>
  <c r="AF136" i="2"/>
  <c r="AB136" i="2"/>
  <c r="W136" i="2"/>
  <c r="U136" i="2"/>
  <c r="T136" i="2"/>
  <c r="S136" i="2"/>
  <c r="R136" i="2"/>
  <c r="K136" i="2"/>
  <c r="A136" i="2"/>
  <c r="AV135" i="2"/>
  <c r="AU135" i="2"/>
  <c r="AT135" i="2"/>
  <c r="AS135" i="2"/>
  <c r="AR135" i="2"/>
  <c r="AQ135" i="2"/>
  <c r="AP135" i="2"/>
  <c r="AO135" i="2"/>
  <c r="AN135" i="2"/>
  <c r="AM135" i="2"/>
  <c r="I135" i="2"/>
  <c r="H135" i="2"/>
  <c r="F135" i="2"/>
  <c r="E135" i="2"/>
  <c r="D135" i="2"/>
  <c r="AV134" i="2"/>
  <c r="AU134" i="2"/>
  <c r="AT134" i="2"/>
  <c r="AS134" i="2"/>
  <c r="AR134" i="2"/>
  <c r="AQ134" i="2"/>
  <c r="AP134" i="2"/>
  <c r="AO134" i="2"/>
  <c r="AN134" i="2"/>
  <c r="AM134" i="2"/>
  <c r="AB134" i="2"/>
  <c r="AA134" i="2"/>
  <c r="Z134" i="2"/>
  <c r="Y134" i="2"/>
  <c r="X134" i="2"/>
  <c r="W134" i="2"/>
  <c r="V134" i="2"/>
  <c r="U134" i="2"/>
  <c r="T134" i="2"/>
  <c r="S134" i="2"/>
  <c r="L134" i="2"/>
  <c r="I134" i="2"/>
  <c r="H134" i="2"/>
  <c r="F134" i="2"/>
  <c r="E134" i="2"/>
  <c r="D134" i="2"/>
  <c r="AV133" i="2"/>
  <c r="AU133" i="2"/>
  <c r="AT133" i="2"/>
  <c r="AS133" i="2"/>
  <c r="AR133" i="2"/>
  <c r="AQ133" i="2"/>
  <c r="AP133" i="2"/>
  <c r="AO133" i="2"/>
  <c r="AN133" i="2"/>
  <c r="AM133" i="2"/>
  <c r="AJ133" i="2"/>
  <c r="AG133" i="2"/>
  <c r="AF133" i="2"/>
  <c r="AE133" i="2"/>
  <c r="AB133" i="2"/>
  <c r="W133" i="2"/>
  <c r="U133" i="2"/>
  <c r="T133" i="2"/>
  <c r="S133" i="2"/>
  <c r="R133" i="2"/>
  <c r="K133" i="2"/>
  <c r="A133" i="2"/>
  <c r="AV132" i="2"/>
  <c r="AU132" i="2"/>
  <c r="AT132" i="2"/>
  <c r="AS132" i="2"/>
  <c r="AR132" i="2"/>
  <c r="AQ132" i="2"/>
  <c r="AP132" i="2"/>
  <c r="AO132" i="2"/>
  <c r="AN132" i="2"/>
  <c r="AM132" i="2"/>
  <c r="I132" i="2"/>
  <c r="H132" i="2"/>
  <c r="F132" i="2"/>
  <c r="E132" i="2"/>
  <c r="D132" i="2"/>
  <c r="AV131" i="2"/>
  <c r="AU131" i="2"/>
  <c r="AT131" i="2"/>
  <c r="AS131" i="2"/>
  <c r="AR131" i="2"/>
  <c r="AQ131" i="2"/>
  <c r="AP131" i="2"/>
  <c r="AO131" i="2"/>
  <c r="AN131" i="2"/>
  <c r="AM131" i="2"/>
  <c r="AB131" i="2"/>
  <c r="AA131" i="2"/>
  <c r="Z131" i="2"/>
  <c r="Y131" i="2"/>
  <c r="X131" i="2"/>
  <c r="W131" i="2"/>
  <c r="V131" i="2"/>
  <c r="U131" i="2"/>
  <c r="T131" i="2"/>
  <c r="S131" i="2"/>
  <c r="L131" i="2"/>
  <c r="I131" i="2"/>
  <c r="H131" i="2"/>
  <c r="F131" i="2"/>
  <c r="E131" i="2"/>
  <c r="D131" i="2"/>
  <c r="AV130" i="2"/>
  <c r="AU130" i="2"/>
  <c r="AT130" i="2"/>
  <c r="AS130" i="2"/>
  <c r="AR130" i="2"/>
  <c r="AQ130" i="2"/>
  <c r="AP130" i="2"/>
  <c r="AO130" i="2"/>
  <c r="AN130" i="2"/>
  <c r="AM130" i="2"/>
  <c r="AJ130" i="2"/>
  <c r="AG130" i="2"/>
  <c r="AF130" i="2"/>
  <c r="AE130" i="2"/>
  <c r="AB130" i="2"/>
  <c r="W130" i="2"/>
  <c r="U130" i="2"/>
  <c r="T130" i="2"/>
  <c r="S130" i="2"/>
  <c r="R130" i="2"/>
  <c r="K130" i="2"/>
  <c r="A130" i="2"/>
  <c r="AV129" i="2"/>
  <c r="AU129" i="2"/>
  <c r="AT129" i="2"/>
  <c r="AS129" i="2"/>
  <c r="AR129" i="2"/>
  <c r="AQ129" i="2"/>
  <c r="AP129" i="2"/>
  <c r="AO129" i="2"/>
  <c r="AN129" i="2"/>
  <c r="AM129" i="2"/>
  <c r="I129" i="2"/>
  <c r="H129" i="2"/>
  <c r="F129" i="2"/>
  <c r="E129" i="2"/>
  <c r="D129" i="2"/>
  <c r="AV128" i="2"/>
  <c r="AU128" i="2"/>
  <c r="AT128" i="2"/>
  <c r="AS128" i="2"/>
  <c r="AR128" i="2"/>
  <c r="AQ128" i="2"/>
  <c r="AP128" i="2"/>
  <c r="AO128" i="2"/>
  <c r="AN128" i="2"/>
  <c r="AM128" i="2"/>
  <c r="AB128" i="2"/>
  <c r="AA128" i="2"/>
  <c r="Z128" i="2"/>
  <c r="Y128" i="2"/>
  <c r="X128" i="2"/>
  <c r="W128" i="2"/>
  <c r="V128" i="2"/>
  <c r="U128" i="2"/>
  <c r="T128" i="2"/>
  <c r="S128" i="2"/>
  <c r="L128" i="2"/>
  <c r="I128" i="2"/>
  <c r="H128" i="2"/>
  <c r="F128" i="2"/>
  <c r="E128" i="2"/>
  <c r="D128" i="2"/>
  <c r="AV127" i="2"/>
  <c r="AU127" i="2"/>
  <c r="AT127" i="2"/>
  <c r="AS127" i="2"/>
  <c r="AR127" i="2"/>
  <c r="AQ127" i="2"/>
  <c r="AP127" i="2"/>
  <c r="AO127" i="2"/>
  <c r="AN127" i="2"/>
  <c r="AM127" i="2"/>
  <c r="AJ127" i="2"/>
  <c r="AG127" i="2"/>
  <c r="AF127" i="2"/>
  <c r="AE127" i="2"/>
  <c r="AB127" i="2"/>
  <c r="W127" i="2"/>
  <c r="U127" i="2"/>
  <c r="T127" i="2"/>
  <c r="S127" i="2"/>
  <c r="R127" i="2"/>
  <c r="K127" i="2"/>
  <c r="A127" i="2"/>
  <c r="AV126" i="2"/>
  <c r="AU126" i="2"/>
  <c r="AT126" i="2"/>
  <c r="AS126" i="2"/>
  <c r="AR126" i="2"/>
  <c r="AQ126" i="2"/>
  <c r="AP126" i="2"/>
  <c r="AO126" i="2"/>
  <c r="AN126" i="2"/>
  <c r="AM126" i="2"/>
  <c r="I126" i="2"/>
  <c r="H126" i="2"/>
  <c r="F126" i="2"/>
  <c r="E126" i="2"/>
  <c r="D126" i="2"/>
  <c r="AV125" i="2"/>
  <c r="AU125" i="2"/>
  <c r="AT125" i="2"/>
  <c r="AS125" i="2"/>
  <c r="AR125" i="2"/>
  <c r="AQ125" i="2"/>
  <c r="AP125" i="2"/>
  <c r="AO125" i="2"/>
  <c r="AN125" i="2"/>
  <c r="AM125" i="2"/>
  <c r="AB125" i="2"/>
  <c r="AA125" i="2"/>
  <c r="Z125" i="2"/>
  <c r="Y125" i="2"/>
  <c r="X125" i="2"/>
  <c r="W125" i="2"/>
  <c r="V125" i="2"/>
  <c r="U125" i="2"/>
  <c r="T125" i="2"/>
  <c r="S125" i="2"/>
  <c r="L125" i="2"/>
  <c r="I125" i="2"/>
  <c r="H125" i="2"/>
  <c r="F125" i="2"/>
  <c r="E125" i="2"/>
  <c r="D125" i="2"/>
  <c r="AV124" i="2"/>
  <c r="AU124" i="2"/>
  <c r="AT124" i="2"/>
  <c r="AS124" i="2"/>
  <c r="AR124" i="2"/>
  <c r="AQ124" i="2"/>
  <c r="AP124" i="2"/>
  <c r="AO124" i="2"/>
  <c r="AN124" i="2"/>
  <c r="AM124" i="2"/>
  <c r="AJ124" i="2"/>
  <c r="AG124" i="2"/>
  <c r="AF124" i="2"/>
  <c r="AE124" i="2"/>
  <c r="AB124" i="2"/>
  <c r="W124" i="2"/>
  <c r="U124" i="2"/>
  <c r="T124" i="2"/>
  <c r="S124" i="2"/>
  <c r="R124" i="2"/>
  <c r="K124" i="2"/>
  <c r="A124" i="2"/>
  <c r="AV123" i="2"/>
  <c r="AU123" i="2"/>
  <c r="AT123" i="2"/>
  <c r="AS123" i="2"/>
  <c r="AR123" i="2"/>
  <c r="AQ123" i="2"/>
  <c r="AP123" i="2"/>
  <c r="AO123" i="2"/>
  <c r="AN123" i="2"/>
  <c r="AM123" i="2"/>
  <c r="I123" i="2"/>
  <c r="H123" i="2"/>
  <c r="F123" i="2"/>
  <c r="E123" i="2"/>
  <c r="D123" i="2"/>
  <c r="AV122" i="2"/>
  <c r="AU122" i="2"/>
  <c r="AT122" i="2"/>
  <c r="AS122" i="2"/>
  <c r="AR122" i="2"/>
  <c r="AQ122" i="2"/>
  <c r="AP122" i="2"/>
  <c r="AO122" i="2"/>
  <c r="AN122" i="2"/>
  <c r="AM122" i="2"/>
  <c r="AB122" i="2"/>
  <c r="AA122" i="2"/>
  <c r="Z122" i="2"/>
  <c r="Y122" i="2"/>
  <c r="X122" i="2"/>
  <c r="W122" i="2"/>
  <c r="V122" i="2"/>
  <c r="U122" i="2"/>
  <c r="T122" i="2"/>
  <c r="S122" i="2"/>
  <c r="L122" i="2"/>
  <c r="I122" i="2"/>
  <c r="H122" i="2"/>
  <c r="F122" i="2"/>
  <c r="E122" i="2"/>
  <c r="D122" i="2"/>
  <c r="AV121" i="2"/>
  <c r="AU121" i="2"/>
  <c r="AT121" i="2"/>
  <c r="AS121" i="2"/>
  <c r="AR121" i="2"/>
  <c r="AQ121" i="2"/>
  <c r="AP121" i="2"/>
  <c r="AO121" i="2"/>
  <c r="AN121" i="2"/>
  <c r="AM121" i="2"/>
  <c r="AJ121" i="2"/>
  <c r="AG121" i="2"/>
  <c r="AF121" i="2"/>
  <c r="AB121" i="2"/>
  <c r="W121" i="2"/>
  <c r="U121" i="2"/>
  <c r="T121" i="2"/>
  <c r="S121" i="2"/>
  <c r="R121" i="2"/>
  <c r="K121" i="2"/>
  <c r="A121" i="2"/>
  <c r="AV120" i="2"/>
  <c r="AU120" i="2"/>
  <c r="AT120" i="2"/>
  <c r="AS120" i="2"/>
  <c r="AR120" i="2"/>
  <c r="AQ120" i="2"/>
  <c r="AP120" i="2"/>
  <c r="AO120" i="2"/>
  <c r="AN120" i="2"/>
  <c r="AM120" i="2"/>
  <c r="I120" i="2"/>
  <c r="H120" i="2"/>
  <c r="F120" i="2"/>
  <c r="E120" i="2"/>
  <c r="D120" i="2"/>
  <c r="AV119" i="2"/>
  <c r="AU119" i="2"/>
  <c r="AT119" i="2"/>
  <c r="AS119" i="2"/>
  <c r="AR119" i="2"/>
  <c r="AQ119" i="2"/>
  <c r="AP119" i="2"/>
  <c r="AO119" i="2"/>
  <c r="AN119" i="2"/>
  <c r="AM119" i="2"/>
  <c r="AB119" i="2"/>
  <c r="AA119" i="2"/>
  <c r="Z119" i="2"/>
  <c r="Y119" i="2"/>
  <c r="X119" i="2"/>
  <c r="W119" i="2"/>
  <c r="V119" i="2"/>
  <c r="U119" i="2"/>
  <c r="T119" i="2"/>
  <c r="S119" i="2"/>
  <c r="L119" i="2"/>
  <c r="I119" i="2"/>
  <c r="H119" i="2"/>
  <c r="F119" i="2"/>
  <c r="E119" i="2"/>
  <c r="D119" i="2"/>
  <c r="AV118" i="2"/>
  <c r="AU118" i="2"/>
  <c r="AT118" i="2"/>
  <c r="AS118" i="2"/>
  <c r="AR118" i="2"/>
  <c r="AQ118" i="2"/>
  <c r="AP118" i="2"/>
  <c r="AO118" i="2"/>
  <c r="AN118" i="2"/>
  <c r="AM118" i="2"/>
  <c r="AJ118" i="2"/>
  <c r="AG118" i="2"/>
  <c r="AF118" i="2"/>
  <c r="AE118" i="2"/>
  <c r="AB118" i="2"/>
  <c r="W118" i="2"/>
  <c r="U118" i="2"/>
  <c r="T118" i="2"/>
  <c r="S118" i="2"/>
  <c r="R118" i="2"/>
  <c r="K118" i="2"/>
  <c r="A118" i="2"/>
  <c r="AV117" i="2"/>
  <c r="AU117" i="2"/>
  <c r="AT117" i="2"/>
  <c r="AS117" i="2"/>
  <c r="AR117" i="2"/>
  <c r="AQ117" i="2"/>
  <c r="AP117" i="2"/>
  <c r="AO117" i="2"/>
  <c r="AN117" i="2"/>
  <c r="AM117" i="2"/>
  <c r="I117" i="2"/>
  <c r="H117" i="2"/>
  <c r="F117" i="2"/>
  <c r="E117" i="2"/>
  <c r="D117" i="2"/>
  <c r="AV116" i="2"/>
  <c r="AU116" i="2"/>
  <c r="AT116" i="2"/>
  <c r="AS116" i="2"/>
  <c r="AR116" i="2"/>
  <c r="AQ116" i="2"/>
  <c r="AP116" i="2"/>
  <c r="AO116" i="2"/>
  <c r="AN116" i="2"/>
  <c r="AM116" i="2"/>
  <c r="AB116" i="2"/>
  <c r="AA116" i="2"/>
  <c r="Z116" i="2"/>
  <c r="Y116" i="2"/>
  <c r="X116" i="2"/>
  <c r="W116" i="2"/>
  <c r="V116" i="2"/>
  <c r="U116" i="2"/>
  <c r="T116" i="2"/>
  <c r="S116" i="2"/>
  <c r="L116" i="2"/>
  <c r="I116" i="2"/>
  <c r="H116" i="2"/>
  <c r="F116" i="2"/>
  <c r="E116" i="2"/>
  <c r="D116" i="2"/>
  <c r="AV115" i="2"/>
  <c r="AU115" i="2"/>
  <c r="AT115" i="2"/>
  <c r="AS115" i="2"/>
  <c r="AR115" i="2"/>
  <c r="AQ115" i="2"/>
  <c r="AP115" i="2"/>
  <c r="AO115" i="2"/>
  <c r="AN115" i="2"/>
  <c r="AM115" i="2"/>
  <c r="AJ115" i="2"/>
  <c r="AG115" i="2"/>
  <c r="AF115" i="2"/>
  <c r="AB115" i="2"/>
  <c r="W115" i="2"/>
  <c r="U115" i="2"/>
  <c r="T115" i="2"/>
  <c r="S115" i="2"/>
  <c r="R115" i="2"/>
  <c r="K115" i="2"/>
  <c r="A115" i="2"/>
  <c r="AV114" i="2"/>
  <c r="AU114" i="2"/>
  <c r="AT114" i="2"/>
  <c r="AS114" i="2"/>
  <c r="AR114" i="2"/>
  <c r="AQ114" i="2"/>
  <c r="AP114" i="2"/>
  <c r="AO114" i="2"/>
  <c r="AN114" i="2"/>
  <c r="AM114" i="2"/>
  <c r="I114" i="2"/>
  <c r="H114" i="2"/>
  <c r="F114" i="2"/>
  <c r="E114" i="2"/>
  <c r="D114" i="2"/>
  <c r="AV113" i="2"/>
  <c r="AU113" i="2"/>
  <c r="AT113" i="2"/>
  <c r="AS113" i="2"/>
  <c r="AR113" i="2"/>
  <c r="AQ113" i="2"/>
  <c r="AP113" i="2"/>
  <c r="AO113" i="2"/>
  <c r="AN113" i="2"/>
  <c r="AM113" i="2"/>
  <c r="AB113" i="2"/>
  <c r="AA113" i="2"/>
  <c r="Z113" i="2"/>
  <c r="Y113" i="2"/>
  <c r="X113" i="2"/>
  <c r="W113" i="2"/>
  <c r="V113" i="2"/>
  <c r="U113" i="2"/>
  <c r="T113" i="2"/>
  <c r="S113" i="2"/>
  <c r="L113" i="2"/>
  <c r="I113" i="2"/>
  <c r="H113" i="2"/>
  <c r="F113" i="2"/>
  <c r="E113" i="2"/>
  <c r="D113" i="2"/>
  <c r="AV112" i="2"/>
  <c r="AU112" i="2"/>
  <c r="AT112" i="2"/>
  <c r="AS112" i="2"/>
  <c r="AR112" i="2"/>
  <c r="AQ112" i="2"/>
  <c r="AP112" i="2"/>
  <c r="AO112" i="2"/>
  <c r="AN112" i="2"/>
  <c r="AM112" i="2"/>
  <c r="AJ112" i="2"/>
  <c r="AG112" i="2"/>
  <c r="AF112" i="2"/>
  <c r="AE112" i="2"/>
  <c r="AB112" i="2"/>
  <c r="W112" i="2"/>
  <c r="U112" i="2"/>
  <c r="T112" i="2"/>
  <c r="S112" i="2"/>
  <c r="R112" i="2"/>
  <c r="K112" i="2"/>
  <c r="A112" i="2"/>
  <c r="AV111" i="2"/>
  <c r="AU111" i="2"/>
  <c r="AT111" i="2"/>
  <c r="AS111" i="2"/>
  <c r="AR111" i="2"/>
  <c r="AQ111" i="2"/>
  <c r="AP111" i="2"/>
  <c r="AO111" i="2"/>
  <c r="AN111" i="2"/>
  <c r="AM111" i="2"/>
  <c r="I111" i="2"/>
  <c r="H111" i="2"/>
  <c r="F111" i="2"/>
  <c r="E111" i="2"/>
  <c r="D111" i="2"/>
  <c r="AV110" i="2"/>
  <c r="AU110" i="2"/>
  <c r="AT110" i="2"/>
  <c r="AS110" i="2"/>
  <c r="AR110" i="2"/>
  <c r="AQ110" i="2"/>
  <c r="AP110" i="2"/>
  <c r="AO110" i="2"/>
  <c r="AN110" i="2"/>
  <c r="AM110" i="2"/>
  <c r="AB110" i="2"/>
  <c r="AA110" i="2"/>
  <c r="Z110" i="2"/>
  <c r="Y110" i="2"/>
  <c r="X110" i="2"/>
  <c r="W110" i="2"/>
  <c r="V110" i="2"/>
  <c r="U110" i="2"/>
  <c r="T110" i="2"/>
  <c r="S110" i="2"/>
  <c r="L110" i="2"/>
  <c r="I110" i="2"/>
  <c r="H110" i="2"/>
  <c r="F110" i="2"/>
  <c r="E110" i="2"/>
  <c r="D110" i="2"/>
  <c r="AV109" i="2"/>
  <c r="AU109" i="2"/>
  <c r="AT109" i="2"/>
  <c r="AS109" i="2"/>
  <c r="AR109" i="2"/>
  <c r="AQ109" i="2"/>
  <c r="AP109" i="2"/>
  <c r="AO109" i="2"/>
  <c r="AN109" i="2"/>
  <c r="AM109" i="2"/>
  <c r="AJ109" i="2"/>
  <c r="AG109" i="2"/>
  <c r="AF109" i="2"/>
  <c r="AE109" i="2"/>
  <c r="AB109" i="2"/>
  <c r="W109" i="2"/>
  <c r="U109" i="2"/>
  <c r="T109" i="2"/>
  <c r="S109" i="2"/>
  <c r="R109" i="2"/>
  <c r="K109" i="2"/>
  <c r="A109" i="2"/>
  <c r="AV108" i="2"/>
  <c r="AU108" i="2"/>
  <c r="AT108" i="2"/>
  <c r="AS108" i="2"/>
  <c r="AR108" i="2"/>
  <c r="AQ108" i="2"/>
  <c r="AP108" i="2"/>
  <c r="AO108" i="2"/>
  <c r="AN108" i="2"/>
  <c r="AM108" i="2"/>
  <c r="I108" i="2"/>
  <c r="H108" i="2"/>
  <c r="F108" i="2"/>
  <c r="E108" i="2"/>
  <c r="D108" i="2"/>
  <c r="AV107" i="2"/>
  <c r="AU107" i="2"/>
  <c r="AT107" i="2"/>
  <c r="AS107" i="2"/>
  <c r="AR107" i="2"/>
  <c r="AQ107" i="2"/>
  <c r="AP107" i="2"/>
  <c r="AO107" i="2"/>
  <c r="AN107" i="2"/>
  <c r="AM107" i="2"/>
  <c r="AB107" i="2"/>
  <c r="AA107" i="2"/>
  <c r="Z107" i="2"/>
  <c r="Y107" i="2"/>
  <c r="X107" i="2"/>
  <c r="W107" i="2"/>
  <c r="V107" i="2"/>
  <c r="U107" i="2"/>
  <c r="T107" i="2"/>
  <c r="S107" i="2"/>
  <c r="L107" i="2"/>
  <c r="I107" i="2"/>
  <c r="H107" i="2"/>
  <c r="F107" i="2"/>
  <c r="E107" i="2"/>
  <c r="D107" i="2"/>
  <c r="AV106" i="2"/>
  <c r="AU106" i="2"/>
  <c r="AT106" i="2"/>
  <c r="AS106" i="2"/>
  <c r="AR106" i="2"/>
  <c r="AQ106" i="2"/>
  <c r="AP106" i="2"/>
  <c r="AO106" i="2"/>
  <c r="AN106" i="2"/>
  <c r="AM106" i="2"/>
  <c r="AJ106" i="2"/>
  <c r="AG106" i="2"/>
  <c r="AF106" i="2"/>
  <c r="AE106" i="2"/>
  <c r="AB106" i="2"/>
  <c r="W106" i="2"/>
  <c r="U106" i="2"/>
  <c r="T106" i="2"/>
  <c r="S106" i="2"/>
  <c r="R106" i="2"/>
  <c r="K106" i="2"/>
  <c r="A106" i="2"/>
  <c r="AV105" i="2"/>
  <c r="AU105" i="2"/>
  <c r="AT105" i="2"/>
  <c r="AS105" i="2"/>
  <c r="AR105" i="2"/>
  <c r="AQ105" i="2"/>
  <c r="AP105" i="2"/>
  <c r="AO105" i="2"/>
  <c r="AN105" i="2"/>
  <c r="AM105" i="2"/>
  <c r="I105" i="2"/>
  <c r="H105" i="2"/>
  <c r="F105" i="2"/>
  <c r="E105" i="2"/>
  <c r="D105" i="2"/>
  <c r="AV104" i="2"/>
  <c r="AU104" i="2"/>
  <c r="AT104" i="2"/>
  <c r="AS104" i="2"/>
  <c r="AR104" i="2"/>
  <c r="AQ104" i="2"/>
  <c r="AP104" i="2"/>
  <c r="AO104" i="2"/>
  <c r="AN104" i="2"/>
  <c r="AM104" i="2"/>
  <c r="AB104" i="2"/>
  <c r="AA104" i="2"/>
  <c r="Z104" i="2"/>
  <c r="Y104" i="2"/>
  <c r="X104" i="2"/>
  <c r="W104" i="2"/>
  <c r="V104" i="2"/>
  <c r="U104" i="2"/>
  <c r="T104" i="2"/>
  <c r="S104" i="2"/>
  <c r="L104" i="2"/>
  <c r="I104" i="2"/>
  <c r="H104" i="2"/>
  <c r="F104" i="2"/>
  <c r="E104" i="2"/>
  <c r="D104" i="2"/>
  <c r="AV103" i="2"/>
  <c r="AU103" i="2"/>
  <c r="AT103" i="2"/>
  <c r="AS103" i="2"/>
  <c r="AR103" i="2"/>
  <c r="AQ103" i="2"/>
  <c r="AP103" i="2"/>
  <c r="AO103" i="2"/>
  <c r="AN103" i="2"/>
  <c r="AM103" i="2"/>
  <c r="AJ103" i="2"/>
  <c r="AG103" i="2"/>
  <c r="AF103" i="2"/>
  <c r="AE103" i="2"/>
  <c r="AB103" i="2"/>
  <c r="W103" i="2"/>
  <c r="U103" i="2"/>
  <c r="T103" i="2"/>
  <c r="S103" i="2"/>
  <c r="R103" i="2"/>
  <c r="K103" i="2"/>
  <c r="A103" i="2"/>
  <c r="AV102" i="2"/>
  <c r="AU102" i="2"/>
  <c r="AT102" i="2"/>
  <c r="AS102" i="2"/>
  <c r="AR102" i="2"/>
  <c r="AQ102" i="2"/>
  <c r="AP102" i="2"/>
  <c r="AO102" i="2"/>
  <c r="AN102" i="2"/>
  <c r="AM102" i="2"/>
  <c r="I102" i="2"/>
  <c r="H102" i="2"/>
  <c r="F102" i="2"/>
  <c r="E102" i="2"/>
  <c r="D102" i="2"/>
  <c r="AV101" i="2"/>
  <c r="AU101" i="2"/>
  <c r="AT101" i="2"/>
  <c r="AS101" i="2"/>
  <c r="AR101" i="2"/>
  <c r="AQ101" i="2"/>
  <c r="AP101" i="2"/>
  <c r="AO101" i="2"/>
  <c r="AN101" i="2"/>
  <c r="AM101" i="2"/>
  <c r="AB101" i="2"/>
  <c r="AA101" i="2"/>
  <c r="Z101" i="2"/>
  <c r="Y101" i="2"/>
  <c r="X101" i="2"/>
  <c r="W101" i="2"/>
  <c r="V101" i="2"/>
  <c r="U101" i="2"/>
  <c r="T101" i="2"/>
  <c r="S101" i="2"/>
  <c r="L101" i="2"/>
  <c r="I101" i="2"/>
  <c r="H101" i="2"/>
  <c r="F101" i="2"/>
  <c r="E101" i="2"/>
  <c r="D101" i="2"/>
  <c r="AV100" i="2"/>
  <c r="AU100" i="2"/>
  <c r="AT100" i="2"/>
  <c r="AS100" i="2"/>
  <c r="AR100" i="2"/>
  <c r="AQ100" i="2"/>
  <c r="AP100" i="2"/>
  <c r="AO100" i="2"/>
  <c r="AN100" i="2"/>
  <c r="AM100" i="2"/>
  <c r="AJ100" i="2"/>
  <c r="AG100" i="2"/>
  <c r="AF100" i="2"/>
  <c r="AE100" i="2"/>
  <c r="AB100" i="2"/>
  <c r="W100" i="2"/>
  <c r="U100" i="2"/>
  <c r="T100" i="2"/>
  <c r="S100" i="2"/>
  <c r="R100" i="2"/>
  <c r="K100" i="2"/>
  <c r="A100" i="2"/>
  <c r="AV99" i="2"/>
  <c r="AU99" i="2"/>
  <c r="AT99" i="2"/>
  <c r="AS99" i="2"/>
  <c r="AR99" i="2"/>
  <c r="AQ99" i="2"/>
  <c r="AP99" i="2"/>
  <c r="AO99" i="2"/>
  <c r="AN99" i="2"/>
  <c r="AM99" i="2"/>
  <c r="I99" i="2"/>
  <c r="H99" i="2"/>
  <c r="F99" i="2"/>
  <c r="E99" i="2"/>
  <c r="D99" i="2"/>
  <c r="AV98" i="2"/>
  <c r="AU98" i="2"/>
  <c r="AT98" i="2"/>
  <c r="AS98" i="2"/>
  <c r="AR98" i="2"/>
  <c r="AQ98" i="2"/>
  <c r="AP98" i="2"/>
  <c r="AO98" i="2"/>
  <c r="AN98" i="2"/>
  <c r="AM98" i="2"/>
  <c r="AB98" i="2"/>
  <c r="AA98" i="2"/>
  <c r="Z98" i="2"/>
  <c r="Y98" i="2"/>
  <c r="X98" i="2"/>
  <c r="W98" i="2"/>
  <c r="V98" i="2"/>
  <c r="U98" i="2"/>
  <c r="T98" i="2"/>
  <c r="S98" i="2"/>
  <c r="L98" i="2"/>
  <c r="I98" i="2"/>
  <c r="H98" i="2"/>
  <c r="F98" i="2"/>
  <c r="E98" i="2"/>
  <c r="D98" i="2"/>
  <c r="AV97" i="2"/>
  <c r="AU97" i="2"/>
  <c r="AT97" i="2"/>
  <c r="AS97" i="2"/>
  <c r="AR97" i="2"/>
  <c r="AQ97" i="2"/>
  <c r="AP97" i="2"/>
  <c r="AO97" i="2"/>
  <c r="AN97" i="2"/>
  <c r="AM97" i="2"/>
  <c r="AJ97" i="2"/>
  <c r="AG97" i="2"/>
  <c r="AF97" i="2"/>
  <c r="AE97" i="2"/>
  <c r="AB97" i="2"/>
  <c r="W97" i="2"/>
  <c r="U97" i="2"/>
  <c r="T97" i="2"/>
  <c r="S97" i="2"/>
  <c r="R97" i="2"/>
  <c r="K97" i="2"/>
  <c r="A97" i="2"/>
  <c r="AV96" i="2"/>
  <c r="AU96" i="2"/>
  <c r="AT96" i="2"/>
  <c r="AS96" i="2"/>
  <c r="AR96" i="2"/>
  <c r="AQ96" i="2"/>
  <c r="AP96" i="2"/>
  <c r="AO96" i="2"/>
  <c r="AN96" i="2"/>
  <c r="AM96" i="2"/>
  <c r="I96" i="2"/>
  <c r="H96" i="2"/>
  <c r="F96" i="2"/>
  <c r="E96" i="2"/>
  <c r="D96" i="2"/>
  <c r="AV95" i="2"/>
  <c r="AU95" i="2"/>
  <c r="AT95" i="2"/>
  <c r="AS95" i="2"/>
  <c r="AR95" i="2"/>
  <c r="AQ95" i="2"/>
  <c r="AP95" i="2"/>
  <c r="AO95" i="2"/>
  <c r="AN95" i="2"/>
  <c r="AM95" i="2"/>
  <c r="AB95" i="2"/>
  <c r="AA95" i="2"/>
  <c r="Z95" i="2"/>
  <c r="Y95" i="2"/>
  <c r="X95" i="2"/>
  <c r="W95" i="2"/>
  <c r="V95" i="2"/>
  <c r="U95" i="2"/>
  <c r="T95" i="2"/>
  <c r="S95" i="2"/>
  <c r="L95" i="2"/>
  <c r="I95" i="2"/>
  <c r="H95" i="2"/>
  <c r="F95" i="2"/>
  <c r="E95" i="2"/>
  <c r="D95" i="2"/>
  <c r="AV94" i="2"/>
  <c r="AU94" i="2"/>
  <c r="AT94" i="2"/>
  <c r="AS94" i="2"/>
  <c r="AR94" i="2"/>
  <c r="AQ94" i="2"/>
  <c r="AP94" i="2"/>
  <c r="AO94" i="2"/>
  <c r="AN94" i="2"/>
  <c r="AM94" i="2"/>
  <c r="AJ94" i="2"/>
  <c r="AG94" i="2"/>
  <c r="AF94" i="2"/>
  <c r="AE94" i="2"/>
  <c r="AB94" i="2"/>
  <c r="W94" i="2"/>
  <c r="U94" i="2"/>
  <c r="T94" i="2"/>
  <c r="S94" i="2"/>
  <c r="R94" i="2"/>
  <c r="K94" i="2"/>
  <c r="A94" i="2"/>
  <c r="AV93" i="2"/>
  <c r="AU93" i="2"/>
  <c r="AT93" i="2"/>
  <c r="AS93" i="2"/>
  <c r="AR93" i="2"/>
  <c r="AQ93" i="2"/>
  <c r="AP93" i="2"/>
  <c r="AO93" i="2"/>
  <c r="AN93" i="2"/>
  <c r="AM93" i="2"/>
  <c r="I93" i="2"/>
  <c r="H93" i="2"/>
  <c r="F93" i="2"/>
  <c r="E93" i="2"/>
  <c r="D93" i="2"/>
  <c r="AV92" i="2"/>
  <c r="AU92" i="2"/>
  <c r="AT92" i="2"/>
  <c r="AS92" i="2"/>
  <c r="AR92" i="2"/>
  <c r="AQ92" i="2"/>
  <c r="AP92" i="2"/>
  <c r="AO92" i="2"/>
  <c r="AN92" i="2"/>
  <c r="AM92" i="2"/>
  <c r="AB92" i="2"/>
  <c r="AA92" i="2"/>
  <c r="Z92" i="2"/>
  <c r="Y92" i="2"/>
  <c r="X92" i="2"/>
  <c r="W92" i="2"/>
  <c r="V92" i="2"/>
  <c r="U92" i="2"/>
  <c r="T92" i="2"/>
  <c r="S92" i="2"/>
  <c r="L92" i="2"/>
  <c r="I92" i="2"/>
  <c r="H92" i="2"/>
  <c r="F92" i="2"/>
  <c r="E92" i="2"/>
  <c r="D92" i="2"/>
  <c r="AV91" i="2"/>
  <c r="AU91" i="2"/>
  <c r="AT91" i="2"/>
  <c r="AS91" i="2"/>
  <c r="AR91" i="2"/>
  <c r="AQ91" i="2"/>
  <c r="AP91" i="2"/>
  <c r="AO91" i="2"/>
  <c r="AN91" i="2"/>
  <c r="AM91" i="2"/>
  <c r="AJ91" i="2"/>
  <c r="AG91" i="2"/>
  <c r="AF91" i="2"/>
  <c r="AB91" i="2"/>
  <c r="W91" i="2"/>
  <c r="U91" i="2"/>
  <c r="T91" i="2"/>
  <c r="S91" i="2"/>
  <c r="R91" i="2"/>
  <c r="K91" i="2"/>
  <c r="A91" i="2"/>
  <c r="AV90" i="2"/>
  <c r="AU90" i="2"/>
  <c r="AT90" i="2"/>
  <c r="AS90" i="2"/>
  <c r="AR90" i="2"/>
  <c r="AQ90" i="2"/>
  <c r="AP90" i="2"/>
  <c r="AO90" i="2"/>
  <c r="AN90" i="2"/>
  <c r="AM90" i="2"/>
  <c r="I90" i="2"/>
  <c r="H90" i="2"/>
  <c r="F90" i="2"/>
  <c r="E90" i="2"/>
  <c r="D90" i="2"/>
  <c r="BB89" i="2" a="1"/>
  <c r="BB89" i="2"/>
  <c r="AV89" i="2"/>
  <c r="AU89" i="2"/>
  <c r="AT89" i="2"/>
  <c r="AS89" i="2"/>
  <c r="AR89" i="2"/>
  <c r="AQ89" i="2"/>
  <c r="AP89" i="2"/>
  <c r="AO89" i="2"/>
  <c r="AN89" i="2"/>
  <c r="AM89" i="2"/>
  <c r="AB89" i="2"/>
  <c r="AA89" i="2"/>
  <c r="Z89" i="2"/>
  <c r="Y89" i="2"/>
  <c r="X89" i="2"/>
  <c r="W89" i="2"/>
  <c r="V89" i="2"/>
  <c r="U89" i="2"/>
  <c r="T89" i="2"/>
  <c r="S89" i="2"/>
  <c r="L89" i="2"/>
  <c r="I89" i="2"/>
  <c r="H89" i="2"/>
  <c r="F89" i="2"/>
  <c r="E89" i="2"/>
  <c r="D89" i="2"/>
  <c r="AV88" i="2"/>
  <c r="AU88" i="2"/>
  <c r="AT88" i="2"/>
  <c r="AS88" i="2"/>
  <c r="AR88" i="2"/>
  <c r="AQ88" i="2"/>
  <c r="AP88" i="2"/>
  <c r="AO88" i="2"/>
  <c r="AN88" i="2"/>
  <c r="AM88" i="2"/>
  <c r="AJ88" i="2"/>
  <c r="AG88" i="2"/>
  <c r="AF88" i="2"/>
  <c r="AB88" i="2"/>
  <c r="W88" i="2"/>
  <c r="U88" i="2"/>
  <c r="T88" i="2"/>
  <c r="S88" i="2"/>
  <c r="R88" i="2"/>
  <c r="K88" i="2"/>
  <c r="A88" i="2"/>
  <c r="AV87" i="2"/>
  <c r="AU87" i="2"/>
  <c r="AT87" i="2"/>
  <c r="AS87" i="2"/>
  <c r="AR87" i="2"/>
  <c r="AQ87" i="2"/>
  <c r="AP87" i="2"/>
  <c r="AO87" i="2"/>
  <c r="AN87" i="2"/>
  <c r="AM87" i="2"/>
  <c r="I87" i="2"/>
  <c r="H87" i="2"/>
  <c r="F87" i="2"/>
  <c r="E87" i="2"/>
  <c r="D87" i="2"/>
  <c r="AV86" i="2"/>
  <c r="AU86" i="2"/>
  <c r="AT86" i="2"/>
  <c r="AS86" i="2"/>
  <c r="AR86" i="2"/>
  <c r="AQ86" i="2"/>
  <c r="AP86" i="2"/>
  <c r="AO86" i="2"/>
  <c r="AN86" i="2"/>
  <c r="AM86" i="2"/>
  <c r="AB86" i="2"/>
  <c r="AA86" i="2"/>
  <c r="Z86" i="2"/>
  <c r="Y86" i="2"/>
  <c r="X86" i="2"/>
  <c r="W86" i="2"/>
  <c r="V86" i="2"/>
  <c r="U86" i="2"/>
  <c r="T86" i="2"/>
  <c r="S86" i="2"/>
  <c r="L86" i="2"/>
  <c r="I86" i="2"/>
  <c r="H86" i="2"/>
  <c r="F86" i="2"/>
  <c r="E86" i="2"/>
  <c r="D86" i="2"/>
  <c r="AV85" i="2"/>
  <c r="AU85" i="2"/>
  <c r="AT85" i="2"/>
  <c r="AS85" i="2"/>
  <c r="AR85" i="2"/>
  <c r="AQ85" i="2"/>
  <c r="AP85" i="2"/>
  <c r="AO85" i="2"/>
  <c r="AN85" i="2"/>
  <c r="AM85" i="2"/>
  <c r="AJ85" i="2"/>
  <c r="AG85" i="2"/>
  <c r="AF85" i="2"/>
  <c r="AB85" i="2"/>
  <c r="W85" i="2"/>
  <c r="U85" i="2"/>
  <c r="T85" i="2"/>
  <c r="S85" i="2"/>
  <c r="R85" i="2"/>
  <c r="K85" i="2"/>
  <c r="A85" i="2"/>
  <c r="AV84" i="2"/>
  <c r="AU84" i="2"/>
  <c r="AT84" i="2"/>
  <c r="AS84" i="2"/>
  <c r="AR84" i="2"/>
  <c r="AQ84" i="2"/>
  <c r="AP84" i="2"/>
  <c r="AO84" i="2"/>
  <c r="AN84" i="2"/>
  <c r="AM84" i="2"/>
  <c r="I84" i="2"/>
  <c r="H84" i="2"/>
  <c r="F84" i="2"/>
  <c r="E84" i="2"/>
  <c r="D84" i="2"/>
  <c r="AV83" i="2"/>
  <c r="AU83" i="2"/>
  <c r="AT83" i="2"/>
  <c r="AS83" i="2"/>
  <c r="AR83" i="2"/>
  <c r="AQ83" i="2"/>
  <c r="AP83" i="2"/>
  <c r="AO83" i="2"/>
  <c r="AN83" i="2"/>
  <c r="AM83" i="2"/>
  <c r="AB83" i="2"/>
  <c r="AA83" i="2"/>
  <c r="Z83" i="2"/>
  <c r="Y83" i="2"/>
  <c r="X83" i="2"/>
  <c r="W83" i="2"/>
  <c r="V83" i="2"/>
  <c r="U83" i="2"/>
  <c r="T83" i="2"/>
  <c r="S83" i="2"/>
  <c r="L83" i="2"/>
  <c r="I83" i="2"/>
  <c r="H83" i="2"/>
  <c r="F83" i="2"/>
  <c r="E83" i="2"/>
  <c r="D83" i="2"/>
  <c r="AV82" i="2"/>
  <c r="AU82" i="2"/>
  <c r="AT82" i="2"/>
  <c r="AS82" i="2"/>
  <c r="AR82" i="2"/>
  <c r="AQ82" i="2"/>
  <c r="AP82" i="2"/>
  <c r="AO82" i="2"/>
  <c r="AN82" i="2"/>
  <c r="AM82" i="2"/>
  <c r="AJ82" i="2"/>
  <c r="AG82" i="2"/>
  <c r="AF82" i="2"/>
  <c r="AB82" i="2"/>
  <c r="W82" i="2"/>
  <c r="U82" i="2"/>
  <c r="T82" i="2"/>
  <c r="S82" i="2"/>
  <c r="R82" i="2"/>
  <c r="K82" i="2"/>
  <c r="F82" i="2"/>
  <c r="A82" i="2"/>
  <c r="AV81" i="2"/>
  <c r="AU81" i="2"/>
  <c r="AT81" i="2"/>
  <c r="AS81" i="2"/>
  <c r="AR81" i="2"/>
  <c r="AQ81" i="2"/>
  <c r="AP81" i="2"/>
  <c r="AO81" i="2"/>
  <c r="AN81" i="2"/>
  <c r="AM81" i="2"/>
  <c r="I81" i="2"/>
  <c r="H81" i="2"/>
  <c r="F81" i="2"/>
  <c r="E81" i="2"/>
  <c r="D81" i="2"/>
  <c r="AV80" i="2"/>
  <c r="AU80" i="2"/>
  <c r="AT80" i="2"/>
  <c r="AS80" i="2"/>
  <c r="AR80" i="2"/>
  <c r="AQ80" i="2"/>
  <c r="AP80" i="2"/>
  <c r="AO80" i="2"/>
  <c r="AN80" i="2"/>
  <c r="AM80" i="2"/>
  <c r="AB80" i="2"/>
  <c r="AA80" i="2"/>
  <c r="Z80" i="2"/>
  <c r="Y80" i="2"/>
  <c r="X80" i="2"/>
  <c r="W80" i="2"/>
  <c r="V80" i="2"/>
  <c r="U80" i="2"/>
  <c r="T80" i="2"/>
  <c r="S80" i="2"/>
  <c r="L80" i="2"/>
  <c r="I80" i="2"/>
  <c r="H80" i="2"/>
  <c r="F80" i="2"/>
  <c r="E80" i="2"/>
  <c r="D80" i="2"/>
  <c r="AV79" i="2"/>
  <c r="AU79" i="2"/>
  <c r="AT79" i="2"/>
  <c r="AS79" i="2"/>
  <c r="AR79" i="2"/>
  <c r="AQ79" i="2"/>
  <c r="AP79" i="2"/>
  <c r="AO79" i="2"/>
  <c r="AN79" i="2"/>
  <c r="AM79" i="2"/>
  <c r="AJ79" i="2"/>
  <c r="AG79" i="2"/>
  <c r="AF79" i="2"/>
  <c r="AE79" i="2"/>
  <c r="AB79" i="2"/>
  <c r="W79" i="2"/>
  <c r="U79" i="2"/>
  <c r="T79" i="2"/>
  <c r="S79" i="2"/>
  <c r="R79" i="2"/>
  <c r="K79" i="2"/>
  <c r="A79" i="2"/>
  <c r="AV78" i="2"/>
  <c r="AU78" i="2"/>
  <c r="AT78" i="2"/>
  <c r="AS78" i="2"/>
  <c r="AR78" i="2"/>
  <c r="AQ78" i="2"/>
  <c r="AP78" i="2"/>
  <c r="AO78" i="2"/>
  <c r="AN78" i="2"/>
  <c r="AM78" i="2"/>
  <c r="I78" i="2"/>
  <c r="H78" i="2"/>
  <c r="F78" i="2"/>
  <c r="E78" i="2"/>
  <c r="D78" i="2"/>
  <c r="AV77" i="2"/>
  <c r="AU77" i="2"/>
  <c r="AT77" i="2"/>
  <c r="AS77" i="2"/>
  <c r="AR77" i="2"/>
  <c r="AQ77" i="2"/>
  <c r="AP77" i="2"/>
  <c r="AO77" i="2"/>
  <c r="AN77" i="2"/>
  <c r="AM77" i="2"/>
  <c r="AB77" i="2"/>
  <c r="AA77" i="2"/>
  <c r="Z77" i="2"/>
  <c r="Y77" i="2"/>
  <c r="X77" i="2"/>
  <c r="W77" i="2"/>
  <c r="V77" i="2"/>
  <c r="U77" i="2"/>
  <c r="T77" i="2"/>
  <c r="S77" i="2"/>
  <c r="L77" i="2"/>
  <c r="I77" i="2"/>
  <c r="H77" i="2"/>
  <c r="F77" i="2"/>
  <c r="E77" i="2"/>
  <c r="D77" i="2"/>
  <c r="AV76" i="2"/>
  <c r="AU76" i="2"/>
  <c r="AT76" i="2"/>
  <c r="AS76" i="2"/>
  <c r="AR76" i="2"/>
  <c r="AQ76" i="2"/>
  <c r="AP76" i="2"/>
  <c r="AO76" i="2"/>
  <c r="AN76" i="2"/>
  <c r="AM76" i="2"/>
  <c r="AJ76" i="2"/>
  <c r="AG76" i="2"/>
  <c r="AF76" i="2"/>
  <c r="AE76" i="2"/>
  <c r="AB76" i="2"/>
  <c r="W76" i="2"/>
  <c r="U76" i="2"/>
  <c r="T76" i="2"/>
  <c r="S76" i="2"/>
  <c r="R76" i="2"/>
  <c r="K76" i="2"/>
  <c r="A76" i="2"/>
  <c r="AV75" i="2"/>
  <c r="AU75" i="2"/>
  <c r="AT75" i="2"/>
  <c r="AS75" i="2"/>
  <c r="AR75" i="2"/>
  <c r="AQ75" i="2"/>
  <c r="AP75" i="2"/>
  <c r="AO75" i="2"/>
  <c r="AN75" i="2"/>
  <c r="AM75" i="2"/>
  <c r="I75" i="2"/>
  <c r="H75" i="2"/>
  <c r="F75" i="2"/>
  <c r="E75" i="2"/>
  <c r="D75" i="2"/>
  <c r="AV74" i="2"/>
  <c r="AU74" i="2"/>
  <c r="AT74" i="2"/>
  <c r="AS74" i="2"/>
  <c r="AR74" i="2"/>
  <c r="AQ74" i="2"/>
  <c r="AP74" i="2"/>
  <c r="AO74" i="2"/>
  <c r="AN74" i="2"/>
  <c r="AM74" i="2"/>
  <c r="AB74" i="2"/>
  <c r="AA74" i="2"/>
  <c r="Z74" i="2"/>
  <c r="Y74" i="2"/>
  <c r="X74" i="2"/>
  <c r="W74" i="2"/>
  <c r="V74" i="2"/>
  <c r="U74" i="2"/>
  <c r="T74" i="2"/>
  <c r="S74" i="2"/>
  <c r="L74" i="2"/>
  <c r="I74" i="2"/>
  <c r="H74" i="2"/>
  <c r="F74" i="2"/>
  <c r="E74" i="2"/>
  <c r="D74" i="2"/>
  <c r="AV73" i="2"/>
  <c r="AU73" i="2"/>
  <c r="AT73" i="2"/>
  <c r="AS73" i="2"/>
  <c r="AR73" i="2"/>
  <c r="AQ73" i="2"/>
  <c r="AP73" i="2"/>
  <c r="AO73" i="2"/>
  <c r="AN73" i="2"/>
  <c r="AM73" i="2"/>
  <c r="AJ73" i="2"/>
  <c r="AG73" i="2"/>
  <c r="AF73" i="2"/>
  <c r="AB73" i="2"/>
  <c r="W73" i="2"/>
  <c r="U73" i="2"/>
  <c r="T73" i="2"/>
  <c r="S73" i="2"/>
  <c r="R73" i="2"/>
  <c r="K73" i="2"/>
  <c r="A73" i="2"/>
  <c r="AV72" i="2"/>
  <c r="AU72" i="2"/>
  <c r="AT72" i="2"/>
  <c r="AS72" i="2"/>
  <c r="AR72" i="2"/>
  <c r="AQ72" i="2"/>
  <c r="AP72" i="2"/>
  <c r="AO72" i="2"/>
  <c r="AN72" i="2"/>
  <c r="AM72" i="2"/>
  <c r="I72" i="2"/>
  <c r="H72" i="2"/>
  <c r="F72" i="2"/>
  <c r="E72" i="2"/>
  <c r="D72" i="2"/>
  <c r="AV71" i="2"/>
  <c r="AU71" i="2"/>
  <c r="AT71" i="2"/>
  <c r="AS71" i="2"/>
  <c r="AR71" i="2"/>
  <c r="AQ71" i="2"/>
  <c r="AP71" i="2"/>
  <c r="AO71" i="2"/>
  <c r="AN71" i="2"/>
  <c r="AM71" i="2"/>
  <c r="AB71" i="2"/>
  <c r="AA71" i="2"/>
  <c r="Z71" i="2"/>
  <c r="Y71" i="2"/>
  <c r="X71" i="2"/>
  <c r="W71" i="2"/>
  <c r="V71" i="2"/>
  <c r="U71" i="2"/>
  <c r="T71" i="2"/>
  <c r="S71" i="2"/>
  <c r="L71" i="2"/>
  <c r="I71" i="2"/>
  <c r="H71" i="2"/>
  <c r="F71" i="2"/>
  <c r="E71" i="2"/>
  <c r="D71" i="2"/>
  <c r="AV70" i="2"/>
  <c r="AU70" i="2"/>
  <c r="AT70" i="2"/>
  <c r="AS70" i="2"/>
  <c r="AR70" i="2"/>
  <c r="AQ70" i="2"/>
  <c r="AP70" i="2"/>
  <c r="AO70" i="2"/>
  <c r="AN70" i="2"/>
  <c r="AM70" i="2"/>
  <c r="AJ70" i="2"/>
  <c r="AG70" i="2"/>
  <c r="AF70" i="2"/>
  <c r="AB70" i="2"/>
  <c r="W70" i="2"/>
  <c r="U70" i="2"/>
  <c r="T70" i="2"/>
  <c r="S70" i="2"/>
  <c r="R70" i="2"/>
  <c r="K70" i="2"/>
  <c r="A70" i="2"/>
  <c r="AV69" i="2"/>
  <c r="AU69" i="2"/>
  <c r="AT69" i="2"/>
  <c r="AS69" i="2"/>
  <c r="AR69" i="2"/>
  <c r="AQ69" i="2"/>
  <c r="AP69" i="2"/>
  <c r="AO69" i="2"/>
  <c r="AN69" i="2"/>
  <c r="AM69" i="2"/>
  <c r="I69" i="2"/>
  <c r="H69" i="2"/>
  <c r="F69" i="2"/>
  <c r="E69" i="2"/>
  <c r="D69" i="2"/>
  <c r="AV68" i="2"/>
  <c r="AU68" i="2"/>
  <c r="AT68" i="2"/>
  <c r="AS68" i="2"/>
  <c r="AR68" i="2"/>
  <c r="AQ68" i="2"/>
  <c r="AP68" i="2"/>
  <c r="AO68" i="2"/>
  <c r="AN68" i="2"/>
  <c r="AM68" i="2"/>
  <c r="AB68" i="2"/>
  <c r="AA68" i="2"/>
  <c r="Z68" i="2"/>
  <c r="Y68" i="2"/>
  <c r="X68" i="2"/>
  <c r="W68" i="2"/>
  <c r="V68" i="2"/>
  <c r="U68" i="2"/>
  <c r="T68" i="2"/>
  <c r="S68" i="2"/>
  <c r="R68" i="2"/>
  <c r="L68" i="2"/>
  <c r="I68" i="2"/>
  <c r="H68" i="2"/>
  <c r="F68" i="2"/>
  <c r="E68" i="2"/>
  <c r="D68" i="2"/>
  <c r="AV67" i="2"/>
  <c r="AU67" i="2"/>
  <c r="AT67" i="2"/>
  <c r="AS67" i="2"/>
  <c r="AR67" i="2"/>
  <c r="AQ67" i="2"/>
  <c r="AP67" i="2"/>
  <c r="AO67" i="2"/>
  <c r="AN67" i="2"/>
  <c r="AM67" i="2"/>
  <c r="AJ67" i="2"/>
  <c r="AG67" i="2"/>
  <c r="AF67" i="2"/>
  <c r="AE67" i="2"/>
  <c r="AB67" i="2"/>
  <c r="W67" i="2"/>
  <c r="U67" i="2"/>
  <c r="T67" i="2"/>
  <c r="S67" i="2"/>
  <c r="R67" i="2"/>
  <c r="K67" i="2"/>
  <c r="A67" i="2"/>
  <c r="AV66" i="2"/>
  <c r="AU66" i="2"/>
  <c r="AT66" i="2"/>
  <c r="AS66" i="2"/>
  <c r="AR66" i="2"/>
  <c r="AQ66" i="2"/>
  <c r="AP66" i="2"/>
  <c r="AO66" i="2"/>
  <c r="AN66" i="2"/>
  <c r="AM66" i="2"/>
  <c r="I66" i="2"/>
  <c r="H66" i="2"/>
  <c r="F66" i="2"/>
  <c r="E66" i="2"/>
  <c r="D66" i="2"/>
  <c r="AV65" i="2"/>
  <c r="AU65" i="2"/>
  <c r="AT65" i="2"/>
  <c r="AS65" i="2"/>
  <c r="AR65" i="2"/>
  <c r="AQ65" i="2"/>
  <c r="AP65" i="2"/>
  <c r="AO65" i="2"/>
  <c r="AN65" i="2"/>
  <c r="AM65" i="2"/>
  <c r="AB65" i="2"/>
  <c r="AA65" i="2"/>
  <c r="Z65" i="2"/>
  <c r="Y65" i="2"/>
  <c r="X65" i="2"/>
  <c r="W65" i="2"/>
  <c r="V65" i="2"/>
  <c r="U65" i="2"/>
  <c r="T65" i="2"/>
  <c r="S65" i="2"/>
  <c r="R65" i="2"/>
  <c r="L65" i="2"/>
  <c r="I65" i="2"/>
  <c r="H65" i="2"/>
  <c r="F65" i="2"/>
  <c r="E65" i="2"/>
  <c r="D65" i="2"/>
  <c r="AV64" i="2"/>
  <c r="AU64" i="2"/>
  <c r="AT64" i="2"/>
  <c r="AS64" i="2"/>
  <c r="AR64" i="2"/>
  <c r="AQ64" i="2"/>
  <c r="AP64" i="2"/>
  <c r="AO64" i="2"/>
  <c r="AN64" i="2"/>
  <c r="AM64" i="2"/>
  <c r="AJ64" i="2"/>
  <c r="AG64" i="2"/>
  <c r="AF64" i="2"/>
  <c r="AB64" i="2"/>
  <c r="W64" i="2"/>
  <c r="U64" i="2"/>
  <c r="T64" i="2"/>
  <c r="S64" i="2"/>
  <c r="R64" i="2"/>
  <c r="K64" i="2"/>
  <c r="A64" i="2"/>
  <c r="AV63" i="2"/>
  <c r="AU63" i="2"/>
  <c r="AT63" i="2"/>
  <c r="AS63" i="2"/>
  <c r="AR63" i="2"/>
  <c r="AQ63" i="2"/>
  <c r="AP63" i="2"/>
  <c r="AO63" i="2"/>
  <c r="AN63" i="2"/>
  <c r="AM63" i="2"/>
  <c r="I63" i="2"/>
  <c r="H63" i="2"/>
  <c r="F63" i="2"/>
  <c r="E63" i="2"/>
  <c r="D63" i="2"/>
  <c r="AV62" i="2"/>
  <c r="AU62" i="2"/>
  <c r="AT62" i="2"/>
  <c r="AS62" i="2"/>
  <c r="AR62" i="2"/>
  <c r="AQ62" i="2"/>
  <c r="AP62" i="2"/>
  <c r="AO62" i="2"/>
  <c r="AN62" i="2"/>
  <c r="AM62" i="2"/>
  <c r="AB62" i="2"/>
  <c r="AA62" i="2"/>
  <c r="Z62" i="2"/>
  <c r="Y62" i="2"/>
  <c r="X62" i="2"/>
  <c r="W62" i="2"/>
  <c r="V62" i="2"/>
  <c r="U62" i="2"/>
  <c r="T62" i="2"/>
  <c r="S62" i="2"/>
  <c r="R62" i="2"/>
  <c r="L62" i="2"/>
  <c r="I62" i="2"/>
  <c r="H62" i="2"/>
  <c r="F62" i="2"/>
  <c r="E62" i="2"/>
  <c r="D62" i="2"/>
  <c r="AV61" i="2"/>
  <c r="AU61" i="2"/>
  <c r="AT61" i="2"/>
  <c r="AS61" i="2"/>
  <c r="AR61" i="2"/>
  <c r="AQ61" i="2"/>
  <c r="AP61" i="2"/>
  <c r="AO61" i="2"/>
  <c r="AN61" i="2"/>
  <c r="AM61" i="2"/>
  <c r="AJ61" i="2"/>
  <c r="AG61" i="2"/>
  <c r="AF61" i="2"/>
  <c r="AE61" i="2"/>
  <c r="AB61" i="2"/>
  <c r="W61" i="2"/>
  <c r="U61" i="2"/>
  <c r="T61" i="2"/>
  <c r="S61" i="2"/>
  <c r="R61" i="2"/>
  <c r="K61" i="2"/>
  <c r="F61" i="2"/>
  <c r="A61" i="2"/>
  <c r="AV60" i="2"/>
  <c r="AU60" i="2"/>
  <c r="AT60" i="2"/>
  <c r="AS60" i="2"/>
  <c r="AR60" i="2"/>
  <c r="AQ60" i="2"/>
  <c r="AP60" i="2"/>
  <c r="AO60" i="2"/>
  <c r="AN60" i="2"/>
  <c r="AM60" i="2"/>
  <c r="I60" i="2"/>
  <c r="H60" i="2"/>
  <c r="F60" i="2"/>
  <c r="E60" i="2"/>
  <c r="D60" i="2"/>
  <c r="AV59" i="2"/>
  <c r="AU59" i="2"/>
  <c r="AT59" i="2"/>
  <c r="AS59" i="2"/>
  <c r="AR59" i="2"/>
  <c r="AQ59" i="2"/>
  <c r="AP59" i="2"/>
  <c r="AO59" i="2"/>
  <c r="AN59" i="2"/>
  <c r="AM59" i="2"/>
  <c r="AB59" i="2"/>
  <c r="AA59" i="2"/>
  <c r="Z59" i="2"/>
  <c r="Y59" i="2"/>
  <c r="X59" i="2"/>
  <c r="W59" i="2"/>
  <c r="V59" i="2"/>
  <c r="U59" i="2"/>
  <c r="T59" i="2"/>
  <c r="S59" i="2"/>
  <c r="R59" i="2"/>
  <c r="L59" i="2"/>
  <c r="I59" i="2"/>
  <c r="H59" i="2"/>
  <c r="F59" i="2"/>
  <c r="E59" i="2"/>
  <c r="D59" i="2"/>
  <c r="AV58" i="2"/>
  <c r="AU58" i="2"/>
  <c r="AT58" i="2"/>
  <c r="AS58" i="2"/>
  <c r="AR58" i="2"/>
  <c r="AQ58" i="2"/>
  <c r="AP58" i="2"/>
  <c r="AO58" i="2"/>
  <c r="AN58" i="2"/>
  <c r="AM58" i="2"/>
  <c r="AJ58" i="2"/>
  <c r="AG58" i="2"/>
  <c r="AF58" i="2"/>
  <c r="AE58" i="2"/>
  <c r="AB58" i="2"/>
  <c r="W58" i="2"/>
  <c r="U58" i="2"/>
  <c r="T58" i="2"/>
  <c r="S58" i="2"/>
  <c r="R58" i="2"/>
  <c r="K58" i="2"/>
  <c r="A58" i="2"/>
  <c r="AV57" i="2"/>
  <c r="AU57" i="2"/>
  <c r="AT57" i="2"/>
  <c r="AS57" i="2"/>
  <c r="AR57" i="2"/>
  <c r="AQ57" i="2"/>
  <c r="AP57" i="2"/>
  <c r="AO57" i="2"/>
  <c r="AN57" i="2"/>
  <c r="AM57" i="2"/>
  <c r="I57" i="2"/>
  <c r="H57" i="2"/>
  <c r="F57" i="2"/>
  <c r="E57" i="2"/>
  <c r="D57" i="2"/>
  <c r="AV56" i="2"/>
  <c r="AU56" i="2"/>
  <c r="AT56" i="2"/>
  <c r="AS56" i="2"/>
  <c r="AR56" i="2"/>
  <c r="AQ56" i="2"/>
  <c r="AP56" i="2"/>
  <c r="AO56" i="2"/>
  <c r="AN56" i="2"/>
  <c r="AM56" i="2"/>
  <c r="AB56" i="2"/>
  <c r="AA56" i="2"/>
  <c r="Z56" i="2"/>
  <c r="Y56" i="2"/>
  <c r="X56" i="2"/>
  <c r="W56" i="2"/>
  <c r="V56" i="2"/>
  <c r="U56" i="2"/>
  <c r="T56" i="2"/>
  <c r="S56" i="2"/>
  <c r="R56" i="2"/>
  <c r="L56" i="2"/>
  <c r="I56" i="2"/>
  <c r="H56" i="2"/>
  <c r="F56" i="2"/>
  <c r="E56" i="2"/>
  <c r="D56" i="2"/>
  <c r="AV55" i="2"/>
  <c r="AU55" i="2"/>
  <c r="AT55" i="2"/>
  <c r="AS55" i="2"/>
  <c r="AR55" i="2"/>
  <c r="AQ55" i="2"/>
  <c r="AP55" i="2"/>
  <c r="AO55" i="2"/>
  <c r="AN55" i="2"/>
  <c r="AM55" i="2"/>
  <c r="AJ55" i="2"/>
  <c r="AG55" i="2"/>
  <c r="AF55" i="2"/>
  <c r="AE55" i="2"/>
  <c r="AB55" i="2"/>
  <c r="W55" i="2"/>
  <c r="U55" i="2"/>
  <c r="T55" i="2"/>
  <c r="S55" i="2"/>
  <c r="R55" i="2"/>
  <c r="K55" i="2"/>
  <c r="A55" i="2"/>
  <c r="AV54" i="2"/>
  <c r="AU54" i="2"/>
  <c r="AT54" i="2"/>
  <c r="AS54" i="2"/>
  <c r="AR54" i="2"/>
  <c r="AQ54" i="2"/>
  <c r="AP54" i="2"/>
  <c r="AO54" i="2"/>
  <c r="AN54" i="2"/>
  <c r="AM54" i="2"/>
  <c r="I54" i="2"/>
  <c r="H54" i="2"/>
  <c r="F54" i="2"/>
  <c r="E54" i="2"/>
  <c r="D54" i="2"/>
  <c r="AV53" i="2"/>
  <c r="AU53" i="2"/>
  <c r="AT53" i="2"/>
  <c r="AS53" i="2"/>
  <c r="AR53" i="2"/>
  <c r="AQ53" i="2"/>
  <c r="AP53" i="2"/>
  <c r="AO53" i="2"/>
  <c r="AN53" i="2"/>
  <c r="AM53" i="2"/>
  <c r="AB53" i="2"/>
  <c r="AA53" i="2"/>
  <c r="Z53" i="2"/>
  <c r="Y53" i="2"/>
  <c r="X53" i="2"/>
  <c r="W53" i="2"/>
  <c r="V53" i="2"/>
  <c r="U53" i="2"/>
  <c r="T53" i="2"/>
  <c r="S53" i="2"/>
  <c r="R53" i="2"/>
  <c r="L53" i="2"/>
  <c r="I53" i="2"/>
  <c r="H53" i="2"/>
  <c r="F53" i="2"/>
  <c r="E53" i="2"/>
  <c r="D53" i="2"/>
  <c r="AV52" i="2"/>
  <c r="AU52" i="2"/>
  <c r="AT52" i="2"/>
  <c r="AS52" i="2"/>
  <c r="AR52" i="2"/>
  <c r="AQ52" i="2"/>
  <c r="AP52" i="2"/>
  <c r="AO52" i="2"/>
  <c r="AN52" i="2"/>
  <c r="AM52" i="2"/>
  <c r="AJ52" i="2"/>
  <c r="AG52" i="2"/>
  <c r="AF52" i="2"/>
  <c r="AE52" i="2"/>
  <c r="AB52" i="2"/>
  <c r="W52" i="2"/>
  <c r="U52" i="2"/>
  <c r="T52" i="2"/>
  <c r="S52" i="2"/>
  <c r="R52" i="2"/>
  <c r="K52" i="2"/>
  <c r="A52" i="2"/>
  <c r="AV51" i="2"/>
  <c r="AU51" i="2"/>
  <c r="AT51" i="2"/>
  <c r="AS51" i="2"/>
  <c r="AR51" i="2"/>
  <c r="AQ51" i="2"/>
  <c r="AP51" i="2"/>
  <c r="AO51" i="2"/>
  <c r="AN51" i="2"/>
  <c r="AM51" i="2"/>
  <c r="I51" i="2"/>
  <c r="H51" i="2"/>
  <c r="F51" i="2"/>
  <c r="E51" i="2"/>
  <c r="D51" i="2"/>
  <c r="AV50" i="2"/>
  <c r="AU50" i="2"/>
  <c r="AT50" i="2"/>
  <c r="AS50" i="2"/>
  <c r="AR50" i="2"/>
  <c r="AQ50" i="2"/>
  <c r="AP50" i="2"/>
  <c r="AO50" i="2"/>
  <c r="AN50" i="2"/>
  <c r="AM50" i="2"/>
  <c r="AB50" i="2"/>
  <c r="AA50" i="2"/>
  <c r="Z50" i="2"/>
  <c r="Y50" i="2"/>
  <c r="X50" i="2"/>
  <c r="W50" i="2"/>
  <c r="V50" i="2"/>
  <c r="U50" i="2"/>
  <c r="T50" i="2"/>
  <c r="S50" i="2"/>
  <c r="R50" i="2"/>
  <c r="L50" i="2"/>
  <c r="I50" i="2"/>
  <c r="H50" i="2"/>
  <c r="F50" i="2"/>
  <c r="E50" i="2"/>
  <c r="D50" i="2"/>
  <c r="AV49" i="2"/>
  <c r="AU49" i="2"/>
  <c r="AT49" i="2"/>
  <c r="AS49" i="2"/>
  <c r="AR49" i="2"/>
  <c r="AQ49" i="2"/>
  <c r="AP49" i="2"/>
  <c r="AO49" i="2"/>
  <c r="AN49" i="2"/>
  <c r="AM49" i="2"/>
  <c r="AJ49" i="2"/>
  <c r="AG49" i="2"/>
  <c r="AF49" i="2"/>
  <c r="AE49" i="2"/>
  <c r="AB49" i="2"/>
  <c r="W49" i="2"/>
  <c r="U49" i="2"/>
  <c r="T49" i="2"/>
  <c r="S49" i="2"/>
  <c r="R49" i="2"/>
  <c r="K49" i="2"/>
  <c r="F49" i="2"/>
  <c r="A49" i="2"/>
  <c r="AV48" i="2"/>
  <c r="AU48" i="2"/>
  <c r="AT48" i="2"/>
  <c r="AS48" i="2"/>
  <c r="AR48" i="2"/>
  <c r="AQ48" i="2"/>
  <c r="AP48" i="2"/>
  <c r="AO48" i="2"/>
  <c r="AN48" i="2"/>
  <c r="AM48" i="2"/>
  <c r="I48" i="2"/>
  <c r="H48" i="2"/>
  <c r="F48" i="2"/>
  <c r="E48" i="2"/>
  <c r="D48" i="2"/>
  <c r="AV47" i="2"/>
  <c r="AU47" i="2"/>
  <c r="AT47" i="2"/>
  <c r="AS47" i="2"/>
  <c r="AR47" i="2"/>
  <c r="AQ47" i="2"/>
  <c r="AP47" i="2"/>
  <c r="AO47" i="2"/>
  <c r="AN47" i="2"/>
  <c r="AM47" i="2"/>
  <c r="AB47" i="2"/>
  <c r="AA47" i="2"/>
  <c r="Z47" i="2"/>
  <c r="Y47" i="2"/>
  <c r="X47" i="2"/>
  <c r="W47" i="2"/>
  <c r="V47" i="2"/>
  <c r="U47" i="2"/>
  <c r="T47" i="2"/>
  <c r="S47" i="2"/>
  <c r="R47" i="2"/>
  <c r="L47" i="2"/>
  <c r="I47" i="2"/>
  <c r="H47" i="2"/>
  <c r="F47" i="2"/>
  <c r="E47" i="2"/>
  <c r="D47" i="2"/>
  <c r="AV46" i="2"/>
  <c r="AU46" i="2"/>
  <c r="AT46" i="2"/>
  <c r="AS46" i="2"/>
  <c r="AR46" i="2"/>
  <c r="AQ46" i="2"/>
  <c r="AP46" i="2"/>
  <c r="AO46" i="2"/>
  <c r="AN46" i="2"/>
  <c r="AM46" i="2"/>
  <c r="AJ46" i="2"/>
  <c r="AG46" i="2"/>
  <c r="AF46" i="2"/>
  <c r="AB46" i="2"/>
  <c r="W46" i="2"/>
  <c r="U46" i="2"/>
  <c r="T46" i="2"/>
  <c r="S46" i="2"/>
  <c r="R46" i="2"/>
  <c r="K46" i="2"/>
  <c r="F46" i="2"/>
  <c r="A46" i="2"/>
  <c r="AV45" i="2"/>
  <c r="AU45" i="2"/>
  <c r="AT45" i="2"/>
  <c r="AS45" i="2"/>
  <c r="AR45" i="2"/>
  <c r="AQ45" i="2"/>
  <c r="AP45" i="2"/>
  <c r="AO45" i="2"/>
  <c r="AN45" i="2"/>
  <c r="AM45" i="2"/>
  <c r="I45" i="2"/>
  <c r="H45" i="2"/>
  <c r="F45" i="2"/>
  <c r="E45" i="2"/>
  <c r="D45" i="2"/>
  <c r="AV44" i="2"/>
  <c r="AU44" i="2"/>
  <c r="AT44" i="2"/>
  <c r="AS44" i="2"/>
  <c r="AR44" i="2"/>
  <c r="AQ44" i="2"/>
  <c r="AP44" i="2"/>
  <c r="AO44" i="2"/>
  <c r="AN44" i="2"/>
  <c r="AM44" i="2"/>
  <c r="AB44" i="2"/>
  <c r="AA44" i="2"/>
  <c r="Z44" i="2"/>
  <c r="Y44" i="2"/>
  <c r="X44" i="2"/>
  <c r="W44" i="2"/>
  <c r="V44" i="2"/>
  <c r="U44" i="2"/>
  <c r="T44" i="2"/>
  <c r="S44" i="2"/>
  <c r="R44" i="2"/>
  <c r="L44" i="2"/>
  <c r="I44" i="2"/>
  <c r="H44" i="2"/>
  <c r="F44" i="2"/>
  <c r="E44" i="2"/>
  <c r="D44" i="2"/>
  <c r="AV43" i="2"/>
  <c r="AU43" i="2"/>
  <c r="AT43" i="2"/>
  <c r="AS43" i="2"/>
  <c r="AR43" i="2"/>
  <c r="AQ43" i="2"/>
  <c r="AP43" i="2"/>
  <c r="AO43" i="2"/>
  <c r="AN43" i="2"/>
  <c r="AM43" i="2"/>
  <c r="AJ43" i="2"/>
  <c r="AG43" i="2"/>
  <c r="AF43" i="2"/>
  <c r="AB43" i="2"/>
  <c r="W43" i="2"/>
  <c r="U43" i="2"/>
  <c r="T43" i="2"/>
  <c r="S43" i="2"/>
  <c r="R43" i="2"/>
  <c r="K43" i="2"/>
  <c r="F43" i="2"/>
  <c r="A43" i="2"/>
  <c r="AV42" i="2"/>
  <c r="AU42" i="2"/>
  <c r="AT42" i="2"/>
  <c r="AS42" i="2"/>
  <c r="AR42" i="2"/>
  <c r="AQ42" i="2"/>
  <c r="AP42" i="2"/>
  <c r="AO42" i="2"/>
  <c r="AN42" i="2"/>
  <c r="AM42" i="2"/>
  <c r="I42" i="2"/>
  <c r="H42" i="2"/>
  <c r="F42" i="2"/>
  <c r="E42" i="2"/>
  <c r="D42" i="2"/>
  <c r="AV41" i="2"/>
  <c r="AU41" i="2"/>
  <c r="AT41" i="2"/>
  <c r="AS41" i="2"/>
  <c r="AR41" i="2"/>
  <c r="AQ41" i="2"/>
  <c r="AP41" i="2"/>
  <c r="AO41" i="2"/>
  <c r="AN41" i="2"/>
  <c r="AM41" i="2"/>
  <c r="AB41" i="2"/>
  <c r="AA41" i="2"/>
  <c r="Z41" i="2"/>
  <c r="Y41" i="2"/>
  <c r="X41" i="2"/>
  <c r="W41" i="2"/>
  <c r="V41" i="2"/>
  <c r="U41" i="2"/>
  <c r="T41" i="2"/>
  <c r="S41" i="2"/>
  <c r="R41" i="2"/>
  <c r="L41" i="2"/>
  <c r="I41" i="2"/>
  <c r="H41" i="2"/>
  <c r="F41" i="2"/>
  <c r="E41" i="2"/>
  <c r="D41" i="2"/>
  <c r="AV40" i="2"/>
  <c r="AU40" i="2"/>
  <c r="AT40" i="2"/>
  <c r="AS40" i="2"/>
  <c r="AR40" i="2"/>
  <c r="AQ40" i="2"/>
  <c r="AP40" i="2"/>
  <c r="AO40" i="2"/>
  <c r="AN40" i="2"/>
  <c r="AM40" i="2"/>
  <c r="AJ40" i="2"/>
  <c r="AG40" i="2"/>
  <c r="AF40" i="2"/>
  <c r="AB40" i="2"/>
  <c r="W40" i="2"/>
  <c r="U40" i="2"/>
  <c r="T40" i="2"/>
  <c r="S40" i="2"/>
  <c r="R40" i="2"/>
  <c r="K40" i="2"/>
  <c r="A40" i="2"/>
  <c r="AV39" i="2"/>
  <c r="AU39" i="2"/>
  <c r="AT39" i="2"/>
  <c r="AS39" i="2"/>
  <c r="AR39" i="2"/>
  <c r="AQ39" i="2"/>
  <c r="AP39" i="2"/>
  <c r="AO39" i="2"/>
  <c r="AN39" i="2"/>
  <c r="AM39" i="2"/>
  <c r="I39" i="2"/>
  <c r="H39" i="2"/>
  <c r="F39" i="2"/>
  <c r="E39" i="2"/>
  <c r="D39" i="2"/>
  <c r="AV38" i="2"/>
  <c r="AU38" i="2"/>
  <c r="AT38" i="2"/>
  <c r="AS38" i="2"/>
  <c r="AR38" i="2"/>
  <c r="AQ38" i="2"/>
  <c r="AP38" i="2"/>
  <c r="AO38" i="2"/>
  <c r="AN38" i="2"/>
  <c r="AM38" i="2"/>
  <c r="AB38" i="2"/>
  <c r="AA38" i="2"/>
  <c r="Z38" i="2"/>
  <c r="Y38" i="2"/>
  <c r="X38" i="2"/>
  <c r="W38" i="2"/>
  <c r="V38" i="2"/>
  <c r="U38" i="2"/>
  <c r="T38" i="2"/>
  <c r="S38" i="2"/>
  <c r="R38" i="2"/>
  <c r="L38" i="2"/>
  <c r="I38" i="2"/>
  <c r="H38" i="2"/>
  <c r="F38" i="2"/>
  <c r="E38" i="2"/>
  <c r="D38" i="2"/>
  <c r="AV37" i="2"/>
  <c r="AU37" i="2"/>
  <c r="AT37" i="2"/>
  <c r="AS37" i="2"/>
  <c r="AR37" i="2"/>
  <c r="AQ37" i="2"/>
  <c r="AP37" i="2"/>
  <c r="AO37" i="2"/>
  <c r="AN37" i="2"/>
  <c r="AM37" i="2"/>
  <c r="AJ37" i="2"/>
  <c r="AG37" i="2"/>
  <c r="AF37" i="2"/>
  <c r="AB37" i="2"/>
  <c r="W37" i="2"/>
  <c r="U37" i="2"/>
  <c r="T37" i="2"/>
  <c r="S37" i="2"/>
  <c r="R37" i="2"/>
  <c r="K37" i="2"/>
  <c r="F37" i="2"/>
  <c r="A37" i="2"/>
  <c r="AV36" i="2"/>
  <c r="AU36" i="2"/>
  <c r="AT36" i="2"/>
  <c r="AS36" i="2"/>
  <c r="AR36" i="2"/>
  <c r="AQ36" i="2"/>
  <c r="AP36" i="2"/>
  <c r="AO36" i="2"/>
  <c r="AN36" i="2"/>
  <c r="AM36" i="2"/>
  <c r="I36" i="2"/>
  <c r="H36" i="2"/>
  <c r="F36" i="2"/>
  <c r="E36" i="2"/>
  <c r="D36" i="2"/>
  <c r="AV35" i="2"/>
  <c r="AU35" i="2"/>
  <c r="AT35" i="2"/>
  <c r="AS35" i="2"/>
  <c r="AR35" i="2"/>
  <c r="AQ35" i="2"/>
  <c r="AP35" i="2"/>
  <c r="AO35" i="2"/>
  <c r="AN35" i="2"/>
  <c r="AM35" i="2"/>
  <c r="AB35" i="2"/>
  <c r="AA35" i="2"/>
  <c r="Z35" i="2"/>
  <c r="Y35" i="2"/>
  <c r="X35" i="2"/>
  <c r="W35" i="2"/>
  <c r="V35" i="2"/>
  <c r="U35" i="2"/>
  <c r="T35" i="2"/>
  <c r="S35" i="2"/>
  <c r="R35" i="2"/>
  <c r="L35" i="2"/>
  <c r="I35" i="2"/>
  <c r="H35" i="2"/>
  <c r="F35" i="2"/>
  <c r="E35" i="2"/>
  <c r="D35" i="2"/>
  <c r="AV34" i="2"/>
  <c r="AU34" i="2"/>
  <c r="AT34" i="2"/>
  <c r="AS34" i="2"/>
  <c r="AR34" i="2"/>
  <c r="AQ34" i="2"/>
  <c r="AP34" i="2"/>
  <c r="AO34" i="2"/>
  <c r="AN34" i="2"/>
  <c r="AM34" i="2"/>
  <c r="AJ34" i="2"/>
  <c r="AG34" i="2"/>
  <c r="AF34" i="2"/>
  <c r="AB34" i="2"/>
  <c r="W34" i="2"/>
  <c r="U34" i="2"/>
  <c r="T34" i="2"/>
  <c r="S34" i="2"/>
  <c r="R34" i="2"/>
  <c r="K34" i="2"/>
  <c r="F34" i="2"/>
  <c r="A34" i="2"/>
  <c r="AV33" i="2"/>
  <c r="AU33" i="2"/>
  <c r="AT33" i="2"/>
  <c r="AS33" i="2"/>
  <c r="AR33" i="2"/>
  <c r="AQ33" i="2"/>
  <c r="AP33" i="2"/>
  <c r="AO33" i="2"/>
  <c r="AN33" i="2"/>
  <c r="AM33" i="2"/>
  <c r="I33" i="2"/>
  <c r="H33" i="2"/>
  <c r="F33" i="2"/>
  <c r="E33" i="2"/>
  <c r="D33" i="2"/>
  <c r="AV32" i="2"/>
  <c r="AU32" i="2"/>
  <c r="AT32" i="2"/>
  <c r="AS32" i="2"/>
  <c r="AR32" i="2"/>
  <c r="AQ32" i="2"/>
  <c r="AP32" i="2"/>
  <c r="AO32" i="2"/>
  <c r="AN32" i="2"/>
  <c r="AM32" i="2"/>
  <c r="AB32" i="2"/>
  <c r="AA32" i="2"/>
  <c r="Z32" i="2"/>
  <c r="Y32" i="2"/>
  <c r="X32" i="2"/>
  <c r="W32" i="2"/>
  <c r="V32" i="2"/>
  <c r="U32" i="2"/>
  <c r="T32" i="2"/>
  <c r="S32" i="2"/>
  <c r="R32" i="2"/>
  <c r="L32" i="2"/>
  <c r="I32" i="2"/>
  <c r="H32" i="2"/>
  <c r="F32" i="2"/>
  <c r="E32" i="2"/>
  <c r="D32" i="2"/>
  <c r="AV31" i="2"/>
  <c r="AU31" i="2"/>
  <c r="AT31" i="2"/>
  <c r="AS31" i="2"/>
  <c r="AR31" i="2"/>
  <c r="AQ31" i="2"/>
  <c r="AP31" i="2"/>
  <c r="AO31" i="2"/>
  <c r="AN31" i="2"/>
  <c r="AM31" i="2"/>
  <c r="AJ31" i="2"/>
  <c r="AG31" i="2"/>
  <c r="AF31" i="2"/>
  <c r="AB31" i="2"/>
  <c r="W31" i="2"/>
  <c r="U31" i="2"/>
  <c r="T31" i="2"/>
  <c r="S31" i="2"/>
  <c r="R31" i="2"/>
  <c r="K31" i="2"/>
  <c r="F31" i="2"/>
  <c r="A31" i="2"/>
  <c r="AV30" i="2"/>
  <c r="AU30" i="2"/>
  <c r="AT30" i="2"/>
  <c r="AS30" i="2"/>
  <c r="AR30" i="2"/>
  <c r="AQ30" i="2"/>
  <c r="AP30" i="2"/>
  <c r="AO30" i="2"/>
  <c r="AN30" i="2"/>
  <c r="AM30" i="2"/>
  <c r="I30" i="2"/>
  <c r="H30" i="2"/>
  <c r="F30" i="2"/>
  <c r="E30" i="2"/>
  <c r="D30" i="2"/>
  <c r="AV29" i="2"/>
  <c r="AU29" i="2"/>
  <c r="AT29" i="2"/>
  <c r="AS29" i="2"/>
  <c r="AR29" i="2"/>
  <c r="AQ29" i="2"/>
  <c r="AP29" i="2"/>
  <c r="AO29" i="2"/>
  <c r="AN29" i="2"/>
  <c r="AM29" i="2"/>
  <c r="AB29" i="2"/>
  <c r="AA29" i="2"/>
  <c r="Z29" i="2"/>
  <c r="Y29" i="2"/>
  <c r="X29" i="2"/>
  <c r="W29" i="2"/>
  <c r="V29" i="2"/>
  <c r="U29" i="2"/>
  <c r="T29" i="2"/>
  <c r="S29" i="2"/>
  <c r="R29" i="2"/>
  <c r="L29" i="2"/>
  <c r="I29" i="2"/>
  <c r="H29" i="2"/>
  <c r="F29" i="2"/>
  <c r="E29" i="2"/>
  <c r="D29" i="2"/>
  <c r="AV28" i="2"/>
  <c r="AU28" i="2"/>
  <c r="AT28" i="2"/>
  <c r="AS28" i="2"/>
  <c r="AR28" i="2"/>
  <c r="AQ28" i="2"/>
  <c r="AP28" i="2"/>
  <c r="AO28" i="2"/>
  <c r="AN28" i="2"/>
  <c r="AM28" i="2"/>
  <c r="AJ28" i="2"/>
  <c r="AG28" i="2"/>
  <c r="AF28" i="2"/>
  <c r="AE28" i="2"/>
  <c r="AB28" i="2"/>
  <c r="W28" i="2"/>
  <c r="U28" i="2"/>
  <c r="T28" i="2"/>
  <c r="S28" i="2"/>
  <c r="R28" i="2"/>
  <c r="K28" i="2"/>
  <c r="A28" i="2"/>
  <c r="AV27" i="2"/>
  <c r="AU27" i="2"/>
  <c r="AT27" i="2"/>
  <c r="AS27" i="2"/>
  <c r="AR27" i="2"/>
  <c r="AQ27" i="2"/>
  <c r="AP27" i="2"/>
  <c r="AO27" i="2"/>
  <c r="AN27" i="2"/>
  <c r="AM27" i="2"/>
  <c r="I27" i="2"/>
  <c r="H27" i="2"/>
  <c r="F27" i="2"/>
  <c r="E27" i="2"/>
  <c r="D27" i="2"/>
  <c r="AV26" i="2"/>
  <c r="AU26" i="2"/>
  <c r="AT26" i="2"/>
  <c r="AS26" i="2"/>
  <c r="AR26" i="2"/>
  <c r="AQ26" i="2"/>
  <c r="AP26" i="2"/>
  <c r="AO26" i="2"/>
  <c r="AN26" i="2"/>
  <c r="AM26" i="2"/>
  <c r="AB26" i="2"/>
  <c r="AA26" i="2"/>
  <c r="Z26" i="2"/>
  <c r="Y26" i="2"/>
  <c r="X26" i="2"/>
  <c r="W26" i="2"/>
  <c r="V26" i="2"/>
  <c r="U26" i="2"/>
  <c r="T26" i="2"/>
  <c r="S26" i="2"/>
  <c r="R26" i="2"/>
  <c r="L26" i="2"/>
  <c r="I26" i="2"/>
  <c r="H26" i="2"/>
  <c r="F26" i="2"/>
  <c r="E26" i="2"/>
  <c r="D26" i="2"/>
  <c r="AV25" i="2"/>
  <c r="AU25" i="2"/>
  <c r="AT25" i="2"/>
  <c r="AS25" i="2"/>
  <c r="AR25" i="2"/>
  <c r="AQ25" i="2"/>
  <c r="AP25" i="2"/>
  <c r="AO25" i="2"/>
  <c r="AN25" i="2"/>
  <c r="AM25" i="2"/>
  <c r="AJ25" i="2"/>
  <c r="AG25" i="2"/>
  <c r="AF25" i="2"/>
  <c r="AE25" i="2"/>
  <c r="AB25" i="2"/>
  <c r="W25" i="2"/>
  <c r="U25" i="2"/>
  <c r="T25" i="2"/>
  <c r="S25" i="2"/>
  <c r="R25" i="2"/>
  <c r="K25" i="2"/>
  <c r="A25" i="2"/>
  <c r="AV24" i="2"/>
  <c r="AU24" i="2"/>
  <c r="AT24" i="2"/>
  <c r="AS24" i="2"/>
  <c r="AR24" i="2"/>
  <c r="AQ24" i="2"/>
  <c r="AP24" i="2"/>
  <c r="AO24" i="2"/>
  <c r="AN24" i="2"/>
  <c r="AM24" i="2"/>
  <c r="I24" i="2"/>
  <c r="H24" i="2"/>
  <c r="F24" i="2"/>
  <c r="E24" i="2"/>
  <c r="D24" i="2"/>
  <c r="AV23" i="2"/>
  <c r="AU23" i="2"/>
  <c r="AT23" i="2"/>
  <c r="AS23" i="2"/>
  <c r="AR23" i="2"/>
  <c r="AQ23" i="2"/>
  <c r="AP23" i="2"/>
  <c r="AO23" i="2"/>
  <c r="AN23" i="2"/>
  <c r="AM23" i="2"/>
  <c r="AB23" i="2"/>
  <c r="AA23" i="2"/>
  <c r="Z23" i="2"/>
  <c r="Y23" i="2"/>
  <c r="X23" i="2"/>
  <c r="W23" i="2"/>
  <c r="V23" i="2"/>
  <c r="U23" i="2"/>
  <c r="T23" i="2"/>
  <c r="S23" i="2"/>
  <c r="R23" i="2"/>
  <c r="L23" i="2"/>
  <c r="I23" i="2"/>
  <c r="H23" i="2"/>
  <c r="F23" i="2"/>
  <c r="E23" i="2"/>
  <c r="D23" i="2"/>
  <c r="AV22" i="2"/>
  <c r="AU22" i="2"/>
  <c r="AT22" i="2"/>
  <c r="AS22" i="2"/>
  <c r="AR22" i="2"/>
  <c r="AQ22" i="2"/>
  <c r="AP22" i="2"/>
  <c r="AO22" i="2"/>
  <c r="AN22" i="2"/>
  <c r="AM22" i="2"/>
  <c r="AJ22" i="2"/>
  <c r="AG22" i="2"/>
  <c r="AF22" i="2"/>
  <c r="AB22" i="2"/>
  <c r="W22" i="2"/>
  <c r="U22" i="2"/>
  <c r="T22" i="2"/>
  <c r="S22" i="2"/>
  <c r="R22" i="2"/>
  <c r="K22" i="2"/>
  <c r="A22" i="2"/>
  <c r="AV21" i="2"/>
  <c r="AU21" i="2"/>
  <c r="AT21" i="2"/>
  <c r="AS21" i="2"/>
  <c r="AR21" i="2"/>
  <c r="AQ21" i="2"/>
  <c r="AP21" i="2"/>
  <c r="AO21" i="2"/>
  <c r="AN21" i="2"/>
  <c r="AM21" i="2"/>
  <c r="I21" i="2"/>
  <c r="H21" i="2"/>
  <c r="F21" i="2"/>
  <c r="E21" i="2"/>
  <c r="D21" i="2"/>
  <c r="AV20" i="2"/>
  <c r="AU20" i="2"/>
  <c r="AT20" i="2"/>
  <c r="AS20" i="2"/>
  <c r="AR20" i="2"/>
  <c r="AQ20" i="2"/>
  <c r="AP20" i="2"/>
  <c r="AO20" i="2"/>
  <c r="AN20" i="2"/>
  <c r="AM20" i="2"/>
  <c r="AB20" i="2"/>
  <c r="AA20" i="2"/>
  <c r="Z20" i="2"/>
  <c r="Y20" i="2"/>
  <c r="X20" i="2"/>
  <c r="W20" i="2"/>
  <c r="V20" i="2"/>
  <c r="U20" i="2"/>
  <c r="T20" i="2"/>
  <c r="S20" i="2"/>
  <c r="R20" i="2"/>
  <c r="L20" i="2"/>
  <c r="I20" i="2"/>
  <c r="H20" i="2"/>
  <c r="F20" i="2"/>
  <c r="E20" i="2"/>
  <c r="D20" i="2"/>
  <c r="AV19" i="2"/>
  <c r="AU19" i="2"/>
  <c r="AT19" i="2"/>
  <c r="AS19" i="2"/>
  <c r="AR19" i="2"/>
  <c r="AQ19" i="2"/>
  <c r="AP19" i="2"/>
  <c r="AO19" i="2"/>
  <c r="AN19" i="2"/>
  <c r="AM19" i="2"/>
  <c r="AJ19" i="2"/>
  <c r="AG19" i="2"/>
  <c r="AF19" i="2"/>
  <c r="AB19" i="2"/>
  <c r="W19" i="2"/>
  <c r="U19" i="2"/>
  <c r="T19" i="2"/>
  <c r="S19" i="2"/>
  <c r="R19" i="2"/>
  <c r="K19" i="2"/>
  <c r="F19" i="2"/>
  <c r="A19" i="2"/>
  <c r="AV18" i="2"/>
  <c r="AU18" i="2"/>
  <c r="AT18" i="2"/>
  <c r="AS18" i="2"/>
  <c r="AR18" i="2"/>
  <c r="AQ18" i="2"/>
  <c r="AP18" i="2"/>
  <c r="AO18" i="2"/>
  <c r="AN18" i="2"/>
  <c r="AM18" i="2"/>
  <c r="I18" i="2"/>
  <c r="H18" i="2"/>
  <c r="F18" i="2"/>
  <c r="E18" i="2"/>
  <c r="D18" i="2"/>
  <c r="AV17" i="2"/>
  <c r="AU17" i="2"/>
  <c r="AT17" i="2"/>
  <c r="AS17" i="2"/>
  <c r="AR17" i="2"/>
  <c r="AQ17" i="2"/>
  <c r="AP17" i="2"/>
  <c r="AO17" i="2"/>
  <c r="AN17" i="2"/>
  <c r="AM17" i="2"/>
  <c r="AB17" i="2"/>
  <c r="AA17" i="2"/>
  <c r="Z17" i="2"/>
  <c r="Y17" i="2"/>
  <c r="X17" i="2"/>
  <c r="W17" i="2"/>
  <c r="V17" i="2"/>
  <c r="U17" i="2"/>
  <c r="T17" i="2"/>
  <c r="S17" i="2"/>
  <c r="R17" i="2"/>
  <c r="L17" i="2"/>
  <c r="I17" i="2"/>
  <c r="H17" i="2"/>
  <c r="F17" i="2"/>
  <c r="E17" i="2"/>
  <c r="D17" i="2"/>
  <c r="AV16" i="2"/>
  <c r="AU16" i="2"/>
  <c r="AT16" i="2"/>
  <c r="AS16" i="2"/>
  <c r="AR16" i="2"/>
  <c r="AQ16" i="2"/>
  <c r="AP16" i="2"/>
  <c r="AO16" i="2"/>
  <c r="AN16" i="2"/>
  <c r="AM16" i="2"/>
  <c r="AJ16" i="2"/>
  <c r="AG16" i="2"/>
  <c r="AF16" i="2"/>
  <c r="AB16" i="2"/>
  <c r="W16" i="2"/>
  <c r="U16" i="2"/>
  <c r="T16" i="2"/>
  <c r="S16" i="2"/>
  <c r="R16" i="2"/>
  <c r="K16" i="2"/>
  <c r="A16" i="2"/>
  <c r="AV15" i="2"/>
  <c r="AU15" i="2"/>
  <c r="AT15" i="2"/>
  <c r="AS15" i="2"/>
  <c r="AR15" i="2"/>
  <c r="AQ15" i="2"/>
  <c r="AP15" i="2"/>
  <c r="AO15" i="2"/>
  <c r="AN15" i="2"/>
  <c r="AM15" i="2"/>
  <c r="I15" i="2"/>
  <c r="H15" i="2"/>
  <c r="F15" i="2"/>
  <c r="E15" i="2"/>
  <c r="D15" i="2"/>
  <c r="AV14" i="2"/>
  <c r="AU14" i="2"/>
  <c r="AT14" i="2"/>
  <c r="AS14" i="2"/>
  <c r="AR14" i="2"/>
  <c r="AQ14" i="2"/>
  <c r="AP14" i="2"/>
  <c r="AO14" i="2"/>
  <c r="AN14" i="2"/>
  <c r="AM14" i="2"/>
  <c r="AB14" i="2"/>
  <c r="AA14" i="2"/>
  <c r="Z14" i="2"/>
  <c r="Y14" i="2"/>
  <c r="X14" i="2"/>
  <c r="W14" i="2"/>
  <c r="V14" i="2"/>
  <c r="U14" i="2"/>
  <c r="T14" i="2"/>
  <c r="S14" i="2"/>
  <c r="R14" i="2"/>
  <c r="L14" i="2"/>
  <c r="I14" i="2"/>
  <c r="H14" i="2"/>
  <c r="F14" i="2"/>
  <c r="E14" i="2"/>
  <c r="D14" i="2"/>
  <c r="AV13" i="2"/>
  <c r="AU13" i="2"/>
  <c r="AT13" i="2"/>
  <c r="AS13" i="2"/>
  <c r="AR13" i="2"/>
  <c r="AQ13" i="2"/>
  <c r="AP13" i="2"/>
  <c r="AO13" i="2"/>
  <c r="AN13" i="2"/>
  <c r="AM13" i="2"/>
  <c r="AJ13" i="2"/>
  <c r="AG13" i="2"/>
  <c r="AF13" i="2"/>
  <c r="AB13" i="2"/>
  <c r="W13" i="2"/>
  <c r="U13" i="2"/>
  <c r="T13" i="2"/>
  <c r="S13" i="2"/>
  <c r="R13" i="2"/>
  <c r="K13" i="2"/>
  <c r="A13" i="2"/>
  <c r="AV12" i="2"/>
  <c r="AU12" i="2"/>
  <c r="AT12" i="2"/>
  <c r="AS12" i="2"/>
  <c r="AR12" i="2"/>
  <c r="AQ12" i="2"/>
  <c r="AP12" i="2"/>
  <c r="AO12" i="2"/>
  <c r="AN12" i="2"/>
  <c r="AM12" i="2"/>
  <c r="I12" i="2"/>
  <c r="H12" i="2"/>
  <c r="F12" i="2"/>
  <c r="E12" i="2"/>
  <c r="D12" i="2"/>
  <c r="AV11" i="2"/>
  <c r="AU11" i="2"/>
  <c r="AT11" i="2"/>
  <c r="AS11" i="2"/>
  <c r="AR11" i="2"/>
  <c r="AQ11" i="2"/>
  <c r="AP11" i="2"/>
  <c r="AO11" i="2"/>
  <c r="AN11" i="2"/>
  <c r="AM11" i="2"/>
  <c r="AB11" i="2"/>
  <c r="AA11" i="2"/>
  <c r="Z11" i="2"/>
  <c r="Y11" i="2"/>
  <c r="X11" i="2"/>
  <c r="W11" i="2"/>
  <c r="T11" i="2"/>
  <c r="S11" i="2"/>
  <c r="R11" i="2"/>
  <c r="L11" i="2"/>
  <c r="I11" i="2"/>
  <c r="H11" i="2"/>
  <c r="F11" i="2"/>
  <c r="E11" i="2"/>
  <c r="D11" i="2"/>
  <c r="BB10" i="2" a="1"/>
  <c r="BB10" i="2"/>
  <c r="AV10" i="2"/>
  <c r="AU10" i="2"/>
  <c r="AT10" i="2"/>
  <c r="AS10" i="2"/>
  <c r="AR10" i="2"/>
  <c r="AQ10" i="2"/>
  <c r="AP10" i="2"/>
  <c r="AO10" i="2"/>
  <c r="AN10" i="2"/>
  <c r="AM10" i="2"/>
  <c r="AJ10" i="2"/>
  <c r="AG10" i="2"/>
  <c r="AF10" i="2"/>
  <c r="AB10" i="2"/>
  <c r="W10" i="2"/>
  <c r="U10" i="2"/>
  <c r="T10" i="2"/>
  <c r="S10" i="2"/>
  <c r="R10" i="2"/>
  <c r="K10" i="2"/>
  <c r="F10" i="2"/>
  <c r="BB8" i="2"/>
  <c r="AW6" i="2"/>
  <c r="AW300" i="2" s="1"/>
  <c r="M5" i="2"/>
  <c r="AL247" i="1"/>
  <c r="AK247" i="1"/>
  <c r="AJ247" i="1"/>
  <c r="AI247" i="1"/>
  <c r="AH247" i="1"/>
  <c r="AG247" i="1"/>
  <c r="AF247" i="1"/>
  <c r="AE247" i="1"/>
  <c r="AD247" i="1"/>
  <c r="AC247" i="1"/>
  <c r="I247" i="1"/>
  <c r="G247" i="1"/>
  <c r="F247" i="1"/>
  <c r="AR246" i="1"/>
  <c r="AQ246" i="1"/>
  <c r="AP246" i="1"/>
  <c r="AL246" i="1"/>
  <c r="AK246" i="1"/>
  <c r="AJ246" i="1"/>
  <c r="AI246" i="1"/>
  <c r="AH246" i="1"/>
  <c r="AG246" i="1"/>
  <c r="AF246" i="1"/>
  <c r="AE246" i="1"/>
  <c r="AD246" i="1"/>
  <c r="AC246" i="1"/>
  <c r="X246" i="1"/>
  <c r="V246" i="1"/>
  <c r="U246" i="1"/>
  <c r="T246" i="1"/>
  <c r="S246" i="1"/>
  <c r="R246" i="1"/>
  <c r="O246" i="1"/>
  <c r="N246" i="1"/>
  <c r="M246" i="1"/>
  <c r="L246" i="1"/>
  <c r="K246" i="1"/>
  <c r="I246" i="1"/>
  <c r="G246" i="1"/>
  <c r="F246" i="1"/>
  <c r="AR245" i="1"/>
  <c r="AQ245" i="1"/>
  <c r="AP245" i="1"/>
  <c r="AL245" i="1"/>
  <c r="AK245" i="1"/>
  <c r="AJ245" i="1"/>
  <c r="AI245" i="1"/>
  <c r="AH245" i="1"/>
  <c r="AG245" i="1"/>
  <c r="AF245" i="1"/>
  <c r="AE245" i="1"/>
  <c r="AD245" i="1"/>
  <c r="AC245" i="1"/>
  <c r="AB245" i="1"/>
  <c r="X245" i="1"/>
  <c r="W245" i="1"/>
  <c r="V245" i="1"/>
  <c r="U245" i="1"/>
  <c r="T245" i="1"/>
  <c r="S245" i="1"/>
  <c r="R245" i="1"/>
  <c r="P245" i="1"/>
  <c r="O245" i="1"/>
  <c r="N245" i="1"/>
  <c r="M245" i="1"/>
  <c r="L245" i="1"/>
  <c r="K245" i="1"/>
  <c r="AL244" i="1"/>
  <c r="AK244" i="1"/>
  <c r="AJ244" i="1"/>
  <c r="AI244" i="1"/>
  <c r="AH244" i="1"/>
  <c r="AG244" i="1"/>
  <c r="AF244" i="1"/>
  <c r="AE244" i="1"/>
  <c r="AD244" i="1"/>
  <c r="AC244" i="1"/>
  <c r="I244" i="1"/>
  <c r="G244" i="1"/>
  <c r="F244" i="1"/>
  <c r="AR243" i="1"/>
  <c r="AQ243" i="1"/>
  <c r="AP243" i="1"/>
  <c r="AL243" i="1"/>
  <c r="AK243" i="1"/>
  <c r="AJ243" i="1"/>
  <c r="AI243" i="1"/>
  <c r="AH243" i="1"/>
  <c r="AG243" i="1"/>
  <c r="AF243" i="1"/>
  <c r="AE243" i="1"/>
  <c r="AD243" i="1"/>
  <c r="AC243" i="1"/>
  <c r="X243" i="1"/>
  <c r="V243" i="1"/>
  <c r="U243" i="1"/>
  <c r="T243" i="1"/>
  <c r="S243" i="1"/>
  <c r="R243" i="1"/>
  <c r="O243" i="1"/>
  <c r="N243" i="1"/>
  <c r="M243" i="1"/>
  <c r="L243" i="1"/>
  <c r="K243" i="1"/>
  <c r="I243" i="1"/>
  <c r="G243" i="1"/>
  <c r="F243" i="1"/>
  <c r="AR242" i="1"/>
  <c r="AQ242" i="1"/>
  <c r="AP242" i="1"/>
  <c r="AL242" i="1"/>
  <c r="AK242" i="1"/>
  <c r="AJ242" i="1"/>
  <c r="AI242" i="1"/>
  <c r="AH242" i="1"/>
  <c r="AG242" i="1"/>
  <c r="AF242" i="1"/>
  <c r="AE242" i="1"/>
  <c r="AD242" i="1"/>
  <c r="AC242" i="1"/>
  <c r="AB242" i="1"/>
  <c r="X242" i="1"/>
  <c r="W242" i="1"/>
  <c r="V242" i="1"/>
  <c r="U242" i="1"/>
  <c r="T242" i="1"/>
  <c r="S242" i="1"/>
  <c r="R242" i="1"/>
  <c r="P242" i="1"/>
  <c r="O242" i="1"/>
  <c r="N242" i="1"/>
  <c r="M242" i="1"/>
  <c r="L242" i="1"/>
  <c r="K242" i="1"/>
  <c r="AL241" i="1"/>
  <c r="AK241" i="1"/>
  <c r="AJ241" i="1"/>
  <c r="AI241" i="1"/>
  <c r="AH241" i="1"/>
  <c r="AG241" i="1"/>
  <c r="AF241" i="1"/>
  <c r="AE241" i="1"/>
  <c r="AD241" i="1"/>
  <c r="AC241" i="1"/>
  <c r="I241" i="1"/>
  <c r="G241" i="1"/>
  <c r="F241" i="1"/>
  <c r="AR240" i="1"/>
  <c r="AQ240" i="1"/>
  <c r="AP240" i="1"/>
  <c r="AL240" i="1"/>
  <c r="AK240" i="1"/>
  <c r="AJ240" i="1"/>
  <c r="AI240" i="1"/>
  <c r="AH240" i="1"/>
  <c r="AG240" i="1"/>
  <c r="AF240" i="1"/>
  <c r="AE240" i="1"/>
  <c r="AD240" i="1"/>
  <c r="AC240" i="1"/>
  <c r="X240" i="1"/>
  <c r="V240" i="1"/>
  <c r="U240" i="1"/>
  <c r="T240" i="1"/>
  <c r="S240" i="1"/>
  <c r="R240" i="1"/>
  <c r="O240" i="1"/>
  <c r="N240" i="1"/>
  <c r="M240" i="1"/>
  <c r="L240" i="1"/>
  <c r="K240" i="1"/>
  <c r="I240" i="1"/>
  <c r="G240" i="1"/>
  <c r="F240" i="1"/>
  <c r="AR239" i="1"/>
  <c r="AQ239" i="1"/>
  <c r="AP239" i="1"/>
  <c r="AL239" i="1"/>
  <c r="AK239" i="1"/>
  <c r="AJ239" i="1"/>
  <c r="AI239" i="1"/>
  <c r="AH239" i="1"/>
  <c r="AG239" i="1"/>
  <c r="AF239" i="1"/>
  <c r="AE239" i="1"/>
  <c r="AD239" i="1"/>
  <c r="AC239" i="1"/>
  <c r="AB239" i="1"/>
  <c r="X239" i="1"/>
  <c r="W239" i="1"/>
  <c r="V239" i="1"/>
  <c r="U239" i="1"/>
  <c r="T239" i="1"/>
  <c r="S239" i="1"/>
  <c r="R239" i="1"/>
  <c r="P239" i="1"/>
  <c r="O239" i="1"/>
  <c r="N239" i="1"/>
  <c r="M239" i="1"/>
  <c r="L239" i="1"/>
  <c r="K239" i="1"/>
  <c r="AL238" i="1"/>
  <c r="AK238" i="1"/>
  <c r="AJ238" i="1"/>
  <c r="AI238" i="1"/>
  <c r="AH238" i="1"/>
  <c r="AG238" i="1"/>
  <c r="AF238" i="1"/>
  <c r="AE238" i="1"/>
  <c r="AD238" i="1"/>
  <c r="AC238" i="1"/>
  <c r="I238" i="1"/>
  <c r="G238" i="1"/>
  <c r="F238" i="1"/>
  <c r="AR237" i="1"/>
  <c r="AQ237" i="1"/>
  <c r="AP237" i="1"/>
  <c r="AL237" i="1"/>
  <c r="AK237" i="1"/>
  <c r="AJ237" i="1"/>
  <c r="AI237" i="1"/>
  <c r="AH237" i="1"/>
  <c r="AG237" i="1"/>
  <c r="AF237" i="1"/>
  <c r="AE237" i="1"/>
  <c r="AD237" i="1"/>
  <c r="AC237" i="1"/>
  <c r="X237" i="1"/>
  <c r="V237" i="1"/>
  <c r="U237" i="1"/>
  <c r="T237" i="1"/>
  <c r="S237" i="1"/>
  <c r="R237" i="1"/>
  <c r="O237" i="1"/>
  <c r="N237" i="1"/>
  <c r="M237" i="1"/>
  <c r="L237" i="1"/>
  <c r="K237" i="1"/>
  <c r="I237" i="1"/>
  <c r="G237" i="1"/>
  <c r="F237" i="1"/>
  <c r="AR236" i="1"/>
  <c r="AQ236" i="1"/>
  <c r="AP236" i="1"/>
  <c r="AL236" i="1"/>
  <c r="AK236" i="1"/>
  <c r="AJ236" i="1"/>
  <c r="AI236" i="1"/>
  <c r="AH236" i="1"/>
  <c r="AG236" i="1"/>
  <c r="AF236" i="1"/>
  <c r="AE236" i="1"/>
  <c r="AD236" i="1"/>
  <c r="AC236" i="1"/>
  <c r="AB236" i="1"/>
  <c r="X236" i="1"/>
  <c r="W236" i="1"/>
  <c r="V236" i="1"/>
  <c r="U236" i="1"/>
  <c r="T236" i="1"/>
  <c r="S236" i="1"/>
  <c r="R236" i="1"/>
  <c r="P236" i="1"/>
  <c r="O236" i="1"/>
  <c r="N236" i="1"/>
  <c r="M236" i="1"/>
  <c r="L236" i="1"/>
  <c r="K236" i="1"/>
  <c r="AL235" i="1"/>
  <c r="AK235" i="1"/>
  <c r="AJ235" i="1"/>
  <c r="AI235" i="1"/>
  <c r="AH235" i="1"/>
  <c r="AG235" i="1"/>
  <c r="AF235" i="1"/>
  <c r="AE235" i="1"/>
  <c r="AD235" i="1"/>
  <c r="AC235" i="1"/>
  <c r="I235" i="1"/>
  <c r="G235" i="1"/>
  <c r="F235" i="1"/>
  <c r="AR234" i="1"/>
  <c r="AQ234" i="1"/>
  <c r="AP234" i="1"/>
  <c r="AL234" i="1"/>
  <c r="AK234" i="1"/>
  <c r="AJ234" i="1"/>
  <c r="AI234" i="1"/>
  <c r="AH234" i="1"/>
  <c r="AG234" i="1"/>
  <c r="AF234" i="1"/>
  <c r="AE234" i="1"/>
  <c r="AD234" i="1"/>
  <c r="AC234" i="1"/>
  <c r="X234" i="1"/>
  <c r="V234" i="1"/>
  <c r="U234" i="1"/>
  <c r="T234" i="1"/>
  <c r="S234" i="1"/>
  <c r="R234" i="1"/>
  <c r="O234" i="1"/>
  <c r="N234" i="1"/>
  <c r="M234" i="1"/>
  <c r="L234" i="1"/>
  <c r="K234" i="1"/>
  <c r="I234" i="1"/>
  <c r="G234" i="1"/>
  <c r="F234" i="1"/>
  <c r="AR233" i="1"/>
  <c r="AQ233" i="1"/>
  <c r="AP233" i="1"/>
  <c r="AL233" i="1"/>
  <c r="AK233" i="1"/>
  <c r="AJ233" i="1"/>
  <c r="AI233" i="1"/>
  <c r="AH233" i="1"/>
  <c r="AG233" i="1"/>
  <c r="AF233" i="1"/>
  <c r="AE233" i="1"/>
  <c r="AD233" i="1"/>
  <c r="AC233" i="1"/>
  <c r="AB233" i="1"/>
  <c r="X233" i="1"/>
  <c r="W233" i="1"/>
  <c r="V233" i="1"/>
  <c r="U233" i="1"/>
  <c r="T233" i="1"/>
  <c r="S233" i="1"/>
  <c r="R233" i="1"/>
  <c r="P233" i="1"/>
  <c r="O233" i="1"/>
  <c r="N233" i="1"/>
  <c r="M233" i="1"/>
  <c r="L233" i="1"/>
  <c r="K233" i="1"/>
  <c r="AL232" i="1"/>
  <c r="AK232" i="1"/>
  <c r="AJ232" i="1"/>
  <c r="AI232" i="1"/>
  <c r="AH232" i="1"/>
  <c r="AG232" i="1"/>
  <c r="AF232" i="1"/>
  <c r="AE232" i="1"/>
  <c r="AD232" i="1"/>
  <c r="AC232" i="1"/>
  <c r="I232" i="1"/>
  <c r="G232" i="1"/>
  <c r="F232" i="1"/>
  <c r="AR231" i="1"/>
  <c r="AQ231" i="1"/>
  <c r="AP231" i="1"/>
  <c r="AL231" i="1"/>
  <c r="AK231" i="1"/>
  <c r="AJ231" i="1"/>
  <c r="AI231" i="1"/>
  <c r="AH231" i="1"/>
  <c r="AG231" i="1"/>
  <c r="AF231" i="1"/>
  <c r="AE231" i="1"/>
  <c r="AD231" i="1"/>
  <c r="AC231" i="1"/>
  <c r="X231" i="1"/>
  <c r="V231" i="1"/>
  <c r="U231" i="1"/>
  <c r="T231" i="1"/>
  <c r="S231" i="1"/>
  <c r="R231" i="1"/>
  <c r="O231" i="1"/>
  <c r="N231" i="1"/>
  <c r="M231" i="1"/>
  <c r="L231" i="1"/>
  <c r="K231" i="1"/>
  <c r="I231" i="1"/>
  <c r="G231" i="1"/>
  <c r="F231" i="1"/>
  <c r="AR230" i="1"/>
  <c r="AQ230" i="1"/>
  <c r="AP230" i="1"/>
  <c r="AL230" i="1"/>
  <c r="AK230" i="1"/>
  <c r="AJ230" i="1"/>
  <c r="AI230" i="1"/>
  <c r="AH230" i="1"/>
  <c r="AG230" i="1"/>
  <c r="AF230" i="1"/>
  <c r="AE230" i="1"/>
  <c r="AD230" i="1"/>
  <c r="AC230" i="1"/>
  <c r="AB230" i="1"/>
  <c r="X230" i="1"/>
  <c r="W230" i="1"/>
  <c r="V230" i="1"/>
  <c r="U230" i="1"/>
  <c r="T230" i="1"/>
  <c r="S230" i="1"/>
  <c r="R230" i="1"/>
  <c r="P230" i="1"/>
  <c r="O230" i="1"/>
  <c r="N230" i="1"/>
  <c r="M230" i="1"/>
  <c r="L230" i="1"/>
  <c r="K230" i="1"/>
  <c r="AL229" i="1"/>
  <c r="AK229" i="1"/>
  <c r="AJ229" i="1"/>
  <c r="AI229" i="1"/>
  <c r="AH229" i="1"/>
  <c r="AG229" i="1"/>
  <c r="AF229" i="1"/>
  <c r="AE229" i="1"/>
  <c r="AD229" i="1"/>
  <c r="AC229" i="1"/>
  <c r="I229" i="1"/>
  <c r="G229" i="1"/>
  <c r="F229" i="1"/>
  <c r="AR228" i="1"/>
  <c r="AQ228" i="1"/>
  <c r="AP228" i="1"/>
  <c r="AL228" i="1"/>
  <c r="AK228" i="1"/>
  <c r="AJ228" i="1"/>
  <c r="AI228" i="1"/>
  <c r="AH228" i="1"/>
  <c r="AG228" i="1"/>
  <c r="AF228" i="1"/>
  <c r="AE228" i="1"/>
  <c r="AD228" i="1"/>
  <c r="AC228" i="1"/>
  <c r="X228" i="1"/>
  <c r="V228" i="1"/>
  <c r="U228" i="1"/>
  <c r="T228" i="1"/>
  <c r="S228" i="1"/>
  <c r="R228" i="1"/>
  <c r="O228" i="1"/>
  <c r="N228" i="1"/>
  <c r="M228" i="1"/>
  <c r="L228" i="1"/>
  <c r="K228" i="1"/>
  <c r="I228" i="1"/>
  <c r="G228" i="1"/>
  <c r="F228" i="1"/>
  <c r="AR227" i="1"/>
  <c r="AQ227" i="1"/>
  <c r="AP227" i="1"/>
  <c r="AL227" i="1"/>
  <c r="AK227" i="1"/>
  <c r="AJ227" i="1"/>
  <c r="AI227" i="1"/>
  <c r="AH227" i="1"/>
  <c r="AG227" i="1"/>
  <c r="AF227" i="1"/>
  <c r="AE227" i="1"/>
  <c r="AD227" i="1"/>
  <c r="AC227" i="1"/>
  <c r="AB227" i="1"/>
  <c r="X227" i="1"/>
  <c r="W227" i="1"/>
  <c r="V227" i="1"/>
  <c r="U227" i="1"/>
  <c r="T227" i="1"/>
  <c r="S227" i="1"/>
  <c r="R227" i="1"/>
  <c r="P227" i="1"/>
  <c r="O227" i="1"/>
  <c r="N227" i="1"/>
  <c r="M227" i="1"/>
  <c r="L227" i="1"/>
  <c r="K227" i="1"/>
  <c r="AL226" i="1"/>
  <c r="AK226" i="1"/>
  <c r="AJ226" i="1"/>
  <c r="AI226" i="1"/>
  <c r="AH226" i="1"/>
  <c r="AG226" i="1"/>
  <c r="AF226" i="1"/>
  <c r="AE226" i="1"/>
  <c r="AD226" i="1"/>
  <c r="AC226" i="1"/>
  <c r="I226" i="1"/>
  <c r="G226" i="1"/>
  <c r="F226" i="1"/>
  <c r="AR225" i="1"/>
  <c r="AQ225" i="1"/>
  <c r="AP225" i="1"/>
  <c r="AL225" i="1"/>
  <c r="AK225" i="1"/>
  <c r="AJ225" i="1"/>
  <c r="AI225" i="1"/>
  <c r="AH225" i="1"/>
  <c r="AG225" i="1"/>
  <c r="AF225" i="1"/>
  <c r="AE225" i="1"/>
  <c r="AD225" i="1"/>
  <c r="AC225" i="1"/>
  <c r="X225" i="1"/>
  <c r="V225" i="1"/>
  <c r="U225" i="1"/>
  <c r="T225" i="1"/>
  <c r="S225" i="1"/>
  <c r="R225" i="1"/>
  <c r="O225" i="1"/>
  <c r="N225" i="1"/>
  <c r="M225" i="1"/>
  <c r="L225" i="1"/>
  <c r="K225" i="1"/>
  <c r="I225" i="1"/>
  <c r="G225" i="1"/>
  <c r="F225" i="1"/>
  <c r="AR224" i="1"/>
  <c r="AQ224" i="1"/>
  <c r="AP224" i="1"/>
  <c r="AL224" i="1"/>
  <c r="AK224" i="1"/>
  <c r="AJ224" i="1"/>
  <c r="AI224" i="1"/>
  <c r="AH224" i="1"/>
  <c r="AG224" i="1"/>
  <c r="AF224" i="1"/>
  <c r="AE224" i="1"/>
  <c r="AD224" i="1"/>
  <c r="AC224" i="1"/>
  <c r="AB224" i="1"/>
  <c r="X224" i="1"/>
  <c r="W224" i="1"/>
  <c r="V224" i="1"/>
  <c r="U224" i="1"/>
  <c r="T224" i="1"/>
  <c r="S224" i="1"/>
  <c r="R224" i="1"/>
  <c r="P224" i="1"/>
  <c r="O224" i="1"/>
  <c r="N224" i="1"/>
  <c r="M224" i="1"/>
  <c r="L224" i="1"/>
  <c r="K224" i="1"/>
  <c r="AL223" i="1"/>
  <c r="AK223" i="1"/>
  <c r="AJ223" i="1"/>
  <c r="AI223" i="1"/>
  <c r="AH223" i="1"/>
  <c r="AG223" i="1"/>
  <c r="AF223" i="1"/>
  <c r="AE223" i="1"/>
  <c r="AD223" i="1"/>
  <c r="AC223" i="1"/>
  <c r="I223" i="1"/>
  <c r="G223" i="1"/>
  <c r="F223" i="1"/>
  <c r="AR222" i="1"/>
  <c r="AQ222" i="1"/>
  <c r="AP222" i="1"/>
  <c r="AL222" i="1"/>
  <c r="AK222" i="1"/>
  <c r="AJ222" i="1"/>
  <c r="AI222" i="1"/>
  <c r="AH222" i="1"/>
  <c r="AG222" i="1"/>
  <c r="AF222" i="1"/>
  <c r="AE222" i="1"/>
  <c r="AD222" i="1"/>
  <c r="AC222" i="1"/>
  <c r="X222" i="1"/>
  <c r="V222" i="1"/>
  <c r="U222" i="1"/>
  <c r="T222" i="1"/>
  <c r="S222" i="1"/>
  <c r="R222" i="1"/>
  <c r="O222" i="1"/>
  <c r="N222" i="1"/>
  <c r="M222" i="1"/>
  <c r="L222" i="1"/>
  <c r="K222" i="1"/>
  <c r="I222" i="1"/>
  <c r="G222" i="1"/>
  <c r="F222" i="1"/>
  <c r="AR221" i="1"/>
  <c r="AQ221" i="1"/>
  <c r="AP221" i="1"/>
  <c r="AL221" i="1"/>
  <c r="AK221" i="1"/>
  <c r="AJ221" i="1"/>
  <c r="AI221" i="1"/>
  <c r="AH221" i="1"/>
  <c r="AG221" i="1"/>
  <c r="AF221" i="1"/>
  <c r="AE221" i="1"/>
  <c r="AD221" i="1"/>
  <c r="AC221" i="1"/>
  <c r="AB221" i="1"/>
  <c r="X221" i="1"/>
  <c r="W221" i="1"/>
  <c r="V221" i="1"/>
  <c r="U221" i="1"/>
  <c r="T221" i="1"/>
  <c r="S221" i="1"/>
  <c r="R221" i="1"/>
  <c r="P221" i="1"/>
  <c r="O221" i="1"/>
  <c r="N221" i="1"/>
  <c r="M221" i="1"/>
  <c r="L221" i="1"/>
  <c r="K221" i="1"/>
  <c r="AL220" i="1"/>
  <c r="AK220" i="1"/>
  <c r="AJ220" i="1"/>
  <c r="AI220" i="1"/>
  <c r="AH220" i="1"/>
  <c r="AG220" i="1"/>
  <c r="AF220" i="1"/>
  <c r="AE220" i="1"/>
  <c r="AD220" i="1"/>
  <c r="AC220" i="1"/>
  <c r="I220" i="1"/>
  <c r="G220" i="1"/>
  <c r="F220" i="1"/>
  <c r="AR219" i="1"/>
  <c r="AQ219" i="1"/>
  <c r="AP219" i="1"/>
  <c r="AL219" i="1"/>
  <c r="AK219" i="1"/>
  <c r="AJ219" i="1"/>
  <c r="AI219" i="1"/>
  <c r="AH219" i="1"/>
  <c r="AG219" i="1"/>
  <c r="AF219" i="1"/>
  <c r="AE219" i="1"/>
  <c r="AD219" i="1"/>
  <c r="AC219" i="1"/>
  <c r="X219" i="1"/>
  <c r="V219" i="1"/>
  <c r="U219" i="1"/>
  <c r="T219" i="1"/>
  <c r="S219" i="1"/>
  <c r="R219" i="1"/>
  <c r="O219" i="1"/>
  <c r="N219" i="1"/>
  <c r="M219" i="1"/>
  <c r="L219" i="1"/>
  <c r="K219" i="1"/>
  <c r="I219" i="1"/>
  <c r="G219" i="1"/>
  <c r="F219" i="1"/>
  <c r="AR218" i="1"/>
  <c r="AQ218" i="1"/>
  <c r="AP218" i="1"/>
  <c r="AL218" i="1"/>
  <c r="AK218" i="1"/>
  <c r="AJ218" i="1"/>
  <c r="AI218" i="1"/>
  <c r="AH218" i="1"/>
  <c r="AG218" i="1"/>
  <c r="AF218" i="1"/>
  <c r="AE218" i="1"/>
  <c r="AD218" i="1"/>
  <c r="AC218" i="1"/>
  <c r="AB218" i="1"/>
  <c r="X218" i="1"/>
  <c r="W218" i="1"/>
  <c r="V218" i="1"/>
  <c r="U218" i="1"/>
  <c r="T218" i="1"/>
  <c r="S218" i="1"/>
  <c r="R218" i="1"/>
  <c r="P218" i="1"/>
  <c r="O218" i="1"/>
  <c r="N218" i="1"/>
  <c r="M218" i="1"/>
  <c r="L218" i="1"/>
  <c r="K218" i="1"/>
  <c r="AL217" i="1"/>
  <c r="AK217" i="1"/>
  <c r="AJ217" i="1"/>
  <c r="AI217" i="1"/>
  <c r="AH217" i="1"/>
  <c r="AG217" i="1"/>
  <c r="AF217" i="1"/>
  <c r="AE217" i="1"/>
  <c r="AD217" i="1"/>
  <c r="AC217" i="1"/>
  <c r="I217" i="1"/>
  <c r="G217" i="1"/>
  <c r="F217" i="1"/>
  <c r="AR216" i="1"/>
  <c r="AQ216" i="1"/>
  <c r="AP216" i="1"/>
  <c r="AL216" i="1"/>
  <c r="AK216" i="1"/>
  <c r="AJ216" i="1"/>
  <c r="AI216" i="1"/>
  <c r="AH216" i="1"/>
  <c r="AG216" i="1"/>
  <c r="AF216" i="1"/>
  <c r="AE216" i="1"/>
  <c r="AD216" i="1"/>
  <c r="AC216" i="1"/>
  <c r="X216" i="1"/>
  <c r="V216" i="1"/>
  <c r="U216" i="1"/>
  <c r="T216" i="1"/>
  <c r="S216" i="1"/>
  <c r="R216" i="1"/>
  <c r="O216" i="1"/>
  <c r="N216" i="1"/>
  <c r="M216" i="1"/>
  <c r="L216" i="1"/>
  <c r="K216" i="1"/>
  <c r="I216" i="1"/>
  <c r="G216" i="1"/>
  <c r="F216" i="1"/>
  <c r="AR215" i="1"/>
  <c r="AQ215" i="1"/>
  <c r="AP215" i="1"/>
  <c r="AL215" i="1"/>
  <c r="AK215" i="1"/>
  <c r="AJ215" i="1"/>
  <c r="AI215" i="1"/>
  <c r="AH215" i="1"/>
  <c r="AG215" i="1"/>
  <c r="AF215" i="1"/>
  <c r="AE215" i="1"/>
  <c r="AD215" i="1"/>
  <c r="AC215" i="1"/>
  <c r="AB215" i="1"/>
  <c r="X215" i="1"/>
  <c r="W215" i="1"/>
  <c r="V215" i="1"/>
  <c r="U215" i="1"/>
  <c r="T215" i="1"/>
  <c r="S215" i="1"/>
  <c r="R215" i="1"/>
  <c r="P215" i="1"/>
  <c r="O215" i="1"/>
  <c r="N215" i="1"/>
  <c r="M215" i="1"/>
  <c r="L215" i="1"/>
  <c r="K215" i="1"/>
  <c r="AL214" i="1"/>
  <c r="AK214" i="1"/>
  <c r="AJ214" i="1"/>
  <c r="AI214" i="1"/>
  <c r="AH214" i="1"/>
  <c r="AG214" i="1"/>
  <c r="AF214" i="1"/>
  <c r="AE214" i="1"/>
  <c r="AD214" i="1"/>
  <c r="AC214" i="1"/>
  <c r="I214" i="1"/>
  <c r="G214" i="1"/>
  <c r="F214" i="1"/>
  <c r="AR213" i="1"/>
  <c r="AQ213" i="1"/>
  <c r="AP213" i="1"/>
  <c r="AL213" i="1"/>
  <c r="AK213" i="1"/>
  <c r="AJ213" i="1"/>
  <c r="AI213" i="1"/>
  <c r="AH213" i="1"/>
  <c r="AG213" i="1"/>
  <c r="AF213" i="1"/>
  <c r="AE213" i="1"/>
  <c r="AD213" i="1"/>
  <c r="AC213" i="1"/>
  <c r="X213" i="1"/>
  <c r="V213" i="1"/>
  <c r="U213" i="1"/>
  <c r="T213" i="1"/>
  <c r="S213" i="1"/>
  <c r="R213" i="1"/>
  <c r="O213" i="1"/>
  <c r="N213" i="1"/>
  <c r="M213" i="1"/>
  <c r="L213" i="1"/>
  <c r="K213" i="1"/>
  <c r="I213" i="1"/>
  <c r="G213" i="1"/>
  <c r="F213" i="1"/>
  <c r="AR212" i="1"/>
  <c r="AQ212" i="1"/>
  <c r="AP212" i="1"/>
  <c r="AL212" i="1"/>
  <c r="AK212" i="1"/>
  <c r="AJ212" i="1"/>
  <c r="AI212" i="1"/>
  <c r="AH212" i="1"/>
  <c r="AG212" i="1"/>
  <c r="AF212" i="1"/>
  <c r="AE212" i="1"/>
  <c r="AD212" i="1"/>
  <c r="AC212" i="1"/>
  <c r="AB212" i="1"/>
  <c r="X212" i="1"/>
  <c r="W212" i="1"/>
  <c r="V212" i="1"/>
  <c r="U212" i="1"/>
  <c r="T212" i="1"/>
  <c r="S212" i="1"/>
  <c r="R212" i="1"/>
  <c r="P212" i="1"/>
  <c r="O212" i="1"/>
  <c r="N212" i="1"/>
  <c r="M212" i="1"/>
  <c r="L212" i="1"/>
  <c r="K212" i="1"/>
  <c r="I211" i="1"/>
  <c r="G211" i="1"/>
  <c r="X210" i="1"/>
  <c r="V210" i="1"/>
  <c r="U210" i="1"/>
  <c r="T210" i="1"/>
  <c r="S210" i="1"/>
  <c r="R210" i="1"/>
  <c r="O210" i="1"/>
  <c r="N210" i="1"/>
  <c r="M210" i="1"/>
  <c r="L210" i="1"/>
  <c r="K210" i="1"/>
  <c r="I210" i="1"/>
  <c r="G210" i="1"/>
  <c r="AB209" i="1"/>
  <c r="Y209" i="1"/>
  <c r="X209" i="1"/>
  <c r="W209" i="1"/>
  <c r="V209" i="1"/>
  <c r="U209" i="1"/>
  <c r="T209" i="1"/>
  <c r="S209" i="1"/>
  <c r="R209" i="1"/>
  <c r="P209" i="1"/>
  <c r="O209" i="1"/>
  <c r="N209" i="1"/>
  <c r="M209" i="1"/>
  <c r="L209" i="1"/>
  <c r="K209" i="1"/>
  <c r="I209" i="1"/>
  <c r="G209" i="1"/>
  <c r="I208" i="1"/>
  <c r="G208" i="1"/>
  <c r="X207" i="1"/>
  <c r="V207" i="1"/>
  <c r="U207" i="1"/>
  <c r="T207" i="1"/>
  <c r="S207" i="1"/>
  <c r="R207" i="1"/>
  <c r="O207" i="1"/>
  <c r="N207" i="1"/>
  <c r="M207" i="1"/>
  <c r="L207" i="1"/>
  <c r="K207" i="1"/>
  <c r="I207" i="1"/>
  <c r="G207" i="1"/>
  <c r="AB206" i="1"/>
  <c r="X206" i="1"/>
  <c r="W206" i="1"/>
  <c r="V206" i="1"/>
  <c r="U206" i="1"/>
  <c r="T206" i="1"/>
  <c r="S206" i="1"/>
  <c r="R206" i="1"/>
  <c r="P206" i="1"/>
  <c r="O206" i="1"/>
  <c r="N206" i="1"/>
  <c r="M206" i="1"/>
  <c r="L206" i="1"/>
  <c r="K206" i="1"/>
  <c r="I206" i="1"/>
  <c r="G206" i="1"/>
  <c r="I205" i="1"/>
  <c r="G205" i="1"/>
  <c r="X204" i="1"/>
  <c r="V204" i="1"/>
  <c r="U204" i="1"/>
  <c r="T204" i="1"/>
  <c r="S204" i="1"/>
  <c r="R204" i="1"/>
  <c r="O204" i="1"/>
  <c r="N204" i="1"/>
  <c r="M204" i="1"/>
  <c r="L204" i="1"/>
  <c r="K204" i="1"/>
  <c r="I204" i="1"/>
  <c r="G204" i="1"/>
  <c r="AB203" i="1"/>
  <c r="Y203" i="1"/>
  <c r="X203" i="1"/>
  <c r="W203" i="1"/>
  <c r="V203" i="1"/>
  <c r="U203" i="1"/>
  <c r="T203" i="1"/>
  <c r="S203" i="1"/>
  <c r="R203" i="1"/>
  <c r="P203" i="1"/>
  <c r="O203" i="1"/>
  <c r="N203" i="1"/>
  <c r="M203" i="1"/>
  <c r="L203" i="1"/>
  <c r="K203" i="1"/>
  <c r="I203" i="1"/>
  <c r="G203" i="1"/>
  <c r="I202" i="1"/>
  <c r="G202" i="1"/>
  <c r="X201" i="1"/>
  <c r="V201" i="1"/>
  <c r="U201" i="1"/>
  <c r="T201" i="1"/>
  <c r="S201" i="1"/>
  <c r="R201" i="1"/>
  <c r="O201" i="1"/>
  <c r="N201" i="1"/>
  <c r="M201" i="1"/>
  <c r="L201" i="1"/>
  <c r="K201" i="1"/>
  <c r="I201" i="1"/>
  <c r="G201" i="1"/>
  <c r="AB200" i="1"/>
  <c r="Y200" i="1"/>
  <c r="X200" i="1"/>
  <c r="W200" i="1"/>
  <c r="V200" i="1"/>
  <c r="U200" i="1"/>
  <c r="T200" i="1"/>
  <c r="S200" i="1"/>
  <c r="R200" i="1"/>
  <c r="P200" i="1"/>
  <c r="O200" i="1"/>
  <c r="N200" i="1"/>
  <c r="M200" i="1"/>
  <c r="L200" i="1"/>
  <c r="K200" i="1"/>
  <c r="I200" i="1"/>
  <c r="G200" i="1"/>
  <c r="I199" i="1"/>
  <c r="G199" i="1"/>
  <c r="X198" i="1"/>
  <c r="V198" i="1"/>
  <c r="U198" i="1"/>
  <c r="T198" i="1"/>
  <c r="S198" i="1"/>
  <c r="R198" i="1"/>
  <c r="O198" i="1"/>
  <c r="N198" i="1"/>
  <c r="M198" i="1"/>
  <c r="L198" i="1"/>
  <c r="K198" i="1"/>
  <c r="I198" i="1"/>
  <c r="G198" i="1"/>
  <c r="AB197" i="1"/>
  <c r="Y197" i="1"/>
  <c r="X197" i="1"/>
  <c r="W197" i="1"/>
  <c r="V197" i="1"/>
  <c r="U197" i="1"/>
  <c r="T197" i="1"/>
  <c r="S197" i="1"/>
  <c r="R197" i="1"/>
  <c r="P197" i="1"/>
  <c r="O197" i="1"/>
  <c r="N197" i="1"/>
  <c r="M197" i="1"/>
  <c r="L197" i="1"/>
  <c r="K197" i="1"/>
  <c r="I197" i="1"/>
  <c r="G197" i="1"/>
  <c r="I196" i="1"/>
  <c r="G196" i="1"/>
  <c r="X195" i="1"/>
  <c r="V195" i="1"/>
  <c r="U195" i="1"/>
  <c r="T195" i="1"/>
  <c r="S195" i="1"/>
  <c r="R195" i="1"/>
  <c r="O195" i="1"/>
  <c r="N195" i="1"/>
  <c r="M195" i="1"/>
  <c r="L195" i="1"/>
  <c r="K195" i="1"/>
  <c r="I195" i="1"/>
  <c r="G195" i="1"/>
  <c r="AU194" i="1"/>
  <c r="AB194" i="1"/>
  <c r="X194" i="1"/>
  <c r="W194" i="1"/>
  <c r="V194" i="1"/>
  <c r="U194" i="1"/>
  <c r="T194" i="1"/>
  <c r="S194" i="1"/>
  <c r="R194" i="1"/>
  <c r="P194" i="1"/>
  <c r="O194" i="1"/>
  <c r="N194" i="1"/>
  <c r="M194" i="1"/>
  <c r="L194" i="1"/>
  <c r="K194" i="1"/>
  <c r="I194" i="1"/>
  <c r="G194" i="1"/>
  <c r="I193" i="1"/>
  <c r="G193" i="1"/>
  <c r="X192" i="1"/>
  <c r="V192" i="1"/>
  <c r="U192" i="1"/>
  <c r="T192" i="1"/>
  <c r="S192" i="1"/>
  <c r="R192" i="1"/>
  <c r="O192" i="1"/>
  <c r="N192" i="1"/>
  <c r="M192" i="1"/>
  <c r="L192" i="1"/>
  <c r="K192" i="1"/>
  <c r="I192" i="1"/>
  <c r="G192" i="1"/>
  <c r="AB191" i="1"/>
  <c r="Y191" i="1"/>
  <c r="X191" i="1"/>
  <c r="W191" i="1"/>
  <c r="V191" i="1"/>
  <c r="U191" i="1"/>
  <c r="T191" i="1"/>
  <c r="S191" i="1"/>
  <c r="R191" i="1"/>
  <c r="P191" i="1"/>
  <c r="O191" i="1"/>
  <c r="N191" i="1"/>
  <c r="M191" i="1"/>
  <c r="L191" i="1"/>
  <c r="K191" i="1"/>
  <c r="I191" i="1"/>
  <c r="G191" i="1"/>
  <c r="I190" i="1"/>
  <c r="G190" i="1"/>
  <c r="X189" i="1"/>
  <c r="V189" i="1"/>
  <c r="U189" i="1"/>
  <c r="T189" i="1"/>
  <c r="S189" i="1"/>
  <c r="R189" i="1"/>
  <c r="O189" i="1"/>
  <c r="N189" i="1"/>
  <c r="M189" i="1"/>
  <c r="L189" i="1"/>
  <c r="K189" i="1"/>
  <c r="I189" i="1"/>
  <c r="G189" i="1"/>
  <c r="AB188" i="1"/>
  <c r="X188" i="1"/>
  <c r="W188" i="1"/>
  <c r="V188" i="1"/>
  <c r="U188" i="1"/>
  <c r="T188" i="1"/>
  <c r="S188" i="1"/>
  <c r="R188" i="1"/>
  <c r="P188" i="1"/>
  <c r="O188" i="1"/>
  <c r="N188" i="1"/>
  <c r="M188" i="1"/>
  <c r="L188" i="1"/>
  <c r="K188" i="1"/>
  <c r="I188" i="1"/>
  <c r="G188" i="1"/>
  <c r="I187" i="1"/>
  <c r="G187" i="1"/>
  <c r="X186" i="1"/>
  <c r="V186" i="1"/>
  <c r="U186" i="1"/>
  <c r="T186" i="1"/>
  <c r="S186" i="1"/>
  <c r="R186" i="1"/>
  <c r="O186" i="1"/>
  <c r="N186" i="1"/>
  <c r="M186" i="1"/>
  <c r="L186" i="1"/>
  <c r="K186" i="1"/>
  <c r="I186" i="1"/>
  <c r="G186" i="1"/>
  <c r="AB185" i="1"/>
  <c r="X185" i="1"/>
  <c r="W185" i="1"/>
  <c r="V185" i="1"/>
  <c r="U185" i="1"/>
  <c r="T185" i="1"/>
  <c r="S185" i="1"/>
  <c r="R185" i="1"/>
  <c r="P185" i="1"/>
  <c r="O185" i="1"/>
  <c r="N185" i="1"/>
  <c r="M185" i="1"/>
  <c r="L185" i="1"/>
  <c r="K185" i="1"/>
  <c r="I185" i="1"/>
  <c r="G185" i="1"/>
  <c r="AL184" i="1"/>
  <c r="AK184" i="1"/>
  <c r="AJ184" i="1"/>
  <c r="AI184" i="1"/>
  <c r="AH184" i="1"/>
  <c r="AG184" i="1"/>
  <c r="AF184" i="1"/>
  <c r="AE184" i="1"/>
  <c r="AD184" i="1"/>
  <c r="AC184" i="1"/>
  <c r="I184" i="1"/>
  <c r="G184" i="1"/>
  <c r="AR183" i="1"/>
  <c r="AQ183" i="1"/>
  <c r="AP183" i="1"/>
  <c r="AL183" i="1"/>
  <c r="AK183" i="1"/>
  <c r="AJ183" i="1"/>
  <c r="AI183" i="1"/>
  <c r="AH183" i="1"/>
  <c r="AG183" i="1"/>
  <c r="AF183" i="1"/>
  <c r="AE183" i="1"/>
  <c r="AD183" i="1"/>
  <c r="AC183" i="1"/>
  <c r="X183" i="1"/>
  <c r="V183" i="1"/>
  <c r="U183" i="1"/>
  <c r="T183" i="1"/>
  <c r="S183" i="1"/>
  <c r="R183" i="1"/>
  <c r="O183" i="1"/>
  <c r="N183" i="1"/>
  <c r="M183" i="1"/>
  <c r="L183" i="1"/>
  <c r="K183" i="1"/>
  <c r="I183" i="1"/>
  <c r="G183" i="1"/>
  <c r="AR182" i="1"/>
  <c r="AQ182" i="1"/>
  <c r="AP182" i="1"/>
  <c r="AL182" i="1"/>
  <c r="AK182" i="1"/>
  <c r="AJ182" i="1"/>
  <c r="AI182" i="1"/>
  <c r="AH182" i="1"/>
  <c r="AG182" i="1"/>
  <c r="AF182" i="1"/>
  <c r="AE182" i="1"/>
  <c r="AD182" i="1"/>
  <c r="AC182" i="1"/>
  <c r="AB182" i="1"/>
  <c r="Y182" i="1"/>
  <c r="X182" i="1"/>
  <c r="W182" i="1"/>
  <c r="V182" i="1"/>
  <c r="U182" i="1"/>
  <c r="T182" i="1"/>
  <c r="S182" i="1"/>
  <c r="R182" i="1"/>
  <c r="P182" i="1"/>
  <c r="O182" i="1"/>
  <c r="N182" i="1"/>
  <c r="M182" i="1"/>
  <c r="L182" i="1"/>
  <c r="K182" i="1"/>
  <c r="G182" i="1"/>
  <c r="AL181" i="1"/>
  <c r="AK181" i="1"/>
  <c r="AJ181" i="1"/>
  <c r="AI181" i="1"/>
  <c r="AH181" i="1"/>
  <c r="AG181" i="1"/>
  <c r="AF181" i="1"/>
  <c r="AE181" i="1"/>
  <c r="AD181" i="1"/>
  <c r="AC181" i="1"/>
  <c r="I181" i="1"/>
  <c r="G181" i="1"/>
  <c r="AR180" i="1"/>
  <c r="AQ180" i="1"/>
  <c r="AP180" i="1"/>
  <c r="AL180" i="1"/>
  <c r="AK180" i="1"/>
  <c r="AJ180" i="1"/>
  <c r="AI180" i="1"/>
  <c r="AH180" i="1"/>
  <c r="AG180" i="1"/>
  <c r="AF180" i="1"/>
  <c r="AE180" i="1"/>
  <c r="AD180" i="1"/>
  <c r="AC180" i="1"/>
  <c r="X180" i="1"/>
  <c r="V180" i="1"/>
  <c r="U180" i="1"/>
  <c r="T180" i="1"/>
  <c r="S180" i="1"/>
  <c r="R180" i="1"/>
  <c r="O180" i="1"/>
  <c r="N180" i="1"/>
  <c r="M180" i="1"/>
  <c r="L180" i="1"/>
  <c r="K180" i="1"/>
  <c r="I180" i="1"/>
  <c r="G180" i="1"/>
  <c r="AR179" i="1"/>
  <c r="AQ179" i="1"/>
  <c r="AP179" i="1"/>
  <c r="AL179" i="1"/>
  <c r="AK179" i="1"/>
  <c r="AJ179" i="1"/>
  <c r="AI179" i="1"/>
  <c r="AH179" i="1"/>
  <c r="AG179" i="1"/>
  <c r="AF179" i="1"/>
  <c r="AE179" i="1"/>
  <c r="AD179" i="1"/>
  <c r="AC179" i="1"/>
  <c r="AB179" i="1"/>
  <c r="X179" i="1"/>
  <c r="W179" i="1"/>
  <c r="V179" i="1"/>
  <c r="U179" i="1"/>
  <c r="T179" i="1"/>
  <c r="S179" i="1"/>
  <c r="R179" i="1"/>
  <c r="P179" i="1"/>
  <c r="O179" i="1"/>
  <c r="N179" i="1"/>
  <c r="M179" i="1"/>
  <c r="L179" i="1"/>
  <c r="K179" i="1"/>
  <c r="G179" i="1"/>
  <c r="AL178" i="1"/>
  <c r="AK178" i="1"/>
  <c r="AJ178" i="1"/>
  <c r="AI178" i="1"/>
  <c r="AH178" i="1"/>
  <c r="AG178" i="1"/>
  <c r="AF178" i="1"/>
  <c r="AE178" i="1"/>
  <c r="AD178" i="1"/>
  <c r="AC178" i="1"/>
  <c r="I178" i="1"/>
  <c r="G178" i="1"/>
  <c r="AR177" i="1"/>
  <c r="AQ177" i="1"/>
  <c r="AP177" i="1"/>
  <c r="AL177" i="1"/>
  <c r="AK177" i="1"/>
  <c r="AJ177" i="1"/>
  <c r="AI177" i="1"/>
  <c r="AH177" i="1"/>
  <c r="AG177" i="1"/>
  <c r="AF177" i="1"/>
  <c r="AE177" i="1"/>
  <c r="AD177" i="1"/>
  <c r="AC177" i="1"/>
  <c r="X177" i="1"/>
  <c r="V177" i="1"/>
  <c r="U177" i="1"/>
  <c r="T177" i="1"/>
  <c r="S177" i="1"/>
  <c r="R177" i="1"/>
  <c r="O177" i="1"/>
  <c r="N177" i="1"/>
  <c r="M177" i="1"/>
  <c r="L177" i="1"/>
  <c r="K177" i="1"/>
  <c r="I177" i="1"/>
  <c r="G177" i="1"/>
  <c r="AR176" i="1"/>
  <c r="AQ176" i="1"/>
  <c r="AP176" i="1"/>
  <c r="AL176" i="1"/>
  <c r="AK176" i="1"/>
  <c r="AJ176" i="1"/>
  <c r="AI176" i="1"/>
  <c r="AH176" i="1"/>
  <c r="AG176" i="1"/>
  <c r="AF176" i="1"/>
  <c r="AE176" i="1"/>
  <c r="AD176" i="1"/>
  <c r="AC176" i="1"/>
  <c r="AB176" i="1"/>
  <c r="X176" i="1"/>
  <c r="W176" i="1"/>
  <c r="V176" i="1"/>
  <c r="U176" i="1"/>
  <c r="T176" i="1"/>
  <c r="S176" i="1"/>
  <c r="R176" i="1"/>
  <c r="P176" i="1"/>
  <c r="O176" i="1"/>
  <c r="N176" i="1"/>
  <c r="M176" i="1"/>
  <c r="L176" i="1"/>
  <c r="K176" i="1"/>
  <c r="G176" i="1"/>
  <c r="AL175" i="1"/>
  <c r="AK175" i="1"/>
  <c r="AJ175" i="1"/>
  <c r="AI175" i="1"/>
  <c r="AH175" i="1"/>
  <c r="AG175" i="1"/>
  <c r="AF175" i="1"/>
  <c r="AE175" i="1"/>
  <c r="AD175" i="1"/>
  <c r="AC175" i="1"/>
  <c r="I175" i="1"/>
  <c r="G175" i="1"/>
  <c r="F175" i="1"/>
  <c r="D175" i="1"/>
  <c r="C175" i="1"/>
  <c r="AR174" i="1"/>
  <c r="AQ174" i="1"/>
  <c r="AP174" i="1"/>
  <c r="AL174" i="1"/>
  <c r="AK174" i="1"/>
  <c r="AJ174" i="1"/>
  <c r="AI174" i="1"/>
  <c r="AH174" i="1"/>
  <c r="AG174" i="1"/>
  <c r="AF174" i="1"/>
  <c r="AE174" i="1"/>
  <c r="AD174" i="1"/>
  <c r="AC174" i="1"/>
  <c r="X174" i="1"/>
  <c r="V174" i="1"/>
  <c r="U174" i="1"/>
  <c r="T174" i="1"/>
  <c r="S174" i="1"/>
  <c r="R174" i="1"/>
  <c r="O174" i="1"/>
  <c r="N174" i="1"/>
  <c r="M174" i="1"/>
  <c r="L174" i="1"/>
  <c r="K174" i="1"/>
  <c r="I174" i="1"/>
  <c r="G174" i="1"/>
  <c r="F174" i="1"/>
  <c r="D174" i="1"/>
  <c r="C174" i="1"/>
  <c r="AR173" i="1"/>
  <c r="AQ173" i="1"/>
  <c r="AP173" i="1"/>
  <c r="AL173" i="1"/>
  <c r="AK173" i="1"/>
  <c r="AJ173" i="1"/>
  <c r="AI173" i="1"/>
  <c r="AH173" i="1"/>
  <c r="AG173" i="1"/>
  <c r="AF173" i="1"/>
  <c r="AE173" i="1"/>
  <c r="AD173" i="1"/>
  <c r="AC173" i="1"/>
  <c r="AB173" i="1"/>
  <c r="X173" i="1"/>
  <c r="W173" i="1"/>
  <c r="V173" i="1"/>
  <c r="U173" i="1"/>
  <c r="T173" i="1"/>
  <c r="S173" i="1"/>
  <c r="R173" i="1"/>
  <c r="P173" i="1"/>
  <c r="O173" i="1"/>
  <c r="N173" i="1"/>
  <c r="M173" i="1"/>
  <c r="L173" i="1"/>
  <c r="K173" i="1"/>
  <c r="A173" i="1"/>
  <c r="AL172" i="1"/>
  <c r="AK172" i="1"/>
  <c r="AJ172" i="1"/>
  <c r="AI172" i="1"/>
  <c r="AH172" i="1"/>
  <c r="AG172" i="1"/>
  <c r="AF172" i="1"/>
  <c r="AE172" i="1"/>
  <c r="AD172" i="1"/>
  <c r="AC172" i="1"/>
  <c r="I172" i="1"/>
  <c r="G172" i="1"/>
  <c r="F172" i="1"/>
  <c r="D172" i="1"/>
  <c r="C172" i="1"/>
  <c r="AR171" i="1"/>
  <c r="AQ171" i="1"/>
  <c r="AP171" i="1"/>
  <c r="AL171" i="1"/>
  <c r="AK171" i="1"/>
  <c r="AJ171" i="1"/>
  <c r="AI171" i="1"/>
  <c r="AH171" i="1"/>
  <c r="AG171" i="1"/>
  <c r="AF171" i="1"/>
  <c r="AE171" i="1"/>
  <c r="AD171" i="1"/>
  <c r="AC171" i="1"/>
  <c r="X171" i="1"/>
  <c r="V171" i="1"/>
  <c r="U171" i="1"/>
  <c r="T171" i="1"/>
  <c r="S171" i="1"/>
  <c r="R171" i="1"/>
  <c r="O171" i="1"/>
  <c r="N171" i="1"/>
  <c r="M171" i="1"/>
  <c r="L171" i="1"/>
  <c r="K171" i="1"/>
  <c r="I171" i="1"/>
  <c r="G171" i="1"/>
  <c r="F171" i="1"/>
  <c r="D171" i="1"/>
  <c r="C171" i="1"/>
  <c r="AR170" i="1"/>
  <c r="AQ170" i="1"/>
  <c r="AP170" i="1"/>
  <c r="AL170" i="1"/>
  <c r="AK170" i="1"/>
  <c r="AJ170" i="1"/>
  <c r="AI170" i="1"/>
  <c r="AH170" i="1"/>
  <c r="AG170" i="1"/>
  <c r="AF170" i="1"/>
  <c r="AE170" i="1"/>
  <c r="AD170" i="1"/>
  <c r="AC170" i="1"/>
  <c r="AB170" i="1"/>
  <c r="X170" i="1"/>
  <c r="W170" i="1"/>
  <c r="V170" i="1"/>
  <c r="U170" i="1"/>
  <c r="T170" i="1"/>
  <c r="S170" i="1"/>
  <c r="R170" i="1"/>
  <c r="P170" i="1"/>
  <c r="O170" i="1"/>
  <c r="N170" i="1"/>
  <c r="M170" i="1"/>
  <c r="L170" i="1"/>
  <c r="K170" i="1"/>
  <c r="A170" i="1"/>
  <c r="AL169" i="1"/>
  <c r="AK169" i="1"/>
  <c r="AJ169" i="1"/>
  <c r="AI169" i="1"/>
  <c r="AH169" i="1"/>
  <c r="AG169" i="1"/>
  <c r="AF169" i="1"/>
  <c r="AE169" i="1"/>
  <c r="AD169" i="1"/>
  <c r="AC169" i="1"/>
  <c r="I169" i="1"/>
  <c r="G169" i="1"/>
  <c r="F169" i="1"/>
  <c r="D169" i="1"/>
  <c r="C169" i="1"/>
  <c r="AR168" i="1"/>
  <c r="AQ168" i="1"/>
  <c r="AP168" i="1"/>
  <c r="AL168" i="1"/>
  <c r="AK168" i="1"/>
  <c r="AJ168" i="1"/>
  <c r="AI168" i="1"/>
  <c r="AH168" i="1"/>
  <c r="AG168" i="1"/>
  <c r="AF168" i="1"/>
  <c r="AE168" i="1"/>
  <c r="AD168" i="1"/>
  <c r="AC168" i="1"/>
  <c r="X168" i="1"/>
  <c r="V168" i="1"/>
  <c r="U168" i="1"/>
  <c r="T168" i="1"/>
  <c r="S168" i="1"/>
  <c r="R168" i="1"/>
  <c r="O168" i="1"/>
  <c r="N168" i="1"/>
  <c r="M168" i="1"/>
  <c r="L168" i="1"/>
  <c r="K168" i="1"/>
  <c r="I168" i="1"/>
  <c r="G168" i="1"/>
  <c r="F168" i="1"/>
  <c r="D168" i="1"/>
  <c r="C168" i="1"/>
  <c r="AR167" i="1"/>
  <c r="AQ167" i="1"/>
  <c r="AP167" i="1"/>
  <c r="AL167" i="1"/>
  <c r="AK167" i="1"/>
  <c r="AJ167" i="1"/>
  <c r="AI167" i="1"/>
  <c r="AH167" i="1"/>
  <c r="AG167" i="1"/>
  <c r="AF167" i="1"/>
  <c r="AE167" i="1"/>
  <c r="AD167" i="1"/>
  <c r="AC167" i="1"/>
  <c r="AB167" i="1"/>
  <c r="X167" i="1"/>
  <c r="W167" i="1"/>
  <c r="V167" i="1"/>
  <c r="U167" i="1"/>
  <c r="T167" i="1"/>
  <c r="S167" i="1"/>
  <c r="R167" i="1"/>
  <c r="P167" i="1"/>
  <c r="O167" i="1"/>
  <c r="N167" i="1"/>
  <c r="M167" i="1"/>
  <c r="L167" i="1"/>
  <c r="K167" i="1"/>
  <c r="A167" i="1"/>
  <c r="AL166" i="1"/>
  <c r="AK166" i="1"/>
  <c r="AJ166" i="1"/>
  <c r="AI166" i="1"/>
  <c r="AH166" i="1"/>
  <c r="AG166" i="1"/>
  <c r="AF166" i="1"/>
  <c r="AE166" i="1"/>
  <c r="AD166" i="1"/>
  <c r="AC166" i="1"/>
  <c r="I166" i="1"/>
  <c r="G166" i="1"/>
  <c r="F166" i="1"/>
  <c r="D166" i="1"/>
  <c r="C166" i="1"/>
  <c r="AR165" i="1"/>
  <c r="AQ165" i="1"/>
  <c r="AP165" i="1"/>
  <c r="AL165" i="1"/>
  <c r="AK165" i="1"/>
  <c r="AJ165" i="1"/>
  <c r="AI165" i="1"/>
  <c r="AH165" i="1"/>
  <c r="AG165" i="1"/>
  <c r="AF165" i="1"/>
  <c r="AE165" i="1"/>
  <c r="AD165" i="1"/>
  <c r="AC165" i="1"/>
  <c r="X165" i="1"/>
  <c r="V165" i="1"/>
  <c r="U165" i="1"/>
  <c r="T165" i="1"/>
  <c r="S165" i="1"/>
  <c r="R165" i="1"/>
  <c r="O165" i="1"/>
  <c r="N165" i="1"/>
  <c r="M165" i="1"/>
  <c r="L165" i="1"/>
  <c r="K165" i="1"/>
  <c r="I165" i="1"/>
  <c r="G165" i="1"/>
  <c r="F165" i="1"/>
  <c r="D165" i="1"/>
  <c r="C165" i="1"/>
  <c r="AR164" i="1"/>
  <c r="AQ164" i="1"/>
  <c r="AP164" i="1"/>
  <c r="AL164" i="1"/>
  <c r="AK164" i="1"/>
  <c r="AJ164" i="1"/>
  <c r="AI164" i="1"/>
  <c r="AH164" i="1"/>
  <c r="AG164" i="1"/>
  <c r="AF164" i="1"/>
  <c r="AE164" i="1"/>
  <c r="AD164" i="1"/>
  <c r="AC164" i="1"/>
  <c r="AB164" i="1"/>
  <c r="X164" i="1"/>
  <c r="W164" i="1"/>
  <c r="V164" i="1"/>
  <c r="U164" i="1"/>
  <c r="T164" i="1"/>
  <c r="S164" i="1"/>
  <c r="R164" i="1"/>
  <c r="P164" i="1"/>
  <c r="O164" i="1"/>
  <c r="N164" i="1"/>
  <c r="M164" i="1"/>
  <c r="L164" i="1"/>
  <c r="K164" i="1"/>
  <c r="A164" i="1"/>
  <c r="AL163" i="1"/>
  <c r="AK163" i="1"/>
  <c r="AJ163" i="1"/>
  <c r="AI163" i="1"/>
  <c r="AH163" i="1"/>
  <c r="AG163" i="1"/>
  <c r="AF163" i="1"/>
  <c r="AE163" i="1"/>
  <c r="AD163" i="1"/>
  <c r="AC163" i="1"/>
  <c r="I163" i="1"/>
  <c r="G163" i="1"/>
  <c r="F163" i="1"/>
  <c r="D163" i="1"/>
  <c r="C163" i="1"/>
  <c r="AR162" i="1"/>
  <c r="AQ162" i="1"/>
  <c r="AP162" i="1"/>
  <c r="AL162" i="1"/>
  <c r="AK162" i="1"/>
  <c r="AJ162" i="1"/>
  <c r="AI162" i="1"/>
  <c r="AH162" i="1"/>
  <c r="AG162" i="1"/>
  <c r="AF162" i="1"/>
  <c r="AE162" i="1"/>
  <c r="AD162" i="1"/>
  <c r="AC162" i="1"/>
  <c r="X162" i="1"/>
  <c r="V162" i="1"/>
  <c r="U162" i="1"/>
  <c r="T162" i="1"/>
  <c r="S162" i="1"/>
  <c r="R162" i="1"/>
  <c r="O162" i="1"/>
  <c r="N162" i="1"/>
  <c r="M162" i="1"/>
  <c r="L162" i="1"/>
  <c r="K162" i="1"/>
  <c r="I162" i="1"/>
  <c r="G162" i="1"/>
  <c r="F162" i="1"/>
  <c r="D162" i="1"/>
  <c r="C162" i="1"/>
  <c r="AR161" i="1"/>
  <c r="AQ161" i="1"/>
  <c r="AP161" i="1"/>
  <c r="AL161" i="1"/>
  <c r="AK161" i="1"/>
  <c r="AJ161" i="1"/>
  <c r="AI161" i="1"/>
  <c r="AH161" i="1"/>
  <c r="AG161" i="1"/>
  <c r="AF161" i="1"/>
  <c r="AE161" i="1"/>
  <c r="AD161" i="1"/>
  <c r="AC161" i="1"/>
  <c r="AB161" i="1"/>
  <c r="X161" i="1"/>
  <c r="W161" i="1"/>
  <c r="V161" i="1"/>
  <c r="U161" i="1"/>
  <c r="T161" i="1"/>
  <c r="S161" i="1"/>
  <c r="R161" i="1"/>
  <c r="P161" i="1"/>
  <c r="O161" i="1"/>
  <c r="N161" i="1"/>
  <c r="M161" i="1"/>
  <c r="L161" i="1"/>
  <c r="K161" i="1"/>
  <c r="A161" i="1"/>
  <c r="AL160" i="1"/>
  <c r="AK160" i="1"/>
  <c r="AJ160" i="1"/>
  <c r="AI160" i="1"/>
  <c r="AH160" i="1"/>
  <c r="AG160" i="1"/>
  <c r="AF160" i="1"/>
  <c r="AE160" i="1"/>
  <c r="AD160" i="1"/>
  <c r="AC160" i="1"/>
  <c r="I160" i="1"/>
  <c r="G160" i="1"/>
  <c r="F160" i="1"/>
  <c r="D160" i="1"/>
  <c r="C160" i="1"/>
  <c r="AR159" i="1"/>
  <c r="AQ159" i="1"/>
  <c r="AP159" i="1"/>
  <c r="AL159" i="1"/>
  <c r="AK159" i="1"/>
  <c r="AJ159" i="1"/>
  <c r="AI159" i="1"/>
  <c r="AH159" i="1"/>
  <c r="AG159" i="1"/>
  <c r="AF159" i="1"/>
  <c r="AE159" i="1"/>
  <c r="AD159" i="1"/>
  <c r="AC159" i="1"/>
  <c r="X159" i="1"/>
  <c r="V159" i="1"/>
  <c r="U159" i="1"/>
  <c r="T159" i="1"/>
  <c r="S159" i="1"/>
  <c r="R159" i="1"/>
  <c r="O159" i="1"/>
  <c r="N159" i="1"/>
  <c r="M159" i="1"/>
  <c r="L159" i="1"/>
  <c r="K159" i="1"/>
  <c r="I159" i="1"/>
  <c r="G159" i="1"/>
  <c r="F159" i="1"/>
  <c r="D159" i="1"/>
  <c r="C159" i="1"/>
  <c r="AR158" i="1"/>
  <c r="AQ158" i="1"/>
  <c r="AP158" i="1"/>
  <c r="AL158" i="1"/>
  <c r="AK158" i="1"/>
  <c r="AJ158" i="1"/>
  <c r="AI158" i="1"/>
  <c r="AH158" i="1"/>
  <c r="AG158" i="1"/>
  <c r="AF158" i="1"/>
  <c r="AE158" i="1"/>
  <c r="AD158" i="1"/>
  <c r="AC158" i="1"/>
  <c r="AB158" i="1"/>
  <c r="X158" i="1"/>
  <c r="W158" i="1"/>
  <c r="V158" i="1"/>
  <c r="U158" i="1"/>
  <c r="T158" i="1"/>
  <c r="S158" i="1"/>
  <c r="R158" i="1"/>
  <c r="P158" i="1"/>
  <c r="O158" i="1"/>
  <c r="N158" i="1"/>
  <c r="M158" i="1"/>
  <c r="L158" i="1"/>
  <c r="K158" i="1"/>
  <c r="A158" i="1"/>
  <c r="AL157" i="1"/>
  <c r="AK157" i="1"/>
  <c r="AJ157" i="1"/>
  <c r="AI157" i="1"/>
  <c r="AH157" i="1"/>
  <c r="AG157" i="1"/>
  <c r="AF157" i="1"/>
  <c r="AE157" i="1"/>
  <c r="AD157" i="1"/>
  <c r="AC157" i="1"/>
  <c r="I157" i="1"/>
  <c r="G157" i="1"/>
  <c r="F157" i="1"/>
  <c r="D157" i="1"/>
  <c r="C157" i="1"/>
  <c r="AR156" i="1"/>
  <c r="AQ156" i="1"/>
  <c r="AP156" i="1"/>
  <c r="AL156" i="1"/>
  <c r="AK156" i="1"/>
  <c r="AJ156" i="1"/>
  <c r="AI156" i="1"/>
  <c r="AH156" i="1"/>
  <c r="AG156" i="1"/>
  <c r="AF156" i="1"/>
  <c r="AE156" i="1"/>
  <c r="AD156" i="1"/>
  <c r="AC156" i="1"/>
  <c r="X156" i="1"/>
  <c r="V156" i="1"/>
  <c r="U156" i="1"/>
  <c r="T156" i="1"/>
  <c r="S156" i="1"/>
  <c r="R156" i="1"/>
  <c r="O156" i="1"/>
  <c r="N156" i="1"/>
  <c r="M156" i="1"/>
  <c r="L156" i="1"/>
  <c r="K156" i="1"/>
  <c r="I156" i="1"/>
  <c r="G156" i="1"/>
  <c r="F156" i="1"/>
  <c r="C156" i="1"/>
  <c r="AR155" i="1"/>
  <c r="AQ155" i="1"/>
  <c r="AP155" i="1"/>
  <c r="AL155" i="1"/>
  <c r="AK155" i="1"/>
  <c r="AJ155" i="1"/>
  <c r="AI155" i="1"/>
  <c r="AH155" i="1"/>
  <c r="AG155" i="1"/>
  <c r="AF155" i="1"/>
  <c r="AE155" i="1"/>
  <c r="AD155" i="1"/>
  <c r="AC155" i="1"/>
  <c r="AB155" i="1"/>
  <c r="Y155" i="1"/>
  <c r="X155" i="1"/>
  <c r="W155" i="1"/>
  <c r="V155" i="1"/>
  <c r="U155" i="1"/>
  <c r="T155" i="1"/>
  <c r="S155" i="1"/>
  <c r="R155" i="1"/>
  <c r="P155" i="1"/>
  <c r="O155" i="1"/>
  <c r="N155" i="1"/>
  <c r="M155" i="1"/>
  <c r="L155" i="1"/>
  <c r="K155" i="1"/>
  <c r="A155" i="1"/>
  <c r="AL154" i="1"/>
  <c r="AK154" i="1"/>
  <c r="AJ154" i="1"/>
  <c r="AI154" i="1"/>
  <c r="AH154" i="1"/>
  <c r="AG154" i="1"/>
  <c r="AF154" i="1"/>
  <c r="AE154" i="1"/>
  <c r="AD154" i="1"/>
  <c r="AC154" i="1"/>
  <c r="I154" i="1"/>
  <c r="G154" i="1"/>
  <c r="F154" i="1"/>
  <c r="D154" i="1"/>
  <c r="C154" i="1"/>
  <c r="AR153" i="1"/>
  <c r="AQ153" i="1"/>
  <c r="AP153" i="1"/>
  <c r="AL153" i="1"/>
  <c r="AK153" i="1"/>
  <c r="AJ153" i="1"/>
  <c r="AI153" i="1"/>
  <c r="AH153" i="1"/>
  <c r="AG153" i="1"/>
  <c r="AF153" i="1"/>
  <c r="AE153" i="1"/>
  <c r="AD153" i="1"/>
  <c r="AC153" i="1"/>
  <c r="X153" i="1"/>
  <c r="V153" i="1"/>
  <c r="U153" i="1"/>
  <c r="T153" i="1"/>
  <c r="S153" i="1"/>
  <c r="R153" i="1"/>
  <c r="O153" i="1"/>
  <c r="N153" i="1"/>
  <c r="M153" i="1"/>
  <c r="L153" i="1"/>
  <c r="K153" i="1"/>
  <c r="I153" i="1"/>
  <c r="G153" i="1"/>
  <c r="F153" i="1"/>
  <c r="D153" i="1"/>
  <c r="C153" i="1"/>
  <c r="AR152" i="1"/>
  <c r="AQ152" i="1"/>
  <c r="AP152" i="1"/>
  <c r="AL152" i="1"/>
  <c r="AK152" i="1"/>
  <c r="AJ152" i="1"/>
  <c r="AI152" i="1"/>
  <c r="AH152" i="1"/>
  <c r="AG152" i="1"/>
  <c r="AF152" i="1"/>
  <c r="AE152" i="1"/>
  <c r="AD152" i="1"/>
  <c r="AC152" i="1"/>
  <c r="AB152" i="1"/>
  <c r="X152" i="1"/>
  <c r="W152" i="1"/>
  <c r="V152" i="1"/>
  <c r="U152" i="1"/>
  <c r="T152" i="1"/>
  <c r="S152" i="1"/>
  <c r="R152" i="1"/>
  <c r="P152" i="1"/>
  <c r="O152" i="1"/>
  <c r="N152" i="1"/>
  <c r="M152" i="1"/>
  <c r="L152" i="1"/>
  <c r="K152" i="1"/>
  <c r="A152" i="1"/>
  <c r="AL151" i="1"/>
  <c r="AK151" i="1"/>
  <c r="AJ151" i="1"/>
  <c r="AI151" i="1"/>
  <c r="AH151" i="1"/>
  <c r="AG151" i="1"/>
  <c r="AF151" i="1"/>
  <c r="AE151" i="1"/>
  <c r="AD151" i="1"/>
  <c r="AC151" i="1"/>
  <c r="I151" i="1"/>
  <c r="G151" i="1"/>
  <c r="F151" i="1"/>
  <c r="D151" i="1"/>
  <c r="C151" i="1"/>
  <c r="AR150" i="1"/>
  <c r="AQ150" i="1"/>
  <c r="AP150" i="1"/>
  <c r="AL150" i="1"/>
  <c r="AK150" i="1"/>
  <c r="AJ150" i="1"/>
  <c r="AI150" i="1"/>
  <c r="AH150" i="1"/>
  <c r="AG150" i="1"/>
  <c r="AF150" i="1"/>
  <c r="AE150" i="1"/>
  <c r="AD150" i="1"/>
  <c r="AC150" i="1"/>
  <c r="X150" i="1"/>
  <c r="V150" i="1"/>
  <c r="U150" i="1"/>
  <c r="T150" i="1"/>
  <c r="S150" i="1"/>
  <c r="R150" i="1"/>
  <c r="O150" i="1"/>
  <c r="N150" i="1"/>
  <c r="M150" i="1"/>
  <c r="L150" i="1"/>
  <c r="K150" i="1"/>
  <c r="I150" i="1"/>
  <c r="G150" i="1"/>
  <c r="F150" i="1"/>
  <c r="D150" i="1"/>
  <c r="C150" i="1"/>
  <c r="AR149" i="1"/>
  <c r="AQ149" i="1"/>
  <c r="AP149" i="1"/>
  <c r="AL149" i="1"/>
  <c r="AK149" i="1"/>
  <c r="AJ149" i="1"/>
  <c r="AI149" i="1"/>
  <c r="AH149" i="1"/>
  <c r="AG149" i="1"/>
  <c r="AF149" i="1"/>
  <c r="AE149" i="1"/>
  <c r="AD149" i="1"/>
  <c r="AC149" i="1"/>
  <c r="AB149" i="1"/>
  <c r="Y149" i="1"/>
  <c r="X149" i="1"/>
  <c r="W149" i="1"/>
  <c r="V149" i="1"/>
  <c r="U149" i="1"/>
  <c r="T149" i="1"/>
  <c r="S149" i="1"/>
  <c r="R149" i="1"/>
  <c r="P149" i="1"/>
  <c r="O149" i="1"/>
  <c r="N149" i="1"/>
  <c r="M149" i="1"/>
  <c r="L149" i="1"/>
  <c r="K149" i="1"/>
  <c r="A149" i="1"/>
  <c r="AL148" i="1"/>
  <c r="AK148" i="1"/>
  <c r="AJ148" i="1"/>
  <c r="AI148" i="1"/>
  <c r="AH148" i="1"/>
  <c r="AG148" i="1"/>
  <c r="AF148" i="1"/>
  <c r="AE148" i="1"/>
  <c r="AD148" i="1"/>
  <c r="AC148" i="1"/>
  <c r="I148" i="1"/>
  <c r="G148" i="1"/>
  <c r="F148" i="1"/>
  <c r="D148" i="1"/>
  <c r="C148" i="1"/>
  <c r="AR147" i="1"/>
  <c r="AQ147" i="1"/>
  <c r="AP147" i="1"/>
  <c r="AL147" i="1"/>
  <c r="AK147" i="1"/>
  <c r="AJ147" i="1"/>
  <c r="AI147" i="1"/>
  <c r="AH147" i="1"/>
  <c r="AG147" i="1"/>
  <c r="AF147" i="1"/>
  <c r="AE147" i="1"/>
  <c r="AD147" i="1"/>
  <c r="AC147" i="1"/>
  <c r="X147" i="1"/>
  <c r="V147" i="1"/>
  <c r="U147" i="1"/>
  <c r="T147" i="1"/>
  <c r="S147" i="1"/>
  <c r="R147" i="1"/>
  <c r="O147" i="1"/>
  <c r="N147" i="1"/>
  <c r="M147" i="1"/>
  <c r="L147" i="1"/>
  <c r="K147" i="1"/>
  <c r="I147" i="1"/>
  <c r="G147" i="1"/>
  <c r="F147" i="1"/>
  <c r="D147" i="1"/>
  <c r="C147" i="1"/>
  <c r="AR146" i="1"/>
  <c r="AQ146" i="1"/>
  <c r="AP146" i="1"/>
  <c r="AL146" i="1"/>
  <c r="AK146" i="1"/>
  <c r="AJ146" i="1"/>
  <c r="AI146" i="1"/>
  <c r="AH146" i="1"/>
  <c r="AG146" i="1"/>
  <c r="AF146" i="1"/>
  <c r="AE146" i="1"/>
  <c r="AD146" i="1"/>
  <c r="AC146" i="1"/>
  <c r="AB146" i="1"/>
  <c r="X146" i="1"/>
  <c r="W146" i="1"/>
  <c r="V146" i="1"/>
  <c r="U146" i="1"/>
  <c r="T146" i="1"/>
  <c r="S146" i="1"/>
  <c r="R146" i="1"/>
  <c r="P146" i="1"/>
  <c r="O146" i="1"/>
  <c r="N146" i="1"/>
  <c r="M146" i="1"/>
  <c r="L146" i="1"/>
  <c r="K146" i="1"/>
  <c r="A146" i="1"/>
  <c r="AL145" i="1"/>
  <c r="AK145" i="1"/>
  <c r="AJ145" i="1"/>
  <c r="AI145" i="1"/>
  <c r="AH145" i="1"/>
  <c r="AG145" i="1"/>
  <c r="AF145" i="1"/>
  <c r="AE145" i="1"/>
  <c r="AD145" i="1"/>
  <c r="AC145" i="1"/>
  <c r="I145" i="1"/>
  <c r="G145" i="1"/>
  <c r="F145" i="1"/>
  <c r="D145" i="1"/>
  <c r="C145" i="1"/>
  <c r="AR144" i="1"/>
  <c r="AQ144" i="1"/>
  <c r="AP144" i="1"/>
  <c r="AL144" i="1"/>
  <c r="AK144" i="1"/>
  <c r="AJ144" i="1"/>
  <c r="AI144" i="1"/>
  <c r="AH144" i="1"/>
  <c r="AG144" i="1"/>
  <c r="AF144" i="1"/>
  <c r="AE144" i="1"/>
  <c r="AD144" i="1"/>
  <c r="AC144" i="1"/>
  <c r="X144" i="1"/>
  <c r="V144" i="1"/>
  <c r="U144" i="1"/>
  <c r="T144" i="1"/>
  <c r="S144" i="1"/>
  <c r="R144" i="1"/>
  <c r="O144" i="1"/>
  <c r="N144" i="1"/>
  <c r="M144" i="1"/>
  <c r="L144" i="1"/>
  <c r="K144" i="1"/>
  <c r="I144" i="1"/>
  <c r="G144" i="1"/>
  <c r="F144" i="1"/>
  <c r="D144" i="1"/>
  <c r="C144" i="1"/>
  <c r="AR143" i="1"/>
  <c r="AQ143" i="1"/>
  <c r="AP143" i="1"/>
  <c r="AL143" i="1"/>
  <c r="AK143" i="1"/>
  <c r="AJ143" i="1"/>
  <c r="AI143" i="1"/>
  <c r="AH143" i="1"/>
  <c r="AG143" i="1"/>
  <c r="AF143" i="1"/>
  <c r="AE143" i="1"/>
  <c r="AD143" i="1"/>
  <c r="AC143" i="1"/>
  <c r="AB143" i="1"/>
  <c r="X143" i="1"/>
  <c r="W143" i="1"/>
  <c r="V143" i="1"/>
  <c r="U143" i="1"/>
  <c r="T143" i="1"/>
  <c r="S143" i="1"/>
  <c r="R143" i="1"/>
  <c r="P143" i="1"/>
  <c r="O143" i="1"/>
  <c r="N143" i="1"/>
  <c r="M143" i="1"/>
  <c r="L143" i="1"/>
  <c r="K143" i="1"/>
  <c r="A143" i="1"/>
  <c r="AL142" i="1"/>
  <c r="AK142" i="1"/>
  <c r="AJ142" i="1"/>
  <c r="AI142" i="1"/>
  <c r="AH142" i="1"/>
  <c r="AG142" i="1"/>
  <c r="AF142" i="1"/>
  <c r="AE142" i="1"/>
  <c r="AD142" i="1"/>
  <c r="AC142" i="1"/>
  <c r="I142" i="1"/>
  <c r="G142" i="1"/>
  <c r="F142" i="1"/>
  <c r="D142" i="1"/>
  <c r="C142" i="1"/>
  <c r="AR141" i="1"/>
  <c r="AQ141" i="1"/>
  <c r="AP141" i="1"/>
  <c r="AL141" i="1"/>
  <c r="AK141" i="1"/>
  <c r="AJ141" i="1"/>
  <c r="AI141" i="1"/>
  <c r="AH141" i="1"/>
  <c r="AG141" i="1"/>
  <c r="AF141" i="1"/>
  <c r="AE141" i="1"/>
  <c r="AD141" i="1"/>
  <c r="AC141" i="1"/>
  <c r="X141" i="1"/>
  <c r="V141" i="1"/>
  <c r="U141" i="1"/>
  <c r="T141" i="1"/>
  <c r="S141" i="1"/>
  <c r="R141" i="1"/>
  <c r="O141" i="1"/>
  <c r="N141" i="1"/>
  <c r="M141" i="1"/>
  <c r="L141" i="1"/>
  <c r="K141" i="1"/>
  <c r="I141" i="1"/>
  <c r="G141" i="1"/>
  <c r="F141" i="1"/>
  <c r="D141" i="1"/>
  <c r="C141" i="1"/>
  <c r="AR140" i="1"/>
  <c r="AQ140" i="1"/>
  <c r="AP140" i="1"/>
  <c r="AL140" i="1"/>
  <c r="AK140" i="1"/>
  <c r="AJ140" i="1"/>
  <c r="AI140" i="1"/>
  <c r="AH140" i="1"/>
  <c r="AG140" i="1"/>
  <c r="AF140" i="1"/>
  <c r="AE140" i="1"/>
  <c r="AD140" i="1"/>
  <c r="AC140" i="1"/>
  <c r="AB140" i="1"/>
  <c r="Y140" i="1"/>
  <c r="X140" i="1"/>
  <c r="W140" i="1"/>
  <c r="V140" i="1"/>
  <c r="U140" i="1"/>
  <c r="T140" i="1"/>
  <c r="S140" i="1"/>
  <c r="R140" i="1"/>
  <c r="P140" i="1"/>
  <c r="O140" i="1"/>
  <c r="N140" i="1"/>
  <c r="M140" i="1"/>
  <c r="L140" i="1"/>
  <c r="K140" i="1"/>
  <c r="A140" i="1"/>
  <c r="AL139" i="1"/>
  <c r="AK139" i="1"/>
  <c r="AJ139" i="1"/>
  <c r="AI139" i="1"/>
  <c r="AH139" i="1"/>
  <c r="AG139" i="1"/>
  <c r="AF139" i="1"/>
  <c r="AE139" i="1"/>
  <c r="AD139" i="1"/>
  <c r="AC139" i="1"/>
  <c r="I139" i="1"/>
  <c r="G139" i="1"/>
  <c r="F139" i="1"/>
  <c r="D139" i="1"/>
  <c r="C139" i="1"/>
  <c r="AR138" i="1"/>
  <c r="AQ138" i="1"/>
  <c r="AP138" i="1"/>
  <c r="AL138" i="1"/>
  <c r="AK138" i="1"/>
  <c r="AJ138" i="1"/>
  <c r="AI138" i="1"/>
  <c r="AH138" i="1"/>
  <c r="AG138" i="1"/>
  <c r="AF138" i="1"/>
  <c r="AE138" i="1"/>
  <c r="AD138" i="1"/>
  <c r="AC138" i="1"/>
  <c r="X138" i="1"/>
  <c r="V138" i="1"/>
  <c r="U138" i="1"/>
  <c r="T138" i="1"/>
  <c r="S138" i="1"/>
  <c r="R138" i="1"/>
  <c r="O138" i="1"/>
  <c r="N138" i="1"/>
  <c r="M138" i="1"/>
  <c r="L138" i="1"/>
  <c r="K138" i="1"/>
  <c r="I138" i="1"/>
  <c r="G138" i="1"/>
  <c r="F138" i="1"/>
  <c r="D138" i="1"/>
  <c r="C138" i="1"/>
  <c r="AR137" i="1"/>
  <c r="AQ137" i="1"/>
  <c r="AP137" i="1"/>
  <c r="AL137" i="1"/>
  <c r="AK137" i="1"/>
  <c r="AJ137" i="1"/>
  <c r="AI137" i="1"/>
  <c r="AH137" i="1"/>
  <c r="AG137" i="1"/>
  <c r="AF137" i="1"/>
  <c r="AE137" i="1"/>
  <c r="AD137" i="1"/>
  <c r="AC137" i="1"/>
  <c r="AB137" i="1"/>
  <c r="Y137" i="1"/>
  <c r="X137" i="1"/>
  <c r="W137" i="1"/>
  <c r="V137" i="1"/>
  <c r="U137" i="1"/>
  <c r="T137" i="1"/>
  <c r="S137" i="1"/>
  <c r="R137" i="1"/>
  <c r="P137" i="1"/>
  <c r="O137" i="1"/>
  <c r="N137" i="1"/>
  <c r="M137" i="1"/>
  <c r="L137" i="1"/>
  <c r="K137" i="1"/>
  <c r="A137" i="1"/>
  <c r="AL136" i="1"/>
  <c r="AK136" i="1"/>
  <c r="AJ136" i="1"/>
  <c r="AI136" i="1"/>
  <c r="AH136" i="1"/>
  <c r="AG136" i="1"/>
  <c r="AF136" i="1"/>
  <c r="AE136" i="1"/>
  <c r="AD136" i="1"/>
  <c r="AC136" i="1"/>
  <c r="I136" i="1"/>
  <c r="G136" i="1"/>
  <c r="F136" i="1"/>
  <c r="D136" i="1"/>
  <c r="C136" i="1"/>
  <c r="AR135" i="1"/>
  <c r="AQ135" i="1"/>
  <c r="AP135" i="1"/>
  <c r="AL135" i="1"/>
  <c r="AK135" i="1"/>
  <c r="AJ135" i="1"/>
  <c r="AI135" i="1"/>
  <c r="AH135" i="1"/>
  <c r="AG135" i="1"/>
  <c r="AF135" i="1"/>
  <c r="AE135" i="1"/>
  <c r="AD135" i="1"/>
  <c r="AC135" i="1"/>
  <c r="X135" i="1"/>
  <c r="V135" i="1"/>
  <c r="U135" i="1"/>
  <c r="T135" i="1"/>
  <c r="S135" i="1"/>
  <c r="R135" i="1"/>
  <c r="O135" i="1"/>
  <c r="N135" i="1"/>
  <c r="M135" i="1"/>
  <c r="L135" i="1"/>
  <c r="K135" i="1"/>
  <c r="I135" i="1"/>
  <c r="G135" i="1"/>
  <c r="F135" i="1"/>
  <c r="D135" i="1"/>
  <c r="C135" i="1"/>
  <c r="AR134" i="1"/>
  <c r="AQ134" i="1"/>
  <c r="AP134" i="1"/>
  <c r="AL134" i="1"/>
  <c r="AK134" i="1"/>
  <c r="AJ134" i="1"/>
  <c r="AI134" i="1"/>
  <c r="AH134" i="1"/>
  <c r="AG134" i="1"/>
  <c r="AF134" i="1"/>
  <c r="AE134" i="1"/>
  <c r="AD134" i="1"/>
  <c r="AC134" i="1"/>
  <c r="AB134" i="1"/>
  <c r="Y134" i="1"/>
  <c r="X134" i="1"/>
  <c r="W134" i="1"/>
  <c r="V134" i="1"/>
  <c r="U134" i="1"/>
  <c r="T134" i="1"/>
  <c r="S134" i="1"/>
  <c r="R134" i="1"/>
  <c r="P134" i="1"/>
  <c r="O134" i="1"/>
  <c r="N134" i="1"/>
  <c r="M134" i="1"/>
  <c r="L134" i="1"/>
  <c r="K134" i="1"/>
  <c r="A134" i="1"/>
  <c r="AL133" i="1"/>
  <c r="AK133" i="1"/>
  <c r="AJ133" i="1"/>
  <c r="AI133" i="1"/>
  <c r="AH133" i="1"/>
  <c r="AG133" i="1"/>
  <c r="AF133" i="1"/>
  <c r="AE133" i="1"/>
  <c r="AD133" i="1"/>
  <c r="AC133" i="1"/>
  <c r="I133" i="1"/>
  <c r="G133" i="1"/>
  <c r="F133" i="1"/>
  <c r="D133" i="1"/>
  <c r="C133" i="1"/>
  <c r="AR132" i="1"/>
  <c r="AQ132" i="1"/>
  <c r="AP132" i="1"/>
  <c r="AL132" i="1"/>
  <c r="AK132" i="1"/>
  <c r="AJ132" i="1"/>
  <c r="AI132" i="1"/>
  <c r="AH132" i="1"/>
  <c r="AG132" i="1"/>
  <c r="AF132" i="1"/>
  <c r="AE132" i="1"/>
  <c r="AD132" i="1"/>
  <c r="AC132" i="1"/>
  <c r="X132" i="1"/>
  <c r="V132" i="1"/>
  <c r="U132" i="1"/>
  <c r="T132" i="1"/>
  <c r="S132" i="1"/>
  <c r="R132" i="1"/>
  <c r="O132" i="1"/>
  <c r="N132" i="1"/>
  <c r="M132" i="1"/>
  <c r="L132" i="1"/>
  <c r="K132" i="1"/>
  <c r="I132" i="1"/>
  <c r="G132" i="1"/>
  <c r="F132" i="1"/>
  <c r="D132" i="1"/>
  <c r="C132" i="1"/>
  <c r="AR131" i="1"/>
  <c r="AQ131" i="1"/>
  <c r="AP131" i="1"/>
  <c r="AL131" i="1"/>
  <c r="AK131" i="1"/>
  <c r="AJ131" i="1"/>
  <c r="AI131" i="1"/>
  <c r="AH131" i="1"/>
  <c r="AG131" i="1"/>
  <c r="AF131" i="1"/>
  <c r="AE131" i="1"/>
  <c r="AD131" i="1"/>
  <c r="AC131" i="1"/>
  <c r="AB131" i="1"/>
  <c r="Y131" i="1"/>
  <c r="X131" i="1"/>
  <c r="W131" i="1"/>
  <c r="V131" i="1"/>
  <c r="U131" i="1"/>
  <c r="T131" i="1"/>
  <c r="S131" i="1"/>
  <c r="R131" i="1"/>
  <c r="P131" i="1"/>
  <c r="O131" i="1"/>
  <c r="N131" i="1"/>
  <c r="M131" i="1"/>
  <c r="L131" i="1"/>
  <c r="K131" i="1"/>
  <c r="A131" i="1"/>
  <c r="AL130" i="1"/>
  <c r="AK130" i="1"/>
  <c r="AJ130" i="1"/>
  <c r="AI130" i="1"/>
  <c r="AH130" i="1"/>
  <c r="AG130" i="1"/>
  <c r="AF130" i="1"/>
  <c r="AE130" i="1"/>
  <c r="AD130" i="1"/>
  <c r="AC130" i="1"/>
  <c r="I130" i="1"/>
  <c r="G130" i="1"/>
  <c r="F130" i="1"/>
  <c r="D130" i="1"/>
  <c r="C130" i="1"/>
  <c r="AR129" i="1"/>
  <c r="AQ129" i="1"/>
  <c r="AP129" i="1"/>
  <c r="AL129" i="1"/>
  <c r="AK129" i="1"/>
  <c r="AJ129" i="1"/>
  <c r="AI129" i="1"/>
  <c r="AH129" i="1"/>
  <c r="AG129" i="1"/>
  <c r="AF129" i="1"/>
  <c r="AE129" i="1"/>
  <c r="AD129" i="1"/>
  <c r="AC129" i="1"/>
  <c r="X129" i="1"/>
  <c r="V129" i="1"/>
  <c r="U129" i="1"/>
  <c r="T129" i="1"/>
  <c r="S129" i="1"/>
  <c r="R129" i="1"/>
  <c r="O129" i="1"/>
  <c r="N129" i="1"/>
  <c r="M129" i="1"/>
  <c r="L129" i="1"/>
  <c r="K129" i="1"/>
  <c r="I129" i="1"/>
  <c r="G129" i="1"/>
  <c r="F129" i="1"/>
  <c r="D129" i="1"/>
  <c r="C129" i="1"/>
  <c r="AR128" i="1"/>
  <c r="AQ128" i="1"/>
  <c r="AP128" i="1"/>
  <c r="AL128" i="1"/>
  <c r="AK128" i="1"/>
  <c r="AJ128" i="1"/>
  <c r="AI128" i="1"/>
  <c r="AH128" i="1"/>
  <c r="AG128" i="1"/>
  <c r="AF128" i="1"/>
  <c r="AE128" i="1"/>
  <c r="AD128" i="1"/>
  <c r="AC128" i="1"/>
  <c r="AB128" i="1"/>
  <c r="X128" i="1"/>
  <c r="W128" i="1"/>
  <c r="V128" i="1"/>
  <c r="U128" i="1"/>
  <c r="T128" i="1"/>
  <c r="S128" i="1"/>
  <c r="R128" i="1"/>
  <c r="P128" i="1"/>
  <c r="O128" i="1"/>
  <c r="N128" i="1"/>
  <c r="M128" i="1"/>
  <c r="L128" i="1"/>
  <c r="K128" i="1"/>
  <c r="A128" i="1"/>
  <c r="AL127" i="1"/>
  <c r="AK127" i="1"/>
  <c r="AJ127" i="1"/>
  <c r="AI127" i="1"/>
  <c r="AH127" i="1"/>
  <c r="AG127" i="1"/>
  <c r="AF127" i="1"/>
  <c r="AE127" i="1"/>
  <c r="AD127" i="1"/>
  <c r="AC127" i="1"/>
  <c r="I127" i="1"/>
  <c r="G127" i="1"/>
  <c r="F127" i="1"/>
  <c r="D127" i="1"/>
  <c r="C127" i="1"/>
  <c r="AR126" i="1"/>
  <c r="AQ126" i="1"/>
  <c r="AP126" i="1"/>
  <c r="AL126" i="1"/>
  <c r="AK126" i="1"/>
  <c r="AJ126" i="1"/>
  <c r="AI126" i="1"/>
  <c r="AH126" i="1"/>
  <c r="AG126" i="1"/>
  <c r="AF126" i="1"/>
  <c r="AE126" i="1"/>
  <c r="AD126" i="1"/>
  <c r="AC126" i="1"/>
  <c r="X126" i="1"/>
  <c r="V126" i="1"/>
  <c r="U126" i="1"/>
  <c r="T126" i="1"/>
  <c r="S126" i="1"/>
  <c r="R126" i="1"/>
  <c r="O126" i="1"/>
  <c r="N126" i="1"/>
  <c r="M126" i="1"/>
  <c r="L126" i="1"/>
  <c r="K126" i="1"/>
  <c r="I126" i="1"/>
  <c r="G126" i="1"/>
  <c r="F126" i="1"/>
  <c r="D126" i="1"/>
  <c r="C126" i="1"/>
  <c r="AR125" i="1"/>
  <c r="AQ125" i="1"/>
  <c r="AP125" i="1"/>
  <c r="AL125" i="1"/>
  <c r="AK125" i="1"/>
  <c r="AJ125" i="1"/>
  <c r="AI125" i="1"/>
  <c r="AH125" i="1"/>
  <c r="AG125" i="1"/>
  <c r="AF125" i="1"/>
  <c r="AE125" i="1"/>
  <c r="AD125" i="1"/>
  <c r="AC125" i="1"/>
  <c r="AB125" i="1"/>
  <c r="Y125" i="1"/>
  <c r="X125" i="1"/>
  <c r="W125" i="1"/>
  <c r="V125" i="1"/>
  <c r="U125" i="1"/>
  <c r="T125" i="1"/>
  <c r="S125" i="1"/>
  <c r="R125" i="1"/>
  <c r="P125" i="1"/>
  <c r="O125" i="1"/>
  <c r="N125" i="1"/>
  <c r="M125" i="1"/>
  <c r="L125" i="1"/>
  <c r="K125" i="1"/>
  <c r="A125" i="1"/>
  <c r="AL124" i="1"/>
  <c r="AK124" i="1"/>
  <c r="AJ124" i="1"/>
  <c r="AI124" i="1"/>
  <c r="AH124" i="1"/>
  <c r="AG124" i="1"/>
  <c r="AF124" i="1"/>
  <c r="AE124" i="1"/>
  <c r="AD124" i="1"/>
  <c r="AC124" i="1"/>
  <c r="I124" i="1"/>
  <c r="G124" i="1"/>
  <c r="F124" i="1"/>
  <c r="D124" i="1"/>
  <c r="C124" i="1"/>
  <c r="AR123" i="1"/>
  <c r="AQ123" i="1"/>
  <c r="AP123" i="1"/>
  <c r="AL123" i="1"/>
  <c r="AK123" i="1"/>
  <c r="AJ123" i="1"/>
  <c r="AI123" i="1"/>
  <c r="AH123" i="1"/>
  <c r="AG123" i="1"/>
  <c r="AF123" i="1"/>
  <c r="AE123" i="1"/>
  <c r="AD123" i="1"/>
  <c r="AC123" i="1"/>
  <c r="X123" i="1"/>
  <c r="V123" i="1"/>
  <c r="U123" i="1"/>
  <c r="T123" i="1"/>
  <c r="S123" i="1"/>
  <c r="R123" i="1"/>
  <c r="O123" i="1"/>
  <c r="N123" i="1"/>
  <c r="M123" i="1"/>
  <c r="L123" i="1"/>
  <c r="K123" i="1"/>
  <c r="I123" i="1"/>
  <c r="G123" i="1"/>
  <c r="F123" i="1"/>
  <c r="D123" i="1"/>
  <c r="C123" i="1"/>
  <c r="AR122" i="1"/>
  <c r="AQ122" i="1"/>
  <c r="AP122" i="1"/>
  <c r="AL122" i="1"/>
  <c r="AK122" i="1"/>
  <c r="AJ122" i="1"/>
  <c r="AI122" i="1"/>
  <c r="AH122" i="1"/>
  <c r="AG122" i="1"/>
  <c r="AF122" i="1"/>
  <c r="AE122" i="1"/>
  <c r="AD122" i="1"/>
  <c r="AC122" i="1"/>
  <c r="AB122" i="1"/>
  <c r="X122" i="1"/>
  <c r="W122" i="1"/>
  <c r="V122" i="1"/>
  <c r="U122" i="1"/>
  <c r="T122" i="1"/>
  <c r="S122" i="1"/>
  <c r="R122" i="1"/>
  <c r="P122" i="1"/>
  <c r="O122" i="1"/>
  <c r="N122" i="1"/>
  <c r="M122" i="1"/>
  <c r="L122" i="1"/>
  <c r="K122" i="1"/>
  <c r="A122" i="1"/>
  <c r="AL121" i="1"/>
  <c r="AK121" i="1"/>
  <c r="AJ121" i="1"/>
  <c r="AI121" i="1"/>
  <c r="AH121" i="1"/>
  <c r="AG121" i="1"/>
  <c r="AF121" i="1"/>
  <c r="AE121" i="1"/>
  <c r="AD121" i="1"/>
  <c r="AC121" i="1"/>
  <c r="I121" i="1"/>
  <c r="G121" i="1"/>
  <c r="F121" i="1"/>
  <c r="D121" i="1"/>
  <c r="C121" i="1"/>
  <c r="AR120" i="1"/>
  <c r="AQ120" i="1"/>
  <c r="AP120" i="1"/>
  <c r="AL120" i="1"/>
  <c r="AK120" i="1"/>
  <c r="AJ120" i="1"/>
  <c r="AI120" i="1"/>
  <c r="AH120" i="1"/>
  <c r="AG120" i="1"/>
  <c r="AF120" i="1"/>
  <c r="AE120" i="1"/>
  <c r="AD120" i="1"/>
  <c r="AC120" i="1"/>
  <c r="X120" i="1"/>
  <c r="V120" i="1"/>
  <c r="U120" i="1"/>
  <c r="T120" i="1"/>
  <c r="S120" i="1"/>
  <c r="R120" i="1"/>
  <c r="O120" i="1"/>
  <c r="N120" i="1"/>
  <c r="M120" i="1"/>
  <c r="L120" i="1"/>
  <c r="K120" i="1"/>
  <c r="I120" i="1"/>
  <c r="G120" i="1"/>
  <c r="F120" i="1"/>
  <c r="D120" i="1"/>
  <c r="C120" i="1"/>
  <c r="AR119" i="1"/>
  <c r="AQ119" i="1"/>
  <c r="AP119" i="1"/>
  <c r="AL119" i="1"/>
  <c r="AK119" i="1"/>
  <c r="AJ119" i="1"/>
  <c r="AI119" i="1"/>
  <c r="AH119" i="1"/>
  <c r="AG119" i="1"/>
  <c r="AF119" i="1"/>
  <c r="AE119" i="1"/>
  <c r="AD119" i="1"/>
  <c r="AC119" i="1"/>
  <c r="AB119" i="1"/>
  <c r="Y119" i="1"/>
  <c r="X119" i="1"/>
  <c r="W119" i="1"/>
  <c r="V119" i="1"/>
  <c r="U119" i="1"/>
  <c r="T119" i="1"/>
  <c r="S119" i="1"/>
  <c r="R119" i="1"/>
  <c r="P119" i="1"/>
  <c r="O119" i="1"/>
  <c r="N119" i="1"/>
  <c r="M119" i="1"/>
  <c r="L119" i="1"/>
  <c r="K119" i="1"/>
  <c r="A119" i="1"/>
  <c r="AL118" i="1"/>
  <c r="AK118" i="1"/>
  <c r="AJ118" i="1"/>
  <c r="AI118" i="1"/>
  <c r="AH118" i="1"/>
  <c r="AG118" i="1"/>
  <c r="AF118" i="1"/>
  <c r="AE118" i="1"/>
  <c r="AD118" i="1"/>
  <c r="AC118" i="1"/>
  <c r="I118" i="1"/>
  <c r="G118" i="1"/>
  <c r="F118" i="1"/>
  <c r="D118" i="1"/>
  <c r="C118" i="1"/>
  <c r="AR117" i="1"/>
  <c r="AQ117" i="1"/>
  <c r="AP117" i="1"/>
  <c r="AL117" i="1"/>
  <c r="AK117" i="1"/>
  <c r="AJ117" i="1"/>
  <c r="AI117" i="1"/>
  <c r="AH117" i="1"/>
  <c r="AG117" i="1"/>
  <c r="AF117" i="1"/>
  <c r="AE117" i="1"/>
  <c r="AD117" i="1"/>
  <c r="AC117" i="1"/>
  <c r="X117" i="1"/>
  <c r="V117" i="1"/>
  <c r="U117" i="1"/>
  <c r="T117" i="1"/>
  <c r="S117" i="1"/>
  <c r="R117" i="1"/>
  <c r="O117" i="1"/>
  <c r="N117" i="1"/>
  <c r="M117" i="1"/>
  <c r="L117" i="1"/>
  <c r="K117" i="1"/>
  <c r="I117" i="1"/>
  <c r="G117" i="1"/>
  <c r="F117" i="1"/>
  <c r="D117" i="1"/>
  <c r="C117" i="1"/>
  <c r="AR116" i="1"/>
  <c r="AQ116" i="1"/>
  <c r="AP116" i="1"/>
  <c r="AL116" i="1"/>
  <c r="AK116" i="1"/>
  <c r="AJ116" i="1"/>
  <c r="AI116" i="1"/>
  <c r="AH116" i="1"/>
  <c r="AG116" i="1"/>
  <c r="AF116" i="1"/>
  <c r="AE116" i="1"/>
  <c r="AD116" i="1"/>
  <c r="AC116" i="1"/>
  <c r="AB116" i="1"/>
  <c r="Y116" i="1"/>
  <c r="X116" i="1"/>
  <c r="W116" i="1"/>
  <c r="V116" i="1"/>
  <c r="U116" i="1"/>
  <c r="T116" i="1"/>
  <c r="S116" i="1"/>
  <c r="R116" i="1"/>
  <c r="P116" i="1"/>
  <c r="O116" i="1"/>
  <c r="N116" i="1"/>
  <c r="M116" i="1"/>
  <c r="L116" i="1"/>
  <c r="K116" i="1"/>
  <c r="A116" i="1"/>
  <c r="AL115" i="1"/>
  <c r="AK115" i="1"/>
  <c r="AJ115" i="1"/>
  <c r="AI115" i="1"/>
  <c r="AH115" i="1"/>
  <c r="AG115" i="1"/>
  <c r="AF115" i="1"/>
  <c r="AE115" i="1"/>
  <c r="AD115" i="1"/>
  <c r="AC115" i="1"/>
  <c r="I115" i="1"/>
  <c r="G115" i="1"/>
  <c r="F115" i="1"/>
  <c r="D115" i="1"/>
  <c r="C115" i="1"/>
  <c r="AR114" i="1"/>
  <c r="AQ114" i="1"/>
  <c r="AP114" i="1"/>
  <c r="AL114" i="1"/>
  <c r="AK114" i="1"/>
  <c r="AJ114" i="1"/>
  <c r="AI114" i="1"/>
  <c r="AH114" i="1"/>
  <c r="AG114" i="1"/>
  <c r="AF114" i="1"/>
  <c r="AE114" i="1"/>
  <c r="AD114" i="1"/>
  <c r="AC114" i="1"/>
  <c r="X114" i="1"/>
  <c r="V114" i="1"/>
  <c r="U114" i="1"/>
  <c r="T114" i="1"/>
  <c r="S114" i="1"/>
  <c r="R114" i="1"/>
  <c r="O114" i="1"/>
  <c r="N114" i="1"/>
  <c r="M114" i="1"/>
  <c r="L114" i="1"/>
  <c r="K114" i="1"/>
  <c r="I114" i="1"/>
  <c r="G114" i="1"/>
  <c r="F114" i="1"/>
  <c r="D114" i="1"/>
  <c r="C114" i="1"/>
  <c r="AR113" i="1"/>
  <c r="AQ113" i="1"/>
  <c r="AP113" i="1"/>
  <c r="AL113" i="1"/>
  <c r="AK113" i="1"/>
  <c r="AJ113" i="1"/>
  <c r="AI113" i="1"/>
  <c r="AH113" i="1"/>
  <c r="AG113" i="1"/>
  <c r="AF113" i="1"/>
  <c r="AE113" i="1"/>
  <c r="AD113" i="1"/>
  <c r="AC113" i="1"/>
  <c r="AB113" i="1"/>
  <c r="Y113" i="1"/>
  <c r="X113" i="1"/>
  <c r="W113" i="1"/>
  <c r="V113" i="1"/>
  <c r="U113" i="1"/>
  <c r="T113" i="1"/>
  <c r="S113" i="1"/>
  <c r="R113" i="1"/>
  <c r="P113" i="1"/>
  <c r="O113" i="1"/>
  <c r="N113" i="1"/>
  <c r="M113" i="1"/>
  <c r="L113" i="1"/>
  <c r="K113" i="1"/>
  <c r="A113" i="1"/>
  <c r="AL112" i="1"/>
  <c r="AK112" i="1"/>
  <c r="AJ112" i="1"/>
  <c r="AI112" i="1"/>
  <c r="AH112" i="1"/>
  <c r="AG112" i="1"/>
  <c r="AF112" i="1"/>
  <c r="AE112" i="1"/>
  <c r="AD112" i="1"/>
  <c r="AC112" i="1"/>
  <c r="I112" i="1"/>
  <c r="G112" i="1"/>
  <c r="F112" i="1"/>
  <c r="D112" i="1"/>
  <c r="C112" i="1"/>
  <c r="AR111" i="1"/>
  <c r="AQ111" i="1"/>
  <c r="AP111" i="1"/>
  <c r="AL111" i="1"/>
  <c r="AK111" i="1"/>
  <c r="AJ111" i="1"/>
  <c r="AI111" i="1"/>
  <c r="AH111" i="1"/>
  <c r="AG111" i="1"/>
  <c r="AF111" i="1"/>
  <c r="AE111" i="1"/>
  <c r="AD111" i="1"/>
  <c r="AC111" i="1"/>
  <c r="X111" i="1"/>
  <c r="V111" i="1"/>
  <c r="U111" i="1"/>
  <c r="T111" i="1"/>
  <c r="S111" i="1"/>
  <c r="R111" i="1"/>
  <c r="O111" i="1"/>
  <c r="N111" i="1"/>
  <c r="M111" i="1"/>
  <c r="L111" i="1"/>
  <c r="K111" i="1"/>
  <c r="I111" i="1"/>
  <c r="G111" i="1"/>
  <c r="F111" i="1"/>
  <c r="D111" i="1"/>
  <c r="C111" i="1"/>
  <c r="AR110" i="1"/>
  <c r="AQ110" i="1"/>
  <c r="AP110" i="1"/>
  <c r="AL110" i="1"/>
  <c r="AK110" i="1"/>
  <c r="AJ110" i="1"/>
  <c r="AI110" i="1"/>
  <c r="AH110" i="1"/>
  <c r="AG110" i="1"/>
  <c r="AF110" i="1"/>
  <c r="AE110" i="1"/>
  <c r="AD110" i="1"/>
  <c r="AC110" i="1"/>
  <c r="AB110" i="1"/>
  <c r="Y110" i="1"/>
  <c r="X110" i="1"/>
  <c r="W110" i="1"/>
  <c r="V110" i="1"/>
  <c r="U110" i="1"/>
  <c r="T110" i="1"/>
  <c r="S110" i="1"/>
  <c r="R110" i="1"/>
  <c r="P110" i="1"/>
  <c r="O110" i="1"/>
  <c r="N110" i="1"/>
  <c r="M110" i="1"/>
  <c r="L110" i="1"/>
  <c r="K110" i="1"/>
  <c r="A110" i="1"/>
  <c r="AL109" i="1"/>
  <c r="AK109" i="1"/>
  <c r="AJ109" i="1"/>
  <c r="AI109" i="1"/>
  <c r="AH109" i="1"/>
  <c r="AG109" i="1"/>
  <c r="AF109" i="1"/>
  <c r="AE109" i="1"/>
  <c r="AD109" i="1"/>
  <c r="AC109" i="1"/>
  <c r="I109" i="1"/>
  <c r="G109" i="1"/>
  <c r="F109" i="1"/>
  <c r="D109" i="1"/>
  <c r="C109" i="1"/>
  <c r="AR108" i="1"/>
  <c r="AQ108" i="1"/>
  <c r="AP108" i="1"/>
  <c r="AL108" i="1"/>
  <c r="AK108" i="1"/>
  <c r="AJ108" i="1"/>
  <c r="AI108" i="1"/>
  <c r="AH108" i="1"/>
  <c r="AG108" i="1"/>
  <c r="AF108" i="1"/>
  <c r="AE108" i="1"/>
  <c r="AD108" i="1"/>
  <c r="AC108" i="1"/>
  <c r="X108" i="1"/>
  <c r="V108" i="1"/>
  <c r="U108" i="1"/>
  <c r="T108" i="1"/>
  <c r="S108" i="1"/>
  <c r="R108" i="1"/>
  <c r="O108" i="1"/>
  <c r="N108" i="1"/>
  <c r="M108" i="1"/>
  <c r="L108" i="1"/>
  <c r="K108" i="1"/>
  <c r="I108" i="1"/>
  <c r="G108" i="1"/>
  <c r="F108" i="1"/>
  <c r="D108" i="1"/>
  <c r="C108" i="1"/>
  <c r="AR107" i="1"/>
  <c r="AQ107" i="1"/>
  <c r="AP107" i="1"/>
  <c r="AL107" i="1"/>
  <c r="AK107" i="1"/>
  <c r="AJ107" i="1"/>
  <c r="AI107" i="1"/>
  <c r="AH107" i="1"/>
  <c r="AG107" i="1"/>
  <c r="AF107" i="1"/>
  <c r="AE107" i="1"/>
  <c r="AD107" i="1"/>
  <c r="AC107" i="1"/>
  <c r="AB107" i="1"/>
  <c r="Y107" i="1"/>
  <c r="X107" i="1"/>
  <c r="W107" i="1"/>
  <c r="V107" i="1"/>
  <c r="U107" i="1"/>
  <c r="T107" i="1"/>
  <c r="S107" i="1"/>
  <c r="R107" i="1"/>
  <c r="P107" i="1"/>
  <c r="O107" i="1"/>
  <c r="N107" i="1"/>
  <c r="M107" i="1"/>
  <c r="L107" i="1"/>
  <c r="K107" i="1"/>
  <c r="A107" i="1"/>
  <c r="AL106" i="1"/>
  <c r="AK106" i="1"/>
  <c r="AJ106" i="1"/>
  <c r="AI106" i="1"/>
  <c r="AH106" i="1"/>
  <c r="AG106" i="1"/>
  <c r="AF106" i="1"/>
  <c r="AE106" i="1"/>
  <c r="AD106" i="1"/>
  <c r="AC106" i="1"/>
  <c r="I106" i="1"/>
  <c r="G106" i="1"/>
  <c r="F106" i="1"/>
  <c r="D106" i="1"/>
  <c r="C106" i="1"/>
  <c r="AR105" i="1"/>
  <c r="AQ105" i="1"/>
  <c r="AP105" i="1"/>
  <c r="AL105" i="1"/>
  <c r="AK105" i="1"/>
  <c r="AJ105" i="1"/>
  <c r="AI105" i="1"/>
  <c r="AH105" i="1"/>
  <c r="AG105" i="1"/>
  <c r="AF105" i="1"/>
  <c r="AE105" i="1"/>
  <c r="AD105" i="1"/>
  <c r="AC105" i="1"/>
  <c r="X105" i="1"/>
  <c r="V105" i="1"/>
  <c r="U105" i="1"/>
  <c r="T105" i="1"/>
  <c r="S105" i="1"/>
  <c r="R105" i="1"/>
  <c r="O105" i="1"/>
  <c r="N105" i="1"/>
  <c r="M105" i="1"/>
  <c r="L105" i="1"/>
  <c r="K105" i="1"/>
  <c r="I105" i="1"/>
  <c r="G105" i="1"/>
  <c r="F105" i="1"/>
  <c r="D105" i="1"/>
  <c r="C105" i="1"/>
  <c r="AR104" i="1"/>
  <c r="AQ104" i="1"/>
  <c r="AP104" i="1"/>
  <c r="AL104" i="1"/>
  <c r="AK104" i="1"/>
  <c r="AJ104" i="1"/>
  <c r="AI104" i="1"/>
  <c r="AH104" i="1"/>
  <c r="AG104" i="1"/>
  <c r="AF104" i="1"/>
  <c r="AE104" i="1"/>
  <c r="AD104" i="1"/>
  <c r="AC104" i="1"/>
  <c r="AB104" i="1"/>
  <c r="Y104" i="1"/>
  <c r="X104" i="1"/>
  <c r="W104" i="1"/>
  <c r="V104" i="1"/>
  <c r="U104" i="1"/>
  <c r="T104" i="1"/>
  <c r="S104" i="1"/>
  <c r="R104" i="1"/>
  <c r="P104" i="1"/>
  <c r="O104" i="1"/>
  <c r="N104" i="1"/>
  <c r="M104" i="1"/>
  <c r="L104" i="1"/>
  <c r="K104" i="1"/>
  <c r="A104" i="1"/>
  <c r="AL103" i="1"/>
  <c r="AK103" i="1"/>
  <c r="AJ103" i="1"/>
  <c r="AI103" i="1"/>
  <c r="AH103" i="1"/>
  <c r="AG103" i="1"/>
  <c r="AF103" i="1"/>
  <c r="AE103" i="1"/>
  <c r="AD103" i="1"/>
  <c r="AC103" i="1"/>
  <c r="I103" i="1"/>
  <c r="G103" i="1"/>
  <c r="F103" i="1"/>
  <c r="D103" i="1"/>
  <c r="C103" i="1"/>
  <c r="AR102" i="1"/>
  <c r="AQ102" i="1"/>
  <c r="AP102" i="1"/>
  <c r="AL102" i="1"/>
  <c r="AK102" i="1"/>
  <c r="AJ102" i="1"/>
  <c r="AI102" i="1"/>
  <c r="AH102" i="1"/>
  <c r="AG102" i="1"/>
  <c r="AF102" i="1"/>
  <c r="AE102" i="1"/>
  <c r="AD102" i="1"/>
  <c r="AC102" i="1"/>
  <c r="X102" i="1"/>
  <c r="V102" i="1"/>
  <c r="U102" i="1"/>
  <c r="T102" i="1"/>
  <c r="S102" i="1"/>
  <c r="R102" i="1"/>
  <c r="O102" i="1"/>
  <c r="N102" i="1"/>
  <c r="M102" i="1"/>
  <c r="L102" i="1"/>
  <c r="K102" i="1"/>
  <c r="I102" i="1"/>
  <c r="G102" i="1"/>
  <c r="F102" i="1"/>
  <c r="D102" i="1"/>
  <c r="C102" i="1"/>
  <c r="AR101" i="1"/>
  <c r="AQ101" i="1"/>
  <c r="AP101" i="1"/>
  <c r="AL101" i="1"/>
  <c r="AK101" i="1"/>
  <c r="AJ101" i="1"/>
  <c r="AI101" i="1"/>
  <c r="AH101" i="1"/>
  <c r="AG101" i="1"/>
  <c r="AF101" i="1"/>
  <c r="AE101" i="1"/>
  <c r="AD101" i="1"/>
  <c r="AC101" i="1"/>
  <c r="AB101" i="1"/>
  <c r="Y101" i="1"/>
  <c r="X101" i="1"/>
  <c r="W101" i="1"/>
  <c r="V101" i="1"/>
  <c r="U101" i="1"/>
  <c r="T101" i="1"/>
  <c r="S101" i="1"/>
  <c r="R101" i="1"/>
  <c r="P101" i="1"/>
  <c r="O101" i="1"/>
  <c r="N101" i="1"/>
  <c r="M101" i="1"/>
  <c r="L101" i="1"/>
  <c r="K101" i="1"/>
  <c r="A101" i="1"/>
  <c r="AL100" i="1"/>
  <c r="AK100" i="1"/>
  <c r="AJ100" i="1"/>
  <c r="AI100" i="1"/>
  <c r="AH100" i="1"/>
  <c r="AG100" i="1"/>
  <c r="AF100" i="1"/>
  <c r="AE100" i="1"/>
  <c r="AD100" i="1"/>
  <c r="AC100" i="1"/>
  <c r="I100" i="1"/>
  <c r="G100" i="1"/>
  <c r="F100" i="1"/>
  <c r="D100" i="1"/>
  <c r="C100" i="1"/>
  <c r="AR99" i="1"/>
  <c r="AQ99" i="1"/>
  <c r="AP99" i="1"/>
  <c r="AL99" i="1"/>
  <c r="AK99" i="1"/>
  <c r="AJ99" i="1"/>
  <c r="AI99" i="1"/>
  <c r="AH99" i="1"/>
  <c r="AG99" i="1"/>
  <c r="AF99" i="1"/>
  <c r="AE99" i="1"/>
  <c r="AD99" i="1"/>
  <c r="AC99" i="1"/>
  <c r="X99" i="1"/>
  <c r="V99" i="1"/>
  <c r="U99" i="1"/>
  <c r="T99" i="1"/>
  <c r="S99" i="1"/>
  <c r="R99" i="1"/>
  <c r="O99" i="1"/>
  <c r="N99" i="1"/>
  <c r="M99" i="1"/>
  <c r="L99" i="1"/>
  <c r="K99" i="1"/>
  <c r="I99" i="1"/>
  <c r="G99" i="1"/>
  <c r="F99" i="1"/>
  <c r="D99" i="1"/>
  <c r="C99" i="1"/>
  <c r="AR98" i="1"/>
  <c r="AQ98" i="1"/>
  <c r="AP98" i="1"/>
  <c r="AL98" i="1"/>
  <c r="AK98" i="1"/>
  <c r="AJ98" i="1"/>
  <c r="AI98" i="1"/>
  <c r="AH98" i="1"/>
  <c r="AG98" i="1"/>
  <c r="AF98" i="1"/>
  <c r="AE98" i="1"/>
  <c r="AD98" i="1"/>
  <c r="AC98" i="1"/>
  <c r="AB98" i="1"/>
  <c r="X98" i="1"/>
  <c r="W98" i="1"/>
  <c r="V98" i="1"/>
  <c r="U98" i="1"/>
  <c r="T98" i="1"/>
  <c r="S98" i="1"/>
  <c r="R98" i="1"/>
  <c r="P98" i="1"/>
  <c r="O98" i="1"/>
  <c r="N98" i="1"/>
  <c r="M98" i="1"/>
  <c r="L98" i="1"/>
  <c r="K98" i="1"/>
  <c r="A98" i="1"/>
  <c r="AL97" i="1"/>
  <c r="AK97" i="1"/>
  <c r="AJ97" i="1"/>
  <c r="AI97" i="1"/>
  <c r="AH97" i="1"/>
  <c r="AG97" i="1"/>
  <c r="AF97" i="1"/>
  <c r="AE97" i="1"/>
  <c r="AD97" i="1"/>
  <c r="AC97" i="1"/>
  <c r="I97" i="1"/>
  <c r="G97" i="1"/>
  <c r="F97" i="1"/>
  <c r="D97" i="1"/>
  <c r="C97" i="1"/>
  <c r="AW96" i="1" a="1"/>
  <c r="AW96" i="1"/>
  <c r="AR96" i="1"/>
  <c r="AQ96" i="1"/>
  <c r="AP96" i="1"/>
  <c r="AL96" i="1"/>
  <c r="AK96" i="1"/>
  <c r="AJ96" i="1"/>
  <c r="AI96" i="1"/>
  <c r="AH96" i="1"/>
  <c r="AG96" i="1"/>
  <c r="AF96" i="1"/>
  <c r="AE96" i="1"/>
  <c r="AD96" i="1"/>
  <c r="AC96" i="1"/>
  <c r="X96" i="1"/>
  <c r="V96" i="1"/>
  <c r="U96" i="1"/>
  <c r="T96" i="1"/>
  <c r="S96" i="1"/>
  <c r="R96" i="1"/>
  <c r="O96" i="1"/>
  <c r="N96" i="1"/>
  <c r="M96" i="1"/>
  <c r="L96" i="1"/>
  <c r="K96" i="1"/>
  <c r="I96" i="1"/>
  <c r="G96" i="1"/>
  <c r="F96" i="1"/>
  <c r="D96" i="1"/>
  <c r="C96" i="1"/>
  <c r="AR95" i="1"/>
  <c r="AQ95" i="1"/>
  <c r="AP95" i="1"/>
  <c r="AL95" i="1"/>
  <c r="AK95" i="1"/>
  <c r="AJ95" i="1"/>
  <c r="AI95" i="1"/>
  <c r="AH95" i="1"/>
  <c r="AG95" i="1"/>
  <c r="AF95" i="1"/>
  <c r="AE95" i="1"/>
  <c r="AD95" i="1"/>
  <c r="AC95" i="1"/>
  <c r="AB95" i="1"/>
  <c r="X95" i="1"/>
  <c r="W95" i="1"/>
  <c r="V95" i="1"/>
  <c r="U95" i="1"/>
  <c r="T95" i="1"/>
  <c r="S95" i="1"/>
  <c r="R95" i="1"/>
  <c r="P95" i="1"/>
  <c r="O95" i="1"/>
  <c r="N95" i="1"/>
  <c r="M95" i="1"/>
  <c r="L95" i="1"/>
  <c r="K95" i="1"/>
  <c r="A95" i="1"/>
  <c r="AL94" i="1"/>
  <c r="AK94" i="1"/>
  <c r="AJ94" i="1"/>
  <c r="AI94" i="1"/>
  <c r="AH94" i="1"/>
  <c r="AG94" i="1"/>
  <c r="AF94" i="1"/>
  <c r="AE94" i="1"/>
  <c r="AD94" i="1"/>
  <c r="AC94" i="1"/>
  <c r="I94" i="1"/>
  <c r="G94" i="1"/>
  <c r="F94" i="1"/>
  <c r="D94" i="1"/>
  <c r="C94" i="1"/>
  <c r="AR93" i="1"/>
  <c r="AQ93" i="1"/>
  <c r="AP93" i="1"/>
  <c r="AL93" i="1"/>
  <c r="AK93" i="1"/>
  <c r="AJ93" i="1"/>
  <c r="AI93" i="1"/>
  <c r="AH93" i="1"/>
  <c r="AG93" i="1"/>
  <c r="AF93" i="1"/>
  <c r="AE93" i="1"/>
  <c r="AD93" i="1"/>
  <c r="AC93" i="1"/>
  <c r="X93" i="1"/>
  <c r="V93" i="1"/>
  <c r="U93" i="1"/>
  <c r="T93" i="1"/>
  <c r="S93" i="1"/>
  <c r="R93" i="1"/>
  <c r="O93" i="1"/>
  <c r="N93" i="1"/>
  <c r="M93" i="1"/>
  <c r="L93" i="1"/>
  <c r="K93" i="1"/>
  <c r="I93" i="1"/>
  <c r="G93" i="1"/>
  <c r="F93" i="1"/>
  <c r="D93" i="1"/>
  <c r="C93" i="1"/>
  <c r="AR92" i="1"/>
  <c r="AQ92" i="1"/>
  <c r="AP92" i="1"/>
  <c r="AL92" i="1"/>
  <c r="AK92" i="1"/>
  <c r="AJ92" i="1"/>
  <c r="AI92" i="1"/>
  <c r="AH92" i="1"/>
  <c r="AG92" i="1"/>
  <c r="AF92" i="1"/>
  <c r="AE92" i="1"/>
  <c r="AD92" i="1"/>
  <c r="AC92" i="1"/>
  <c r="AB92" i="1"/>
  <c r="X92" i="1"/>
  <c r="W92" i="1"/>
  <c r="V92" i="1"/>
  <c r="U92" i="1"/>
  <c r="T92" i="1"/>
  <c r="S92" i="1"/>
  <c r="R92" i="1"/>
  <c r="P92" i="1"/>
  <c r="O92" i="1"/>
  <c r="N92" i="1"/>
  <c r="M92" i="1"/>
  <c r="L92" i="1"/>
  <c r="K92" i="1"/>
  <c r="A92" i="1"/>
  <c r="AL91" i="1"/>
  <c r="AK91" i="1"/>
  <c r="AJ91" i="1"/>
  <c r="AI91" i="1"/>
  <c r="AH91" i="1"/>
  <c r="AG91" i="1"/>
  <c r="AF91" i="1"/>
  <c r="AE91" i="1"/>
  <c r="AD91" i="1"/>
  <c r="AC91" i="1"/>
  <c r="I91" i="1"/>
  <c r="G91" i="1"/>
  <c r="F91" i="1"/>
  <c r="D91" i="1"/>
  <c r="C91" i="1"/>
  <c r="AR90" i="1"/>
  <c r="AQ90" i="1"/>
  <c r="AP90" i="1"/>
  <c r="AL90" i="1"/>
  <c r="AK90" i="1"/>
  <c r="AJ90" i="1"/>
  <c r="AI90" i="1"/>
  <c r="AH90" i="1"/>
  <c r="AG90" i="1"/>
  <c r="AF90" i="1"/>
  <c r="AE90" i="1"/>
  <c r="AD90" i="1"/>
  <c r="AC90" i="1"/>
  <c r="X90" i="1"/>
  <c r="V90" i="1"/>
  <c r="U90" i="1"/>
  <c r="T90" i="1"/>
  <c r="S90" i="1"/>
  <c r="R90" i="1"/>
  <c r="O90" i="1"/>
  <c r="N90" i="1"/>
  <c r="M90" i="1"/>
  <c r="L90" i="1"/>
  <c r="K90" i="1"/>
  <c r="I90" i="1"/>
  <c r="G90" i="1"/>
  <c r="F90" i="1"/>
  <c r="D90" i="1"/>
  <c r="C90" i="1"/>
  <c r="AR89" i="1"/>
  <c r="AQ89" i="1"/>
  <c r="AP89" i="1"/>
  <c r="AL89" i="1"/>
  <c r="AK89" i="1"/>
  <c r="AJ89" i="1"/>
  <c r="AI89" i="1"/>
  <c r="AH89" i="1"/>
  <c r="AG89" i="1"/>
  <c r="AF89" i="1"/>
  <c r="AE89" i="1"/>
  <c r="AD89" i="1"/>
  <c r="AC89" i="1"/>
  <c r="AB89" i="1"/>
  <c r="X89" i="1"/>
  <c r="W89" i="1"/>
  <c r="V89" i="1"/>
  <c r="U89" i="1"/>
  <c r="T89" i="1"/>
  <c r="S89" i="1"/>
  <c r="R89" i="1"/>
  <c r="P89" i="1"/>
  <c r="O89" i="1"/>
  <c r="N89" i="1"/>
  <c r="M89" i="1"/>
  <c r="L89" i="1"/>
  <c r="K89" i="1"/>
  <c r="G89" i="1"/>
  <c r="A89" i="1"/>
  <c r="AL88" i="1"/>
  <c r="AK88" i="1"/>
  <c r="AJ88" i="1"/>
  <c r="AI88" i="1"/>
  <c r="AH88" i="1"/>
  <c r="AG88" i="1"/>
  <c r="AF88" i="1"/>
  <c r="AE88" i="1"/>
  <c r="AD88" i="1"/>
  <c r="AC88" i="1"/>
  <c r="I88" i="1"/>
  <c r="G88" i="1"/>
  <c r="F88" i="1"/>
  <c r="D88" i="1"/>
  <c r="C88" i="1"/>
  <c r="AR87" i="1"/>
  <c r="AQ87" i="1"/>
  <c r="AP87" i="1"/>
  <c r="AL87" i="1"/>
  <c r="AK87" i="1"/>
  <c r="AJ87" i="1"/>
  <c r="AI87" i="1"/>
  <c r="AH87" i="1"/>
  <c r="AG87" i="1"/>
  <c r="AF87" i="1"/>
  <c r="AE87" i="1"/>
  <c r="AD87" i="1"/>
  <c r="AC87" i="1"/>
  <c r="X87" i="1"/>
  <c r="V87" i="1"/>
  <c r="U87" i="1"/>
  <c r="T87" i="1"/>
  <c r="S87" i="1"/>
  <c r="R87" i="1"/>
  <c r="O87" i="1"/>
  <c r="N87" i="1"/>
  <c r="M87" i="1"/>
  <c r="L87" i="1"/>
  <c r="K87" i="1"/>
  <c r="I87" i="1"/>
  <c r="G87" i="1"/>
  <c r="F87" i="1"/>
  <c r="D87" i="1"/>
  <c r="C87" i="1"/>
  <c r="AR86" i="1"/>
  <c r="AQ86" i="1"/>
  <c r="AP86" i="1"/>
  <c r="AL86" i="1"/>
  <c r="AK86" i="1"/>
  <c r="AJ86" i="1"/>
  <c r="AI86" i="1"/>
  <c r="AH86" i="1"/>
  <c r="AG86" i="1"/>
  <c r="AF86" i="1"/>
  <c r="AE86" i="1"/>
  <c r="AD86" i="1"/>
  <c r="AC86" i="1"/>
  <c r="AB86" i="1"/>
  <c r="Y86" i="1"/>
  <c r="X86" i="1"/>
  <c r="W86" i="1"/>
  <c r="V86" i="1"/>
  <c r="U86" i="1"/>
  <c r="T86" i="1"/>
  <c r="S86" i="1"/>
  <c r="R86" i="1"/>
  <c r="P86" i="1"/>
  <c r="O86" i="1"/>
  <c r="N86" i="1"/>
  <c r="M86" i="1"/>
  <c r="L86" i="1"/>
  <c r="K86" i="1"/>
  <c r="A86" i="1"/>
  <c r="AL85" i="1"/>
  <c r="AK85" i="1"/>
  <c r="AJ85" i="1"/>
  <c r="AI85" i="1"/>
  <c r="AH85" i="1"/>
  <c r="AG85" i="1"/>
  <c r="AF85" i="1"/>
  <c r="AE85" i="1"/>
  <c r="AD85" i="1"/>
  <c r="AC85" i="1"/>
  <c r="I85" i="1"/>
  <c r="G85" i="1"/>
  <c r="F85" i="1"/>
  <c r="D85" i="1"/>
  <c r="C85" i="1"/>
  <c r="AR84" i="1"/>
  <c r="AQ84" i="1"/>
  <c r="AP84" i="1"/>
  <c r="AL84" i="1"/>
  <c r="AK84" i="1"/>
  <c r="AJ84" i="1"/>
  <c r="AI84" i="1"/>
  <c r="AH84" i="1"/>
  <c r="AG84" i="1"/>
  <c r="AF84" i="1"/>
  <c r="AE84" i="1"/>
  <c r="AD84" i="1"/>
  <c r="AC84" i="1"/>
  <c r="X84" i="1"/>
  <c r="V84" i="1"/>
  <c r="U84" i="1"/>
  <c r="T84" i="1"/>
  <c r="S84" i="1"/>
  <c r="R84" i="1"/>
  <c r="O84" i="1"/>
  <c r="N84" i="1"/>
  <c r="M84" i="1"/>
  <c r="L84" i="1"/>
  <c r="K84" i="1"/>
  <c r="I84" i="1"/>
  <c r="G84" i="1"/>
  <c r="F84" i="1"/>
  <c r="D84" i="1"/>
  <c r="C84" i="1"/>
  <c r="AR83" i="1"/>
  <c r="AQ83" i="1"/>
  <c r="AP83" i="1"/>
  <c r="AL83" i="1"/>
  <c r="AK83" i="1"/>
  <c r="AJ83" i="1"/>
  <c r="AI83" i="1"/>
  <c r="AH83" i="1"/>
  <c r="AG83" i="1"/>
  <c r="AF83" i="1"/>
  <c r="AE83" i="1"/>
  <c r="AD83" i="1"/>
  <c r="AC83" i="1"/>
  <c r="AB83" i="1"/>
  <c r="Y83" i="1"/>
  <c r="X83" i="1"/>
  <c r="W83" i="1"/>
  <c r="V83" i="1"/>
  <c r="U83" i="1"/>
  <c r="T83" i="1"/>
  <c r="S83" i="1"/>
  <c r="R83" i="1"/>
  <c r="P83" i="1"/>
  <c r="O83" i="1"/>
  <c r="N83" i="1"/>
  <c r="M83" i="1"/>
  <c r="L83" i="1"/>
  <c r="K83" i="1"/>
  <c r="A83" i="1"/>
  <c r="AL82" i="1"/>
  <c r="AK82" i="1"/>
  <c r="AJ82" i="1"/>
  <c r="AI82" i="1"/>
  <c r="AH82" i="1"/>
  <c r="AG82" i="1"/>
  <c r="AF82" i="1"/>
  <c r="AE82" i="1"/>
  <c r="AD82" i="1"/>
  <c r="AC82" i="1"/>
  <c r="I82" i="1"/>
  <c r="G82" i="1"/>
  <c r="F82" i="1"/>
  <c r="D82" i="1"/>
  <c r="C82" i="1"/>
  <c r="AR81" i="1"/>
  <c r="AQ81" i="1"/>
  <c r="AP81" i="1"/>
  <c r="AL81" i="1"/>
  <c r="AK81" i="1"/>
  <c r="AJ81" i="1"/>
  <c r="AI81" i="1"/>
  <c r="AH81" i="1"/>
  <c r="AG81" i="1"/>
  <c r="AF81" i="1"/>
  <c r="AE81" i="1"/>
  <c r="AD81" i="1"/>
  <c r="AC81" i="1"/>
  <c r="X81" i="1"/>
  <c r="V81" i="1"/>
  <c r="U81" i="1"/>
  <c r="T81" i="1"/>
  <c r="S81" i="1"/>
  <c r="R81" i="1"/>
  <c r="O81" i="1"/>
  <c r="N81" i="1"/>
  <c r="M81" i="1"/>
  <c r="L81" i="1"/>
  <c r="K81" i="1"/>
  <c r="I81" i="1"/>
  <c r="G81" i="1"/>
  <c r="F81" i="1"/>
  <c r="D81" i="1"/>
  <c r="C81" i="1"/>
  <c r="AR80" i="1"/>
  <c r="AQ80" i="1"/>
  <c r="AP80" i="1"/>
  <c r="AL80" i="1"/>
  <c r="AK80" i="1"/>
  <c r="AJ80" i="1"/>
  <c r="AI80" i="1"/>
  <c r="AH80" i="1"/>
  <c r="AG80" i="1"/>
  <c r="AF80" i="1"/>
  <c r="AE80" i="1"/>
  <c r="AD80" i="1"/>
  <c r="AC80" i="1"/>
  <c r="AB80" i="1"/>
  <c r="X80" i="1"/>
  <c r="W80" i="1"/>
  <c r="V80" i="1"/>
  <c r="U80" i="1"/>
  <c r="T80" i="1"/>
  <c r="S80" i="1"/>
  <c r="R80" i="1"/>
  <c r="P80" i="1"/>
  <c r="O80" i="1"/>
  <c r="N80" i="1"/>
  <c r="M80" i="1"/>
  <c r="L80" i="1"/>
  <c r="K80" i="1"/>
  <c r="A80" i="1"/>
  <c r="AL79" i="1"/>
  <c r="AK79" i="1"/>
  <c r="AJ79" i="1"/>
  <c r="AI79" i="1"/>
  <c r="AH79" i="1"/>
  <c r="AG79" i="1"/>
  <c r="AF79" i="1"/>
  <c r="AE79" i="1"/>
  <c r="AD79" i="1"/>
  <c r="AC79" i="1"/>
  <c r="I79" i="1"/>
  <c r="G79" i="1"/>
  <c r="F79" i="1"/>
  <c r="D79" i="1"/>
  <c r="C79" i="1"/>
  <c r="AR78" i="1"/>
  <c r="AQ78" i="1"/>
  <c r="AP78" i="1"/>
  <c r="AL78" i="1"/>
  <c r="AK78" i="1"/>
  <c r="AJ78" i="1"/>
  <c r="AI78" i="1"/>
  <c r="AH78" i="1"/>
  <c r="AG78" i="1"/>
  <c r="AF78" i="1"/>
  <c r="AE78" i="1"/>
  <c r="AD78" i="1"/>
  <c r="AC78" i="1"/>
  <c r="X78" i="1"/>
  <c r="V78" i="1"/>
  <c r="U78" i="1"/>
  <c r="T78" i="1"/>
  <c r="S78" i="1"/>
  <c r="R78" i="1"/>
  <c r="O78" i="1"/>
  <c r="N78" i="1"/>
  <c r="M78" i="1"/>
  <c r="L78" i="1"/>
  <c r="K78" i="1"/>
  <c r="I78" i="1"/>
  <c r="G78" i="1"/>
  <c r="F78" i="1"/>
  <c r="D78" i="1"/>
  <c r="C78" i="1"/>
  <c r="AR77" i="1"/>
  <c r="AQ77" i="1"/>
  <c r="AP77" i="1"/>
  <c r="AL77" i="1"/>
  <c r="AK77" i="1"/>
  <c r="AJ77" i="1"/>
  <c r="AI77" i="1"/>
  <c r="AH77" i="1"/>
  <c r="AG77" i="1"/>
  <c r="AF77" i="1"/>
  <c r="AE77" i="1"/>
  <c r="AD77" i="1"/>
  <c r="AC77" i="1"/>
  <c r="AB77" i="1"/>
  <c r="X77" i="1"/>
  <c r="W77" i="1"/>
  <c r="V77" i="1"/>
  <c r="U77" i="1"/>
  <c r="T77" i="1"/>
  <c r="S77" i="1"/>
  <c r="R77" i="1"/>
  <c r="P77" i="1"/>
  <c r="O77" i="1"/>
  <c r="N77" i="1"/>
  <c r="M77" i="1"/>
  <c r="L77" i="1"/>
  <c r="K77" i="1"/>
  <c r="A77" i="1"/>
  <c r="AL76" i="1"/>
  <c r="AK76" i="1"/>
  <c r="AJ76" i="1"/>
  <c r="AI76" i="1"/>
  <c r="AH76" i="1"/>
  <c r="AG76" i="1"/>
  <c r="AF76" i="1"/>
  <c r="AE76" i="1"/>
  <c r="AD76" i="1"/>
  <c r="AC76" i="1"/>
  <c r="I76" i="1"/>
  <c r="G76" i="1"/>
  <c r="D76" i="1"/>
  <c r="C76" i="1"/>
  <c r="AR75" i="1"/>
  <c r="AQ75" i="1"/>
  <c r="AP75" i="1"/>
  <c r="AL75" i="1"/>
  <c r="AK75" i="1"/>
  <c r="AJ75" i="1"/>
  <c r="AI75" i="1"/>
  <c r="AH75" i="1"/>
  <c r="AG75" i="1"/>
  <c r="AF75" i="1"/>
  <c r="AE75" i="1"/>
  <c r="AD75" i="1"/>
  <c r="AC75" i="1"/>
  <c r="X75" i="1"/>
  <c r="V75" i="1"/>
  <c r="U75" i="1"/>
  <c r="T75" i="1"/>
  <c r="S75" i="1"/>
  <c r="R75" i="1"/>
  <c r="O75" i="1"/>
  <c r="N75" i="1"/>
  <c r="M75" i="1"/>
  <c r="L75" i="1"/>
  <c r="K75" i="1"/>
  <c r="I75" i="1"/>
  <c r="G75" i="1"/>
  <c r="D75" i="1"/>
  <c r="C75" i="1"/>
  <c r="AR74" i="1"/>
  <c r="AQ74" i="1"/>
  <c r="AP74" i="1"/>
  <c r="AL74" i="1"/>
  <c r="AK74" i="1"/>
  <c r="AJ74" i="1"/>
  <c r="AI74" i="1"/>
  <c r="AH74" i="1"/>
  <c r="AG74" i="1"/>
  <c r="AF74" i="1"/>
  <c r="AE74" i="1"/>
  <c r="AD74" i="1"/>
  <c r="AC74" i="1"/>
  <c r="AB74" i="1"/>
  <c r="Y74" i="1"/>
  <c r="X74" i="1"/>
  <c r="W74" i="1"/>
  <c r="V74" i="1"/>
  <c r="U74" i="1"/>
  <c r="T74" i="1"/>
  <c r="S74" i="1"/>
  <c r="R74" i="1"/>
  <c r="P74" i="1"/>
  <c r="O74" i="1"/>
  <c r="N74" i="1"/>
  <c r="M74" i="1"/>
  <c r="L74" i="1"/>
  <c r="K74" i="1"/>
  <c r="A74" i="1"/>
  <c r="AL73" i="1"/>
  <c r="AK73" i="1"/>
  <c r="AJ73" i="1"/>
  <c r="AI73" i="1"/>
  <c r="AH73" i="1"/>
  <c r="AG73" i="1"/>
  <c r="AF73" i="1"/>
  <c r="AE73" i="1"/>
  <c r="AD73" i="1"/>
  <c r="AC73" i="1"/>
  <c r="I73" i="1"/>
  <c r="G73" i="1"/>
  <c r="D73" i="1"/>
  <c r="C73" i="1"/>
  <c r="AR72" i="1"/>
  <c r="AQ72" i="1"/>
  <c r="AP72" i="1"/>
  <c r="AL72" i="1"/>
  <c r="AK72" i="1"/>
  <c r="AJ72" i="1"/>
  <c r="AI72" i="1"/>
  <c r="AH72" i="1"/>
  <c r="AG72" i="1"/>
  <c r="AF72" i="1"/>
  <c r="AE72" i="1"/>
  <c r="AD72" i="1"/>
  <c r="AC72" i="1"/>
  <c r="X72" i="1"/>
  <c r="V72" i="1"/>
  <c r="U72" i="1"/>
  <c r="T72" i="1"/>
  <c r="S72" i="1"/>
  <c r="R72" i="1"/>
  <c r="O72" i="1"/>
  <c r="N72" i="1"/>
  <c r="M72" i="1"/>
  <c r="L72" i="1"/>
  <c r="K72" i="1"/>
  <c r="I72" i="1"/>
  <c r="G72" i="1"/>
  <c r="D72" i="1"/>
  <c r="C72" i="1"/>
  <c r="AR71" i="1"/>
  <c r="AQ71" i="1"/>
  <c r="AP71" i="1"/>
  <c r="AO71" i="1"/>
  <c r="AL71" i="1"/>
  <c r="AK71" i="1"/>
  <c r="AJ71" i="1"/>
  <c r="AI71" i="1"/>
  <c r="AH71" i="1"/>
  <c r="AG71" i="1"/>
  <c r="AF71" i="1"/>
  <c r="AE71" i="1"/>
  <c r="AD71" i="1"/>
  <c r="AC71" i="1"/>
  <c r="AB71" i="1"/>
  <c r="X71" i="1"/>
  <c r="W71" i="1"/>
  <c r="V71" i="1"/>
  <c r="U71" i="1"/>
  <c r="T71" i="1"/>
  <c r="S71" i="1"/>
  <c r="R71" i="1"/>
  <c r="P71" i="1"/>
  <c r="O71" i="1"/>
  <c r="N71" i="1"/>
  <c r="M71" i="1"/>
  <c r="L71" i="1"/>
  <c r="K71" i="1"/>
  <c r="A71" i="1"/>
  <c r="AO70" i="1"/>
  <c r="AL70" i="1"/>
  <c r="AK70" i="1"/>
  <c r="AJ70" i="1"/>
  <c r="AI70" i="1"/>
  <c r="AH70" i="1"/>
  <c r="AG70" i="1"/>
  <c r="AF70" i="1"/>
  <c r="AE70" i="1"/>
  <c r="AD70" i="1"/>
  <c r="AC70" i="1"/>
  <c r="I70" i="1"/>
  <c r="G70" i="1"/>
  <c r="D70" i="1"/>
  <c r="C70" i="1"/>
  <c r="AR69" i="1"/>
  <c r="AQ69" i="1"/>
  <c r="AP69" i="1"/>
  <c r="AO69" i="1"/>
  <c r="AL69" i="1"/>
  <c r="AK69" i="1"/>
  <c r="AJ69" i="1"/>
  <c r="AI69" i="1"/>
  <c r="AH69" i="1"/>
  <c r="AG69" i="1"/>
  <c r="AF69" i="1"/>
  <c r="AE69" i="1"/>
  <c r="AD69" i="1"/>
  <c r="AC69" i="1"/>
  <c r="X69" i="1"/>
  <c r="V69" i="1"/>
  <c r="U69" i="1"/>
  <c r="T69" i="1"/>
  <c r="S69" i="1"/>
  <c r="R69" i="1"/>
  <c r="O69" i="1"/>
  <c r="N69" i="1"/>
  <c r="M69" i="1"/>
  <c r="L69" i="1"/>
  <c r="K69" i="1"/>
  <c r="I69" i="1"/>
  <c r="G69" i="1"/>
  <c r="D69" i="1"/>
  <c r="C69" i="1"/>
  <c r="AR68" i="1"/>
  <c r="AQ68" i="1"/>
  <c r="AP68" i="1"/>
  <c r="AO68" i="1"/>
  <c r="AL68" i="1"/>
  <c r="AK68" i="1"/>
  <c r="AJ68" i="1"/>
  <c r="AI68" i="1"/>
  <c r="AH68" i="1"/>
  <c r="AG68" i="1"/>
  <c r="AF68" i="1"/>
  <c r="AE68" i="1"/>
  <c r="AD68" i="1"/>
  <c r="AC68" i="1"/>
  <c r="AB68" i="1"/>
  <c r="Y68" i="1"/>
  <c r="X68" i="1"/>
  <c r="W68" i="1"/>
  <c r="V68" i="1"/>
  <c r="U68" i="1"/>
  <c r="T68" i="1"/>
  <c r="S68" i="1"/>
  <c r="R68" i="1"/>
  <c r="P68" i="1"/>
  <c r="O68" i="1"/>
  <c r="N68" i="1"/>
  <c r="M68" i="1"/>
  <c r="L68" i="1"/>
  <c r="K68" i="1"/>
  <c r="G68" i="1"/>
  <c r="A68" i="1"/>
  <c r="AO67" i="1"/>
  <c r="AL67" i="1"/>
  <c r="AK67" i="1"/>
  <c r="AJ67" i="1"/>
  <c r="AI67" i="1"/>
  <c r="AH67" i="1"/>
  <c r="AG67" i="1"/>
  <c r="AF67" i="1"/>
  <c r="AE67" i="1"/>
  <c r="AD67" i="1"/>
  <c r="AC67" i="1"/>
  <c r="I67" i="1"/>
  <c r="G67" i="1"/>
  <c r="D67" i="1"/>
  <c r="C67" i="1"/>
  <c r="AR66" i="1"/>
  <c r="AQ66" i="1"/>
  <c r="AP66" i="1"/>
  <c r="AO66" i="1"/>
  <c r="AL66" i="1"/>
  <c r="AK66" i="1"/>
  <c r="AJ66" i="1"/>
  <c r="AI66" i="1"/>
  <c r="AH66" i="1"/>
  <c r="AG66" i="1"/>
  <c r="AF66" i="1"/>
  <c r="AE66" i="1"/>
  <c r="AD66" i="1"/>
  <c r="AC66" i="1"/>
  <c r="X66" i="1"/>
  <c r="V66" i="1"/>
  <c r="U66" i="1"/>
  <c r="T66" i="1"/>
  <c r="S66" i="1"/>
  <c r="R66" i="1"/>
  <c r="O66" i="1"/>
  <c r="N66" i="1"/>
  <c r="M66" i="1"/>
  <c r="L66" i="1"/>
  <c r="K66" i="1"/>
  <c r="I66" i="1"/>
  <c r="G66" i="1"/>
  <c r="D66" i="1"/>
  <c r="C66" i="1"/>
  <c r="AR65" i="1"/>
  <c r="AQ65" i="1"/>
  <c r="AP65" i="1"/>
  <c r="AO65" i="1"/>
  <c r="AL65" i="1"/>
  <c r="AK65" i="1"/>
  <c r="AJ65" i="1"/>
  <c r="AI65" i="1"/>
  <c r="AH65" i="1"/>
  <c r="AG65" i="1"/>
  <c r="AF65" i="1"/>
  <c r="AE65" i="1"/>
  <c r="AD65" i="1"/>
  <c r="AC65" i="1"/>
  <c r="AB65" i="1"/>
  <c r="Y65" i="1"/>
  <c r="X65" i="1"/>
  <c r="W65" i="1"/>
  <c r="V65" i="1"/>
  <c r="U65" i="1"/>
  <c r="T65" i="1"/>
  <c r="S65" i="1"/>
  <c r="R65" i="1"/>
  <c r="P65" i="1"/>
  <c r="O65" i="1"/>
  <c r="N65" i="1"/>
  <c r="M65" i="1"/>
  <c r="L65" i="1"/>
  <c r="K65" i="1"/>
  <c r="A65" i="1"/>
  <c r="AO64" i="1"/>
  <c r="AL64" i="1"/>
  <c r="AK64" i="1"/>
  <c r="AJ64" i="1"/>
  <c r="AI64" i="1"/>
  <c r="AH64" i="1"/>
  <c r="AG64" i="1"/>
  <c r="AF64" i="1"/>
  <c r="AE64" i="1"/>
  <c r="AD64" i="1"/>
  <c r="AC64" i="1"/>
  <c r="I64" i="1"/>
  <c r="G64" i="1"/>
  <c r="D64" i="1"/>
  <c r="C64" i="1"/>
  <c r="AR63" i="1"/>
  <c r="AQ63" i="1"/>
  <c r="AP63" i="1"/>
  <c r="AO63" i="1"/>
  <c r="AL63" i="1"/>
  <c r="AK63" i="1"/>
  <c r="AJ63" i="1"/>
  <c r="AI63" i="1"/>
  <c r="AH63" i="1"/>
  <c r="AG63" i="1"/>
  <c r="AF63" i="1"/>
  <c r="AE63" i="1"/>
  <c r="AD63" i="1"/>
  <c r="AC63" i="1"/>
  <c r="X63" i="1"/>
  <c r="V63" i="1"/>
  <c r="U63" i="1"/>
  <c r="T63" i="1"/>
  <c r="S63" i="1"/>
  <c r="R63" i="1"/>
  <c r="O63" i="1"/>
  <c r="N63" i="1"/>
  <c r="M63" i="1"/>
  <c r="L63" i="1"/>
  <c r="K63" i="1"/>
  <c r="I63" i="1"/>
  <c r="G63" i="1"/>
  <c r="D63" i="1"/>
  <c r="C63" i="1"/>
  <c r="AR62" i="1"/>
  <c r="AQ62" i="1"/>
  <c r="AP62" i="1"/>
  <c r="AO62" i="1"/>
  <c r="AL62" i="1"/>
  <c r="AK62" i="1"/>
  <c r="AJ62" i="1"/>
  <c r="AI62" i="1"/>
  <c r="AH62" i="1"/>
  <c r="AG62" i="1"/>
  <c r="AF62" i="1"/>
  <c r="AE62" i="1"/>
  <c r="AD62" i="1"/>
  <c r="AC62" i="1"/>
  <c r="AB62" i="1"/>
  <c r="Y62" i="1"/>
  <c r="X62" i="1"/>
  <c r="W62" i="1"/>
  <c r="V62" i="1"/>
  <c r="U62" i="1"/>
  <c r="T62" i="1"/>
  <c r="S62" i="1"/>
  <c r="R62" i="1"/>
  <c r="P62" i="1"/>
  <c r="O62" i="1"/>
  <c r="N62" i="1"/>
  <c r="M62" i="1"/>
  <c r="L62" i="1"/>
  <c r="K62" i="1"/>
  <c r="A62" i="1"/>
  <c r="AO61" i="1"/>
  <c r="AL61" i="1"/>
  <c r="AK61" i="1"/>
  <c r="AJ61" i="1"/>
  <c r="AI61" i="1"/>
  <c r="AH61" i="1"/>
  <c r="AG61" i="1"/>
  <c r="AF61" i="1"/>
  <c r="AE61" i="1"/>
  <c r="AD61" i="1"/>
  <c r="AC61" i="1"/>
  <c r="I61" i="1"/>
  <c r="G61" i="1"/>
  <c r="D61" i="1"/>
  <c r="C61" i="1"/>
  <c r="AR60" i="1"/>
  <c r="AQ60" i="1"/>
  <c r="AP60" i="1"/>
  <c r="AO60" i="1"/>
  <c r="AL60" i="1"/>
  <c r="AK60" i="1"/>
  <c r="AJ60" i="1"/>
  <c r="AI60" i="1"/>
  <c r="AH60" i="1"/>
  <c r="AG60" i="1"/>
  <c r="AF60" i="1"/>
  <c r="AE60" i="1"/>
  <c r="AD60" i="1"/>
  <c r="AC60" i="1"/>
  <c r="X60" i="1"/>
  <c r="V60" i="1"/>
  <c r="U60" i="1"/>
  <c r="T60" i="1"/>
  <c r="S60" i="1"/>
  <c r="R60" i="1"/>
  <c r="O60" i="1"/>
  <c r="N60" i="1"/>
  <c r="M60" i="1"/>
  <c r="L60" i="1"/>
  <c r="K60" i="1"/>
  <c r="I60" i="1"/>
  <c r="G60" i="1"/>
  <c r="D60" i="1"/>
  <c r="C60" i="1"/>
  <c r="AR59" i="1"/>
  <c r="AQ59" i="1"/>
  <c r="AP59" i="1"/>
  <c r="AO59" i="1"/>
  <c r="AL59" i="1"/>
  <c r="AK59" i="1"/>
  <c r="AJ59" i="1"/>
  <c r="AI59" i="1"/>
  <c r="AH59" i="1"/>
  <c r="AG59" i="1"/>
  <c r="AF59" i="1"/>
  <c r="AE59" i="1"/>
  <c r="AD59" i="1"/>
  <c r="AC59" i="1"/>
  <c r="AB59" i="1"/>
  <c r="Y59" i="1"/>
  <c r="X59" i="1"/>
  <c r="W59" i="1"/>
  <c r="V59" i="1"/>
  <c r="U59" i="1"/>
  <c r="T59" i="1"/>
  <c r="S59" i="1"/>
  <c r="R59" i="1"/>
  <c r="P59" i="1"/>
  <c r="O59" i="1"/>
  <c r="N59" i="1"/>
  <c r="M59" i="1"/>
  <c r="L59" i="1"/>
  <c r="K59" i="1"/>
  <c r="A59" i="1"/>
  <c r="AO58" i="1"/>
  <c r="AL58" i="1"/>
  <c r="AK58" i="1"/>
  <c r="AJ58" i="1"/>
  <c r="AI58" i="1"/>
  <c r="AH58" i="1"/>
  <c r="AG58" i="1"/>
  <c r="AF58" i="1"/>
  <c r="AE58" i="1"/>
  <c r="AD58" i="1"/>
  <c r="AC58" i="1"/>
  <c r="I58" i="1"/>
  <c r="G58" i="1"/>
  <c r="D58" i="1"/>
  <c r="C58" i="1"/>
  <c r="AR57" i="1"/>
  <c r="AQ57" i="1"/>
  <c r="AP57" i="1"/>
  <c r="AO57" i="1"/>
  <c r="AL57" i="1"/>
  <c r="AK57" i="1"/>
  <c r="AJ57" i="1"/>
  <c r="AI57" i="1"/>
  <c r="AH57" i="1"/>
  <c r="AG57" i="1"/>
  <c r="AF57" i="1"/>
  <c r="AE57" i="1"/>
  <c r="AD57" i="1"/>
  <c r="AC57" i="1"/>
  <c r="X57" i="1"/>
  <c r="V57" i="1"/>
  <c r="U57" i="1"/>
  <c r="T57" i="1"/>
  <c r="S57" i="1"/>
  <c r="R57" i="1"/>
  <c r="O57" i="1"/>
  <c r="N57" i="1"/>
  <c r="M57" i="1"/>
  <c r="L57" i="1"/>
  <c r="K57" i="1"/>
  <c r="I57" i="1"/>
  <c r="G57" i="1"/>
  <c r="D57" i="1"/>
  <c r="C57" i="1"/>
  <c r="AR56" i="1"/>
  <c r="AQ56" i="1"/>
  <c r="AP56" i="1"/>
  <c r="AO56" i="1"/>
  <c r="AL56" i="1"/>
  <c r="AK56" i="1"/>
  <c r="AJ56" i="1"/>
  <c r="AI56" i="1"/>
  <c r="AH56" i="1"/>
  <c r="AG56" i="1"/>
  <c r="AF56" i="1"/>
  <c r="AE56" i="1"/>
  <c r="AD56" i="1"/>
  <c r="AC56" i="1"/>
  <c r="AB56" i="1"/>
  <c r="Y56" i="1"/>
  <c r="X56" i="1"/>
  <c r="W56" i="1"/>
  <c r="V56" i="1"/>
  <c r="U56" i="1"/>
  <c r="T56" i="1"/>
  <c r="S56" i="1"/>
  <c r="R56" i="1"/>
  <c r="P56" i="1"/>
  <c r="O56" i="1"/>
  <c r="N56" i="1"/>
  <c r="M56" i="1"/>
  <c r="L56" i="1"/>
  <c r="K56" i="1"/>
  <c r="G56" i="1"/>
  <c r="A56" i="1"/>
  <c r="AO55" i="1"/>
  <c r="AL55" i="1"/>
  <c r="AK55" i="1"/>
  <c r="AJ55" i="1"/>
  <c r="AI55" i="1"/>
  <c r="AH55" i="1"/>
  <c r="AG55" i="1"/>
  <c r="AF55" i="1"/>
  <c r="AE55" i="1"/>
  <c r="AD55" i="1"/>
  <c r="AC55" i="1"/>
  <c r="I55" i="1"/>
  <c r="G55" i="1"/>
  <c r="D55" i="1"/>
  <c r="C55" i="1"/>
  <c r="AO54" i="1"/>
  <c r="AL54" i="1"/>
  <c r="AK54" i="1"/>
  <c r="AJ54" i="1"/>
  <c r="AI54" i="1"/>
  <c r="AH54" i="1"/>
  <c r="AG54" i="1"/>
  <c r="AF54" i="1"/>
  <c r="AE54" i="1"/>
  <c r="AD54" i="1"/>
  <c r="AC54" i="1"/>
  <c r="I54" i="1"/>
  <c r="G54" i="1"/>
  <c r="D54" i="1"/>
  <c r="C54" i="1"/>
  <c r="AO53" i="1"/>
  <c r="AL53" i="1"/>
  <c r="AK53" i="1"/>
  <c r="AJ53" i="1"/>
  <c r="AI53" i="1"/>
  <c r="AH53" i="1"/>
  <c r="AG53" i="1"/>
  <c r="AF53" i="1"/>
  <c r="AE53" i="1"/>
  <c r="AD53" i="1"/>
  <c r="AC53" i="1"/>
  <c r="AB53" i="1"/>
  <c r="Y53" i="1"/>
  <c r="P53" i="1"/>
  <c r="G53" i="1"/>
  <c r="A53" i="1"/>
  <c r="AO52" i="1"/>
  <c r="AL52" i="1"/>
  <c r="AK52" i="1"/>
  <c r="AJ52" i="1"/>
  <c r="AI52" i="1"/>
  <c r="AH52" i="1"/>
  <c r="AG52" i="1"/>
  <c r="AF52" i="1"/>
  <c r="AE52" i="1"/>
  <c r="AD52" i="1"/>
  <c r="AC52" i="1"/>
  <c r="I52" i="1"/>
  <c r="G52" i="1"/>
  <c r="D52" i="1"/>
  <c r="C52" i="1"/>
  <c r="AO51" i="1"/>
  <c r="AL51" i="1"/>
  <c r="AK51" i="1"/>
  <c r="AJ51" i="1"/>
  <c r="AI51" i="1"/>
  <c r="AH51" i="1"/>
  <c r="AG51" i="1"/>
  <c r="AF51" i="1"/>
  <c r="AE51" i="1"/>
  <c r="AD51" i="1"/>
  <c r="AC51" i="1"/>
  <c r="I51" i="1"/>
  <c r="G51" i="1"/>
  <c r="D51" i="1"/>
  <c r="C51" i="1"/>
  <c r="AO50" i="1"/>
  <c r="AL50" i="1"/>
  <c r="AK50" i="1"/>
  <c r="AJ50" i="1"/>
  <c r="AI50" i="1"/>
  <c r="AH50" i="1"/>
  <c r="AG50" i="1"/>
  <c r="AF50" i="1"/>
  <c r="AE50" i="1"/>
  <c r="AD50" i="1"/>
  <c r="AC50" i="1"/>
  <c r="AB50" i="1"/>
  <c r="Y50" i="1"/>
  <c r="P50" i="1"/>
  <c r="G50" i="1"/>
  <c r="A50" i="1"/>
  <c r="AO49" i="1"/>
  <c r="AL49" i="1"/>
  <c r="AK49" i="1"/>
  <c r="AJ49" i="1"/>
  <c r="AI49" i="1"/>
  <c r="AH49" i="1"/>
  <c r="AG49" i="1"/>
  <c r="AF49" i="1"/>
  <c r="AE49" i="1"/>
  <c r="AD49" i="1"/>
  <c r="AC49" i="1"/>
  <c r="I49" i="1"/>
  <c r="G49" i="1"/>
  <c r="D49" i="1"/>
  <c r="C49" i="1"/>
  <c r="AO48" i="1"/>
  <c r="AL48" i="1"/>
  <c r="AK48" i="1"/>
  <c r="AJ48" i="1"/>
  <c r="AI48" i="1"/>
  <c r="AH48" i="1"/>
  <c r="AG48" i="1"/>
  <c r="AF48" i="1"/>
  <c r="AE48" i="1"/>
  <c r="AD48" i="1"/>
  <c r="AC48" i="1"/>
  <c r="I48" i="1"/>
  <c r="G48" i="1"/>
  <c r="D48" i="1"/>
  <c r="C48" i="1"/>
  <c r="AO47" i="1"/>
  <c r="AL47" i="1"/>
  <c r="AK47" i="1"/>
  <c r="AJ47" i="1"/>
  <c r="AI47" i="1"/>
  <c r="AH47" i="1"/>
  <c r="AG47" i="1"/>
  <c r="AF47" i="1"/>
  <c r="AE47" i="1"/>
  <c r="AD47" i="1"/>
  <c r="AC47" i="1"/>
  <c r="AB47" i="1"/>
  <c r="Y47" i="1"/>
  <c r="P47" i="1"/>
  <c r="A47" i="1"/>
  <c r="AO46" i="1"/>
  <c r="AL46" i="1"/>
  <c r="AK46" i="1"/>
  <c r="AJ46" i="1"/>
  <c r="AI46" i="1"/>
  <c r="AH46" i="1"/>
  <c r="AG46" i="1"/>
  <c r="AF46" i="1"/>
  <c r="AE46" i="1"/>
  <c r="AD46" i="1"/>
  <c r="AC46" i="1"/>
  <c r="I46" i="1"/>
  <c r="G46" i="1"/>
  <c r="D46" i="1"/>
  <c r="C46" i="1"/>
  <c r="AO45" i="1"/>
  <c r="AL45" i="1"/>
  <c r="AK45" i="1"/>
  <c r="AJ45" i="1"/>
  <c r="AI45" i="1"/>
  <c r="AH45" i="1"/>
  <c r="AG45" i="1"/>
  <c r="AF45" i="1"/>
  <c r="AE45" i="1"/>
  <c r="AD45" i="1"/>
  <c r="AC45" i="1"/>
  <c r="I45" i="1"/>
  <c r="G45" i="1"/>
  <c r="D45" i="1"/>
  <c r="C45" i="1"/>
  <c r="AO44" i="1"/>
  <c r="AL44" i="1"/>
  <c r="AK44" i="1"/>
  <c r="AJ44" i="1"/>
  <c r="AI44" i="1"/>
  <c r="AH44" i="1"/>
  <c r="AG44" i="1"/>
  <c r="AF44" i="1"/>
  <c r="AE44" i="1"/>
  <c r="AD44" i="1"/>
  <c r="AC44" i="1"/>
  <c r="AB44" i="1"/>
  <c r="Y44" i="1"/>
  <c r="P44" i="1"/>
  <c r="G44" i="1"/>
  <c r="A44" i="1"/>
  <c r="AO43" i="1"/>
  <c r="AL43" i="1"/>
  <c r="AK43" i="1"/>
  <c r="AJ43" i="1"/>
  <c r="AI43" i="1"/>
  <c r="AH43" i="1"/>
  <c r="AG43" i="1"/>
  <c r="AF43" i="1"/>
  <c r="AE43" i="1"/>
  <c r="AD43" i="1"/>
  <c r="AC43" i="1"/>
  <c r="I43" i="1"/>
  <c r="G43" i="1"/>
  <c r="D43" i="1"/>
  <c r="C43" i="1"/>
  <c r="AO42" i="1"/>
  <c r="AL42" i="1"/>
  <c r="AK42" i="1"/>
  <c r="AJ42" i="1"/>
  <c r="AI42" i="1"/>
  <c r="AH42" i="1"/>
  <c r="AG42" i="1"/>
  <c r="AF42" i="1"/>
  <c r="AE42" i="1"/>
  <c r="AD42" i="1"/>
  <c r="AC42" i="1"/>
  <c r="I42" i="1"/>
  <c r="G42" i="1"/>
  <c r="D42" i="1"/>
  <c r="C42" i="1"/>
  <c r="AO41" i="1"/>
  <c r="AL41" i="1"/>
  <c r="AK41" i="1"/>
  <c r="AJ41" i="1"/>
  <c r="AI41" i="1"/>
  <c r="AH41" i="1"/>
  <c r="AG41" i="1"/>
  <c r="AF41" i="1"/>
  <c r="AE41" i="1"/>
  <c r="AD41" i="1"/>
  <c r="AC41" i="1"/>
  <c r="AB41" i="1"/>
  <c r="Y41" i="1"/>
  <c r="P41" i="1"/>
  <c r="G41" i="1"/>
  <c r="A41" i="1"/>
  <c r="AO40" i="1"/>
  <c r="AL40" i="1"/>
  <c r="AK40" i="1"/>
  <c r="AJ40" i="1"/>
  <c r="AI40" i="1"/>
  <c r="AH40" i="1"/>
  <c r="AG40" i="1"/>
  <c r="AF40" i="1"/>
  <c r="AE40" i="1"/>
  <c r="AD40" i="1"/>
  <c r="AC40" i="1"/>
  <c r="I40" i="1"/>
  <c r="G40" i="1"/>
  <c r="D40" i="1"/>
  <c r="C40" i="1"/>
  <c r="AO39" i="1"/>
  <c r="AL39" i="1"/>
  <c r="AK39" i="1"/>
  <c r="AJ39" i="1"/>
  <c r="AI39" i="1"/>
  <c r="AH39" i="1"/>
  <c r="AG39" i="1"/>
  <c r="AF39" i="1"/>
  <c r="AE39" i="1"/>
  <c r="AD39" i="1"/>
  <c r="AC39" i="1"/>
  <c r="I39" i="1"/>
  <c r="G39" i="1"/>
  <c r="D39" i="1"/>
  <c r="C39" i="1"/>
  <c r="AO38" i="1"/>
  <c r="AL38" i="1"/>
  <c r="AK38" i="1"/>
  <c r="AJ38" i="1"/>
  <c r="AI38" i="1"/>
  <c r="AH38" i="1"/>
  <c r="AG38" i="1"/>
  <c r="AF38" i="1"/>
  <c r="AE38" i="1"/>
  <c r="AD38" i="1"/>
  <c r="AC38" i="1"/>
  <c r="AB38" i="1"/>
  <c r="Y38" i="1"/>
  <c r="P38" i="1"/>
  <c r="G38" i="1"/>
  <c r="A38" i="1"/>
  <c r="AO37" i="1"/>
  <c r="AL37" i="1"/>
  <c r="AK37" i="1"/>
  <c r="AJ37" i="1"/>
  <c r="AI37" i="1"/>
  <c r="AH37" i="1"/>
  <c r="AG37" i="1"/>
  <c r="AF37" i="1"/>
  <c r="AE37" i="1"/>
  <c r="AD37" i="1"/>
  <c r="AC37" i="1"/>
  <c r="I37" i="1"/>
  <c r="G37" i="1"/>
  <c r="D37" i="1"/>
  <c r="C37" i="1"/>
  <c r="AR36" i="1"/>
  <c r="AQ36" i="1"/>
  <c r="AP36" i="1"/>
  <c r="AO36" i="1"/>
  <c r="AL36" i="1"/>
  <c r="AK36" i="1"/>
  <c r="AJ36" i="1"/>
  <c r="AI36" i="1"/>
  <c r="AH36" i="1"/>
  <c r="AG36" i="1"/>
  <c r="AF36" i="1"/>
  <c r="AE36" i="1"/>
  <c r="AD36" i="1"/>
  <c r="AC36" i="1"/>
  <c r="X36" i="1"/>
  <c r="V36" i="1"/>
  <c r="U36" i="1"/>
  <c r="T36" i="1"/>
  <c r="S36" i="1"/>
  <c r="R36" i="1"/>
  <c r="O36" i="1"/>
  <c r="N36" i="1"/>
  <c r="M36" i="1"/>
  <c r="L36" i="1"/>
  <c r="K36" i="1"/>
  <c r="I36" i="1"/>
  <c r="G36" i="1"/>
  <c r="D36" i="1"/>
  <c r="C36" i="1"/>
  <c r="AR35" i="1"/>
  <c r="AQ35" i="1"/>
  <c r="AP35" i="1"/>
  <c r="AO35" i="1"/>
  <c r="AL35" i="1"/>
  <c r="AK35" i="1"/>
  <c r="AJ35" i="1"/>
  <c r="AI35" i="1"/>
  <c r="AH35" i="1"/>
  <c r="AG35" i="1"/>
  <c r="AF35" i="1"/>
  <c r="AE35" i="1"/>
  <c r="AD35" i="1"/>
  <c r="AC35" i="1"/>
  <c r="AB35" i="1"/>
  <c r="Y35" i="1"/>
  <c r="X35" i="1"/>
  <c r="W35" i="1"/>
  <c r="V35" i="1"/>
  <c r="U35" i="1"/>
  <c r="T35" i="1"/>
  <c r="S35" i="1"/>
  <c r="R35" i="1"/>
  <c r="P35" i="1"/>
  <c r="O35" i="1"/>
  <c r="N35" i="1"/>
  <c r="M35" i="1"/>
  <c r="L35" i="1"/>
  <c r="K35" i="1"/>
  <c r="A35" i="1"/>
  <c r="AO34" i="1"/>
  <c r="AL34" i="1"/>
  <c r="AK34" i="1"/>
  <c r="AJ34" i="1"/>
  <c r="AI34" i="1"/>
  <c r="AH34" i="1"/>
  <c r="AG34" i="1"/>
  <c r="AF34" i="1"/>
  <c r="AE34" i="1"/>
  <c r="AD34" i="1"/>
  <c r="AC34" i="1"/>
  <c r="I34" i="1"/>
  <c r="G34" i="1"/>
  <c r="C34" i="1"/>
  <c r="AR33" i="1"/>
  <c r="AQ33" i="1"/>
  <c r="AP33" i="1"/>
  <c r="AO33" i="1"/>
  <c r="AL33" i="1"/>
  <c r="AK33" i="1"/>
  <c r="AJ33" i="1"/>
  <c r="AI33" i="1"/>
  <c r="AH33" i="1"/>
  <c r="AG33" i="1"/>
  <c r="AF33" i="1"/>
  <c r="AE33" i="1"/>
  <c r="AD33" i="1"/>
  <c r="AC33" i="1"/>
  <c r="X33" i="1"/>
  <c r="V33" i="1"/>
  <c r="U33" i="1"/>
  <c r="T33" i="1"/>
  <c r="S33" i="1"/>
  <c r="R33" i="1"/>
  <c r="O33" i="1"/>
  <c r="N33" i="1"/>
  <c r="M33" i="1"/>
  <c r="L33" i="1"/>
  <c r="K33" i="1"/>
  <c r="I33" i="1"/>
  <c r="G33" i="1"/>
  <c r="C33" i="1"/>
  <c r="AR32" i="1"/>
  <c r="AQ32" i="1"/>
  <c r="AP32" i="1"/>
  <c r="AO32" i="1"/>
  <c r="AL32" i="1"/>
  <c r="AK32" i="1"/>
  <c r="AJ32" i="1"/>
  <c r="AI32" i="1"/>
  <c r="AH32" i="1"/>
  <c r="AG32" i="1"/>
  <c r="AF32" i="1"/>
  <c r="AE32" i="1"/>
  <c r="AD32" i="1"/>
  <c r="AC32" i="1"/>
  <c r="AB32" i="1"/>
  <c r="Y32" i="1"/>
  <c r="X32" i="1"/>
  <c r="W32" i="1"/>
  <c r="V32" i="1"/>
  <c r="U32" i="1"/>
  <c r="T32" i="1"/>
  <c r="S32" i="1"/>
  <c r="R32" i="1"/>
  <c r="P32" i="1"/>
  <c r="O32" i="1"/>
  <c r="N32" i="1"/>
  <c r="M32" i="1"/>
  <c r="L32" i="1"/>
  <c r="K32" i="1"/>
  <c r="A32" i="1"/>
  <c r="AO31" i="1"/>
  <c r="AL31" i="1"/>
  <c r="AK31" i="1"/>
  <c r="AJ31" i="1"/>
  <c r="AI31" i="1"/>
  <c r="AH31" i="1"/>
  <c r="AG31" i="1"/>
  <c r="AF31" i="1"/>
  <c r="AE31" i="1"/>
  <c r="AD31" i="1"/>
  <c r="AC31" i="1"/>
  <c r="I31" i="1"/>
  <c r="G31" i="1"/>
  <c r="F31" i="1"/>
  <c r="D31" i="1"/>
  <c r="C31" i="1"/>
  <c r="AO30" i="1"/>
  <c r="AL30" i="1"/>
  <c r="AK30" i="1"/>
  <c r="AJ30" i="1"/>
  <c r="AI30" i="1"/>
  <c r="AH30" i="1"/>
  <c r="AG30" i="1"/>
  <c r="AF30" i="1"/>
  <c r="AE30" i="1"/>
  <c r="AD30" i="1"/>
  <c r="AC30" i="1"/>
  <c r="I30" i="1"/>
  <c r="G30" i="1"/>
  <c r="F30" i="1"/>
  <c r="D30" i="1"/>
  <c r="C30" i="1"/>
  <c r="AO29" i="1"/>
  <c r="AL29" i="1"/>
  <c r="AK29" i="1"/>
  <c r="AJ29" i="1"/>
  <c r="AI29" i="1"/>
  <c r="AH29" i="1"/>
  <c r="AG29" i="1"/>
  <c r="AF29" i="1"/>
  <c r="AE29" i="1"/>
  <c r="AD29" i="1"/>
  <c r="AC29" i="1"/>
  <c r="AB29" i="1"/>
  <c r="Y29" i="1"/>
  <c r="P29" i="1"/>
  <c r="A29" i="1"/>
  <c r="AO28" i="1"/>
  <c r="AL28" i="1"/>
  <c r="AK28" i="1"/>
  <c r="AJ28" i="1"/>
  <c r="AI28" i="1"/>
  <c r="AH28" i="1"/>
  <c r="AG28" i="1"/>
  <c r="AF28" i="1"/>
  <c r="AE28" i="1"/>
  <c r="AD28" i="1"/>
  <c r="AC28" i="1"/>
  <c r="I28" i="1"/>
  <c r="G28" i="1"/>
  <c r="D28" i="1"/>
  <c r="C28" i="1"/>
  <c r="AO27" i="1"/>
  <c r="AL27" i="1"/>
  <c r="AK27" i="1"/>
  <c r="AJ27" i="1"/>
  <c r="AI27" i="1"/>
  <c r="AH27" i="1"/>
  <c r="AG27" i="1"/>
  <c r="AF27" i="1"/>
  <c r="AE27" i="1"/>
  <c r="AD27" i="1"/>
  <c r="AC27" i="1"/>
  <c r="I27" i="1"/>
  <c r="G27" i="1"/>
  <c r="D27" i="1"/>
  <c r="C27" i="1"/>
  <c r="AO26" i="1"/>
  <c r="AL26" i="1"/>
  <c r="AK26" i="1"/>
  <c r="AJ26" i="1"/>
  <c r="AI26" i="1"/>
  <c r="AH26" i="1"/>
  <c r="AG26" i="1"/>
  <c r="AF26" i="1"/>
  <c r="AE26" i="1"/>
  <c r="AD26" i="1"/>
  <c r="AC26" i="1"/>
  <c r="AB26" i="1"/>
  <c r="Y26" i="1"/>
  <c r="P26" i="1"/>
  <c r="G26" i="1"/>
  <c r="A26" i="1"/>
  <c r="AO25" i="1"/>
  <c r="AL25" i="1"/>
  <c r="AK25" i="1"/>
  <c r="AJ25" i="1"/>
  <c r="AI25" i="1"/>
  <c r="AH25" i="1"/>
  <c r="AG25" i="1"/>
  <c r="AF25" i="1"/>
  <c r="AE25" i="1"/>
  <c r="AD25" i="1"/>
  <c r="AC25" i="1"/>
  <c r="I25" i="1"/>
  <c r="G25" i="1"/>
  <c r="D25" i="1"/>
  <c r="C25" i="1"/>
  <c r="AR24" i="1"/>
  <c r="AQ24" i="1"/>
  <c r="AP24" i="1"/>
  <c r="AO24" i="1"/>
  <c r="AL24" i="1"/>
  <c r="AK24" i="1"/>
  <c r="AJ24" i="1"/>
  <c r="AI24" i="1"/>
  <c r="AH24" i="1"/>
  <c r="AG24" i="1"/>
  <c r="AF24" i="1"/>
  <c r="AE24" i="1"/>
  <c r="AD24" i="1"/>
  <c r="AC24" i="1"/>
  <c r="X24" i="1"/>
  <c r="V24" i="1"/>
  <c r="U24" i="1"/>
  <c r="T24" i="1"/>
  <c r="S24" i="1"/>
  <c r="R24" i="1"/>
  <c r="O24" i="1"/>
  <c r="N24" i="1"/>
  <c r="M24" i="1"/>
  <c r="L24" i="1"/>
  <c r="K24" i="1"/>
  <c r="I24" i="1"/>
  <c r="G24" i="1"/>
  <c r="D24" i="1"/>
  <c r="C24" i="1"/>
  <c r="AR23" i="1"/>
  <c r="AQ23" i="1"/>
  <c r="AP23" i="1"/>
  <c r="AO23" i="1"/>
  <c r="AL23" i="1"/>
  <c r="AK23" i="1"/>
  <c r="AJ23" i="1"/>
  <c r="AI23" i="1"/>
  <c r="AH23" i="1"/>
  <c r="AG23" i="1"/>
  <c r="AF23" i="1"/>
  <c r="AE23" i="1"/>
  <c r="AD23" i="1"/>
  <c r="AC23" i="1"/>
  <c r="AB23" i="1"/>
  <c r="X23" i="1"/>
  <c r="W23" i="1"/>
  <c r="V23" i="1"/>
  <c r="U23" i="1"/>
  <c r="T23" i="1"/>
  <c r="S23" i="1"/>
  <c r="R23" i="1"/>
  <c r="P23" i="1"/>
  <c r="O23" i="1"/>
  <c r="N23" i="1"/>
  <c r="M23" i="1"/>
  <c r="L23" i="1"/>
  <c r="K23" i="1"/>
  <c r="A23" i="1"/>
  <c r="AO22" i="1"/>
  <c r="AL22" i="1"/>
  <c r="AK22" i="1"/>
  <c r="AJ22" i="1"/>
  <c r="AI22" i="1"/>
  <c r="AH22" i="1"/>
  <c r="AG22" i="1"/>
  <c r="AF22" i="1"/>
  <c r="AE22" i="1"/>
  <c r="AD22" i="1"/>
  <c r="AC22" i="1"/>
  <c r="I22" i="1"/>
  <c r="G22" i="1"/>
  <c r="D22" i="1"/>
  <c r="C22" i="1"/>
  <c r="AR21" i="1"/>
  <c r="AQ21" i="1"/>
  <c r="AP21" i="1"/>
  <c r="AO21" i="1"/>
  <c r="AL21" i="1"/>
  <c r="AK21" i="1"/>
  <c r="AJ21" i="1"/>
  <c r="AI21" i="1"/>
  <c r="AH21" i="1"/>
  <c r="AG21" i="1"/>
  <c r="AF21" i="1"/>
  <c r="AE21" i="1"/>
  <c r="AD21" i="1"/>
  <c r="AC21" i="1"/>
  <c r="X21" i="1"/>
  <c r="V21" i="1"/>
  <c r="U21" i="1"/>
  <c r="T21" i="1"/>
  <c r="S21" i="1"/>
  <c r="R21" i="1"/>
  <c r="O21" i="1"/>
  <c r="N21" i="1"/>
  <c r="M21" i="1"/>
  <c r="L21" i="1"/>
  <c r="K21" i="1"/>
  <c r="I21" i="1"/>
  <c r="G21" i="1"/>
  <c r="D21" i="1"/>
  <c r="C21" i="1"/>
  <c r="AR20" i="1"/>
  <c r="AQ20" i="1"/>
  <c r="AP20" i="1"/>
  <c r="AO20" i="1"/>
  <c r="AL20" i="1"/>
  <c r="AK20" i="1"/>
  <c r="AJ20" i="1"/>
  <c r="AI20" i="1"/>
  <c r="AH20" i="1"/>
  <c r="AG20" i="1"/>
  <c r="AF20" i="1"/>
  <c r="AE20" i="1"/>
  <c r="AD20" i="1"/>
  <c r="AC20" i="1"/>
  <c r="AB20" i="1"/>
  <c r="X20" i="1"/>
  <c r="W20" i="1"/>
  <c r="V20" i="1"/>
  <c r="U20" i="1"/>
  <c r="T20" i="1"/>
  <c r="S20" i="1"/>
  <c r="R20" i="1"/>
  <c r="P20" i="1"/>
  <c r="O20" i="1"/>
  <c r="N20" i="1"/>
  <c r="M20" i="1"/>
  <c r="L20" i="1"/>
  <c r="K20" i="1"/>
  <c r="A20" i="1"/>
  <c r="AO19" i="1"/>
  <c r="AL19" i="1"/>
  <c r="AK19" i="1"/>
  <c r="AJ19" i="1"/>
  <c r="AI19" i="1"/>
  <c r="AH19" i="1"/>
  <c r="AG19" i="1"/>
  <c r="AF19" i="1"/>
  <c r="AE19" i="1"/>
  <c r="AD19" i="1"/>
  <c r="AC19" i="1"/>
  <c r="I19" i="1"/>
  <c r="D19" i="1"/>
  <c r="C19" i="1"/>
  <c r="AR18" i="1"/>
  <c r="AQ18" i="1"/>
  <c r="AP18" i="1"/>
  <c r="AO18" i="1"/>
  <c r="AL18" i="1"/>
  <c r="AK18" i="1"/>
  <c r="AJ18" i="1"/>
  <c r="AI18" i="1"/>
  <c r="AH18" i="1"/>
  <c r="AG18" i="1"/>
  <c r="AF18" i="1"/>
  <c r="AE18" i="1"/>
  <c r="AD18" i="1"/>
  <c r="AC18" i="1"/>
  <c r="X18" i="1"/>
  <c r="V18" i="1"/>
  <c r="U18" i="1"/>
  <c r="T18" i="1"/>
  <c r="S18" i="1"/>
  <c r="R18" i="1"/>
  <c r="O18" i="1"/>
  <c r="N18" i="1"/>
  <c r="M18" i="1"/>
  <c r="L18" i="1"/>
  <c r="K18" i="1"/>
  <c r="I18" i="1"/>
  <c r="D18" i="1"/>
  <c r="C18" i="1"/>
  <c r="AW17" i="1" a="1"/>
  <c r="AW17" i="1"/>
  <c r="AR17" i="1"/>
  <c r="AQ17" i="1"/>
  <c r="AP17" i="1"/>
  <c r="AO17" i="1"/>
  <c r="AL17" i="1"/>
  <c r="AK17" i="1"/>
  <c r="AJ17" i="1"/>
  <c r="AI17" i="1"/>
  <c r="AH17" i="1"/>
  <c r="AG17" i="1"/>
  <c r="AF17" i="1"/>
  <c r="AE17" i="1"/>
  <c r="AD17" i="1"/>
  <c r="AC17" i="1"/>
  <c r="AB17" i="1"/>
  <c r="X17" i="1"/>
  <c r="W17" i="1"/>
  <c r="V17" i="1"/>
  <c r="U17" i="1"/>
  <c r="T17" i="1"/>
  <c r="S17" i="1"/>
  <c r="R17" i="1"/>
  <c r="P17" i="1"/>
  <c r="O17" i="1"/>
  <c r="N17" i="1"/>
  <c r="M17" i="1"/>
  <c r="L17" i="1"/>
  <c r="K17" i="1"/>
  <c r="G17" i="1"/>
  <c r="AM16" i="1"/>
  <c r="AM236" i="1" s="1"/>
  <c r="W15" i="1"/>
  <c r="W14" i="1"/>
  <c r="W13" i="1"/>
  <c r="W12" i="1"/>
  <c r="C417" i="3"/>
  <c r="B417" i="3"/>
  <c r="AN416" i="3"/>
  <c r="AM416" i="3"/>
  <c r="AK416" i="3"/>
  <c r="AL415" i="3" s="1"/>
  <c r="P416" i="3"/>
  <c r="Q416" i="3" s="1"/>
  <c r="R416" i="3" s="1"/>
  <c r="S416" i="3" s="1"/>
  <c r="T416" i="3" s="1"/>
  <c r="U416" i="3" s="1"/>
  <c r="V416" i="3" s="1"/>
  <c r="W416" i="3" s="1"/>
  <c r="K416" i="3"/>
  <c r="C416" i="3"/>
  <c r="B416" i="3"/>
  <c r="C415" i="3"/>
  <c r="B415" i="3"/>
  <c r="P414" i="3"/>
  <c r="Q414" i="3" s="1"/>
  <c r="R414" i="3" s="1"/>
  <c r="S414" i="3" s="1"/>
  <c r="T414" i="3" s="1"/>
  <c r="U414" i="3" s="1"/>
  <c r="V414" i="3" s="1"/>
  <c r="W414" i="3" s="1"/>
  <c r="N414" i="3"/>
  <c r="N416" i="3" s="1"/>
  <c r="K414" i="3"/>
  <c r="C413" i="3"/>
  <c r="B413" i="3"/>
  <c r="AN412" i="3"/>
  <c r="AM412" i="3"/>
  <c r="AK412" i="3"/>
  <c r="AL411" i="3" s="1"/>
  <c r="AB412" i="3"/>
  <c r="AC412" i="3" s="1"/>
  <c r="AD412" i="3" s="1"/>
  <c r="P412" i="3"/>
  <c r="Q412" i="3" s="1"/>
  <c r="R412" i="3" s="1"/>
  <c r="S412" i="3" s="1"/>
  <c r="T412" i="3" s="1"/>
  <c r="U412" i="3" s="1"/>
  <c r="V412" i="3" s="1"/>
  <c r="W412" i="3" s="1"/>
  <c r="K412" i="3"/>
  <c r="C412" i="3"/>
  <c r="B412" i="3"/>
  <c r="I411" i="3"/>
  <c r="C411" i="3"/>
  <c r="B411" i="3"/>
  <c r="S410" i="3"/>
  <c r="N410" i="3"/>
  <c r="K410" i="3"/>
  <c r="B409" i="3"/>
  <c r="AN408" i="3"/>
  <c r="AM408" i="3"/>
  <c r="AK408" i="3"/>
  <c r="V408" i="3"/>
  <c r="W408" i="3" s="1"/>
  <c r="X408" i="3" s="1"/>
  <c r="Y408" i="3" s="1"/>
  <c r="Z408" i="3" s="1"/>
  <c r="AA408" i="3" s="1"/>
  <c r="AB408" i="3" s="1"/>
  <c r="AC408" i="3" s="1"/>
  <c r="AD408" i="3" s="1"/>
  <c r="P408" i="3"/>
  <c r="Q408" i="3" s="1"/>
  <c r="R408" i="3" s="1"/>
  <c r="S408" i="3" s="1"/>
  <c r="T408" i="3" s="1"/>
  <c r="K408" i="3"/>
  <c r="B408" i="3"/>
  <c r="I407" i="3"/>
  <c r="B407" i="3"/>
  <c r="S406" i="3"/>
  <c r="N406" i="3"/>
  <c r="K406" i="3"/>
  <c r="C405" i="3"/>
  <c r="C407" i="3" s="1"/>
  <c r="B405" i="3"/>
  <c r="AN404" i="3"/>
  <c r="AM404" i="3"/>
  <c r="AK404" i="3"/>
  <c r="AL403" i="3" s="1"/>
  <c r="V404" i="3"/>
  <c r="W404" i="3" s="1"/>
  <c r="AL404" i="3" s="1"/>
  <c r="P404" i="3"/>
  <c r="Q404" i="3" s="1"/>
  <c r="R404" i="3" s="1"/>
  <c r="S404" i="3" s="1"/>
  <c r="T404" i="3" s="1"/>
  <c r="K404" i="3"/>
  <c r="C404" i="3"/>
  <c r="B404" i="3"/>
  <c r="I403" i="3"/>
  <c r="C403" i="3"/>
  <c r="B403" i="3"/>
  <c r="S402" i="3"/>
  <c r="N402" i="3"/>
  <c r="K402" i="3"/>
  <c r="C401" i="3"/>
  <c r="B401" i="3"/>
  <c r="AN400" i="3"/>
  <c r="AM400" i="3"/>
  <c r="AK400" i="3"/>
  <c r="AL399" i="3" s="1"/>
  <c r="V400" i="3"/>
  <c r="W400" i="3" s="1"/>
  <c r="AL400" i="3" s="1"/>
  <c r="P400" i="3"/>
  <c r="Q400" i="3" s="1"/>
  <c r="R400" i="3" s="1"/>
  <c r="S400" i="3" s="1"/>
  <c r="T400" i="3" s="1"/>
  <c r="K400" i="3"/>
  <c r="C400" i="3"/>
  <c r="B400" i="3"/>
  <c r="I399" i="3"/>
  <c r="C399" i="3"/>
  <c r="B399" i="3"/>
  <c r="S398" i="3"/>
  <c r="N398" i="3"/>
  <c r="K398" i="3"/>
  <c r="C397" i="3"/>
  <c r="B397" i="3"/>
  <c r="AN396" i="3"/>
  <c r="AM396" i="3"/>
  <c r="AK396" i="3"/>
  <c r="AL395" i="3" s="1"/>
  <c r="V396" i="3"/>
  <c r="W396" i="3" s="1"/>
  <c r="P396" i="3"/>
  <c r="Q396" i="3" s="1"/>
  <c r="R396" i="3" s="1"/>
  <c r="S396" i="3" s="1"/>
  <c r="T396" i="3" s="1"/>
  <c r="K396" i="3"/>
  <c r="C396" i="3"/>
  <c r="B396" i="3"/>
  <c r="I395" i="3"/>
  <c r="C395" i="3"/>
  <c r="B395" i="3"/>
  <c r="S394" i="3"/>
  <c r="N394" i="3"/>
  <c r="K394" i="3"/>
  <c r="C393" i="3"/>
  <c r="B393" i="3"/>
  <c r="AN392" i="3"/>
  <c r="AM392" i="3"/>
  <c r="AK392" i="3"/>
  <c r="AL391" i="3" s="1"/>
  <c r="V392" i="3"/>
  <c r="W392" i="3" s="1"/>
  <c r="P392" i="3"/>
  <c r="Q392" i="3" s="1"/>
  <c r="R392" i="3" s="1"/>
  <c r="S392" i="3" s="1"/>
  <c r="T392" i="3" s="1"/>
  <c r="K392" i="3"/>
  <c r="C392" i="3"/>
  <c r="B392" i="3"/>
  <c r="I391" i="3"/>
  <c r="C391" i="3"/>
  <c r="B391" i="3"/>
  <c r="S390" i="3"/>
  <c r="N390" i="3"/>
  <c r="K390" i="3"/>
  <c r="A390" i="3"/>
  <c r="A394" i="3" s="1"/>
  <c r="A398" i="3" s="1"/>
  <c r="A402" i="3" s="1"/>
  <c r="A406" i="3" s="1"/>
  <c r="A410" i="3" s="1"/>
  <c r="A414" i="3" s="1"/>
  <c r="C389" i="3"/>
  <c r="B389" i="3"/>
  <c r="AN388" i="3"/>
  <c r="AM388" i="3"/>
  <c r="AK388" i="3"/>
  <c r="AL387" i="3" s="1"/>
  <c r="V388" i="3"/>
  <c r="W388" i="3" s="1"/>
  <c r="X388" i="3" s="1"/>
  <c r="Y388" i="3" s="1"/>
  <c r="Z388" i="3" s="1"/>
  <c r="AA388" i="3" s="1"/>
  <c r="AB388" i="3" s="1"/>
  <c r="AC388" i="3" s="1"/>
  <c r="AD388" i="3" s="1"/>
  <c r="P388" i="3"/>
  <c r="Q388" i="3" s="1"/>
  <c r="R388" i="3" s="1"/>
  <c r="S388" i="3" s="1"/>
  <c r="T388" i="3" s="1"/>
  <c r="K388" i="3"/>
  <c r="C388" i="3"/>
  <c r="B388" i="3"/>
  <c r="I387" i="3"/>
  <c r="C387" i="3"/>
  <c r="B387" i="3"/>
  <c r="S386" i="3"/>
  <c r="N386" i="3"/>
  <c r="K386" i="3"/>
  <c r="C385" i="3"/>
  <c r="B385" i="3"/>
  <c r="AN384" i="3"/>
  <c r="AM384" i="3"/>
  <c r="AK384" i="3"/>
  <c r="AL383" i="3" s="1"/>
  <c r="V384" i="3"/>
  <c r="W384" i="3" s="1"/>
  <c r="P384" i="3"/>
  <c r="Q384" i="3" s="1"/>
  <c r="R384" i="3" s="1"/>
  <c r="S384" i="3" s="1"/>
  <c r="T384" i="3" s="1"/>
  <c r="K384" i="3"/>
  <c r="C384" i="3"/>
  <c r="B384" i="3"/>
  <c r="I383" i="3"/>
  <c r="C383" i="3"/>
  <c r="B383" i="3"/>
  <c r="S382" i="3"/>
  <c r="N382" i="3"/>
  <c r="K382" i="3"/>
  <c r="B381" i="3"/>
  <c r="AQ380" i="3"/>
  <c r="AI380" i="3"/>
  <c r="AH380" i="3"/>
  <c r="AG380" i="3"/>
  <c r="AF380" i="3" s="1"/>
  <c r="AE380" i="3"/>
  <c r="AB380" i="3"/>
  <c r="AC380" i="3" s="1"/>
  <c r="AD380" i="3" s="1"/>
  <c r="P380" i="3"/>
  <c r="Q380" i="3" s="1"/>
  <c r="R380" i="3" s="1"/>
  <c r="S380" i="3" s="1"/>
  <c r="T380" i="3" s="1"/>
  <c r="U380" i="3" s="1"/>
  <c r="V380" i="3" s="1"/>
  <c r="W380" i="3" s="1"/>
  <c r="W381" i="3" s="1"/>
  <c r="K380" i="3"/>
  <c r="B380" i="3"/>
  <c r="S379" i="3"/>
  <c r="N379" i="3"/>
  <c r="K379" i="3"/>
  <c r="B378" i="3"/>
  <c r="AN377" i="3"/>
  <c r="AM377" i="3"/>
  <c r="AK377" i="3"/>
  <c r="AL376" i="3" s="1"/>
  <c r="P377" i="3"/>
  <c r="Q377" i="3" s="1"/>
  <c r="R377" i="3" s="1"/>
  <c r="S377" i="3" s="1"/>
  <c r="T377" i="3" s="1"/>
  <c r="U377" i="3" s="1"/>
  <c r="V377" i="3" s="1"/>
  <c r="W377" i="3" s="1"/>
  <c r="W378" i="3" s="1"/>
  <c r="K377" i="3"/>
  <c r="B377" i="3"/>
  <c r="I376" i="3"/>
  <c r="C376" i="3"/>
  <c r="B376" i="3"/>
  <c r="K375" i="3"/>
  <c r="B374" i="3"/>
  <c r="AN373" i="3"/>
  <c r="AM373" i="3"/>
  <c r="AK373" i="3"/>
  <c r="AL372" i="3" s="1"/>
  <c r="AG373" i="3"/>
  <c r="AI373" i="3" s="1"/>
  <c r="P373" i="3"/>
  <c r="Q373" i="3" s="1"/>
  <c r="R373" i="3" s="1"/>
  <c r="S373" i="3" s="1"/>
  <c r="T373" i="3" s="1"/>
  <c r="U373" i="3" s="1"/>
  <c r="V373" i="3" s="1"/>
  <c r="W373" i="3" s="1"/>
  <c r="K373" i="3"/>
  <c r="B373" i="3"/>
  <c r="I372" i="3"/>
  <c r="C372" i="3"/>
  <c r="B372" i="3"/>
  <c r="S371" i="3"/>
  <c r="N371" i="3"/>
  <c r="K371" i="3"/>
  <c r="B370" i="3"/>
  <c r="AN369" i="3"/>
  <c r="AM369" i="3"/>
  <c r="AK369" i="3"/>
  <c r="AL368" i="3" s="1"/>
  <c r="P369" i="3"/>
  <c r="Q369" i="3" s="1"/>
  <c r="R369" i="3" s="1"/>
  <c r="S369" i="3" s="1"/>
  <c r="T369" i="3" s="1"/>
  <c r="U369" i="3" s="1"/>
  <c r="V369" i="3" s="1"/>
  <c r="W369" i="3" s="1"/>
  <c r="K369" i="3"/>
  <c r="B369" i="3"/>
  <c r="I368" i="3"/>
  <c r="C368" i="3"/>
  <c r="B368" i="3"/>
  <c r="S367" i="3"/>
  <c r="N367" i="3"/>
  <c r="K367" i="3"/>
  <c r="B366" i="3"/>
  <c r="AN365" i="3"/>
  <c r="AM365" i="3"/>
  <c r="AK365" i="3"/>
  <c r="AL364" i="3" s="1"/>
  <c r="P365" i="3"/>
  <c r="Q365" i="3" s="1"/>
  <c r="R365" i="3" s="1"/>
  <c r="S365" i="3" s="1"/>
  <c r="T365" i="3" s="1"/>
  <c r="U365" i="3" s="1"/>
  <c r="V365" i="3" s="1"/>
  <c r="W365" i="3" s="1"/>
  <c r="K365" i="3"/>
  <c r="B365" i="3"/>
  <c r="I364" i="3"/>
  <c r="C364" i="3"/>
  <c r="B364" i="3"/>
  <c r="S363" i="3"/>
  <c r="N363" i="3"/>
  <c r="K363" i="3"/>
  <c r="B362" i="3"/>
  <c r="AN361" i="3"/>
  <c r="AM361" i="3"/>
  <c r="AK361" i="3"/>
  <c r="AL360" i="3" s="1"/>
  <c r="P361" i="3"/>
  <c r="Q361" i="3" s="1"/>
  <c r="R361" i="3" s="1"/>
  <c r="S361" i="3" s="1"/>
  <c r="T361" i="3" s="1"/>
  <c r="U361" i="3" s="1"/>
  <c r="V361" i="3" s="1"/>
  <c r="W361" i="3" s="1"/>
  <c r="K361" i="3"/>
  <c r="B361" i="3"/>
  <c r="I360" i="3"/>
  <c r="C360" i="3"/>
  <c r="B360" i="3"/>
  <c r="S359" i="3"/>
  <c r="N359" i="3"/>
  <c r="K359" i="3"/>
  <c r="B358" i="3"/>
  <c r="AN357" i="3"/>
  <c r="AM357" i="3"/>
  <c r="AK357" i="3"/>
  <c r="AL356" i="3" s="1"/>
  <c r="P357" i="3"/>
  <c r="Q357" i="3" s="1"/>
  <c r="R357" i="3" s="1"/>
  <c r="S357" i="3" s="1"/>
  <c r="T357" i="3" s="1"/>
  <c r="U357" i="3" s="1"/>
  <c r="V357" i="3" s="1"/>
  <c r="W357" i="3" s="1"/>
  <c r="K357" i="3"/>
  <c r="B357" i="3"/>
  <c r="I356" i="3"/>
  <c r="C356" i="3"/>
  <c r="B356" i="3"/>
  <c r="S355" i="3"/>
  <c r="N355" i="3"/>
  <c r="K355" i="3"/>
  <c r="B354" i="3"/>
  <c r="AN353" i="3"/>
  <c r="AM353" i="3"/>
  <c r="AK353" i="3"/>
  <c r="AL352" i="3" s="1"/>
  <c r="P353" i="3"/>
  <c r="Q353" i="3" s="1"/>
  <c r="R353" i="3" s="1"/>
  <c r="S353" i="3" s="1"/>
  <c r="T353" i="3" s="1"/>
  <c r="U353" i="3" s="1"/>
  <c r="V353" i="3" s="1"/>
  <c r="W353" i="3" s="1"/>
  <c r="K353" i="3"/>
  <c r="B353" i="3"/>
  <c r="I352" i="3"/>
  <c r="C352" i="3"/>
  <c r="B352" i="3"/>
  <c r="S351" i="3"/>
  <c r="N351" i="3"/>
  <c r="K351" i="3"/>
  <c r="B350" i="3"/>
  <c r="AN349" i="3"/>
  <c r="AM349" i="3"/>
  <c r="AK349" i="3"/>
  <c r="AL348" i="3" s="1"/>
  <c r="AQ348" i="3" s="1"/>
  <c r="P349" i="3"/>
  <c r="Q349" i="3" s="1"/>
  <c r="R349" i="3" s="1"/>
  <c r="S349" i="3" s="1"/>
  <c r="T349" i="3" s="1"/>
  <c r="U349" i="3" s="1"/>
  <c r="V349" i="3" s="1"/>
  <c r="W349" i="3" s="1"/>
  <c r="K349" i="3"/>
  <c r="B349" i="3"/>
  <c r="I348" i="3"/>
  <c r="C348" i="3"/>
  <c r="B348" i="3"/>
  <c r="S347" i="3"/>
  <c r="N347" i="3"/>
  <c r="K347" i="3"/>
  <c r="B346" i="3"/>
  <c r="AN345" i="3"/>
  <c r="AM345" i="3"/>
  <c r="AK345" i="3"/>
  <c r="AL344" i="3" s="1"/>
  <c r="P345" i="3"/>
  <c r="Q345" i="3" s="1"/>
  <c r="R345" i="3" s="1"/>
  <c r="S345" i="3" s="1"/>
  <c r="T345" i="3" s="1"/>
  <c r="U345" i="3" s="1"/>
  <c r="V345" i="3" s="1"/>
  <c r="W345" i="3" s="1"/>
  <c r="K345" i="3"/>
  <c r="C344" i="3"/>
  <c r="B344" i="3"/>
  <c r="B345" i="3" s="1"/>
  <c r="S343" i="3"/>
  <c r="N343" i="3"/>
  <c r="K343" i="3"/>
  <c r="B342" i="3"/>
  <c r="AN341" i="3"/>
  <c r="AM341" i="3"/>
  <c r="AK341" i="3"/>
  <c r="AL340" i="3" s="1"/>
  <c r="AQ340" i="3" s="1"/>
  <c r="P341" i="3"/>
  <c r="Q341" i="3" s="1"/>
  <c r="R341" i="3" s="1"/>
  <c r="S341" i="3" s="1"/>
  <c r="T341" i="3" s="1"/>
  <c r="U341" i="3" s="1"/>
  <c r="V341" i="3" s="1"/>
  <c r="W341" i="3" s="1"/>
  <c r="K341" i="3"/>
  <c r="B341" i="3"/>
  <c r="C340" i="3"/>
  <c r="B340" i="3"/>
  <c r="S339" i="3"/>
  <c r="N339" i="3"/>
  <c r="K339" i="3"/>
  <c r="B338" i="3"/>
  <c r="AN337" i="3"/>
  <c r="AM337" i="3"/>
  <c r="AQ336" i="3" s="1"/>
  <c r="AK337" i="3"/>
  <c r="AL336" i="3" s="1"/>
  <c r="P337" i="3"/>
  <c r="Q337" i="3" s="1"/>
  <c r="R337" i="3" s="1"/>
  <c r="S337" i="3" s="1"/>
  <c r="T337" i="3" s="1"/>
  <c r="U337" i="3" s="1"/>
  <c r="V337" i="3" s="1"/>
  <c r="W337" i="3" s="1"/>
  <c r="K337" i="3"/>
  <c r="B337" i="3"/>
  <c r="C336" i="3"/>
  <c r="B336" i="3"/>
  <c r="S335" i="3"/>
  <c r="N335" i="3"/>
  <c r="K335" i="3"/>
  <c r="B334" i="3"/>
  <c r="AN333" i="3"/>
  <c r="AM333" i="3"/>
  <c r="AK333" i="3"/>
  <c r="AL332" i="3" s="1"/>
  <c r="P333" i="3"/>
  <c r="Q333" i="3" s="1"/>
  <c r="R333" i="3" s="1"/>
  <c r="S333" i="3" s="1"/>
  <c r="T333" i="3" s="1"/>
  <c r="U333" i="3" s="1"/>
  <c r="V333" i="3" s="1"/>
  <c r="W333" i="3" s="1"/>
  <c r="K333" i="3"/>
  <c r="B333" i="3"/>
  <c r="C332" i="3"/>
  <c r="B332" i="3"/>
  <c r="S331" i="3"/>
  <c r="N331" i="3"/>
  <c r="K331" i="3"/>
  <c r="B330" i="3"/>
  <c r="AN329" i="3"/>
  <c r="AM329" i="3"/>
  <c r="AK329" i="3"/>
  <c r="P329" i="3"/>
  <c r="Q329" i="3" s="1"/>
  <c r="R329" i="3" s="1"/>
  <c r="S329" i="3" s="1"/>
  <c r="T329" i="3" s="1"/>
  <c r="U329" i="3" s="1"/>
  <c r="V329" i="3" s="1"/>
  <c r="W329" i="3" s="1"/>
  <c r="K329" i="3"/>
  <c r="B329" i="3"/>
  <c r="AL328" i="3"/>
  <c r="C328" i="3"/>
  <c r="B328" i="3"/>
  <c r="S327" i="3"/>
  <c r="N327" i="3"/>
  <c r="K327" i="3"/>
  <c r="B326" i="3"/>
  <c r="AN325" i="3"/>
  <c r="AM325" i="3"/>
  <c r="AK325" i="3"/>
  <c r="AL324" i="3" s="1"/>
  <c r="AQ324" i="3" s="1"/>
  <c r="P325" i="3"/>
  <c r="Q325" i="3" s="1"/>
  <c r="R325" i="3" s="1"/>
  <c r="S325" i="3" s="1"/>
  <c r="T325" i="3" s="1"/>
  <c r="U325" i="3" s="1"/>
  <c r="V325" i="3" s="1"/>
  <c r="W325" i="3" s="1"/>
  <c r="K325" i="3"/>
  <c r="B325" i="3"/>
  <c r="C324" i="3"/>
  <c r="B324" i="3"/>
  <c r="S323" i="3"/>
  <c r="N323" i="3"/>
  <c r="K323" i="3"/>
  <c r="A323" i="3"/>
  <c r="A327" i="3" s="1"/>
  <c r="A331" i="3" s="1"/>
  <c r="A335" i="3" s="1"/>
  <c r="A339" i="3" s="1"/>
  <c r="A343" i="3" s="1"/>
  <c r="A347" i="3" s="1"/>
  <c r="A351" i="3" s="1"/>
  <c r="A355" i="3" s="1"/>
  <c r="A359" i="3" s="1"/>
  <c r="A363" i="3" s="1"/>
  <c r="A367" i="3" s="1"/>
  <c r="A371" i="3" s="1"/>
  <c r="A379" i="3" s="1"/>
  <c r="A382" i="3" s="1"/>
  <c r="B322" i="3"/>
  <c r="AN321" i="3"/>
  <c r="AM321" i="3"/>
  <c r="AK321" i="3"/>
  <c r="AL320" i="3" s="1"/>
  <c r="P321" i="3"/>
  <c r="Q321" i="3" s="1"/>
  <c r="R321" i="3" s="1"/>
  <c r="S321" i="3" s="1"/>
  <c r="T321" i="3" s="1"/>
  <c r="U321" i="3" s="1"/>
  <c r="V321" i="3" s="1"/>
  <c r="W321" i="3" s="1"/>
  <c r="K321" i="3"/>
  <c r="C320" i="3"/>
  <c r="B320" i="3"/>
  <c r="B321" i="3" s="1"/>
  <c r="S319" i="3"/>
  <c r="N319" i="3"/>
  <c r="K319" i="3"/>
  <c r="W318" i="3"/>
  <c r="B318" i="3"/>
  <c r="AN317" i="3"/>
  <c r="AM317" i="3"/>
  <c r="AQ317" i="3" s="1"/>
  <c r="B317" i="3"/>
  <c r="AL316" i="3"/>
  <c r="I316" i="3"/>
  <c r="C316" i="3"/>
  <c r="B316" i="3"/>
  <c r="W314" i="3"/>
  <c r="B314" i="3"/>
  <c r="AN313" i="3"/>
  <c r="AM313" i="3"/>
  <c r="AQ313" i="3" s="1"/>
  <c r="B313" i="3"/>
  <c r="AL312" i="3"/>
  <c r="I312" i="3"/>
  <c r="C312" i="3"/>
  <c r="B312" i="3"/>
  <c r="B310" i="3"/>
  <c r="AN309" i="3"/>
  <c r="AM309" i="3"/>
  <c r="AK309" i="3"/>
  <c r="AL308" i="3" s="1"/>
  <c r="V309" i="3"/>
  <c r="W309" i="3" s="1"/>
  <c r="P309" i="3"/>
  <c r="Q309" i="3" s="1"/>
  <c r="R309" i="3" s="1"/>
  <c r="S309" i="3" s="1"/>
  <c r="K309" i="3"/>
  <c r="B309" i="3"/>
  <c r="I308" i="3"/>
  <c r="C308" i="3"/>
  <c r="B308" i="3"/>
  <c r="S307" i="3"/>
  <c r="N307" i="3"/>
  <c r="K307" i="3"/>
  <c r="B306" i="3"/>
  <c r="AN305" i="3"/>
  <c r="AM305" i="3" s="1"/>
  <c r="AK305" i="3"/>
  <c r="AL304" i="3" s="1"/>
  <c r="V305" i="3"/>
  <c r="W305" i="3" s="1"/>
  <c r="P305" i="3"/>
  <c r="Q305" i="3" s="1"/>
  <c r="R305" i="3" s="1"/>
  <c r="S305" i="3" s="1"/>
  <c r="K305" i="3"/>
  <c r="B305" i="3"/>
  <c r="C304" i="3"/>
  <c r="B304" i="3"/>
  <c r="S303" i="3"/>
  <c r="N303" i="3"/>
  <c r="K303" i="3"/>
  <c r="B302" i="3"/>
  <c r="AN301" i="3"/>
  <c r="AM301" i="3"/>
  <c r="AK301" i="3"/>
  <c r="AL300" i="3" s="1"/>
  <c r="V301" i="3"/>
  <c r="W301" i="3" s="1"/>
  <c r="X301" i="3" s="1"/>
  <c r="Y301" i="3" s="1"/>
  <c r="Z301" i="3" s="1"/>
  <c r="AA301" i="3" s="1"/>
  <c r="AB301" i="3" s="1"/>
  <c r="AC301" i="3" s="1"/>
  <c r="AD301" i="3" s="1"/>
  <c r="P301" i="3"/>
  <c r="Q301" i="3" s="1"/>
  <c r="R301" i="3" s="1"/>
  <c r="S301" i="3" s="1"/>
  <c r="K301" i="3"/>
  <c r="B301" i="3"/>
  <c r="C300" i="3"/>
  <c r="B300" i="3"/>
  <c r="S299" i="3"/>
  <c r="N299" i="3"/>
  <c r="K299" i="3"/>
  <c r="B298" i="3"/>
  <c r="AN297" i="3"/>
  <c r="AM297" i="3"/>
  <c r="AK297" i="3"/>
  <c r="AL296" i="3" s="1"/>
  <c r="V297" i="3"/>
  <c r="W297" i="3" s="1"/>
  <c r="W298" i="3" s="1"/>
  <c r="P297" i="3"/>
  <c r="Q297" i="3" s="1"/>
  <c r="R297" i="3" s="1"/>
  <c r="S297" i="3" s="1"/>
  <c r="K297" i="3"/>
  <c r="B297" i="3"/>
  <c r="C296" i="3"/>
  <c r="B296" i="3"/>
  <c r="S295" i="3"/>
  <c r="N295" i="3"/>
  <c r="K295" i="3"/>
  <c r="B294" i="3"/>
  <c r="AN293" i="3"/>
  <c r="AM293" i="3"/>
  <c r="AK293" i="3"/>
  <c r="AL292" i="3" s="1"/>
  <c r="V293" i="3"/>
  <c r="W293" i="3" s="1"/>
  <c r="P293" i="3"/>
  <c r="Q293" i="3" s="1"/>
  <c r="R293" i="3" s="1"/>
  <c r="S293" i="3" s="1"/>
  <c r="K293" i="3"/>
  <c r="B293" i="3"/>
  <c r="C292" i="3"/>
  <c r="B292" i="3"/>
  <c r="S291" i="3"/>
  <c r="N291" i="3"/>
  <c r="K291" i="3"/>
  <c r="B290" i="3"/>
  <c r="AN289" i="3"/>
  <c r="AM289" i="3"/>
  <c r="AK289" i="3"/>
  <c r="AL288" i="3" s="1"/>
  <c r="V289" i="3"/>
  <c r="W289" i="3" s="1"/>
  <c r="AL289" i="3" s="1"/>
  <c r="P289" i="3"/>
  <c r="Q289" i="3" s="1"/>
  <c r="R289" i="3" s="1"/>
  <c r="S289" i="3" s="1"/>
  <c r="K289" i="3"/>
  <c r="B289" i="3"/>
  <c r="C288" i="3"/>
  <c r="B288" i="3"/>
  <c r="S287" i="3"/>
  <c r="N287" i="3"/>
  <c r="K287" i="3"/>
  <c r="B286" i="3"/>
  <c r="AN285" i="3"/>
  <c r="AM285" i="3"/>
  <c r="AK285" i="3"/>
  <c r="AL284" i="3" s="1"/>
  <c r="V285" i="3"/>
  <c r="W285" i="3" s="1"/>
  <c r="P285" i="3"/>
  <c r="Q285" i="3" s="1"/>
  <c r="R285" i="3" s="1"/>
  <c r="S285" i="3" s="1"/>
  <c r="K285" i="3"/>
  <c r="B285" i="3"/>
  <c r="C284" i="3"/>
  <c r="B284" i="3"/>
  <c r="S283" i="3"/>
  <c r="N283" i="3"/>
  <c r="K283" i="3"/>
  <c r="B282" i="3"/>
  <c r="AN281" i="3"/>
  <c r="AM281" i="3"/>
  <c r="AK281" i="3"/>
  <c r="V281" i="3"/>
  <c r="W281" i="3" s="1"/>
  <c r="W282" i="3" s="1"/>
  <c r="P281" i="3"/>
  <c r="Q281" i="3" s="1"/>
  <c r="R281" i="3" s="1"/>
  <c r="S281" i="3" s="1"/>
  <c r="K281" i="3"/>
  <c r="B281" i="3"/>
  <c r="C280" i="3"/>
  <c r="B280" i="3"/>
  <c r="S279" i="3"/>
  <c r="N279" i="3"/>
  <c r="K279" i="3"/>
  <c r="O277" i="3"/>
  <c r="P277" i="3" s="1"/>
  <c r="Q277" i="3" s="1"/>
  <c r="R277" i="3" s="1"/>
  <c r="S277" i="3" s="1"/>
  <c r="T277" i="3" s="1"/>
  <c r="U277" i="3" s="1"/>
  <c r="V277" i="3" s="1"/>
  <c r="W277" i="3" s="1"/>
  <c r="K277" i="3"/>
  <c r="S276" i="3"/>
  <c r="N276" i="3"/>
  <c r="K276" i="3"/>
  <c r="B275" i="3"/>
  <c r="AN274" i="3"/>
  <c r="AM274" i="3"/>
  <c r="AK274" i="3"/>
  <c r="AL273" i="3" s="1"/>
  <c r="AA274" i="3"/>
  <c r="K274" i="3"/>
  <c r="B274" i="3"/>
  <c r="C273" i="3"/>
  <c r="B273" i="3"/>
  <c r="X272" i="3"/>
  <c r="N272" i="3"/>
  <c r="N274" i="3" s="1"/>
  <c r="K272" i="3"/>
  <c r="B271" i="3"/>
  <c r="AN270" i="3"/>
  <c r="AM270" i="3"/>
  <c r="AK270" i="3"/>
  <c r="T270" i="3"/>
  <c r="U270" i="3" s="1"/>
  <c r="V270" i="3" s="1"/>
  <c r="W270" i="3" s="1"/>
  <c r="P270" i="3"/>
  <c r="Q270" i="3" s="1"/>
  <c r="R270" i="3" s="1"/>
  <c r="S270" i="3" s="1"/>
  <c r="K270" i="3"/>
  <c r="B270" i="3"/>
  <c r="C269" i="3"/>
  <c r="B269" i="3"/>
  <c r="AA268" i="3"/>
  <c r="Z268" i="3"/>
  <c r="X268" i="3"/>
  <c r="N268" i="3"/>
  <c r="K268" i="3"/>
  <c r="T266" i="3"/>
  <c r="U266" i="3" s="1"/>
  <c r="V266" i="3" s="1"/>
  <c r="W266" i="3" s="1"/>
  <c r="AL266" i="3" s="1"/>
  <c r="AL265" i="3" s="1"/>
  <c r="Q266" i="3"/>
  <c r="R266" i="3" s="1"/>
  <c r="S266" i="3" s="1"/>
  <c r="K266" i="3"/>
  <c r="AA265" i="3"/>
  <c r="Z265" i="3"/>
  <c r="X265" i="3"/>
  <c r="N265" i="3"/>
  <c r="N266" i="3" s="1"/>
  <c r="K265" i="3"/>
  <c r="B264" i="3"/>
  <c r="AK263" i="3"/>
  <c r="AL262" i="3" s="1"/>
  <c r="AQ262" i="3" s="1"/>
  <c r="AD263" i="3"/>
  <c r="AE263" i="3" s="1"/>
  <c r="AF263" i="3" s="1"/>
  <c r="AG263" i="3" s="1"/>
  <c r="AH263" i="3" s="1"/>
  <c r="AI263" i="3" s="1"/>
  <c r="AA263" i="3"/>
  <c r="K263" i="3"/>
  <c r="B263" i="3"/>
  <c r="C262" i="3"/>
  <c r="B262" i="3"/>
  <c r="AA261" i="3"/>
  <c r="Z261" i="3"/>
  <c r="X261" i="3"/>
  <c r="N261" i="3"/>
  <c r="N263" i="3" s="1"/>
  <c r="K261" i="3"/>
  <c r="B260" i="3"/>
  <c r="AM259" i="3"/>
  <c r="AK259" i="3"/>
  <c r="AL258" i="3" s="1"/>
  <c r="T259" i="3"/>
  <c r="U259" i="3" s="1"/>
  <c r="V259" i="3" s="1"/>
  <c r="W259" i="3" s="1"/>
  <c r="P259" i="3"/>
  <c r="Q259" i="3" s="1"/>
  <c r="R259" i="3" s="1"/>
  <c r="S259" i="3" s="1"/>
  <c r="K259" i="3"/>
  <c r="B259" i="3"/>
  <c r="C258" i="3"/>
  <c r="B258" i="3"/>
  <c r="AA257" i="3"/>
  <c r="Z257" i="3"/>
  <c r="X257" i="3"/>
  <c r="N257" i="3"/>
  <c r="K257" i="3"/>
  <c r="B256" i="3"/>
  <c r="AQ255" i="3"/>
  <c r="AK255" i="3"/>
  <c r="AL254" i="3" s="1"/>
  <c r="AQ254" i="3" s="1"/>
  <c r="T255" i="3"/>
  <c r="U255" i="3" s="1"/>
  <c r="V255" i="3" s="1"/>
  <c r="W255" i="3" s="1"/>
  <c r="P255" i="3"/>
  <c r="Q255" i="3" s="1"/>
  <c r="R255" i="3" s="1"/>
  <c r="S255" i="3" s="1"/>
  <c r="K255" i="3"/>
  <c r="B255" i="3"/>
  <c r="C254" i="3"/>
  <c r="B254" i="3"/>
  <c r="AA253" i="3"/>
  <c r="Z253" i="3"/>
  <c r="X253" i="3"/>
  <c r="N253" i="3"/>
  <c r="K253" i="3"/>
  <c r="B252" i="3"/>
  <c r="AN251" i="3"/>
  <c r="AM251" i="3"/>
  <c r="AK251" i="3"/>
  <c r="AL251" i="3" s="1"/>
  <c r="AL249" i="3" s="1"/>
  <c r="AA251" i="3"/>
  <c r="X251" i="3"/>
  <c r="Y251" i="3" s="1"/>
  <c r="V251" i="3"/>
  <c r="U251" i="3" s="1"/>
  <c r="T251" i="3" s="1"/>
  <c r="O251" i="3" s="1"/>
  <c r="P251" i="3" s="1"/>
  <c r="Q251" i="3" s="1"/>
  <c r="R251" i="3" s="1"/>
  <c r="S251" i="3" s="1"/>
  <c r="K251" i="3"/>
  <c r="B251" i="3"/>
  <c r="C250" i="3"/>
  <c r="B250" i="3"/>
  <c r="AA249" i="3"/>
  <c r="Z249" i="3"/>
  <c r="X249" i="3"/>
  <c r="N249" i="3"/>
  <c r="N251" i="3" s="1"/>
  <c r="K249" i="3"/>
  <c r="A249" i="3"/>
  <c r="A253" i="3" s="1"/>
  <c r="A257" i="3" s="1"/>
  <c r="A261" i="3" s="1"/>
  <c r="A265" i="3" s="1"/>
  <c r="A268" i="3" s="1"/>
  <c r="A272" i="3" s="1"/>
  <c r="A276" i="3" s="1"/>
  <c r="A279" i="3" s="1"/>
  <c r="A283" i="3" s="1"/>
  <c r="A287" i="3" s="1"/>
  <c r="A291" i="3" s="1"/>
  <c r="A295" i="3" s="1"/>
  <c r="A299" i="3" s="1"/>
  <c r="A303" i="3" s="1"/>
  <c r="A307" i="3" s="1"/>
  <c r="A311" i="3" s="1"/>
  <c r="A315" i="3" s="1"/>
  <c r="B248" i="3"/>
  <c r="AN247" i="3"/>
  <c r="AM247" i="3"/>
  <c r="AK247" i="3"/>
  <c r="AL246" i="3" s="1"/>
  <c r="T247" i="3"/>
  <c r="U247" i="3" s="1"/>
  <c r="V247" i="3" s="1"/>
  <c r="W247" i="3" s="1"/>
  <c r="W248" i="3" s="1"/>
  <c r="P247" i="3"/>
  <c r="Q247" i="3" s="1"/>
  <c r="R247" i="3" s="1"/>
  <c r="S247" i="3" s="1"/>
  <c r="K247" i="3"/>
  <c r="B247" i="3"/>
  <c r="C246" i="3"/>
  <c r="B246" i="3"/>
  <c r="AA245" i="3"/>
  <c r="Z245" i="3"/>
  <c r="N245" i="3"/>
  <c r="N247" i="3" s="1"/>
  <c r="K245" i="3"/>
  <c r="B244" i="3"/>
  <c r="AN243" i="3"/>
  <c r="AM243" i="3"/>
  <c r="AK243" i="3"/>
  <c r="AL242" i="3" s="1"/>
  <c r="T243" i="3"/>
  <c r="U243" i="3" s="1"/>
  <c r="V243" i="3" s="1"/>
  <c r="W243" i="3" s="1"/>
  <c r="P243" i="3"/>
  <c r="Q243" i="3" s="1"/>
  <c r="R243" i="3" s="1"/>
  <c r="S243" i="3" s="1"/>
  <c r="K243" i="3"/>
  <c r="B243" i="3"/>
  <c r="C242" i="3"/>
  <c r="B242" i="3"/>
  <c r="AJ241" i="3"/>
  <c r="AA241" i="3"/>
  <c r="Z241" i="3"/>
  <c r="N241" i="3"/>
  <c r="K241" i="3"/>
  <c r="B240" i="3"/>
  <c r="AT239" i="3"/>
  <c r="AM239" i="3" s="1"/>
  <c r="AN239" i="3"/>
  <c r="AK239" i="3"/>
  <c r="AL238" i="3" s="1"/>
  <c r="T239" i="3"/>
  <c r="U239" i="3" s="1"/>
  <c r="V239" i="3" s="1"/>
  <c r="W239" i="3" s="1"/>
  <c r="P239" i="3"/>
  <c r="Q239" i="3" s="1"/>
  <c r="R239" i="3" s="1"/>
  <c r="S239" i="3" s="1"/>
  <c r="K239" i="3"/>
  <c r="B239" i="3"/>
  <c r="C238" i="3"/>
  <c r="B238" i="3"/>
  <c r="AT237" i="3"/>
  <c r="AJ237" i="3"/>
  <c r="AA237" i="3"/>
  <c r="Z237" i="3"/>
  <c r="N237" i="3"/>
  <c r="K237" i="3"/>
  <c r="B236" i="3"/>
  <c r="AN235" i="3"/>
  <c r="AM235" i="3"/>
  <c r="AK235" i="3"/>
  <c r="AL234" i="3" s="1"/>
  <c r="T235" i="3"/>
  <c r="U235" i="3" s="1"/>
  <c r="V235" i="3" s="1"/>
  <c r="W235" i="3" s="1"/>
  <c r="P235" i="3"/>
  <c r="Q235" i="3" s="1"/>
  <c r="R235" i="3" s="1"/>
  <c r="S235" i="3" s="1"/>
  <c r="K235" i="3"/>
  <c r="B235" i="3"/>
  <c r="C234" i="3"/>
  <c r="B234" i="3"/>
  <c r="AA233" i="3"/>
  <c r="Z233" i="3"/>
  <c r="N233" i="3"/>
  <c r="K233" i="3"/>
  <c r="B232" i="3"/>
  <c r="AN231" i="3"/>
  <c r="AM231" i="3"/>
  <c r="AK231" i="3"/>
  <c r="AL230" i="3" s="1"/>
  <c r="AQ230" i="3" s="1"/>
  <c r="W231" i="3"/>
  <c r="X231" i="3" s="1"/>
  <c r="Y231" i="3" s="1"/>
  <c r="Z231" i="3" s="1"/>
  <c r="AA231" i="3" s="1"/>
  <c r="AB231" i="3" s="1"/>
  <c r="AC231" i="3" s="1"/>
  <c r="AD231" i="3" s="1"/>
  <c r="V231" i="3"/>
  <c r="P231" i="3"/>
  <c r="Q231" i="3" s="1"/>
  <c r="R231" i="3" s="1"/>
  <c r="S231" i="3" s="1"/>
  <c r="T231" i="3" s="1"/>
  <c r="K231" i="3"/>
  <c r="B231" i="3"/>
  <c r="I230" i="3"/>
  <c r="C230" i="3"/>
  <c r="B230" i="3"/>
  <c r="S229" i="3"/>
  <c r="N229" i="3"/>
  <c r="K229" i="3"/>
  <c r="B228" i="3"/>
  <c r="AN227" i="3"/>
  <c r="AM227" i="3"/>
  <c r="AK227" i="3"/>
  <c r="AL226" i="3" s="1"/>
  <c r="W227" i="3"/>
  <c r="X227" i="3" s="1"/>
  <c r="Y227" i="3" s="1"/>
  <c r="Z227" i="3" s="1"/>
  <c r="AA227" i="3" s="1"/>
  <c r="AB227" i="3" s="1"/>
  <c r="AC227" i="3" s="1"/>
  <c r="AD227" i="3" s="1"/>
  <c r="P227" i="3"/>
  <c r="Q227" i="3" s="1"/>
  <c r="R227" i="3" s="1"/>
  <c r="S227" i="3" s="1"/>
  <c r="T227" i="3" s="1"/>
  <c r="U227" i="3" s="1"/>
  <c r="V227" i="3" s="1"/>
  <c r="K227" i="3"/>
  <c r="B227" i="3"/>
  <c r="I226" i="3"/>
  <c r="C226" i="3"/>
  <c r="B226" i="3"/>
  <c r="S225" i="3"/>
  <c r="N225" i="3"/>
  <c r="K225" i="3"/>
  <c r="B224" i="3"/>
  <c r="AN223" i="3"/>
  <c r="AM223" i="3"/>
  <c r="AK223" i="3"/>
  <c r="AL222" i="3" s="1"/>
  <c r="W223" i="3"/>
  <c r="P223" i="3"/>
  <c r="Q223" i="3" s="1"/>
  <c r="R223" i="3" s="1"/>
  <c r="S223" i="3" s="1"/>
  <c r="T223" i="3" s="1"/>
  <c r="U223" i="3" s="1"/>
  <c r="V223" i="3" s="1"/>
  <c r="K223" i="3"/>
  <c r="B223" i="3"/>
  <c r="I222" i="3"/>
  <c r="C222" i="3"/>
  <c r="B222" i="3"/>
  <c r="S221" i="3"/>
  <c r="N221" i="3"/>
  <c r="K221" i="3"/>
  <c r="B220" i="3"/>
  <c r="AN219" i="3"/>
  <c r="AM219" i="3"/>
  <c r="AK219" i="3"/>
  <c r="AL218" i="3" s="1"/>
  <c r="W219" i="3"/>
  <c r="W220" i="3" s="1"/>
  <c r="P219" i="3"/>
  <c r="Q219" i="3" s="1"/>
  <c r="R219" i="3" s="1"/>
  <c r="S219" i="3" s="1"/>
  <c r="T219" i="3" s="1"/>
  <c r="U219" i="3" s="1"/>
  <c r="V219" i="3" s="1"/>
  <c r="K219" i="3"/>
  <c r="B219" i="3"/>
  <c r="I218" i="3"/>
  <c r="C218" i="3"/>
  <c r="B218" i="3"/>
  <c r="S217" i="3"/>
  <c r="N217" i="3"/>
  <c r="K217" i="3"/>
  <c r="B216" i="3"/>
  <c r="AN215" i="3"/>
  <c r="AM215" i="3"/>
  <c r="AK215" i="3"/>
  <c r="AL214" i="3" s="1"/>
  <c r="W215" i="3"/>
  <c r="X215" i="3" s="1"/>
  <c r="Y215" i="3" s="1"/>
  <c r="Z215" i="3" s="1"/>
  <c r="AA215" i="3" s="1"/>
  <c r="AB215" i="3" s="1"/>
  <c r="AC215" i="3" s="1"/>
  <c r="AD215" i="3" s="1"/>
  <c r="P215" i="3"/>
  <c r="Q215" i="3" s="1"/>
  <c r="R215" i="3" s="1"/>
  <c r="S215" i="3" s="1"/>
  <c r="T215" i="3" s="1"/>
  <c r="U215" i="3" s="1"/>
  <c r="V215" i="3" s="1"/>
  <c r="K215" i="3"/>
  <c r="B215" i="3"/>
  <c r="I214" i="3"/>
  <c r="C214" i="3"/>
  <c r="B214" i="3"/>
  <c r="S213" i="3"/>
  <c r="N213" i="3"/>
  <c r="K213" i="3"/>
  <c r="B212" i="3"/>
  <c r="AN211" i="3"/>
  <c r="AM211" i="3"/>
  <c r="AK211" i="3"/>
  <c r="AL210" i="3" s="1"/>
  <c r="AQ210" i="3" s="1"/>
  <c r="V211" i="3"/>
  <c r="W211" i="3" s="1"/>
  <c r="P211" i="3"/>
  <c r="Q211" i="3" s="1"/>
  <c r="R211" i="3" s="1"/>
  <c r="S211" i="3" s="1"/>
  <c r="T211" i="3" s="1"/>
  <c r="K211" i="3"/>
  <c r="B211" i="3"/>
  <c r="I210" i="3"/>
  <c r="C210" i="3"/>
  <c r="B210" i="3"/>
  <c r="S209" i="3"/>
  <c r="N209" i="3"/>
  <c r="K209" i="3"/>
  <c r="B208" i="3"/>
  <c r="AN207" i="3"/>
  <c r="AM207" i="3"/>
  <c r="AK207" i="3"/>
  <c r="AL206" i="3" s="1"/>
  <c r="V207" i="3"/>
  <c r="W207" i="3" s="1"/>
  <c r="W208" i="3" s="1"/>
  <c r="P207" i="3"/>
  <c r="Q207" i="3" s="1"/>
  <c r="R207" i="3" s="1"/>
  <c r="S207" i="3" s="1"/>
  <c r="T207" i="3" s="1"/>
  <c r="K207" i="3"/>
  <c r="B207" i="3"/>
  <c r="I206" i="3"/>
  <c r="C206" i="3"/>
  <c r="B206" i="3"/>
  <c r="S205" i="3"/>
  <c r="N205" i="3"/>
  <c r="N207" i="3" s="1"/>
  <c r="K205" i="3"/>
  <c r="B204" i="3"/>
  <c r="AN203" i="3"/>
  <c r="AM203" i="3"/>
  <c r="AK203" i="3"/>
  <c r="AL202" i="3" s="1"/>
  <c r="V203" i="3"/>
  <c r="W203" i="3" s="1"/>
  <c r="X203" i="3" s="1"/>
  <c r="Y203" i="3" s="1"/>
  <c r="Z203" i="3" s="1"/>
  <c r="AA203" i="3" s="1"/>
  <c r="AB203" i="3" s="1"/>
  <c r="AC203" i="3" s="1"/>
  <c r="AD203" i="3" s="1"/>
  <c r="P203" i="3"/>
  <c r="Q203" i="3" s="1"/>
  <c r="R203" i="3" s="1"/>
  <c r="S203" i="3" s="1"/>
  <c r="T203" i="3" s="1"/>
  <c r="K203" i="3"/>
  <c r="B203" i="3"/>
  <c r="B202" i="3"/>
  <c r="S201" i="3"/>
  <c r="N201" i="3"/>
  <c r="K201" i="3"/>
  <c r="B200" i="3"/>
  <c r="AN199" i="3"/>
  <c r="AM199" i="3"/>
  <c r="AK199" i="3"/>
  <c r="AL198" i="3" s="1"/>
  <c r="V199" i="3"/>
  <c r="W199" i="3" s="1"/>
  <c r="P199" i="3"/>
  <c r="Q199" i="3" s="1"/>
  <c r="R199" i="3" s="1"/>
  <c r="S199" i="3" s="1"/>
  <c r="T199" i="3" s="1"/>
  <c r="K199" i="3"/>
  <c r="B199" i="3"/>
  <c r="B198" i="3"/>
  <c r="S197" i="3"/>
  <c r="N197" i="3"/>
  <c r="K197" i="3"/>
  <c r="B196" i="3"/>
  <c r="AN195" i="3"/>
  <c r="AM195" i="3"/>
  <c r="AK195" i="3"/>
  <c r="AL194" i="3" s="1"/>
  <c r="V195" i="3"/>
  <c r="W195" i="3" s="1"/>
  <c r="W196" i="3" s="1"/>
  <c r="P195" i="3"/>
  <c r="Q195" i="3" s="1"/>
  <c r="R195" i="3" s="1"/>
  <c r="S195" i="3" s="1"/>
  <c r="T195" i="3" s="1"/>
  <c r="K195" i="3"/>
  <c r="B195" i="3"/>
  <c r="B194" i="3"/>
  <c r="S193" i="3"/>
  <c r="N193" i="3"/>
  <c r="N195" i="3" s="1"/>
  <c r="K193" i="3"/>
  <c r="B192" i="3"/>
  <c r="AN191" i="3"/>
  <c r="AM191" i="3"/>
  <c r="AK191" i="3"/>
  <c r="AL190" i="3" s="1"/>
  <c r="AQ190" i="3" s="1"/>
  <c r="P191" i="3"/>
  <c r="Q191" i="3" s="1"/>
  <c r="R191" i="3" s="1"/>
  <c r="S191" i="3" s="1"/>
  <c r="T191" i="3" s="1"/>
  <c r="U191" i="3" s="1"/>
  <c r="V191" i="3" s="1"/>
  <c r="W191" i="3" s="1"/>
  <c r="K191" i="3"/>
  <c r="B191" i="3"/>
  <c r="B190" i="3"/>
  <c r="S189" i="3"/>
  <c r="N189" i="3"/>
  <c r="N191" i="3" s="1"/>
  <c r="K189" i="3"/>
  <c r="B188" i="3"/>
  <c r="AN187" i="3"/>
  <c r="AM187" i="3"/>
  <c r="AQ186" i="3" s="1"/>
  <c r="AK187" i="3"/>
  <c r="AL186" i="3" s="1"/>
  <c r="P187" i="3"/>
  <c r="Q187" i="3" s="1"/>
  <c r="R187" i="3" s="1"/>
  <c r="S187" i="3" s="1"/>
  <c r="T187" i="3" s="1"/>
  <c r="U187" i="3" s="1"/>
  <c r="V187" i="3" s="1"/>
  <c r="W187" i="3" s="1"/>
  <c r="K187" i="3"/>
  <c r="B187" i="3"/>
  <c r="B186" i="3"/>
  <c r="S185" i="3"/>
  <c r="N185" i="3"/>
  <c r="N187" i="3" s="1"/>
  <c r="K185" i="3"/>
  <c r="B184" i="3"/>
  <c r="AN183" i="3"/>
  <c r="AM183" i="3"/>
  <c r="AK183" i="3"/>
  <c r="AL184" i="3" s="1"/>
  <c r="P183" i="3"/>
  <c r="Q183" i="3" s="1"/>
  <c r="R183" i="3" s="1"/>
  <c r="S183" i="3" s="1"/>
  <c r="T183" i="3" s="1"/>
  <c r="U183" i="3" s="1"/>
  <c r="V183" i="3" s="1"/>
  <c r="W183" i="3" s="1"/>
  <c r="K183" i="3"/>
  <c r="B183" i="3"/>
  <c r="B182" i="3"/>
  <c r="S181" i="3"/>
  <c r="N181" i="3"/>
  <c r="K181" i="3"/>
  <c r="B180" i="3"/>
  <c r="AN179" i="3"/>
  <c r="AM179" i="3"/>
  <c r="AK179" i="3"/>
  <c r="AL180" i="3" s="1"/>
  <c r="P179" i="3"/>
  <c r="Q179" i="3" s="1"/>
  <c r="R179" i="3" s="1"/>
  <c r="S179" i="3" s="1"/>
  <c r="T179" i="3" s="1"/>
  <c r="U179" i="3" s="1"/>
  <c r="V179" i="3" s="1"/>
  <c r="W179" i="3" s="1"/>
  <c r="K179" i="3"/>
  <c r="B179" i="3"/>
  <c r="B178" i="3"/>
  <c r="S177" i="3"/>
  <c r="N177" i="3"/>
  <c r="K177" i="3"/>
  <c r="B176" i="3"/>
  <c r="AN175" i="3"/>
  <c r="AM175" i="3"/>
  <c r="AK175" i="3"/>
  <c r="AL174" i="3" s="1"/>
  <c r="P175" i="3"/>
  <c r="Q175" i="3" s="1"/>
  <c r="R175" i="3" s="1"/>
  <c r="S175" i="3" s="1"/>
  <c r="T175" i="3" s="1"/>
  <c r="U175" i="3" s="1"/>
  <c r="V175" i="3" s="1"/>
  <c r="W175" i="3" s="1"/>
  <c r="X175" i="3" s="1"/>
  <c r="Y175" i="3" s="1"/>
  <c r="Z175" i="3" s="1"/>
  <c r="AA175" i="3" s="1"/>
  <c r="AB175" i="3" s="1"/>
  <c r="AC175" i="3" s="1"/>
  <c r="AD175" i="3" s="1"/>
  <c r="K175" i="3"/>
  <c r="B175" i="3"/>
  <c r="B174" i="3"/>
  <c r="S173" i="3"/>
  <c r="N173" i="3"/>
  <c r="N175" i="3" s="1"/>
  <c r="K173" i="3"/>
  <c r="B172" i="3"/>
  <c r="AN171" i="3"/>
  <c r="AM171" i="3"/>
  <c r="AK171" i="3"/>
  <c r="AL172" i="3" s="1"/>
  <c r="P171" i="3"/>
  <c r="Q171" i="3" s="1"/>
  <c r="R171" i="3" s="1"/>
  <c r="S171" i="3" s="1"/>
  <c r="T171" i="3" s="1"/>
  <c r="U171" i="3" s="1"/>
  <c r="V171" i="3" s="1"/>
  <c r="W171" i="3" s="1"/>
  <c r="AL171" i="3" s="1"/>
  <c r="K171" i="3"/>
  <c r="B171" i="3"/>
  <c r="B170" i="3"/>
  <c r="S169" i="3"/>
  <c r="N169" i="3"/>
  <c r="K169" i="3"/>
  <c r="B168" i="3"/>
  <c r="AN167" i="3"/>
  <c r="AM167" i="3"/>
  <c r="AK167" i="3"/>
  <c r="AL166" i="3" s="1"/>
  <c r="AQ166" i="3" s="1"/>
  <c r="P167" i="3"/>
  <c r="Q167" i="3" s="1"/>
  <c r="R167" i="3" s="1"/>
  <c r="S167" i="3" s="1"/>
  <c r="T167" i="3" s="1"/>
  <c r="U167" i="3" s="1"/>
  <c r="V167" i="3" s="1"/>
  <c r="W167" i="3" s="1"/>
  <c r="K167" i="3"/>
  <c r="B167" i="3"/>
  <c r="B166" i="3"/>
  <c r="S165" i="3"/>
  <c r="N165" i="3"/>
  <c r="N167" i="3" s="1"/>
  <c r="K165" i="3"/>
  <c r="B164" i="3"/>
  <c r="AN163" i="3"/>
  <c r="AM163" i="3"/>
  <c r="AK163" i="3"/>
  <c r="AL162" i="3" s="1"/>
  <c r="V163" i="3"/>
  <c r="W163" i="3" s="1"/>
  <c r="P163" i="3"/>
  <c r="Q163" i="3" s="1"/>
  <c r="R163" i="3" s="1"/>
  <c r="S163" i="3" s="1"/>
  <c r="T163" i="3" s="1"/>
  <c r="K163" i="3"/>
  <c r="B163" i="3"/>
  <c r="B162" i="3"/>
  <c r="S161" i="3"/>
  <c r="N161" i="3"/>
  <c r="K161" i="3"/>
  <c r="D161" i="3"/>
  <c r="B160" i="3"/>
  <c r="AN159" i="3"/>
  <c r="AM159" i="3"/>
  <c r="AK159" i="3"/>
  <c r="P159" i="3"/>
  <c r="Q159" i="3" s="1"/>
  <c r="R159" i="3" s="1"/>
  <c r="S159" i="3" s="1"/>
  <c r="T159" i="3" s="1"/>
  <c r="U159" i="3" s="1"/>
  <c r="V159" i="3" s="1"/>
  <c r="W159" i="3" s="1"/>
  <c r="K159" i="3"/>
  <c r="B159" i="3"/>
  <c r="AL158" i="3"/>
  <c r="B158" i="3"/>
  <c r="S157" i="3"/>
  <c r="N157" i="3"/>
  <c r="N159" i="3" s="1"/>
  <c r="K157" i="3"/>
  <c r="B156" i="3"/>
  <c r="AN155" i="3"/>
  <c r="AM155" i="3"/>
  <c r="AK155" i="3"/>
  <c r="AL154" i="3" s="1"/>
  <c r="P155" i="3"/>
  <c r="Q155" i="3" s="1"/>
  <c r="R155" i="3" s="1"/>
  <c r="S155" i="3" s="1"/>
  <c r="T155" i="3" s="1"/>
  <c r="U155" i="3" s="1"/>
  <c r="V155" i="3" s="1"/>
  <c r="W155" i="3" s="1"/>
  <c r="K155" i="3"/>
  <c r="B155" i="3"/>
  <c r="B154" i="3"/>
  <c r="S153" i="3"/>
  <c r="N153" i="3"/>
  <c r="N155" i="3" s="1"/>
  <c r="K153" i="3"/>
  <c r="B152" i="3"/>
  <c r="AN151" i="3"/>
  <c r="AM151" i="3"/>
  <c r="AK151" i="3"/>
  <c r="AL150" i="3" s="1"/>
  <c r="P151" i="3"/>
  <c r="Q151" i="3" s="1"/>
  <c r="R151" i="3" s="1"/>
  <c r="S151" i="3" s="1"/>
  <c r="T151" i="3" s="1"/>
  <c r="U151" i="3" s="1"/>
  <c r="V151" i="3" s="1"/>
  <c r="W151" i="3" s="1"/>
  <c r="N151" i="3"/>
  <c r="K151" i="3"/>
  <c r="B151" i="3"/>
  <c r="B150" i="3"/>
  <c r="S149" i="3"/>
  <c r="N149" i="3"/>
  <c r="K149" i="3"/>
  <c r="B148" i="3"/>
  <c r="AN147" i="3"/>
  <c r="AM147" i="3"/>
  <c r="AK147" i="3"/>
  <c r="AL146" i="3" s="1"/>
  <c r="P147" i="3"/>
  <c r="Q147" i="3" s="1"/>
  <c r="R147" i="3" s="1"/>
  <c r="S147" i="3" s="1"/>
  <c r="T147" i="3" s="1"/>
  <c r="U147" i="3" s="1"/>
  <c r="V147" i="3" s="1"/>
  <c r="W147" i="3" s="1"/>
  <c r="K147" i="3"/>
  <c r="B147" i="3"/>
  <c r="B146" i="3"/>
  <c r="S145" i="3"/>
  <c r="N145" i="3"/>
  <c r="K145" i="3"/>
  <c r="B144" i="3"/>
  <c r="AN143" i="3"/>
  <c r="AM143" i="3"/>
  <c r="AK143" i="3"/>
  <c r="P143" i="3"/>
  <c r="Q143" i="3" s="1"/>
  <c r="R143" i="3" s="1"/>
  <c r="S143" i="3" s="1"/>
  <c r="T143" i="3" s="1"/>
  <c r="U143" i="3" s="1"/>
  <c r="V143" i="3" s="1"/>
  <c r="W143" i="3" s="1"/>
  <c r="K143" i="3"/>
  <c r="B143" i="3"/>
  <c r="AL142" i="3"/>
  <c r="B142" i="3"/>
  <c r="S141" i="3"/>
  <c r="N141" i="3"/>
  <c r="N143" i="3" s="1"/>
  <c r="K141" i="3"/>
  <c r="B140" i="3"/>
  <c r="AN139" i="3"/>
  <c r="AM139" i="3"/>
  <c r="AK139" i="3"/>
  <c r="AL138" i="3" s="1"/>
  <c r="P139" i="3"/>
  <c r="Q139" i="3" s="1"/>
  <c r="R139" i="3" s="1"/>
  <c r="S139" i="3" s="1"/>
  <c r="T139" i="3" s="1"/>
  <c r="U139" i="3" s="1"/>
  <c r="V139" i="3" s="1"/>
  <c r="W139" i="3" s="1"/>
  <c r="K139" i="3"/>
  <c r="B139" i="3"/>
  <c r="B138" i="3"/>
  <c r="S137" i="3"/>
  <c r="N137" i="3"/>
  <c r="N139" i="3" s="1"/>
  <c r="K137" i="3"/>
  <c r="B136" i="3"/>
  <c r="AN135" i="3"/>
  <c r="AM135" i="3"/>
  <c r="AK135" i="3"/>
  <c r="AL134" i="3" s="1"/>
  <c r="P135" i="3"/>
  <c r="Q135" i="3" s="1"/>
  <c r="R135" i="3" s="1"/>
  <c r="S135" i="3" s="1"/>
  <c r="T135" i="3" s="1"/>
  <c r="U135" i="3" s="1"/>
  <c r="V135" i="3" s="1"/>
  <c r="W135" i="3" s="1"/>
  <c r="W136" i="3" s="1"/>
  <c r="K135" i="3"/>
  <c r="B135" i="3"/>
  <c r="B134" i="3"/>
  <c r="S133" i="3"/>
  <c r="N133" i="3"/>
  <c r="N135" i="3" s="1"/>
  <c r="K133" i="3"/>
  <c r="B132" i="3"/>
  <c r="AN131" i="3"/>
  <c r="AM131" i="3"/>
  <c r="AK131" i="3"/>
  <c r="P131" i="3"/>
  <c r="Q131" i="3" s="1"/>
  <c r="R131" i="3" s="1"/>
  <c r="S131" i="3" s="1"/>
  <c r="T131" i="3" s="1"/>
  <c r="U131" i="3" s="1"/>
  <c r="V131" i="3" s="1"/>
  <c r="W131" i="3" s="1"/>
  <c r="K131" i="3"/>
  <c r="B131" i="3"/>
  <c r="AL130" i="3"/>
  <c r="B130" i="3"/>
  <c r="S129" i="3"/>
  <c r="N129" i="3"/>
  <c r="N131" i="3" s="1"/>
  <c r="K129" i="3"/>
  <c r="B128" i="3"/>
  <c r="AN127" i="3"/>
  <c r="AM127" i="3"/>
  <c r="AK127" i="3"/>
  <c r="AL126" i="3" s="1"/>
  <c r="U127" i="3"/>
  <c r="V127" i="3" s="1"/>
  <c r="W127" i="3" s="1"/>
  <c r="W128" i="3" s="1"/>
  <c r="P127" i="3"/>
  <c r="Q127" i="3" s="1"/>
  <c r="R127" i="3" s="1"/>
  <c r="S127" i="3" s="1"/>
  <c r="K127" i="3"/>
  <c r="B127" i="3"/>
  <c r="B126" i="3"/>
  <c r="S125" i="3"/>
  <c r="N125" i="3"/>
  <c r="K125" i="3"/>
  <c r="B124" i="3"/>
  <c r="AN123" i="3"/>
  <c r="AM123" i="3"/>
  <c r="AK123" i="3"/>
  <c r="AL122" i="3" s="1"/>
  <c r="P123" i="3"/>
  <c r="Q123" i="3" s="1"/>
  <c r="R123" i="3" s="1"/>
  <c r="S123" i="3" s="1"/>
  <c r="T123" i="3" s="1"/>
  <c r="U123" i="3" s="1"/>
  <c r="V123" i="3" s="1"/>
  <c r="W123" i="3" s="1"/>
  <c r="N123" i="3"/>
  <c r="K123" i="3"/>
  <c r="B123" i="3"/>
  <c r="AQ122" i="3"/>
  <c r="B122" i="3"/>
  <c r="S121" i="3"/>
  <c r="N121" i="3"/>
  <c r="K121" i="3"/>
  <c r="B120" i="3"/>
  <c r="AN119" i="3"/>
  <c r="AM119" i="3"/>
  <c r="AK119" i="3"/>
  <c r="AL118" i="3" s="1"/>
  <c r="P119" i="3"/>
  <c r="Q119" i="3" s="1"/>
  <c r="R119" i="3" s="1"/>
  <c r="S119" i="3" s="1"/>
  <c r="T119" i="3" s="1"/>
  <c r="U119" i="3" s="1"/>
  <c r="V119" i="3" s="1"/>
  <c r="W119" i="3" s="1"/>
  <c r="N119" i="3"/>
  <c r="K119" i="3"/>
  <c r="B119" i="3"/>
  <c r="B118" i="3"/>
  <c r="S117" i="3"/>
  <c r="N117" i="3"/>
  <c r="K117" i="3"/>
  <c r="B116" i="3"/>
  <c r="AN115" i="3"/>
  <c r="AM115" i="3"/>
  <c r="AK115" i="3"/>
  <c r="AL114" i="3" s="1"/>
  <c r="V115" i="3"/>
  <c r="W115" i="3" s="1"/>
  <c r="X115" i="3" s="1"/>
  <c r="Y115" i="3" s="1"/>
  <c r="Z115" i="3" s="1"/>
  <c r="AA115" i="3" s="1"/>
  <c r="AB115" i="3" s="1"/>
  <c r="AC115" i="3" s="1"/>
  <c r="AD115" i="3" s="1"/>
  <c r="P115" i="3"/>
  <c r="Q115" i="3" s="1"/>
  <c r="R115" i="3" s="1"/>
  <c r="S115" i="3" s="1"/>
  <c r="T115" i="3" s="1"/>
  <c r="K115" i="3"/>
  <c r="B115" i="3"/>
  <c r="B114" i="3"/>
  <c r="S113" i="3"/>
  <c r="N113" i="3"/>
  <c r="K113" i="3"/>
  <c r="B112" i="3"/>
  <c r="AN111" i="3"/>
  <c r="AM111" i="3"/>
  <c r="AK111" i="3"/>
  <c r="AL110" i="3" s="1"/>
  <c r="V111" i="3"/>
  <c r="W111" i="3" s="1"/>
  <c r="X111" i="3" s="1"/>
  <c r="Y111" i="3" s="1"/>
  <c r="Z111" i="3" s="1"/>
  <c r="AA111" i="3" s="1"/>
  <c r="AB111" i="3" s="1"/>
  <c r="AC111" i="3" s="1"/>
  <c r="AD111" i="3" s="1"/>
  <c r="O111" i="3"/>
  <c r="P111" i="3" s="1"/>
  <c r="Q111" i="3" s="1"/>
  <c r="R111" i="3" s="1"/>
  <c r="S111" i="3" s="1"/>
  <c r="T111" i="3" s="1"/>
  <c r="K111" i="3"/>
  <c r="B111" i="3"/>
  <c r="B110" i="3"/>
  <c r="S109" i="3"/>
  <c r="N109" i="3"/>
  <c r="K109" i="3"/>
  <c r="F109" i="3"/>
  <c r="B108" i="3"/>
  <c r="AN107" i="3"/>
  <c r="AM107" i="3"/>
  <c r="AK107" i="3"/>
  <c r="AL107" i="3" s="1"/>
  <c r="AL105" i="3" s="1"/>
  <c r="AH107" i="3"/>
  <c r="V107" i="3"/>
  <c r="W107" i="3" s="1"/>
  <c r="P107" i="3"/>
  <c r="Q107" i="3" s="1"/>
  <c r="R107" i="3" s="1"/>
  <c r="S107" i="3" s="1"/>
  <c r="T107" i="3" s="1"/>
  <c r="K107" i="3"/>
  <c r="B107" i="3"/>
  <c r="B106" i="3"/>
  <c r="S105" i="3"/>
  <c r="N105" i="3"/>
  <c r="K105" i="3"/>
  <c r="F105" i="3"/>
  <c r="B104" i="3"/>
  <c r="AN103" i="3"/>
  <c r="AM103" i="3"/>
  <c r="AK103" i="3"/>
  <c r="AL102" i="3" s="1"/>
  <c r="V103" i="3"/>
  <c r="W103" i="3" s="1"/>
  <c r="W104" i="3" s="1"/>
  <c r="P103" i="3"/>
  <c r="Q103" i="3" s="1"/>
  <c r="R103" i="3" s="1"/>
  <c r="S103" i="3" s="1"/>
  <c r="T103" i="3" s="1"/>
  <c r="K103" i="3"/>
  <c r="B103" i="3"/>
  <c r="B102" i="3"/>
  <c r="S101" i="3"/>
  <c r="N101" i="3"/>
  <c r="K101" i="3"/>
  <c r="F101" i="3"/>
  <c r="B100" i="3"/>
  <c r="AN99" i="3"/>
  <c r="AM99" i="3"/>
  <c r="AK99" i="3"/>
  <c r="AL98" i="3" s="1"/>
  <c r="V99" i="3"/>
  <c r="W99" i="3" s="1"/>
  <c r="X99" i="3" s="1"/>
  <c r="Y99" i="3" s="1"/>
  <c r="Z99" i="3" s="1"/>
  <c r="AA99" i="3" s="1"/>
  <c r="AB99" i="3" s="1"/>
  <c r="AC99" i="3" s="1"/>
  <c r="AD99" i="3" s="1"/>
  <c r="P99" i="3"/>
  <c r="Q99" i="3" s="1"/>
  <c r="R99" i="3" s="1"/>
  <c r="S99" i="3" s="1"/>
  <c r="T99" i="3" s="1"/>
  <c r="K99" i="3"/>
  <c r="B99" i="3"/>
  <c r="B98" i="3"/>
  <c r="S97" i="3"/>
  <c r="N97" i="3"/>
  <c r="K97" i="3"/>
  <c r="W96" i="3"/>
  <c r="B96" i="3"/>
  <c r="AN95" i="3"/>
  <c r="AM95" i="3"/>
  <c r="AK95" i="3"/>
  <c r="AL95" i="3" s="1"/>
  <c r="AL93" i="3" s="1"/>
  <c r="P95" i="3"/>
  <c r="Q95" i="3" s="1"/>
  <c r="R95" i="3" s="1"/>
  <c r="S95" i="3" s="1"/>
  <c r="K95" i="3"/>
  <c r="B95" i="3"/>
  <c r="AH94" i="3"/>
  <c r="B94" i="3"/>
  <c r="S93" i="3"/>
  <c r="N93" i="3"/>
  <c r="K93" i="3"/>
  <c r="F93" i="3"/>
  <c r="B92" i="3"/>
  <c r="AN91" i="3"/>
  <c r="AM91" i="3"/>
  <c r="AK91" i="3"/>
  <c r="AL90" i="3" s="1"/>
  <c r="V91" i="3"/>
  <c r="W91" i="3" s="1"/>
  <c r="AL91" i="3" s="1"/>
  <c r="AL89" i="3" s="1"/>
  <c r="P91" i="3"/>
  <c r="Q91" i="3" s="1"/>
  <c r="R91" i="3" s="1"/>
  <c r="S91" i="3" s="1"/>
  <c r="K91" i="3"/>
  <c r="B91" i="3"/>
  <c r="B90" i="3"/>
  <c r="S89" i="3"/>
  <c r="N89" i="3"/>
  <c r="K89" i="3"/>
  <c r="F89" i="3"/>
  <c r="B88" i="3"/>
  <c r="AN87" i="3"/>
  <c r="AM87" i="3"/>
  <c r="AK87" i="3"/>
  <c r="AL86" i="3" s="1"/>
  <c r="V87" i="3"/>
  <c r="W87" i="3" s="1"/>
  <c r="X87" i="3" s="1"/>
  <c r="Y87" i="3" s="1"/>
  <c r="Z87" i="3" s="1"/>
  <c r="AA87" i="3" s="1"/>
  <c r="AB87" i="3" s="1"/>
  <c r="AC87" i="3" s="1"/>
  <c r="AD87" i="3" s="1"/>
  <c r="P87" i="3"/>
  <c r="Q87" i="3" s="1"/>
  <c r="R87" i="3" s="1"/>
  <c r="S87" i="3" s="1"/>
  <c r="K87" i="3"/>
  <c r="B87" i="3"/>
  <c r="B86" i="3"/>
  <c r="S85" i="3"/>
  <c r="N85" i="3"/>
  <c r="K85" i="3"/>
  <c r="F85" i="3"/>
  <c r="W84" i="3"/>
  <c r="B84" i="3"/>
  <c r="AN83" i="3"/>
  <c r="AM83" i="3"/>
  <c r="AK83" i="3"/>
  <c r="AL82" i="3" s="1"/>
  <c r="V83" i="3"/>
  <c r="W83" i="3" s="1"/>
  <c r="P83" i="3"/>
  <c r="Q83" i="3" s="1"/>
  <c r="R83" i="3" s="1"/>
  <c r="S83" i="3" s="1"/>
  <c r="K83" i="3"/>
  <c r="B83" i="3"/>
  <c r="B82" i="3"/>
  <c r="S81" i="3"/>
  <c r="N81" i="3"/>
  <c r="K81" i="3"/>
  <c r="F81" i="3"/>
  <c r="B80" i="3"/>
  <c r="AN79" i="3"/>
  <c r="AM79" i="3"/>
  <c r="AK79" i="3"/>
  <c r="AL78" i="3" s="1"/>
  <c r="V79" i="3"/>
  <c r="W79" i="3" s="1"/>
  <c r="P79" i="3"/>
  <c r="Q79" i="3" s="1"/>
  <c r="R79" i="3" s="1"/>
  <c r="S79" i="3" s="1"/>
  <c r="T79" i="3" s="1"/>
  <c r="K79" i="3"/>
  <c r="B79" i="3"/>
  <c r="B78" i="3"/>
  <c r="S77" i="3"/>
  <c r="N77" i="3"/>
  <c r="K77" i="3"/>
  <c r="F77" i="3"/>
  <c r="B76" i="3"/>
  <c r="AN75" i="3"/>
  <c r="AM75" i="3"/>
  <c r="AK75" i="3"/>
  <c r="AL74" i="3" s="1"/>
  <c r="P75" i="3"/>
  <c r="Q75" i="3" s="1"/>
  <c r="R75" i="3" s="1"/>
  <c r="S75" i="3" s="1"/>
  <c r="T75" i="3" s="1"/>
  <c r="U75" i="3" s="1"/>
  <c r="V75" i="3" s="1"/>
  <c r="W75" i="3" s="1"/>
  <c r="N75" i="3"/>
  <c r="K75" i="3"/>
  <c r="B75" i="3"/>
  <c r="B74" i="3"/>
  <c r="S73" i="3"/>
  <c r="N73" i="3"/>
  <c r="K73" i="3"/>
  <c r="F73" i="3"/>
  <c r="B72" i="3"/>
  <c r="AN71" i="3"/>
  <c r="AM71" i="3"/>
  <c r="AK71" i="3"/>
  <c r="AL70" i="3" s="1"/>
  <c r="V71" i="3"/>
  <c r="W71" i="3" s="1"/>
  <c r="P71" i="3"/>
  <c r="Q71" i="3" s="1"/>
  <c r="R71" i="3" s="1"/>
  <c r="S71" i="3" s="1"/>
  <c r="T71" i="3" s="1"/>
  <c r="K71" i="3"/>
  <c r="B71" i="3"/>
  <c r="B70" i="3"/>
  <c r="S69" i="3"/>
  <c r="N69" i="3"/>
  <c r="K69" i="3"/>
  <c r="F69" i="3"/>
  <c r="B68" i="3"/>
  <c r="AN67" i="3"/>
  <c r="AM67" i="3"/>
  <c r="AK67" i="3"/>
  <c r="V67" i="3"/>
  <c r="W67" i="3" s="1"/>
  <c r="X67" i="3" s="1"/>
  <c r="Y67" i="3" s="1"/>
  <c r="Z67" i="3" s="1"/>
  <c r="AA67" i="3" s="1"/>
  <c r="AB67" i="3" s="1"/>
  <c r="AC67" i="3" s="1"/>
  <c r="AD67" i="3" s="1"/>
  <c r="P67" i="3"/>
  <c r="Q67" i="3" s="1"/>
  <c r="R67" i="3" s="1"/>
  <c r="S67" i="3" s="1"/>
  <c r="T67" i="3" s="1"/>
  <c r="K67" i="3"/>
  <c r="B67" i="3"/>
  <c r="B66" i="3"/>
  <c r="S65" i="3"/>
  <c r="N65" i="3"/>
  <c r="K65" i="3"/>
  <c r="F65" i="3"/>
  <c r="B64" i="3"/>
  <c r="V63" i="3"/>
  <c r="W63" i="3" s="1"/>
  <c r="P63" i="3"/>
  <c r="Q63" i="3" s="1"/>
  <c r="R63" i="3" s="1"/>
  <c r="S63" i="3" s="1"/>
  <c r="T63" i="3" s="1"/>
  <c r="K63" i="3"/>
  <c r="B63" i="3"/>
  <c r="S62" i="3"/>
  <c r="N62" i="3"/>
  <c r="K62" i="3"/>
  <c r="B61" i="3"/>
  <c r="AN60" i="3"/>
  <c r="AM60" i="3"/>
  <c r="AK60" i="3"/>
  <c r="AL59" i="3" s="1"/>
  <c r="V60" i="3"/>
  <c r="W60" i="3" s="1"/>
  <c r="P60" i="3"/>
  <c r="Q60" i="3" s="1"/>
  <c r="R60" i="3" s="1"/>
  <c r="S60" i="3" s="1"/>
  <c r="T60" i="3" s="1"/>
  <c r="K60" i="3"/>
  <c r="B60" i="3"/>
  <c r="B59" i="3"/>
  <c r="S58" i="3"/>
  <c r="N58" i="3"/>
  <c r="K58" i="3"/>
  <c r="F58" i="3"/>
  <c r="B57" i="3"/>
  <c r="AN56" i="3"/>
  <c r="AM56" i="3"/>
  <c r="AK56" i="3"/>
  <c r="AL55" i="3" s="1"/>
  <c r="W56" i="3"/>
  <c r="AL56" i="3" s="1"/>
  <c r="V56" i="3"/>
  <c r="P56" i="3"/>
  <c r="Q56" i="3" s="1"/>
  <c r="R56" i="3" s="1"/>
  <c r="S56" i="3" s="1"/>
  <c r="T56" i="3" s="1"/>
  <c r="K56" i="3"/>
  <c r="B56" i="3"/>
  <c r="B55" i="3"/>
  <c r="S54" i="3"/>
  <c r="N54" i="3"/>
  <c r="K54" i="3"/>
  <c r="F54" i="3"/>
  <c r="S53" i="3"/>
  <c r="R53" i="3"/>
  <c r="B53" i="3"/>
  <c r="AN52" i="3"/>
  <c r="AM52" i="3"/>
  <c r="AK52" i="3"/>
  <c r="AL51" i="3" s="1"/>
  <c r="U52" i="3"/>
  <c r="V52" i="3" s="1"/>
  <c r="W52" i="3" s="1"/>
  <c r="P52" i="3"/>
  <c r="Q52" i="3" s="1"/>
  <c r="R52" i="3" s="1"/>
  <c r="S52" i="3" s="1"/>
  <c r="K52" i="3"/>
  <c r="B52" i="3"/>
  <c r="B51" i="3"/>
  <c r="S50" i="3"/>
  <c r="N50" i="3"/>
  <c r="K50" i="3"/>
  <c r="F50" i="3"/>
  <c r="S49" i="3"/>
  <c r="R49" i="3"/>
  <c r="B49" i="3"/>
  <c r="AN48" i="3"/>
  <c r="AM48" i="3"/>
  <c r="AK48" i="3"/>
  <c r="AL47" i="3" s="1"/>
  <c r="U48" i="3"/>
  <c r="V48" i="3" s="1"/>
  <c r="W48" i="3" s="1"/>
  <c r="P48" i="3"/>
  <c r="Q48" i="3" s="1"/>
  <c r="R48" i="3" s="1"/>
  <c r="S48" i="3" s="1"/>
  <c r="K48" i="3"/>
  <c r="B48" i="3"/>
  <c r="B47" i="3"/>
  <c r="S46" i="3"/>
  <c r="N46" i="3"/>
  <c r="K46" i="3"/>
  <c r="F46" i="3"/>
  <c r="B45" i="3"/>
  <c r="V44" i="3"/>
  <c r="W44" i="3" s="1"/>
  <c r="X44" i="3" s="1"/>
  <c r="Y44" i="3" s="1"/>
  <c r="Z44" i="3" s="1"/>
  <c r="AA44" i="3" s="1"/>
  <c r="AB44" i="3" s="1"/>
  <c r="AC44" i="3" s="1"/>
  <c r="AD44" i="3" s="1"/>
  <c r="P44" i="3"/>
  <c r="Q44" i="3" s="1"/>
  <c r="R44" i="3" s="1"/>
  <c r="S44" i="3" s="1"/>
  <c r="T44" i="3" s="1"/>
  <c r="K44" i="3"/>
  <c r="B44" i="3"/>
  <c r="S43" i="3"/>
  <c r="N43" i="3"/>
  <c r="N44" i="3" s="1"/>
  <c r="K43" i="3"/>
  <c r="B42" i="3"/>
  <c r="AN41" i="3"/>
  <c r="AM41" i="3"/>
  <c r="AK41" i="3"/>
  <c r="V41" i="3"/>
  <c r="W41" i="3" s="1"/>
  <c r="W42" i="3" s="1"/>
  <c r="P41" i="3"/>
  <c r="Q41" i="3" s="1"/>
  <c r="R41" i="3" s="1"/>
  <c r="S41" i="3" s="1"/>
  <c r="T41" i="3" s="1"/>
  <c r="K41" i="3"/>
  <c r="B41" i="3"/>
  <c r="B40" i="3"/>
  <c r="S39" i="3"/>
  <c r="N39" i="3"/>
  <c r="K39" i="3"/>
  <c r="F39" i="3"/>
  <c r="B38" i="3"/>
  <c r="AN37" i="3"/>
  <c r="AM37" i="3"/>
  <c r="AK37" i="3"/>
  <c r="AL36" i="3" s="1"/>
  <c r="V37" i="3"/>
  <c r="W37" i="3" s="1"/>
  <c r="K37" i="3"/>
  <c r="B37" i="3"/>
  <c r="B36" i="3"/>
  <c r="S35" i="3"/>
  <c r="N35" i="3"/>
  <c r="N37" i="3" s="1"/>
  <c r="O37" i="3" s="1"/>
  <c r="P37" i="3" s="1"/>
  <c r="Q37" i="3" s="1"/>
  <c r="R37" i="3" s="1"/>
  <c r="S37" i="3" s="1"/>
  <c r="T37" i="3" s="1"/>
  <c r="K35" i="3"/>
  <c r="B34" i="3"/>
  <c r="AN33" i="3"/>
  <c r="AM33" i="3"/>
  <c r="AK33" i="3"/>
  <c r="AL32" i="3" s="1"/>
  <c r="V33" i="3"/>
  <c r="W33" i="3" s="1"/>
  <c r="P33" i="3"/>
  <c r="Q33" i="3" s="1"/>
  <c r="R33" i="3" s="1"/>
  <c r="S33" i="3" s="1"/>
  <c r="T33" i="3" s="1"/>
  <c r="K33" i="3"/>
  <c r="B33" i="3"/>
  <c r="B32" i="3"/>
  <c r="S31" i="3"/>
  <c r="N31" i="3"/>
  <c r="K31" i="3"/>
  <c r="F31" i="3"/>
  <c r="B30" i="3"/>
  <c r="AN29" i="3"/>
  <c r="AM29" i="3"/>
  <c r="AK29" i="3"/>
  <c r="AL28" i="3" s="1"/>
  <c r="P29" i="3"/>
  <c r="Q29" i="3" s="1"/>
  <c r="R29" i="3" s="1"/>
  <c r="S29" i="3" s="1"/>
  <c r="T29" i="3" s="1"/>
  <c r="U29" i="3" s="1"/>
  <c r="V29" i="3" s="1"/>
  <c r="W29" i="3" s="1"/>
  <c r="K29" i="3"/>
  <c r="B29" i="3"/>
  <c r="B28" i="3"/>
  <c r="S27" i="3"/>
  <c r="N27" i="3"/>
  <c r="K27" i="3"/>
  <c r="F27" i="3"/>
  <c r="B26" i="3"/>
  <c r="AM25" i="3"/>
  <c r="AK25" i="3"/>
  <c r="P25" i="3"/>
  <c r="Q25" i="3" s="1"/>
  <c r="R25" i="3" s="1"/>
  <c r="S25" i="3" s="1"/>
  <c r="T25" i="3" s="1"/>
  <c r="U25" i="3" s="1"/>
  <c r="V25" i="3" s="1"/>
  <c r="W25" i="3" s="1"/>
  <c r="N25" i="3"/>
  <c r="K25" i="3"/>
  <c r="B25" i="3"/>
  <c r="AL24" i="3"/>
  <c r="B24" i="3"/>
  <c r="S23" i="3"/>
  <c r="N23" i="3"/>
  <c r="K23" i="3"/>
  <c r="A23" i="3"/>
  <c r="A27" i="3" s="1"/>
  <c r="A31" i="3" s="1"/>
  <c r="A35" i="3" s="1"/>
  <c r="A39" i="3" s="1"/>
  <c r="A43" i="3" s="1"/>
  <c r="A46" i="3" s="1"/>
  <c r="A50" i="3" s="1"/>
  <c r="A54" i="3" s="1"/>
  <c r="A58" i="3" s="1"/>
  <c r="A62" i="3" s="1"/>
  <c r="A65" i="3" s="1"/>
  <c r="A69" i="3" s="1"/>
  <c r="A73" i="3" s="1"/>
  <c r="A77" i="3" s="1"/>
  <c r="A81" i="3" s="1"/>
  <c r="A85" i="3" s="1"/>
  <c r="A89" i="3" s="1"/>
  <c r="A93" i="3" s="1"/>
  <c r="A97" i="3" s="1"/>
  <c r="A101" i="3" s="1"/>
  <c r="A105" i="3" s="1"/>
  <c r="A109" i="3" s="1"/>
  <c r="A113" i="3" s="1"/>
  <c r="A117" i="3" s="1"/>
  <c r="A121" i="3" s="1"/>
  <c r="A125" i="3" s="1"/>
  <c r="A129" i="3" s="1"/>
  <c r="A133" i="3" s="1"/>
  <c r="A137" i="3" s="1"/>
  <c r="A141" i="3" s="1"/>
  <c r="A145" i="3" s="1"/>
  <c r="A149" i="3" s="1"/>
  <c r="A153" i="3" s="1"/>
  <c r="A157" i="3" s="1"/>
  <c r="A161" i="3" s="1"/>
  <c r="A165" i="3" s="1"/>
  <c r="A169" i="3" s="1"/>
  <c r="A173" i="3" s="1"/>
  <c r="A177" i="3" s="1"/>
  <c r="A181" i="3" s="1"/>
  <c r="A185" i="3" s="1"/>
  <c r="A189" i="3" s="1"/>
  <c r="A193" i="3" s="1"/>
  <c r="A197" i="3" s="1"/>
  <c r="A201" i="3" s="1"/>
  <c r="A205" i="3" s="1"/>
  <c r="A209" i="3" s="1"/>
  <c r="A213" i="3" s="1"/>
  <c r="A217" i="3" s="1"/>
  <c r="A221" i="3" s="1"/>
  <c r="A225" i="3" s="1"/>
  <c r="A229" i="3" s="1"/>
  <c r="A233" i="3" s="1"/>
  <c r="Q22" i="3"/>
  <c r="R22" i="3" s="1"/>
  <c r="S22" i="3" s="1"/>
  <c r="B22" i="3"/>
  <c r="AN21" i="3"/>
  <c r="AM21" i="3"/>
  <c r="AK21" i="3"/>
  <c r="AL20" i="3" s="1"/>
  <c r="Q21" i="3"/>
  <c r="R21" i="3" s="1"/>
  <c r="S21" i="3" s="1"/>
  <c r="T21" i="3" s="1"/>
  <c r="U21" i="3" s="1"/>
  <c r="V21" i="3" s="1"/>
  <c r="W21" i="3" s="1"/>
  <c r="K21" i="3"/>
  <c r="B21" i="3"/>
  <c r="B20" i="3"/>
  <c r="AF19" i="3"/>
  <c r="AE19" i="3"/>
  <c r="AB19" i="3"/>
  <c r="AC19" i="3" s="1"/>
  <c r="AD19" i="3" s="1"/>
  <c r="S19" i="3"/>
  <c r="N19" i="3"/>
  <c r="K19" i="3"/>
  <c r="F19" i="3"/>
  <c r="BB167" i="2"/>
  <c r="BB166" i="2"/>
  <c r="BB165" i="2"/>
  <c r="BB164" i="2"/>
  <c r="BB163" i="2"/>
  <c r="BB162" i="2"/>
  <c r="BB161" i="2"/>
  <c r="BB160" i="2"/>
  <c r="BB159" i="2"/>
  <c r="BB158" i="2"/>
  <c r="BB157" i="2"/>
  <c r="BB156" i="2"/>
  <c r="BB155" i="2"/>
  <c r="BB154" i="2"/>
  <c r="BB153" i="2"/>
  <c r="BB152" i="2"/>
  <c r="BB151" i="2"/>
  <c r="BB150" i="2"/>
  <c r="BB149" i="2"/>
  <c r="BB148" i="2"/>
  <c r="BB147" i="2"/>
  <c r="BB146" i="2"/>
  <c r="BB145" i="2"/>
  <c r="BB144" i="2"/>
  <c r="BB143" i="2"/>
  <c r="BB142" i="2"/>
  <c r="BB141" i="2"/>
  <c r="BB140" i="2"/>
  <c r="BB139" i="2"/>
  <c r="BB138" i="2"/>
  <c r="BB137" i="2"/>
  <c r="BB136" i="2"/>
  <c r="BB135" i="2"/>
  <c r="BB134" i="2"/>
  <c r="BB133" i="2"/>
  <c r="BB132" i="2"/>
  <c r="BB131" i="2"/>
  <c r="BB130" i="2"/>
  <c r="BB129" i="2"/>
  <c r="BB128" i="2"/>
  <c r="BB127" i="2"/>
  <c r="BB126" i="2"/>
  <c r="BB125" i="2"/>
  <c r="BB124" i="2"/>
  <c r="BB123" i="2"/>
  <c r="BB122" i="2"/>
  <c r="BB121" i="2"/>
  <c r="BB120" i="2"/>
  <c r="BB119" i="2"/>
  <c r="BB118" i="2"/>
  <c r="BB117" i="2"/>
  <c r="BB116" i="2"/>
  <c r="BB115" i="2"/>
  <c r="BB114" i="2"/>
  <c r="BB113" i="2"/>
  <c r="BB112" i="2"/>
  <c r="BB111" i="2"/>
  <c r="BB110" i="2"/>
  <c r="BB109" i="2"/>
  <c r="BB108" i="2"/>
  <c r="BB107" i="2"/>
  <c r="BB106" i="2"/>
  <c r="BB105" i="2"/>
  <c r="BB104" i="2"/>
  <c r="BB103" i="2"/>
  <c r="BB102" i="2"/>
  <c r="BB101" i="2"/>
  <c r="BB100" i="2"/>
  <c r="BB99" i="2"/>
  <c r="BB98" i="2"/>
  <c r="BB97" i="2"/>
  <c r="BB96" i="2"/>
  <c r="BB95" i="2"/>
  <c r="BB94" i="2"/>
  <c r="BB93" i="2"/>
  <c r="BB92" i="2"/>
  <c r="BB91" i="2"/>
  <c r="BB90" i="2"/>
  <c r="BB88" i="2"/>
  <c r="BB87" i="2"/>
  <c r="BB86" i="2"/>
  <c r="BB85" i="2"/>
  <c r="BB84" i="2"/>
  <c r="BB83" i="2"/>
  <c r="BB82" i="2"/>
  <c r="BB81" i="2"/>
  <c r="BB80" i="2"/>
  <c r="BB79" i="2"/>
  <c r="BB78" i="2"/>
  <c r="BB77" i="2"/>
  <c r="BB76" i="2"/>
  <c r="BB75" i="2"/>
  <c r="BB74" i="2"/>
  <c r="BB73" i="2"/>
  <c r="BB72" i="2"/>
  <c r="BB71" i="2"/>
  <c r="BB70" i="2"/>
  <c r="BB69" i="2"/>
  <c r="BB68" i="2"/>
  <c r="BB67" i="2"/>
  <c r="BB66" i="2"/>
  <c r="BB65" i="2"/>
  <c r="BB64" i="2"/>
  <c r="BB63" i="2"/>
  <c r="BB62" i="2"/>
  <c r="BB61" i="2"/>
  <c r="BB60" i="2"/>
  <c r="BB59" i="2"/>
  <c r="BB58" i="2"/>
  <c r="BB57" i="2"/>
  <c r="BB56" i="2"/>
  <c r="BB55" i="2"/>
  <c r="BB54" i="2"/>
  <c r="BB53" i="2"/>
  <c r="BB52" i="2"/>
  <c r="BB51" i="2"/>
  <c r="BB50" i="2"/>
  <c r="BB49" i="2"/>
  <c r="BB48" i="2"/>
  <c r="BB47" i="2"/>
  <c r="BB46" i="2"/>
  <c r="BB45" i="2"/>
  <c r="BB44" i="2"/>
  <c r="BB43" i="2"/>
  <c r="BB42" i="2"/>
  <c r="BB41" i="2"/>
  <c r="BB40" i="2"/>
  <c r="BB39" i="2"/>
  <c r="BB38" i="2"/>
  <c r="BB37" i="2"/>
  <c r="BB36" i="2"/>
  <c r="BB35" i="2"/>
  <c r="BB34" i="2"/>
  <c r="BB33" i="2"/>
  <c r="BB32" i="2"/>
  <c r="BB31" i="2"/>
  <c r="BB30" i="2"/>
  <c r="BB29" i="2"/>
  <c r="BB28" i="2"/>
  <c r="BB27" i="2"/>
  <c r="BB26" i="2"/>
  <c r="BB25" i="2"/>
  <c r="BB24" i="2"/>
  <c r="BB23" i="2"/>
  <c r="BB22" i="2"/>
  <c r="BB21" i="2"/>
  <c r="BB20" i="2"/>
  <c r="BB19" i="2"/>
  <c r="BB18" i="2"/>
  <c r="BB17" i="2"/>
  <c r="BB16" i="2"/>
  <c r="BB15" i="2"/>
  <c r="BB14" i="2"/>
  <c r="BB13" i="2"/>
  <c r="BB12" i="2"/>
  <c r="BB11" i="2"/>
  <c r="AW174" i="1"/>
  <c r="AW173" i="1"/>
  <c r="AW172" i="1"/>
  <c r="AW171" i="1"/>
  <c r="AW170" i="1"/>
  <c r="AW169" i="1"/>
  <c r="AW168" i="1"/>
  <c r="AW167" i="1"/>
  <c r="AW166" i="1"/>
  <c r="AW165" i="1"/>
  <c r="AW164" i="1"/>
  <c r="AW163" i="1"/>
  <c r="AW162" i="1"/>
  <c r="AW161" i="1"/>
  <c r="AW160" i="1"/>
  <c r="AW159" i="1"/>
  <c r="AW158" i="1"/>
  <c r="AW157" i="1"/>
  <c r="AW156" i="1"/>
  <c r="AW155" i="1"/>
  <c r="AW154" i="1"/>
  <c r="AW153" i="1"/>
  <c r="AW152" i="1"/>
  <c r="AW151" i="1"/>
  <c r="AW150" i="1"/>
  <c r="AW149" i="1"/>
  <c r="AW148" i="1"/>
  <c r="AW147" i="1"/>
  <c r="AW146" i="1"/>
  <c r="AW145" i="1"/>
  <c r="AW144" i="1"/>
  <c r="AW143" i="1"/>
  <c r="AW142" i="1"/>
  <c r="AW141" i="1"/>
  <c r="AW140" i="1"/>
  <c r="AW139" i="1"/>
  <c r="AW138" i="1"/>
  <c r="AW137" i="1"/>
  <c r="AW136" i="1"/>
  <c r="AW135" i="1"/>
  <c r="AW134" i="1"/>
  <c r="AW133" i="1"/>
  <c r="AW132" i="1"/>
  <c r="AW131" i="1"/>
  <c r="AW130" i="1"/>
  <c r="AW129" i="1"/>
  <c r="AW128" i="1"/>
  <c r="AW127" i="1"/>
  <c r="AW126" i="1"/>
  <c r="AW125" i="1"/>
  <c r="AW124" i="1"/>
  <c r="AW123" i="1"/>
  <c r="AW122" i="1"/>
  <c r="AW121" i="1"/>
  <c r="AW120" i="1"/>
  <c r="AW119" i="1"/>
  <c r="AW118" i="1"/>
  <c r="AW117" i="1"/>
  <c r="AW116" i="1"/>
  <c r="AW115" i="1"/>
  <c r="AW114" i="1"/>
  <c r="AW113" i="1"/>
  <c r="AW112" i="1"/>
  <c r="AW111" i="1"/>
  <c r="AW110" i="1"/>
  <c r="AW109" i="1"/>
  <c r="AW108" i="1"/>
  <c r="AW107" i="1"/>
  <c r="AW106" i="1"/>
  <c r="AW105" i="1"/>
  <c r="AW104" i="1"/>
  <c r="AW103" i="1"/>
  <c r="AW102" i="1"/>
  <c r="AW101" i="1"/>
  <c r="AW100" i="1"/>
  <c r="AW99" i="1"/>
  <c r="AW98" i="1"/>
  <c r="AW97" i="1"/>
  <c r="AW95" i="1"/>
  <c r="AW94" i="1"/>
  <c r="AW93" i="1"/>
  <c r="AW92" i="1"/>
  <c r="AW91" i="1"/>
  <c r="AW90" i="1"/>
  <c r="AW89" i="1"/>
  <c r="AW88" i="1"/>
  <c r="AW87" i="1"/>
  <c r="AW86" i="1"/>
  <c r="AW85" i="1"/>
  <c r="AW84" i="1"/>
  <c r="AW83" i="1"/>
  <c r="AW82" i="1"/>
  <c r="AW81" i="1"/>
  <c r="AW80" i="1"/>
  <c r="AW79" i="1"/>
  <c r="AW78" i="1"/>
  <c r="AW77" i="1"/>
  <c r="AW76" i="1"/>
  <c r="AW75" i="1"/>
  <c r="AW74" i="1"/>
  <c r="AW73" i="1"/>
  <c r="AW72" i="1"/>
  <c r="AW71" i="1"/>
  <c r="AW70" i="1"/>
  <c r="AW69" i="1"/>
  <c r="AW68" i="1"/>
  <c r="AW67" i="1"/>
  <c r="AW66" i="1"/>
  <c r="AW65" i="1"/>
  <c r="AW64" i="1"/>
  <c r="AW63" i="1"/>
  <c r="AW62" i="1"/>
  <c r="AW61" i="1"/>
  <c r="AW60" i="1"/>
  <c r="AW59" i="1"/>
  <c r="AW58" i="1"/>
  <c r="AW57" i="1"/>
  <c r="AW56" i="1"/>
  <c r="AW55" i="1"/>
  <c r="AW54" i="1"/>
  <c r="AW53" i="1"/>
  <c r="AW52" i="1"/>
  <c r="AW51" i="1"/>
  <c r="AW50" i="1"/>
  <c r="AW49" i="1"/>
  <c r="AW48" i="1"/>
  <c r="AW47" i="1"/>
  <c r="AW46" i="1"/>
  <c r="AW45" i="1"/>
  <c r="AW44" i="1"/>
  <c r="AW43" i="1"/>
  <c r="AW42" i="1"/>
  <c r="AW41" i="1"/>
  <c r="AW40" i="1"/>
  <c r="AW39" i="1"/>
  <c r="AW38" i="1"/>
  <c r="AW37" i="1"/>
  <c r="AW36" i="1"/>
  <c r="AW35" i="1"/>
  <c r="AW34" i="1"/>
  <c r="AW33" i="1"/>
  <c r="AW32" i="1"/>
  <c r="AW31" i="1"/>
  <c r="AW30" i="1"/>
  <c r="AW29" i="1"/>
  <c r="AW28" i="1"/>
  <c r="AW27" i="1"/>
  <c r="AW26" i="1"/>
  <c r="AW25" i="1"/>
  <c r="AW24" i="1"/>
  <c r="AW23" i="1"/>
  <c r="AW22" i="1"/>
  <c r="AW21" i="1"/>
  <c r="AW20" i="1"/>
  <c r="AW19" i="1"/>
  <c r="AW18" i="1"/>
  <c r="AL182" i="3" l="1"/>
  <c r="AQ182" i="3" s="1"/>
  <c r="AQ194" i="3"/>
  <c r="AQ130" i="3"/>
  <c r="AQ234" i="3"/>
  <c r="AQ296" i="3"/>
  <c r="AQ391" i="3"/>
  <c r="AW157" i="2"/>
  <c r="AQ328" i="3"/>
  <c r="AL106" i="3"/>
  <c r="AQ142" i="3"/>
  <c r="AL94" i="3"/>
  <c r="AL60" i="3"/>
  <c r="AH60" i="3" s="1"/>
  <c r="W61" i="3"/>
  <c r="AQ60" i="3"/>
  <c r="AL111" i="3"/>
  <c r="AL109" i="3" s="1"/>
  <c r="AQ111" i="3"/>
  <c r="AL67" i="3"/>
  <c r="AI67" i="3" s="1"/>
  <c r="AQ174" i="3"/>
  <c r="AQ218" i="3"/>
  <c r="X219" i="3"/>
  <c r="Y219" i="3" s="1"/>
  <c r="Z219" i="3" s="1"/>
  <c r="AA219" i="3" s="1"/>
  <c r="AB219" i="3" s="1"/>
  <c r="AC219" i="3" s="1"/>
  <c r="AD219" i="3" s="1"/>
  <c r="AQ226" i="3"/>
  <c r="W112" i="3"/>
  <c r="AQ126" i="3"/>
  <c r="W228" i="3"/>
  <c r="AL325" i="3"/>
  <c r="AG325" i="3" s="1"/>
  <c r="AF325" i="3" s="1"/>
  <c r="AE325" i="3" s="1"/>
  <c r="AL309" i="3"/>
  <c r="AI309" i="3" s="1"/>
  <c r="AQ383" i="3"/>
  <c r="AQ387" i="3"/>
  <c r="AQ415" i="3"/>
  <c r="AQ82" i="3"/>
  <c r="W216" i="3"/>
  <c r="AQ292" i="3"/>
  <c r="W100" i="3"/>
  <c r="AQ376" i="3"/>
  <c r="W68" i="3"/>
  <c r="AL199" i="3"/>
  <c r="AL197" i="3" s="1"/>
  <c r="AQ273" i="3"/>
  <c r="X79" i="3"/>
  <c r="Y79" i="3" s="1"/>
  <c r="Z79" i="3" s="1"/>
  <c r="AA79" i="3" s="1"/>
  <c r="AB79" i="3" s="1"/>
  <c r="AC79" i="3" s="1"/>
  <c r="AD79" i="3" s="1"/>
  <c r="W80" i="3"/>
  <c r="X107" i="3"/>
  <c r="Y107" i="3" s="1"/>
  <c r="Z107" i="3" s="1"/>
  <c r="AA107" i="3" s="1"/>
  <c r="AB107" i="3" s="1"/>
  <c r="AC107" i="3" s="1"/>
  <c r="AD107" i="3" s="1"/>
  <c r="W108" i="3"/>
  <c r="AQ300" i="3"/>
  <c r="AQ304" i="3"/>
  <c r="AQ352" i="3"/>
  <c r="AQ368" i="3"/>
  <c r="X52" i="3"/>
  <c r="Y52" i="3" s="1"/>
  <c r="Z52" i="3" s="1"/>
  <c r="AA52" i="3" s="1"/>
  <c r="AB52" i="3" s="1"/>
  <c r="AC52" i="3" s="1"/>
  <c r="AD52" i="3" s="1"/>
  <c r="W53" i="3"/>
  <c r="X281" i="3"/>
  <c r="Y281" i="3" s="1"/>
  <c r="Z281" i="3" s="1"/>
  <c r="AA281" i="3" s="1"/>
  <c r="AB281" i="3" s="1"/>
  <c r="AC281" i="3" s="1"/>
  <c r="AD281" i="3" s="1"/>
  <c r="X289" i="3"/>
  <c r="Y289" i="3" s="1"/>
  <c r="Z289" i="3" s="1"/>
  <c r="AA289" i="3" s="1"/>
  <c r="AB289" i="3" s="1"/>
  <c r="AC289" i="3" s="1"/>
  <c r="AD289" i="3" s="1"/>
  <c r="AQ114" i="3"/>
  <c r="X309" i="3"/>
  <c r="Y309" i="3" s="1"/>
  <c r="Z309" i="3" s="1"/>
  <c r="AA309" i="3" s="1"/>
  <c r="AB309" i="3" s="1"/>
  <c r="AC309" i="3" s="1"/>
  <c r="AD309" i="3" s="1"/>
  <c r="AL66" i="3"/>
  <c r="AQ66" i="3" s="1"/>
  <c r="AQ106" i="3"/>
  <c r="AM105" i="1"/>
  <c r="AQ158" i="3"/>
  <c r="AQ138" i="3"/>
  <c r="C406" i="3"/>
  <c r="AW274" i="2"/>
  <c r="AL135" i="3"/>
  <c r="AL133" i="3" s="1"/>
  <c r="AL170" i="3"/>
  <c r="AQ170" i="3" s="1"/>
  <c r="W232" i="3"/>
  <c r="AM150" i="1"/>
  <c r="AL270" i="3"/>
  <c r="AI270" i="3" s="1"/>
  <c r="AQ364" i="3"/>
  <c r="AL41" i="3"/>
  <c r="AQ41" i="3" s="1"/>
  <c r="E375" i="3"/>
  <c r="AL250" i="3"/>
  <c r="AQ250" i="3" s="1"/>
  <c r="W310" i="3"/>
  <c r="AQ78" i="3"/>
  <c r="AL83" i="3"/>
  <c r="AQ83" i="3" s="1"/>
  <c r="AQ102" i="3"/>
  <c r="AL219" i="3"/>
  <c r="AI219" i="3" s="1"/>
  <c r="AL269" i="3"/>
  <c r="AQ269" i="3" s="1"/>
  <c r="AW238" i="2"/>
  <c r="AQ284" i="3"/>
  <c r="W290" i="3"/>
  <c r="AQ198" i="3"/>
  <c r="W204" i="3"/>
  <c r="AL207" i="3"/>
  <c r="AI207" i="3" s="1"/>
  <c r="AL247" i="3"/>
  <c r="AQ247" i="3" s="1"/>
  <c r="AL385" i="3"/>
  <c r="X135" i="3"/>
  <c r="Y135" i="3" s="1"/>
  <c r="Z135" i="3" s="1"/>
  <c r="AA135" i="3" s="1"/>
  <c r="AB135" i="3" s="1"/>
  <c r="AC135" i="3" s="1"/>
  <c r="AD135" i="3" s="1"/>
  <c r="X207" i="3"/>
  <c r="Y207" i="3" s="1"/>
  <c r="Z207" i="3" s="1"/>
  <c r="AA207" i="3" s="1"/>
  <c r="AB207" i="3" s="1"/>
  <c r="AC207" i="3" s="1"/>
  <c r="AD207" i="3" s="1"/>
  <c r="AL178" i="3"/>
  <c r="AQ178" i="3" s="1"/>
  <c r="AQ24" i="3"/>
  <c r="AG67" i="3"/>
  <c r="AF67" i="3" s="1"/>
  <c r="AE67" i="3" s="1"/>
  <c r="AQ98" i="3"/>
  <c r="AQ312" i="3"/>
  <c r="AQ118" i="3"/>
  <c r="AQ171" i="3"/>
  <c r="AL231" i="3"/>
  <c r="AL229" i="3" s="1"/>
  <c r="AM98" i="1"/>
  <c r="X195" i="3"/>
  <c r="Y195" i="3" s="1"/>
  <c r="Z195" i="3" s="1"/>
  <c r="AA195" i="3" s="1"/>
  <c r="AB195" i="3" s="1"/>
  <c r="AC195" i="3" s="1"/>
  <c r="AD195" i="3" s="1"/>
  <c r="AQ55" i="3"/>
  <c r="AQ59" i="3"/>
  <c r="AQ86" i="3"/>
  <c r="W148" i="3"/>
  <c r="X147" i="3"/>
  <c r="Y147" i="3" s="1"/>
  <c r="Z147" i="3" s="1"/>
  <c r="AA147" i="3" s="1"/>
  <c r="AB147" i="3" s="1"/>
  <c r="AC147" i="3" s="1"/>
  <c r="AD147" i="3" s="1"/>
  <c r="AL147" i="3"/>
  <c r="AQ147" i="3" s="1"/>
  <c r="X179" i="3"/>
  <c r="Y179" i="3" s="1"/>
  <c r="Z179" i="3" s="1"/>
  <c r="AA179" i="3" s="1"/>
  <c r="AB179" i="3" s="1"/>
  <c r="AC179" i="3" s="1"/>
  <c r="AD179" i="3" s="1"/>
  <c r="AL179" i="3"/>
  <c r="W366" i="3"/>
  <c r="AL365" i="3"/>
  <c r="X365" i="3"/>
  <c r="Y365" i="3" s="1"/>
  <c r="Z365" i="3" s="1"/>
  <c r="AA365" i="3" s="1"/>
  <c r="AB365" i="3" s="1"/>
  <c r="AC365" i="3" s="1"/>
  <c r="AD365" i="3" s="1"/>
  <c r="W144" i="3"/>
  <c r="X143" i="3"/>
  <c r="Y143" i="3" s="1"/>
  <c r="Z143" i="3" s="1"/>
  <c r="AA143" i="3" s="1"/>
  <c r="AB143" i="3" s="1"/>
  <c r="AC143" i="3" s="1"/>
  <c r="AD143" i="3" s="1"/>
  <c r="AL143" i="3"/>
  <c r="X337" i="3"/>
  <c r="Y337" i="3" s="1"/>
  <c r="Z337" i="3" s="1"/>
  <c r="AA337" i="3" s="1"/>
  <c r="AB337" i="3" s="1"/>
  <c r="AC337" i="3" s="1"/>
  <c r="AD337" i="3" s="1"/>
  <c r="AL337" i="3"/>
  <c r="W338" i="3"/>
  <c r="AL33" i="3"/>
  <c r="X33" i="3"/>
  <c r="Y33" i="3" s="1"/>
  <c r="Z33" i="3" s="1"/>
  <c r="AA33" i="3" s="1"/>
  <c r="AB33" i="3" s="1"/>
  <c r="AC33" i="3" s="1"/>
  <c r="AD33" i="3" s="1"/>
  <c r="W34" i="3"/>
  <c r="X29" i="3"/>
  <c r="Y29" i="3" s="1"/>
  <c r="Z29" i="3" s="1"/>
  <c r="AA29" i="3" s="1"/>
  <c r="AB29" i="3" s="1"/>
  <c r="AC29" i="3" s="1"/>
  <c r="AD29" i="3" s="1"/>
  <c r="W30" i="3"/>
  <c r="AL29" i="3"/>
  <c r="AL155" i="3"/>
  <c r="AQ155" i="3" s="1"/>
  <c r="W156" i="3"/>
  <c r="X155" i="3"/>
  <c r="Y155" i="3" s="1"/>
  <c r="Z155" i="3" s="1"/>
  <c r="AA155" i="3" s="1"/>
  <c r="AB155" i="3" s="1"/>
  <c r="AC155" i="3" s="1"/>
  <c r="AD155" i="3" s="1"/>
  <c r="X416" i="3"/>
  <c r="Y416" i="3" s="1"/>
  <c r="Z416" i="3" s="1"/>
  <c r="AA416" i="3" s="1"/>
  <c r="AB416" i="3" s="1"/>
  <c r="AC416" i="3" s="1"/>
  <c r="AD416" i="3" s="1"/>
  <c r="AL416" i="3"/>
  <c r="X131" i="3"/>
  <c r="Y131" i="3" s="1"/>
  <c r="Z131" i="3" s="1"/>
  <c r="AA131" i="3" s="1"/>
  <c r="AB131" i="3" s="1"/>
  <c r="AC131" i="3" s="1"/>
  <c r="AD131" i="3" s="1"/>
  <c r="AL131" i="3"/>
  <c r="W132" i="3"/>
  <c r="X239" i="3"/>
  <c r="AL239" i="3"/>
  <c r="W240" i="3"/>
  <c r="AL139" i="3"/>
  <c r="AQ139" i="3" s="1"/>
  <c r="X139" i="3"/>
  <c r="Y139" i="3" s="1"/>
  <c r="Z139" i="3" s="1"/>
  <c r="AA139" i="3" s="1"/>
  <c r="AB139" i="3" s="1"/>
  <c r="AC139" i="3" s="1"/>
  <c r="AD139" i="3" s="1"/>
  <c r="W140" i="3"/>
  <c r="AL369" i="3"/>
  <c r="X369" i="3"/>
  <c r="Y369" i="3" s="1"/>
  <c r="Z369" i="3" s="1"/>
  <c r="AA369" i="3" s="1"/>
  <c r="AB369" i="3" s="1"/>
  <c r="AC369" i="3" s="1"/>
  <c r="AD369" i="3" s="1"/>
  <c r="W370" i="3"/>
  <c r="W49" i="3"/>
  <c r="AL48" i="3"/>
  <c r="AQ48" i="3" s="1"/>
  <c r="X48" i="3"/>
  <c r="Y48" i="3" s="1"/>
  <c r="Z48" i="3" s="1"/>
  <c r="AA48" i="3" s="1"/>
  <c r="AB48" i="3" s="1"/>
  <c r="AC48" i="3" s="1"/>
  <c r="AD48" i="3" s="1"/>
  <c r="X21" i="3"/>
  <c r="Y21" i="3" s="1"/>
  <c r="Z21" i="3" s="1"/>
  <c r="AA21" i="3" s="1"/>
  <c r="AB21" i="3" s="1"/>
  <c r="AC21" i="3" s="1"/>
  <c r="AD21" i="3" s="1"/>
  <c r="W22" i="3"/>
  <c r="AL21" i="3"/>
  <c r="W124" i="3"/>
  <c r="X123" i="3"/>
  <c r="Y123" i="3" s="1"/>
  <c r="Z123" i="3" s="1"/>
  <c r="AA123" i="3" s="1"/>
  <c r="AB123" i="3" s="1"/>
  <c r="AC123" i="3" s="1"/>
  <c r="AD123" i="3" s="1"/>
  <c r="AL123" i="3"/>
  <c r="AL187" i="3"/>
  <c r="W188" i="3"/>
  <c r="X187" i="3"/>
  <c r="Y187" i="3" s="1"/>
  <c r="Z187" i="3" s="1"/>
  <c r="AA187" i="3" s="1"/>
  <c r="AB187" i="3" s="1"/>
  <c r="AC187" i="3" s="1"/>
  <c r="AD187" i="3" s="1"/>
  <c r="X25" i="3"/>
  <c r="Y25" i="3" s="1"/>
  <c r="Z25" i="3" s="1"/>
  <c r="AA25" i="3" s="1"/>
  <c r="AB25" i="3" s="1"/>
  <c r="AC25" i="3" s="1"/>
  <c r="AD25" i="3" s="1"/>
  <c r="AL25" i="3"/>
  <c r="W26" i="3"/>
  <c r="W417" i="3"/>
  <c r="X159" i="3"/>
  <c r="Y159" i="3" s="1"/>
  <c r="Z159" i="3" s="1"/>
  <c r="AA159" i="3" s="1"/>
  <c r="AB159" i="3" s="1"/>
  <c r="AC159" i="3" s="1"/>
  <c r="AD159" i="3" s="1"/>
  <c r="AL159" i="3"/>
  <c r="AQ159" i="3" s="1"/>
  <c r="AL163" i="3"/>
  <c r="W164" i="3"/>
  <c r="Z263" i="3"/>
  <c r="Y263" i="3" s="1"/>
  <c r="X263" i="3" s="1"/>
  <c r="W263" i="3" s="1"/>
  <c r="AC263" i="3"/>
  <c r="AG247" i="3"/>
  <c r="AF247" i="3" s="1"/>
  <c r="AE247" i="3" s="1"/>
  <c r="AQ308" i="3"/>
  <c r="W330" i="3"/>
  <c r="AL329" i="3"/>
  <c r="X329" i="3"/>
  <c r="Y329" i="3" s="1"/>
  <c r="Z329" i="3" s="1"/>
  <c r="AA329" i="3" s="1"/>
  <c r="AB329" i="3" s="1"/>
  <c r="AC329" i="3" s="1"/>
  <c r="AD329" i="3" s="1"/>
  <c r="AL333" i="3"/>
  <c r="AQ333" i="3" s="1"/>
  <c r="X333" i="3"/>
  <c r="Y333" i="3" s="1"/>
  <c r="Z333" i="3" s="1"/>
  <c r="AA333" i="3" s="1"/>
  <c r="AB333" i="3" s="1"/>
  <c r="AC333" i="3" s="1"/>
  <c r="AD333" i="3" s="1"/>
  <c r="W334" i="3"/>
  <c r="AQ28" i="3"/>
  <c r="AL215" i="3"/>
  <c r="W346" i="3"/>
  <c r="X345" i="3"/>
  <c r="Y345" i="3" s="1"/>
  <c r="Z345" i="3" s="1"/>
  <c r="AA345" i="3" s="1"/>
  <c r="AB345" i="3" s="1"/>
  <c r="AC345" i="3" s="1"/>
  <c r="AD345" i="3" s="1"/>
  <c r="AL345" i="3"/>
  <c r="W244" i="3"/>
  <c r="X243" i="3"/>
  <c r="AL243" i="3"/>
  <c r="AQ243" i="3" s="1"/>
  <c r="W120" i="3"/>
  <c r="AL119" i="3"/>
  <c r="X119" i="3"/>
  <c r="Y119" i="3" s="1"/>
  <c r="Z119" i="3" s="1"/>
  <c r="AA119" i="3" s="1"/>
  <c r="AB119" i="3" s="1"/>
  <c r="AC119" i="3" s="1"/>
  <c r="AD119" i="3" s="1"/>
  <c r="AG135" i="3"/>
  <c r="AF135" i="3" s="1"/>
  <c r="AE135" i="3" s="1"/>
  <c r="AQ214" i="3"/>
  <c r="X167" i="3"/>
  <c r="Y167" i="3" s="1"/>
  <c r="Z167" i="3" s="1"/>
  <c r="AA167" i="3" s="1"/>
  <c r="AB167" i="3" s="1"/>
  <c r="AC167" i="3" s="1"/>
  <c r="AD167" i="3" s="1"/>
  <c r="AL167" i="3"/>
  <c r="W168" i="3"/>
  <c r="W342" i="3"/>
  <c r="AL341" i="3"/>
  <c r="AQ341" i="3" s="1"/>
  <c r="X341" i="3"/>
  <c r="Y341" i="3" s="1"/>
  <c r="Z341" i="3" s="1"/>
  <c r="AA341" i="3" s="1"/>
  <c r="AB341" i="3" s="1"/>
  <c r="AC341" i="3" s="1"/>
  <c r="AD341" i="3" s="1"/>
  <c r="AL373" i="3"/>
  <c r="AQ373" i="3" s="1"/>
  <c r="W374" i="3"/>
  <c r="X373" i="3"/>
  <c r="Y373" i="3" s="1"/>
  <c r="Z373" i="3" s="1"/>
  <c r="W76" i="3"/>
  <c r="X75" i="3"/>
  <c r="Y75" i="3" s="1"/>
  <c r="Z75" i="3" s="1"/>
  <c r="AA75" i="3" s="1"/>
  <c r="AB75" i="3" s="1"/>
  <c r="AC75" i="3" s="1"/>
  <c r="AD75" i="3" s="1"/>
  <c r="AQ70" i="3"/>
  <c r="AL75" i="3"/>
  <c r="AQ75" i="3" s="1"/>
  <c r="AQ134" i="3"/>
  <c r="X277" i="3"/>
  <c r="Y277" i="3" s="1"/>
  <c r="Z277" i="3" s="1"/>
  <c r="AA277" i="3" s="1"/>
  <c r="AB277" i="3" s="1"/>
  <c r="AC277" i="3" s="1"/>
  <c r="AD277" i="3" s="1"/>
  <c r="AL277" i="3"/>
  <c r="AQ332" i="3"/>
  <c r="AI171" i="3"/>
  <c r="AH171" i="3"/>
  <c r="AG171" i="3"/>
  <c r="AF171" i="3" s="1"/>
  <c r="AE171" i="3" s="1"/>
  <c r="AL169" i="3"/>
  <c r="AL191" i="3"/>
  <c r="W192" i="3"/>
  <c r="X191" i="3"/>
  <c r="Y191" i="3" s="1"/>
  <c r="Z191" i="3" s="1"/>
  <c r="AA191" i="3" s="1"/>
  <c r="AB191" i="3" s="1"/>
  <c r="AC191" i="3" s="1"/>
  <c r="AD191" i="3" s="1"/>
  <c r="X56" i="3"/>
  <c r="Y56" i="3" s="1"/>
  <c r="Z56" i="3" s="1"/>
  <c r="AA56" i="3" s="1"/>
  <c r="AB56" i="3" s="1"/>
  <c r="AC56" i="3" s="1"/>
  <c r="AD56" i="3" s="1"/>
  <c r="AI404" i="3"/>
  <c r="AH404" i="3"/>
  <c r="AL402" i="3"/>
  <c r="AG404" i="3"/>
  <c r="AF404" i="3" s="1"/>
  <c r="AE404" i="3" s="1"/>
  <c r="AL40" i="3"/>
  <c r="AQ40" i="3" s="1"/>
  <c r="AL44" i="3"/>
  <c r="AL79" i="3"/>
  <c r="W212" i="3"/>
  <c r="AL211" i="3"/>
  <c r="AQ211" i="3" s="1"/>
  <c r="X211" i="3"/>
  <c r="Y211" i="3" s="1"/>
  <c r="Z211" i="3" s="1"/>
  <c r="AA211" i="3" s="1"/>
  <c r="AB211" i="3" s="1"/>
  <c r="AC211" i="3" s="1"/>
  <c r="AD211" i="3" s="1"/>
  <c r="AI56" i="3"/>
  <c r="AH56" i="3"/>
  <c r="AG56" i="3"/>
  <c r="AF56" i="3" s="1"/>
  <c r="AE56" i="3" s="1"/>
  <c r="AL54" i="3"/>
  <c r="AL37" i="3"/>
  <c r="AQ37" i="3" s="1"/>
  <c r="W38" i="3"/>
  <c r="X321" i="3"/>
  <c r="Y321" i="3" s="1"/>
  <c r="Z321" i="3" s="1"/>
  <c r="AA321" i="3" s="1"/>
  <c r="AB321" i="3" s="1"/>
  <c r="AC321" i="3" s="1"/>
  <c r="AD321" i="3" s="1"/>
  <c r="W322" i="3"/>
  <c r="AL321" i="3"/>
  <c r="AM20" i="3"/>
  <c r="AQ21" i="3"/>
  <c r="AQ20" i="3"/>
  <c r="AQ67" i="3"/>
  <c r="AL293" i="3"/>
  <c r="X293" i="3"/>
  <c r="Y293" i="3" s="1"/>
  <c r="Z293" i="3" s="1"/>
  <c r="AA293" i="3" s="1"/>
  <c r="AB293" i="3" s="1"/>
  <c r="AC293" i="3" s="1"/>
  <c r="AD293" i="3" s="1"/>
  <c r="AQ56" i="3"/>
  <c r="AQ74" i="3"/>
  <c r="AL87" i="3"/>
  <c r="AQ87" i="3" s="1"/>
  <c r="W88" i="3"/>
  <c r="X163" i="3"/>
  <c r="Y163" i="3" s="1"/>
  <c r="Z163" i="3" s="1"/>
  <c r="AA163" i="3" s="1"/>
  <c r="AB163" i="3" s="1"/>
  <c r="AC163" i="3" s="1"/>
  <c r="AD163" i="3" s="1"/>
  <c r="W160" i="3"/>
  <c r="X171" i="3"/>
  <c r="Y171" i="3" s="1"/>
  <c r="Z171" i="3" s="1"/>
  <c r="AA171" i="3" s="1"/>
  <c r="AB171" i="3" s="1"/>
  <c r="AC171" i="3" s="1"/>
  <c r="AD171" i="3" s="1"/>
  <c r="AL71" i="3"/>
  <c r="AQ71" i="3" s="1"/>
  <c r="W72" i="3"/>
  <c r="X71" i="3"/>
  <c r="Y71" i="3" s="1"/>
  <c r="Z71" i="3" s="1"/>
  <c r="AA71" i="3" s="1"/>
  <c r="AB71" i="3" s="1"/>
  <c r="AC71" i="3" s="1"/>
  <c r="AD71" i="3" s="1"/>
  <c r="AI91" i="3"/>
  <c r="AG91" i="3"/>
  <c r="AF91" i="3" s="1"/>
  <c r="AE91" i="3" s="1"/>
  <c r="AH91" i="3"/>
  <c r="W358" i="3"/>
  <c r="X357" i="3"/>
  <c r="Y357" i="3" s="1"/>
  <c r="Z357" i="3" s="1"/>
  <c r="AA357" i="3" s="1"/>
  <c r="AB357" i="3" s="1"/>
  <c r="AC357" i="3" s="1"/>
  <c r="AD357" i="3" s="1"/>
  <c r="AL357" i="3"/>
  <c r="AQ357" i="3" s="1"/>
  <c r="W152" i="3"/>
  <c r="X151" i="3"/>
  <c r="Y151" i="3" s="1"/>
  <c r="Z151" i="3" s="1"/>
  <c r="AA151" i="3" s="1"/>
  <c r="AB151" i="3" s="1"/>
  <c r="AC151" i="3" s="1"/>
  <c r="AD151" i="3" s="1"/>
  <c r="AL151" i="3"/>
  <c r="AQ151" i="3" s="1"/>
  <c r="AQ51" i="3"/>
  <c r="AQ219" i="3"/>
  <c r="AQ288" i="3"/>
  <c r="AQ289" i="3"/>
  <c r="W413" i="3"/>
  <c r="AL412" i="3"/>
  <c r="AQ412" i="3" s="1"/>
  <c r="X60" i="3"/>
  <c r="Y60" i="3" s="1"/>
  <c r="Z60" i="3" s="1"/>
  <c r="AA60" i="3" s="1"/>
  <c r="AB60" i="3" s="1"/>
  <c r="AC60" i="3" s="1"/>
  <c r="AD60" i="3" s="1"/>
  <c r="AQ150" i="3"/>
  <c r="X37" i="3"/>
  <c r="Y37" i="3" s="1"/>
  <c r="Z37" i="3" s="1"/>
  <c r="AA37" i="3" s="1"/>
  <c r="AB37" i="3" s="1"/>
  <c r="AC37" i="3" s="1"/>
  <c r="AD37" i="3" s="1"/>
  <c r="AL58" i="3"/>
  <c r="AG83" i="3"/>
  <c r="AF83" i="3" s="1"/>
  <c r="AE83" i="3" s="1"/>
  <c r="AI83" i="3"/>
  <c r="X83" i="3"/>
  <c r="Y83" i="3" s="1"/>
  <c r="Z83" i="3" s="1"/>
  <c r="AA83" i="3" s="1"/>
  <c r="AB83" i="3" s="1"/>
  <c r="AC83" i="3" s="1"/>
  <c r="AD83" i="3" s="1"/>
  <c r="AL203" i="3"/>
  <c r="AQ203" i="3" s="1"/>
  <c r="W45" i="3"/>
  <c r="AQ91" i="3"/>
  <c r="AQ90" i="3"/>
  <c r="X103" i="3"/>
  <c r="Y103" i="3" s="1"/>
  <c r="Z103" i="3" s="1"/>
  <c r="AA103" i="3" s="1"/>
  <c r="AB103" i="3" s="1"/>
  <c r="AC103" i="3" s="1"/>
  <c r="AD103" i="3" s="1"/>
  <c r="AG107" i="3"/>
  <c r="AF107" i="3" s="1"/>
  <c r="AE107" i="3" s="1"/>
  <c r="AQ107" i="3"/>
  <c r="AI107" i="3"/>
  <c r="X353" i="3"/>
  <c r="Y353" i="3" s="1"/>
  <c r="Z353" i="3" s="1"/>
  <c r="AA353" i="3" s="1"/>
  <c r="AB353" i="3" s="1"/>
  <c r="AC353" i="3" s="1"/>
  <c r="AD353" i="3" s="1"/>
  <c r="W354" i="3"/>
  <c r="AL353" i="3"/>
  <c r="AQ47" i="3"/>
  <c r="W57" i="3"/>
  <c r="W176" i="3"/>
  <c r="AL175" i="3"/>
  <c r="AL52" i="3"/>
  <c r="AQ52" i="3" s="1"/>
  <c r="X63" i="3"/>
  <c r="Y63" i="3" s="1"/>
  <c r="Z63" i="3" s="1"/>
  <c r="AA63" i="3" s="1"/>
  <c r="AB63" i="3" s="1"/>
  <c r="AC63" i="3" s="1"/>
  <c r="AD63" i="3" s="1"/>
  <c r="AL63" i="3"/>
  <c r="W64" i="3"/>
  <c r="AQ110" i="3"/>
  <c r="W116" i="3"/>
  <c r="AL115" i="3"/>
  <c r="AQ115" i="3" s="1"/>
  <c r="AH199" i="3"/>
  <c r="AI199" i="3"/>
  <c r="AQ202" i="3"/>
  <c r="AL407" i="3"/>
  <c r="AQ407" i="3" s="1"/>
  <c r="AL408" i="3"/>
  <c r="AL223" i="3"/>
  <c r="W224" i="3"/>
  <c r="X247" i="3"/>
  <c r="X255" i="3"/>
  <c r="Y255" i="3" s="1"/>
  <c r="Z255" i="3" s="1"/>
  <c r="AA255" i="3" s="1"/>
  <c r="AL255" i="3"/>
  <c r="X361" i="3"/>
  <c r="Y361" i="3" s="1"/>
  <c r="Z361" i="3" s="1"/>
  <c r="AA361" i="3" s="1"/>
  <c r="AB361" i="3" s="1"/>
  <c r="AC361" i="3" s="1"/>
  <c r="AD361" i="3" s="1"/>
  <c r="AL361" i="3"/>
  <c r="AQ361" i="3" s="1"/>
  <c r="W362" i="3"/>
  <c r="AL388" i="3"/>
  <c r="AQ146" i="3"/>
  <c r="X199" i="3"/>
  <c r="Y199" i="3" s="1"/>
  <c r="Z199" i="3" s="1"/>
  <c r="AA199" i="3" s="1"/>
  <c r="AB199" i="3" s="1"/>
  <c r="AC199" i="3" s="1"/>
  <c r="AD199" i="3" s="1"/>
  <c r="W200" i="3"/>
  <c r="AQ399" i="3"/>
  <c r="AQ400" i="3"/>
  <c r="X404" i="3"/>
  <c r="Y404" i="3" s="1"/>
  <c r="Z404" i="3" s="1"/>
  <c r="AA404" i="3" s="1"/>
  <c r="AB404" i="3" s="1"/>
  <c r="AC404" i="3" s="1"/>
  <c r="AD404" i="3" s="1"/>
  <c r="AI231" i="3"/>
  <c r="X305" i="3"/>
  <c r="Y305" i="3" s="1"/>
  <c r="Z305" i="3" s="1"/>
  <c r="AA305" i="3" s="1"/>
  <c r="AB305" i="3" s="1"/>
  <c r="AC305" i="3" s="1"/>
  <c r="AD305" i="3" s="1"/>
  <c r="AL305" i="3"/>
  <c r="AQ305" i="3" s="1"/>
  <c r="AG400" i="3"/>
  <c r="AF400" i="3" s="1"/>
  <c r="AE400" i="3" s="1"/>
  <c r="AH400" i="3"/>
  <c r="AL398" i="3"/>
  <c r="AQ36" i="3"/>
  <c r="AL235" i="3"/>
  <c r="X235" i="3"/>
  <c r="X266" i="3"/>
  <c r="Y266" i="3" s="1"/>
  <c r="X400" i="3"/>
  <c r="Y400" i="3" s="1"/>
  <c r="Z400" i="3" s="1"/>
  <c r="AA400" i="3" s="1"/>
  <c r="AB400" i="3" s="1"/>
  <c r="AC400" i="3" s="1"/>
  <c r="AD400" i="3" s="1"/>
  <c r="W92" i="3"/>
  <c r="X91" i="3"/>
  <c r="Y91" i="3" s="1"/>
  <c r="Z91" i="3" s="1"/>
  <c r="AA91" i="3" s="1"/>
  <c r="AB91" i="3" s="1"/>
  <c r="AC91" i="3" s="1"/>
  <c r="AD91" i="3" s="1"/>
  <c r="AF373" i="3"/>
  <c r="AE373" i="3" s="1"/>
  <c r="AH373" i="3"/>
  <c r="X127" i="3"/>
  <c r="Y127" i="3" s="1"/>
  <c r="Z127" i="3" s="1"/>
  <c r="AA127" i="3" s="1"/>
  <c r="AB127" i="3" s="1"/>
  <c r="AC127" i="3" s="1"/>
  <c r="AD127" i="3" s="1"/>
  <c r="AL127" i="3"/>
  <c r="AQ127" i="3" s="1"/>
  <c r="AL297" i="3"/>
  <c r="X297" i="3"/>
  <c r="Y297" i="3" s="1"/>
  <c r="Z297" i="3" s="1"/>
  <c r="AA297" i="3" s="1"/>
  <c r="AB297" i="3" s="1"/>
  <c r="AC297" i="3" s="1"/>
  <c r="AD297" i="3" s="1"/>
  <c r="AQ372" i="3"/>
  <c r="X392" i="3"/>
  <c r="Y392" i="3" s="1"/>
  <c r="Z392" i="3" s="1"/>
  <c r="AA392" i="3" s="1"/>
  <c r="AB392" i="3" s="1"/>
  <c r="AC392" i="3" s="1"/>
  <c r="AD392" i="3" s="1"/>
  <c r="AL392" i="3"/>
  <c r="AQ392" i="3" s="1"/>
  <c r="AQ94" i="3"/>
  <c r="W326" i="3"/>
  <c r="X325" i="3"/>
  <c r="Y325" i="3" s="1"/>
  <c r="Z325" i="3" s="1"/>
  <c r="AA325" i="3" s="1"/>
  <c r="AB325" i="3" s="1"/>
  <c r="AC325" i="3" s="1"/>
  <c r="AD325" i="3" s="1"/>
  <c r="X223" i="3"/>
  <c r="Y223" i="3" s="1"/>
  <c r="Z223" i="3" s="1"/>
  <c r="AA223" i="3" s="1"/>
  <c r="AB223" i="3" s="1"/>
  <c r="AC223" i="3" s="1"/>
  <c r="AD223" i="3" s="1"/>
  <c r="AH266" i="3"/>
  <c r="AQ266" i="3"/>
  <c r="AG266" i="3"/>
  <c r="AF266" i="3" s="1"/>
  <c r="AE266" i="3" s="1"/>
  <c r="AI266" i="3"/>
  <c r="AQ95" i="3"/>
  <c r="AL103" i="3"/>
  <c r="AQ242" i="3"/>
  <c r="AI400" i="3"/>
  <c r="AL183" i="3"/>
  <c r="X183" i="3"/>
  <c r="Y183" i="3" s="1"/>
  <c r="Z183" i="3" s="1"/>
  <c r="AA183" i="3" s="1"/>
  <c r="AB183" i="3" s="1"/>
  <c r="AC183" i="3" s="1"/>
  <c r="AD183" i="3" s="1"/>
  <c r="AQ32" i="3"/>
  <c r="X41" i="3"/>
  <c r="Y41" i="3" s="1"/>
  <c r="Z41" i="3" s="1"/>
  <c r="AA41" i="3" s="1"/>
  <c r="AB41" i="3" s="1"/>
  <c r="AC41" i="3" s="1"/>
  <c r="AD41" i="3" s="1"/>
  <c r="Z274" i="3"/>
  <c r="Y274" i="3" s="1"/>
  <c r="X274" i="3" s="1"/>
  <c r="W274" i="3" s="1"/>
  <c r="AC274" i="3"/>
  <c r="AL280" i="3"/>
  <c r="AQ280" i="3" s="1"/>
  <c r="AL281" i="3"/>
  <c r="AQ281" i="3" s="1"/>
  <c r="AL301" i="3"/>
  <c r="AQ301" i="3" s="1"/>
  <c r="W302" i="3"/>
  <c r="X384" i="3"/>
  <c r="Y384" i="3" s="1"/>
  <c r="Z384" i="3" s="1"/>
  <c r="AA384" i="3" s="1"/>
  <c r="AB384" i="3" s="1"/>
  <c r="AC384" i="3" s="1"/>
  <c r="AD384" i="3" s="1"/>
  <c r="AL384" i="3"/>
  <c r="AL99" i="3"/>
  <c r="AQ99" i="3" s="1"/>
  <c r="AL195" i="3"/>
  <c r="AQ195" i="3" s="1"/>
  <c r="AQ206" i="3"/>
  <c r="AQ238" i="3"/>
  <c r="X259" i="3"/>
  <c r="Y259" i="3" s="1"/>
  <c r="Z259" i="3" s="1"/>
  <c r="AA259" i="3" s="1"/>
  <c r="AL259" i="3"/>
  <c r="AH289" i="3"/>
  <c r="AI289" i="3"/>
  <c r="AL287" i="3"/>
  <c r="AG289" i="3"/>
  <c r="AF289" i="3" s="1"/>
  <c r="AE289" i="3" s="1"/>
  <c r="AQ344" i="3"/>
  <c r="AQ345" i="3"/>
  <c r="X349" i="3"/>
  <c r="Y349" i="3" s="1"/>
  <c r="Z349" i="3" s="1"/>
  <c r="AA349" i="3" s="1"/>
  <c r="AB349" i="3" s="1"/>
  <c r="AC349" i="3" s="1"/>
  <c r="AD349" i="3" s="1"/>
  <c r="W350" i="3"/>
  <c r="AL349" i="3"/>
  <c r="X396" i="3"/>
  <c r="Y396" i="3" s="1"/>
  <c r="Z396" i="3" s="1"/>
  <c r="AA396" i="3" s="1"/>
  <c r="AB396" i="3" s="1"/>
  <c r="AC396" i="3" s="1"/>
  <c r="AD396" i="3" s="1"/>
  <c r="AL396" i="3"/>
  <c r="AQ396" i="3" s="1"/>
  <c r="AQ246" i="3"/>
  <c r="X270" i="3"/>
  <c r="Y270" i="3" s="1"/>
  <c r="Z270" i="3" s="1"/>
  <c r="AA270" i="3" s="1"/>
  <c r="W271" i="3"/>
  <c r="AQ404" i="3"/>
  <c r="AQ356" i="3"/>
  <c r="AQ403" i="3"/>
  <c r="AQ251" i="3"/>
  <c r="AQ258" i="3"/>
  <c r="AQ411" i="3"/>
  <c r="AQ316" i="3"/>
  <c r="AQ360" i="3"/>
  <c r="AQ154" i="3"/>
  <c r="AQ167" i="3"/>
  <c r="AC251" i="3"/>
  <c r="AD251" i="3" s="1"/>
  <c r="AE251" i="3" s="1"/>
  <c r="AF251" i="3" s="1"/>
  <c r="AG251" i="3" s="1"/>
  <c r="AH251" i="3" s="1"/>
  <c r="AI251" i="3" s="1"/>
  <c r="Z251" i="3"/>
  <c r="AL285" i="3"/>
  <c r="X285" i="3"/>
  <c r="Y285" i="3" s="1"/>
  <c r="Z285" i="3" s="1"/>
  <c r="AA285" i="3" s="1"/>
  <c r="AB285" i="3" s="1"/>
  <c r="AC285" i="3" s="1"/>
  <c r="AD285" i="3" s="1"/>
  <c r="AQ222" i="3"/>
  <c r="AQ320" i="3"/>
  <c r="AQ162" i="3"/>
  <c r="AL227" i="3"/>
  <c r="AQ227" i="3" s="1"/>
  <c r="AQ395" i="3"/>
  <c r="AL377" i="3"/>
  <c r="AQ377" i="3" s="1"/>
  <c r="AM128" i="1"/>
  <c r="AM149" i="1"/>
  <c r="AW77" i="2"/>
  <c r="AW78" i="2"/>
  <c r="AW202" i="2"/>
  <c r="AM104" i="1"/>
  <c r="AM163" i="1"/>
  <c r="AM168" i="1"/>
  <c r="AW19" i="2"/>
  <c r="AW56" i="2"/>
  <c r="AW57" i="2"/>
  <c r="AM59" i="1"/>
  <c r="AW88" i="2"/>
  <c r="AW94" i="2"/>
  <c r="AM121" i="1"/>
  <c r="AW286" i="2"/>
  <c r="AM97" i="1"/>
  <c r="AM179" i="1"/>
  <c r="AW250" i="2"/>
  <c r="AM74" i="1"/>
  <c r="AM244" i="1"/>
  <c r="AW52" i="2"/>
  <c r="AW131" i="2"/>
  <c r="AW132" i="2"/>
  <c r="AW214" i="2"/>
  <c r="AM35" i="1"/>
  <c r="AM38" i="1"/>
  <c r="AM39" i="1"/>
  <c r="AM40" i="1"/>
  <c r="AM110" i="1"/>
  <c r="AM132" i="1"/>
  <c r="AM140" i="1"/>
  <c r="AW122" i="2"/>
  <c r="AW123" i="2"/>
  <c r="AW178" i="2"/>
  <c r="AM65" i="1"/>
  <c r="AM93" i="1"/>
  <c r="AM117" i="1"/>
  <c r="AM173" i="1"/>
  <c r="AM182" i="1"/>
  <c r="AM220" i="1"/>
  <c r="AM232" i="1"/>
  <c r="AW175" i="2"/>
  <c r="AW298" i="2"/>
  <c r="AM33" i="1"/>
  <c r="AM72" i="1"/>
  <c r="AM92" i="1"/>
  <c r="AM116" i="1"/>
  <c r="AM138" i="1"/>
  <c r="AM227" i="1"/>
  <c r="AM246" i="1"/>
  <c r="AW61" i="2"/>
  <c r="AW67" i="2"/>
  <c r="AW155" i="2"/>
  <c r="AW156" i="2"/>
  <c r="AW262" i="2"/>
  <c r="AM166" i="1"/>
  <c r="AM177" i="1"/>
  <c r="AM178" i="1"/>
  <c r="AM247" i="1"/>
  <c r="AW226" i="2"/>
  <c r="AM22" i="1"/>
  <c r="AM109" i="1"/>
  <c r="AW190" i="2"/>
  <c r="AM124" i="1"/>
  <c r="AM222" i="1"/>
  <c r="AW35" i="2"/>
  <c r="AW36" i="2"/>
  <c r="AW104" i="2"/>
  <c r="AW105" i="2"/>
  <c r="AM83" i="1"/>
  <c r="AM85" i="1"/>
  <c r="AM170" i="1"/>
  <c r="AM172" i="1"/>
  <c r="AM223" i="1"/>
  <c r="AW41" i="2"/>
  <c r="AW42" i="2"/>
  <c r="AW95" i="2"/>
  <c r="AW96" i="2"/>
  <c r="AW22" i="2"/>
  <c r="AW44" i="2"/>
  <c r="AW45" i="2"/>
  <c r="AW59" i="2"/>
  <c r="AW60" i="2"/>
  <c r="AW73" i="2"/>
  <c r="AW107" i="2"/>
  <c r="AW108" i="2"/>
  <c r="AW134" i="2"/>
  <c r="AW135" i="2"/>
  <c r="AW163" i="2"/>
  <c r="AW166" i="2"/>
  <c r="AW173" i="2"/>
  <c r="AW174" i="2"/>
  <c r="AW184" i="2"/>
  <c r="AW196" i="2"/>
  <c r="AW208" i="2"/>
  <c r="AW220" i="2"/>
  <c r="AW232" i="2"/>
  <c r="AW244" i="2"/>
  <c r="AW256" i="2"/>
  <c r="AW268" i="2"/>
  <c r="AW280" i="2"/>
  <c r="AW292" i="2"/>
  <c r="AM24" i="1"/>
  <c r="AM41" i="1"/>
  <c r="AM42" i="1"/>
  <c r="AM43" i="1"/>
  <c r="AM56" i="1"/>
  <c r="AM80" i="1"/>
  <c r="AM94" i="1"/>
  <c r="AM106" i="1"/>
  <c r="AM118" i="1"/>
  <c r="AM126" i="1"/>
  <c r="AM151" i="1"/>
  <c r="AM158" i="1"/>
  <c r="AM216" i="1"/>
  <c r="AM221" i="1"/>
  <c r="AM240" i="1"/>
  <c r="AM245" i="1"/>
  <c r="AW40" i="2"/>
  <c r="AW55" i="2"/>
  <c r="AW83" i="2"/>
  <c r="AW84" i="2"/>
  <c r="AW100" i="2"/>
  <c r="AW127" i="2"/>
  <c r="AW137" i="2"/>
  <c r="AW138" i="2"/>
  <c r="AW299" i="2"/>
  <c r="AM34" i="1"/>
  <c r="AM44" i="1"/>
  <c r="AM45" i="1"/>
  <c r="AM46" i="1"/>
  <c r="AM47" i="1"/>
  <c r="AM48" i="1"/>
  <c r="AM49" i="1"/>
  <c r="AM58" i="1"/>
  <c r="AM71" i="1"/>
  <c r="AM73" i="1"/>
  <c r="AM82" i="1"/>
  <c r="AM102" i="1"/>
  <c r="AM114" i="1"/>
  <c r="AM137" i="1"/>
  <c r="AM147" i="1"/>
  <c r="AM160" i="1"/>
  <c r="AM167" i="1"/>
  <c r="AM217" i="1"/>
  <c r="AM241" i="1"/>
  <c r="AW29" i="2"/>
  <c r="AW30" i="2"/>
  <c r="AW76" i="2"/>
  <c r="AW86" i="2"/>
  <c r="AW87" i="2"/>
  <c r="AW110" i="2"/>
  <c r="AW111" i="2"/>
  <c r="AW140" i="2"/>
  <c r="AW141" i="2"/>
  <c r="AW169" i="2"/>
  <c r="AM23" i="1"/>
  <c r="AM32" i="1"/>
  <c r="AM50" i="1"/>
  <c r="AM51" i="1"/>
  <c r="AM52" i="1"/>
  <c r="AM90" i="1"/>
  <c r="AM125" i="1"/>
  <c r="AM139" i="1"/>
  <c r="AM169" i="1"/>
  <c r="AM176" i="1"/>
  <c r="AM180" i="1"/>
  <c r="AM181" i="1"/>
  <c r="AM225" i="1"/>
  <c r="AM230" i="1"/>
  <c r="AW11" i="2"/>
  <c r="AW12" i="2"/>
  <c r="AW25" i="2"/>
  <c r="AW47" i="2"/>
  <c r="AW48" i="2"/>
  <c r="AW89" i="2"/>
  <c r="AW103" i="2"/>
  <c r="AW130" i="2"/>
  <c r="AW176" i="2"/>
  <c r="AW177" i="2"/>
  <c r="AW179" i="2"/>
  <c r="AW180" i="2"/>
  <c r="AW191" i="2"/>
  <c r="AW192" i="2"/>
  <c r="AW203" i="2"/>
  <c r="AW204" i="2"/>
  <c r="AW215" i="2"/>
  <c r="AW216" i="2"/>
  <c r="AW227" i="2"/>
  <c r="AW228" i="2"/>
  <c r="AW239" i="2"/>
  <c r="AW240" i="2"/>
  <c r="AW251" i="2"/>
  <c r="AW252" i="2"/>
  <c r="AW263" i="2"/>
  <c r="AW264" i="2"/>
  <c r="AW275" i="2"/>
  <c r="AW276" i="2"/>
  <c r="AW287" i="2"/>
  <c r="AW288" i="2"/>
  <c r="AM25" i="1"/>
  <c r="AM53" i="1"/>
  <c r="AM54" i="1"/>
  <c r="AM55" i="1"/>
  <c r="AM69" i="1"/>
  <c r="AM78" i="1"/>
  <c r="AM101" i="1"/>
  <c r="AM113" i="1"/>
  <c r="AM127" i="1"/>
  <c r="AM135" i="1"/>
  <c r="AM146" i="1"/>
  <c r="AM156" i="1"/>
  <c r="AM226" i="1"/>
  <c r="AW43" i="2"/>
  <c r="AW58" i="2"/>
  <c r="AW62" i="2"/>
  <c r="AW63" i="2"/>
  <c r="AW79" i="2"/>
  <c r="AW113" i="2"/>
  <c r="AW114" i="2"/>
  <c r="AW143" i="2"/>
  <c r="AW144" i="2"/>
  <c r="AW187" i="2"/>
  <c r="AW199" i="2"/>
  <c r="AW211" i="2"/>
  <c r="AW223" i="2"/>
  <c r="AW235" i="2"/>
  <c r="AW247" i="2"/>
  <c r="AW259" i="2"/>
  <c r="AW271" i="2"/>
  <c r="AW283" i="2"/>
  <c r="AW295" i="2"/>
  <c r="AM21" i="1"/>
  <c r="AM26" i="1"/>
  <c r="AM27" i="1"/>
  <c r="AM28" i="1"/>
  <c r="AM29" i="1"/>
  <c r="AM89" i="1"/>
  <c r="AM103" i="1"/>
  <c r="AM115" i="1"/>
  <c r="AM123" i="1"/>
  <c r="AM148" i="1"/>
  <c r="AM165" i="1"/>
  <c r="AM215" i="1"/>
  <c r="AM234" i="1"/>
  <c r="AM239" i="1"/>
  <c r="AW14" i="2"/>
  <c r="AW15" i="2"/>
  <c r="AW32" i="2"/>
  <c r="AW33" i="2"/>
  <c r="AW90" i="2"/>
  <c r="AW106" i="2"/>
  <c r="AW116" i="2"/>
  <c r="AW117" i="2"/>
  <c r="AW133" i="2"/>
  <c r="AW146" i="2"/>
  <c r="AW147" i="2"/>
  <c r="AW172" i="2"/>
  <c r="AM30" i="1"/>
  <c r="AM66" i="1"/>
  <c r="AM68" i="1"/>
  <c r="AM77" i="1"/>
  <c r="AM91" i="1"/>
  <c r="AM99" i="1"/>
  <c r="AM111" i="1"/>
  <c r="AM134" i="1"/>
  <c r="AM174" i="1"/>
  <c r="AM235" i="1"/>
  <c r="AW28" i="2"/>
  <c r="AW65" i="2"/>
  <c r="AW66" i="2"/>
  <c r="AW82" i="2"/>
  <c r="AW92" i="2"/>
  <c r="AW93" i="2"/>
  <c r="AW136" i="2"/>
  <c r="AW149" i="2"/>
  <c r="AW150" i="2"/>
  <c r="AM20" i="1"/>
  <c r="AM31" i="1"/>
  <c r="AM70" i="1"/>
  <c r="AM79" i="1"/>
  <c r="AM87" i="1"/>
  <c r="AM122" i="1"/>
  <c r="AM136" i="1"/>
  <c r="AM144" i="1"/>
  <c r="AM155" i="1"/>
  <c r="AM157" i="1"/>
  <c r="AM164" i="1"/>
  <c r="AM219" i="1"/>
  <c r="AM224" i="1"/>
  <c r="AM243" i="1"/>
  <c r="AW10" i="2"/>
  <c r="AW17" i="2"/>
  <c r="AW18" i="2"/>
  <c r="AW46" i="2"/>
  <c r="AW50" i="2"/>
  <c r="AW51" i="2"/>
  <c r="AW85" i="2"/>
  <c r="AW109" i="2"/>
  <c r="AW119" i="2"/>
  <c r="AW120" i="2"/>
  <c r="AW139" i="2"/>
  <c r="AW152" i="2"/>
  <c r="AW153" i="2"/>
  <c r="AW182" i="2"/>
  <c r="AW183" i="2"/>
  <c r="AW194" i="2"/>
  <c r="AW195" i="2"/>
  <c r="AW206" i="2"/>
  <c r="AW207" i="2"/>
  <c r="AW218" i="2"/>
  <c r="AW219" i="2"/>
  <c r="AW230" i="2"/>
  <c r="AW231" i="2"/>
  <c r="AW242" i="2"/>
  <c r="AW243" i="2"/>
  <c r="AW254" i="2"/>
  <c r="AW255" i="2"/>
  <c r="AW266" i="2"/>
  <c r="AW267" i="2"/>
  <c r="AW278" i="2"/>
  <c r="AW279" i="2"/>
  <c r="AW290" i="2"/>
  <c r="AW291" i="2"/>
  <c r="AM63" i="1"/>
  <c r="AM67" i="1"/>
  <c r="AM86" i="1"/>
  <c r="AM96" i="1"/>
  <c r="AM100" i="1"/>
  <c r="AM112" i="1"/>
  <c r="AM143" i="1"/>
  <c r="AM153" i="1"/>
  <c r="AM175" i="1"/>
  <c r="AM183" i="1"/>
  <c r="AM184" i="1"/>
  <c r="AM228" i="1"/>
  <c r="AM233" i="1"/>
  <c r="AW13" i="2"/>
  <c r="AW31" i="2"/>
  <c r="AW68" i="2"/>
  <c r="AW69" i="2"/>
  <c r="AW112" i="2"/>
  <c r="AW142" i="2"/>
  <c r="AW158" i="2"/>
  <c r="AW159" i="2"/>
  <c r="AM18" i="1"/>
  <c r="AM75" i="1"/>
  <c r="AM88" i="1"/>
  <c r="AM108" i="1"/>
  <c r="AM120" i="1"/>
  <c r="AM131" i="1"/>
  <c r="AM145" i="1"/>
  <c r="AM162" i="1"/>
  <c r="AM229" i="1"/>
  <c r="AW20" i="2"/>
  <c r="AW21" i="2"/>
  <c r="AW53" i="2"/>
  <c r="AW54" i="2"/>
  <c r="AW64" i="2"/>
  <c r="AW71" i="2"/>
  <c r="AW72" i="2"/>
  <c r="AW98" i="2"/>
  <c r="AW99" i="2"/>
  <c r="AW115" i="2"/>
  <c r="AW125" i="2"/>
  <c r="AW126" i="2"/>
  <c r="AW145" i="2"/>
  <c r="AW161" i="2"/>
  <c r="AW162" i="2"/>
  <c r="AW164" i="2"/>
  <c r="AW165" i="2"/>
  <c r="AM17" i="1"/>
  <c r="AM62" i="1"/>
  <c r="AM84" i="1"/>
  <c r="AM95" i="1"/>
  <c r="AM133" i="1"/>
  <c r="AM152" i="1"/>
  <c r="AM171" i="1"/>
  <c r="AM213" i="1"/>
  <c r="AM218" i="1"/>
  <c r="AM237" i="1"/>
  <c r="AM242" i="1"/>
  <c r="AW16" i="2"/>
  <c r="AW38" i="2"/>
  <c r="AW39" i="2"/>
  <c r="AW49" i="2"/>
  <c r="AW74" i="2"/>
  <c r="AW75" i="2"/>
  <c r="AW91" i="2"/>
  <c r="AW167" i="2"/>
  <c r="AW168" i="2"/>
  <c r="AW185" i="2"/>
  <c r="AW186" i="2"/>
  <c r="AW197" i="2"/>
  <c r="AW198" i="2"/>
  <c r="AW209" i="2"/>
  <c r="AW210" i="2"/>
  <c r="AW221" i="2"/>
  <c r="AW222" i="2"/>
  <c r="AW233" i="2"/>
  <c r="AW234" i="2"/>
  <c r="AW245" i="2"/>
  <c r="AW246" i="2"/>
  <c r="AW257" i="2"/>
  <c r="AW258" i="2"/>
  <c r="AW269" i="2"/>
  <c r="AW270" i="2"/>
  <c r="AW281" i="2"/>
  <c r="AW282" i="2"/>
  <c r="AW293" i="2"/>
  <c r="AW294" i="2"/>
  <c r="AM19" i="1"/>
  <c r="AM36" i="1"/>
  <c r="AM60" i="1"/>
  <c r="AM64" i="1"/>
  <c r="AM76" i="1"/>
  <c r="AM107" i="1"/>
  <c r="AM119" i="1"/>
  <c r="AM129" i="1"/>
  <c r="AM141" i="1"/>
  <c r="AM154" i="1"/>
  <c r="AM161" i="1"/>
  <c r="AM214" i="1"/>
  <c r="AM238" i="1"/>
  <c r="AW23" i="2"/>
  <c r="AW24" i="2"/>
  <c r="AW34" i="2"/>
  <c r="AW101" i="2"/>
  <c r="AW102" i="2"/>
  <c r="AW118" i="2"/>
  <c r="AW128" i="2"/>
  <c r="AW129" i="2"/>
  <c r="AW148" i="2"/>
  <c r="AW151" i="2"/>
  <c r="AW181" i="2"/>
  <c r="AW193" i="2"/>
  <c r="AW205" i="2"/>
  <c r="AW217" i="2"/>
  <c r="AW229" i="2"/>
  <c r="AW241" i="2"/>
  <c r="AW253" i="2"/>
  <c r="AW265" i="2"/>
  <c r="AW277" i="2"/>
  <c r="AW289" i="2"/>
  <c r="AW121" i="2"/>
  <c r="AW154" i="2"/>
  <c r="AW170" i="2"/>
  <c r="AW171" i="2"/>
  <c r="AM37" i="1"/>
  <c r="AM57" i="1"/>
  <c r="AM61" i="1"/>
  <c r="AM81" i="1"/>
  <c r="AM130" i="1"/>
  <c r="AM142" i="1"/>
  <c r="AM159" i="1"/>
  <c r="AM212" i="1"/>
  <c r="AM231" i="1"/>
  <c r="AW26" i="2"/>
  <c r="AW27" i="2"/>
  <c r="AW37" i="2"/>
  <c r="AW70" i="2"/>
  <c r="AW80" i="2"/>
  <c r="AW81" i="2"/>
  <c r="AW97" i="2"/>
  <c r="AW124" i="2"/>
  <c r="AW160" i="2"/>
  <c r="AW188" i="2"/>
  <c r="AW189" i="2"/>
  <c r="AW200" i="2"/>
  <c r="AW201" i="2"/>
  <c r="AW212" i="2"/>
  <c r="AW213" i="2"/>
  <c r="AW224" i="2"/>
  <c r="AW225" i="2"/>
  <c r="AW236" i="2"/>
  <c r="AW237" i="2"/>
  <c r="AW248" i="2"/>
  <c r="AW249" i="2"/>
  <c r="AW260" i="2"/>
  <c r="AW261" i="2"/>
  <c r="AW272" i="2"/>
  <c r="AW273" i="2"/>
  <c r="AW284" i="2"/>
  <c r="AW285" i="2"/>
  <c r="AW296" i="2"/>
  <c r="AW297" i="2"/>
  <c r="AL205" i="3" l="1"/>
  <c r="AG207" i="3"/>
  <c r="AF207" i="3" s="1"/>
  <c r="AE207" i="3" s="1"/>
  <c r="AG199" i="3"/>
  <c r="AF199" i="3" s="1"/>
  <c r="AE199" i="3" s="1"/>
  <c r="AG111" i="3"/>
  <c r="AF111" i="3" s="1"/>
  <c r="AE111" i="3" s="1"/>
  <c r="AG60" i="3"/>
  <c r="AF60" i="3" s="1"/>
  <c r="AE60" i="3" s="1"/>
  <c r="AL81" i="3"/>
  <c r="AH83" i="3"/>
  <c r="AI111" i="3"/>
  <c r="AH231" i="3"/>
  <c r="AH111" i="3"/>
  <c r="AI60" i="3"/>
  <c r="AG231" i="3"/>
  <c r="AF231" i="3" s="1"/>
  <c r="AE231" i="3" s="1"/>
  <c r="AQ199" i="3"/>
  <c r="AH67" i="3"/>
  <c r="AQ309" i="3"/>
  <c r="AL307" i="3"/>
  <c r="AI325" i="3"/>
  <c r="AG309" i="3"/>
  <c r="AF309" i="3" s="1"/>
  <c r="AE309" i="3" s="1"/>
  <c r="AQ325" i="3"/>
  <c r="AH325" i="3"/>
  <c r="AG219" i="3"/>
  <c r="AF219" i="3" s="1"/>
  <c r="AE219" i="3" s="1"/>
  <c r="AH309" i="3"/>
  <c r="AH207" i="3"/>
  <c r="AL323" i="3"/>
  <c r="AH219" i="3"/>
  <c r="AL217" i="3"/>
  <c r="AL65" i="3"/>
  <c r="AH247" i="3"/>
  <c r="AI135" i="3"/>
  <c r="AH135" i="3"/>
  <c r="AL245" i="3"/>
  <c r="AQ270" i="3"/>
  <c r="C409" i="3"/>
  <c r="C408" i="3"/>
  <c r="AI247" i="3"/>
  <c r="AH270" i="3"/>
  <c r="AG270" i="3"/>
  <c r="AF270" i="3" s="1"/>
  <c r="AE270" i="3" s="1"/>
  <c r="AL268" i="3"/>
  <c r="AQ135" i="3"/>
  <c r="AL39" i="3"/>
  <c r="AI41" i="3"/>
  <c r="AG41" i="3"/>
  <c r="AF41" i="3" s="1"/>
  <c r="AE41" i="3" s="1"/>
  <c r="AH41" i="3"/>
  <c r="AQ231" i="3"/>
  <c r="AQ207" i="3"/>
  <c r="AH123" i="3"/>
  <c r="AG123" i="3"/>
  <c r="AF123" i="3" s="1"/>
  <c r="AE123" i="3" s="1"/>
  <c r="AI123" i="3"/>
  <c r="AL121" i="3"/>
  <c r="AL101" i="3"/>
  <c r="AQ103" i="3"/>
  <c r="AI103" i="3"/>
  <c r="AH103" i="3"/>
  <c r="AG103" i="3"/>
  <c r="AF103" i="3" s="1"/>
  <c r="AE103" i="3" s="1"/>
  <c r="AL295" i="3"/>
  <c r="AI297" i="3"/>
  <c r="AH297" i="3"/>
  <c r="AG297" i="3"/>
  <c r="AF297" i="3" s="1"/>
  <c r="AE297" i="3" s="1"/>
  <c r="AQ297" i="3"/>
  <c r="V263" i="3"/>
  <c r="U263" i="3" s="1"/>
  <c r="T263" i="3" s="1"/>
  <c r="O263" i="3" s="1"/>
  <c r="P263" i="3" s="1"/>
  <c r="Q263" i="3" s="1"/>
  <c r="R263" i="3" s="1"/>
  <c r="S263" i="3" s="1"/>
  <c r="AL263" i="3"/>
  <c r="AB270" i="3"/>
  <c r="AC270" i="3"/>
  <c r="AD270" i="3" s="1"/>
  <c r="AI163" i="3"/>
  <c r="AG163" i="3"/>
  <c r="AF163" i="3" s="1"/>
  <c r="AE163" i="3" s="1"/>
  <c r="AL161" i="3"/>
  <c r="AH163" i="3"/>
  <c r="AH75" i="3"/>
  <c r="AG75" i="3"/>
  <c r="AF75" i="3" s="1"/>
  <c r="AE75" i="3" s="1"/>
  <c r="AL73" i="3"/>
  <c r="AI75" i="3"/>
  <c r="AH243" i="3"/>
  <c r="AG243" i="3"/>
  <c r="AF243" i="3" s="1"/>
  <c r="AE243" i="3" s="1"/>
  <c r="AL241" i="3"/>
  <c r="AI243" i="3"/>
  <c r="AH223" i="3"/>
  <c r="AL221" i="3"/>
  <c r="AQ223" i="3"/>
  <c r="AG223" i="3"/>
  <c r="AF223" i="3" s="1"/>
  <c r="AE223" i="3" s="1"/>
  <c r="AI223" i="3"/>
  <c r="AH203" i="3"/>
  <c r="AG203" i="3"/>
  <c r="AF203" i="3" s="1"/>
  <c r="AE203" i="3" s="1"/>
  <c r="AL201" i="3"/>
  <c r="AI203" i="3"/>
  <c r="AG29" i="3"/>
  <c r="AF29" i="3" s="1"/>
  <c r="AE29" i="3" s="1"/>
  <c r="AI29" i="3"/>
  <c r="AH29" i="3"/>
  <c r="AQ29" i="3"/>
  <c r="AG388" i="3"/>
  <c r="AF388" i="3" s="1"/>
  <c r="AE388" i="3" s="1"/>
  <c r="AH388" i="3"/>
  <c r="AL386" i="3"/>
  <c r="AQ388" i="3"/>
  <c r="AI388" i="3"/>
  <c r="AH321" i="3"/>
  <c r="AQ321" i="3"/>
  <c r="AG321" i="3"/>
  <c r="AF321" i="3" s="1"/>
  <c r="AE321" i="3" s="1"/>
  <c r="AL319" i="3"/>
  <c r="AI321" i="3"/>
  <c r="AL276" i="3"/>
  <c r="AI277" i="3"/>
  <c r="AG277" i="3"/>
  <c r="AF277" i="3" s="1"/>
  <c r="AE277" i="3" s="1"/>
  <c r="AH277" i="3"/>
  <c r="AQ277" i="3"/>
  <c r="Y239" i="3"/>
  <c r="Z239" i="3" s="1"/>
  <c r="AA239" i="3" s="1"/>
  <c r="X237" i="3"/>
  <c r="AI285" i="3"/>
  <c r="AH285" i="3"/>
  <c r="AL283" i="3"/>
  <c r="AG285" i="3"/>
  <c r="AF285" i="3" s="1"/>
  <c r="AE285" i="3" s="1"/>
  <c r="AQ285" i="3"/>
  <c r="AH301" i="3"/>
  <c r="AL299" i="3"/>
  <c r="AI301" i="3"/>
  <c r="AG301" i="3"/>
  <c r="AF301" i="3" s="1"/>
  <c r="AE301" i="3" s="1"/>
  <c r="AH21" i="3"/>
  <c r="AG21" i="3"/>
  <c r="AF21" i="3" s="1"/>
  <c r="AE21" i="3" s="1"/>
  <c r="AI21" i="3"/>
  <c r="AL141" i="3"/>
  <c r="AH143" i="3"/>
  <c r="AG143" i="3"/>
  <c r="AF143" i="3" s="1"/>
  <c r="AE143" i="3" s="1"/>
  <c r="AI143" i="3"/>
  <c r="AI127" i="3"/>
  <c r="AH127" i="3"/>
  <c r="AG127" i="3"/>
  <c r="AF127" i="3" s="1"/>
  <c r="AE127" i="3" s="1"/>
  <c r="AL125" i="3"/>
  <c r="AB259" i="3"/>
  <c r="AC259" i="3"/>
  <c r="AL355" i="3"/>
  <c r="AI357" i="3"/>
  <c r="AG357" i="3"/>
  <c r="AF357" i="3" s="1"/>
  <c r="AE357" i="3" s="1"/>
  <c r="AH357" i="3"/>
  <c r="AL35" i="3"/>
  <c r="AI37" i="3"/>
  <c r="AH37" i="3"/>
  <c r="AG37" i="3"/>
  <c r="AF37" i="3" s="1"/>
  <c r="AE37" i="3" s="1"/>
  <c r="AI48" i="3"/>
  <c r="AG48" i="3"/>
  <c r="AF48" i="3" s="1"/>
  <c r="AE48" i="3" s="1"/>
  <c r="AL46" i="3"/>
  <c r="AH48" i="3"/>
  <c r="Y247" i="3"/>
  <c r="Z247" i="3" s="1"/>
  <c r="AA247" i="3" s="1"/>
  <c r="X245" i="3"/>
  <c r="AL394" i="3"/>
  <c r="AI396" i="3"/>
  <c r="AG396" i="3"/>
  <c r="AF396" i="3" s="1"/>
  <c r="AE396" i="3" s="1"/>
  <c r="AH396" i="3"/>
  <c r="AH195" i="3"/>
  <c r="AG195" i="3"/>
  <c r="AF195" i="3" s="1"/>
  <c r="AE195" i="3" s="1"/>
  <c r="AI195" i="3"/>
  <c r="AL193" i="3"/>
  <c r="AH52" i="3"/>
  <c r="AG52" i="3"/>
  <c r="AF52" i="3" s="1"/>
  <c r="AE52" i="3" s="1"/>
  <c r="AL50" i="3"/>
  <c r="AI52" i="3"/>
  <c r="AH191" i="3"/>
  <c r="AG191" i="3"/>
  <c r="AF191" i="3" s="1"/>
  <c r="AE191" i="3" s="1"/>
  <c r="AI191" i="3"/>
  <c r="AQ191" i="3"/>
  <c r="AL189" i="3"/>
  <c r="AL327" i="3"/>
  <c r="AI329" i="3"/>
  <c r="AH329" i="3"/>
  <c r="AQ329" i="3"/>
  <c r="AG329" i="3"/>
  <c r="AF329" i="3" s="1"/>
  <c r="AE329" i="3" s="1"/>
  <c r="AL153" i="3"/>
  <c r="AI155" i="3"/>
  <c r="AH155" i="3"/>
  <c r="AG155" i="3"/>
  <c r="AF155" i="3" s="1"/>
  <c r="AE155" i="3" s="1"/>
  <c r="AL97" i="3"/>
  <c r="AG99" i="3"/>
  <c r="AF99" i="3" s="1"/>
  <c r="AE99" i="3" s="1"/>
  <c r="AH99" i="3"/>
  <c r="AI99" i="3"/>
  <c r="AQ123" i="3"/>
  <c r="AI293" i="3"/>
  <c r="AH293" i="3"/>
  <c r="AL291" i="3"/>
  <c r="AQ293" i="3"/>
  <c r="AG293" i="3"/>
  <c r="AF293" i="3" s="1"/>
  <c r="AE293" i="3" s="1"/>
  <c r="AH227" i="3"/>
  <c r="AL225" i="3"/>
  <c r="AG227" i="3"/>
  <c r="AF227" i="3" s="1"/>
  <c r="AE227" i="3" s="1"/>
  <c r="AI227" i="3"/>
  <c r="AQ349" i="3"/>
  <c r="AL347" i="3"/>
  <c r="AH349" i="3"/>
  <c r="AG349" i="3"/>
  <c r="AF349" i="3" s="1"/>
  <c r="AE349" i="3" s="1"/>
  <c r="AI349" i="3"/>
  <c r="AQ384" i="3"/>
  <c r="AL382" i="3"/>
  <c r="AG384" i="3"/>
  <c r="AF384" i="3" s="1"/>
  <c r="AE384" i="3" s="1"/>
  <c r="AI384" i="3"/>
  <c r="AH384" i="3"/>
  <c r="AA266" i="3"/>
  <c r="Z266" i="3"/>
  <c r="AH408" i="3"/>
  <c r="AQ408" i="3"/>
  <c r="AL406" i="3"/>
  <c r="AI408" i="3"/>
  <c r="AG408" i="3"/>
  <c r="AF408" i="3" s="1"/>
  <c r="AE408" i="3" s="1"/>
  <c r="AL173" i="3"/>
  <c r="AI175" i="3"/>
  <c r="AQ175" i="3"/>
  <c r="AH175" i="3"/>
  <c r="AG175" i="3"/>
  <c r="AF175" i="3" s="1"/>
  <c r="AE175" i="3" s="1"/>
  <c r="AQ143" i="3"/>
  <c r="AH412" i="3"/>
  <c r="AL410" i="3"/>
  <c r="AI412" i="3"/>
  <c r="AG412" i="3"/>
  <c r="AF412" i="3" s="1"/>
  <c r="AE412" i="3" s="1"/>
  <c r="AI211" i="3"/>
  <c r="AH211" i="3"/>
  <c r="AG211" i="3"/>
  <c r="AF211" i="3" s="1"/>
  <c r="AE211" i="3" s="1"/>
  <c r="AL209" i="3"/>
  <c r="AH345" i="3"/>
  <c r="AL343" i="3"/>
  <c r="AI345" i="3"/>
  <c r="AG345" i="3"/>
  <c r="AF345" i="3" s="1"/>
  <c r="AE345" i="3" s="1"/>
  <c r="AI25" i="3"/>
  <c r="AH25" i="3"/>
  <c r="AG25" i="3"/>
  <c r="AF25" i="3" s="1"/>
  <c r="AE25" i="3" s="1"/>
  <c r="AQ25" i="3"/>
  <c r="AG369" i="3"/>
  <c r="AF369" i="3" s="1"/>
  <c r="AE369" i="3" s="1"/>
  <c r="AH369" i="3"/>
  <c r="AQ369" i="3"/>
  <c r="AI369" i="3"/>
  <c r="AL145" i="3"/>
  <c r="AH147" i="3"/>
  <c r="AI147" i="3"/>
  <c r="AG147" i="3"/>
  <c r="AF147" i="3" s="1"/>
  <c r="AE147" i="3" s="1"/>
  <c r="AI183" i="3"/>
  <c r="AG183" i="3"/>
  <c r="AF183" i="3" s="1"/>
  <c r="AE183" i="3" s="1"/>
  <c r="AL181" i="3"/>
  <c r="AH183" i="3"/>
  <c r="AL390" i="3"/>
  <c r="AI392" i="3"/>
  <c r="AH392" i="3"/>
  <c r="AG392" i="3"/>
  <c r="AF392" i="3" s="1"/>
  <c r="AE392" i="3" s="1"/>
  <c r="AH71" i="3"/>
  <c r="AI71" i="3"/>
  <c r="AL69" i="3"/>
  <c r="AG71" i="3"/>
  <c r="AF71" i="3" s="1"/>
  <c r="AE71" i="3" s="1"/>
  <c r="AG44" i="3"/>
  <c r="AF44" i="3" s="1"/>
  <c r="AE44" i="3" s="1"/>
  <c r="AI44" i="3"/>
  <c r="AL43" i="3"/>
  <c r="AQ44" i="3"/>
  <c r="AH44" i="3"/>
  <c r="AI139" i="3"/>
  <c r="AL137" i="3"/>
  <c r="AH139" i="3"/>
  <c r="AG139" i="3"/>
  <c r="AF139" i="3" s="1"/>
  <c r="AE139" i="3" s="1"/>
  <c r="AG353" i="3"/>
  <c r="AF353" i="3" s="1"/>
  <c r="AE353" i="3" s="1"/>
  <c r="AI353" i="3"/>
  <c r="AL351" i="3"/>
  <c r="AQ353" i="3"/>
  <c r="AH353" i="3"/>
  <c r="AI187" i="3"/>
  <c r="AH187" i="3"/>
  <c r="AL185" i="3"/>
  <c r="AQ187" i="3"/>
  <c r="AG187" i="3"/>
  <c r="AF187" i="3" s="1"/>
  <c r="AE187" i="3" s="1"/>
  <c r="AL237" i="3"/>
  <c r="AI239" i="3"/>
  <c r="AG239" i="3"/>
  <c r="AF239" i="3" s="1"/>
  <c r="AE239" i="3" s="1"/>
  <c r="AH239" i="3"/>
  <c r="AG119" i="3"/>
  <c r="AF119" i="3" s="1"/>
  <c r="AE119" i="3" s="1"/>
  <c r="AL117" i="3"/>
  <c r="AH119" i="3"/>
  <c r="AI119" i="3"/>
  <c r="AH337" i="3"/>
  <c r="AQ337" i="3"/>
  <c r="AI337" i="3"/>
  <c r="AG337" i="3"/>
  <c r="AF337" i="3" s="1"/>
  <c r="AE337" i="3" s="1"/>
  <c r="AI215" i="3"/>
  <c r="AH215" i="3"/>
  <c r="AG215" i="3"/>
  <c r="AF215" i="3" s="1"/>
  <c r="AE215" i="3" s="1"/>
  <c r="AL213" i="3"/>
  <c r="AQ183" i="3"/>
  <c r="AG131" i="3"/>
  <c r="AF131" i="3" s="1"/>
  <c r="AE131" i="3" s="1"/>
  <c r="AH131" i="3"/>
  <c r="AL129" i="3"/>
  <c r="AI131" i="3"/>
  <c r="AQ131" i="3"/>
  <c r="AI259" i="3"/>
  <c r="AH259" i="3"/>
  <c r="AL257" i="3"/>
  <c r="AQ259" i="3"/>
  <c r="AG259" i="3"/>
  <c r="AF259" i="3" s="1"/>
  <c r="AE259" i="3" s="1"/>
  <c r="AE260" i="3" s="1"/>
  <c r="AI281" i="3"/>
  <c r="AG281" i="3"/>
  <c r="AF281" i="3" s="1"/>
  <c r="AE281" i="3" s="1"/>
  <c r="AH281" i="3"/>
  <c r="AL279" i="3"/>
  <c r="AI87" i="3"/>
  <c r="AL85" i="3"/>
  <c r="AH87" i="3"/>
  <c r="AG87" i="3"/>
  <c r="AF87" i="3" s="1"/>
  <c r="AE87" i="3" s="1"/>
  <c r="AI167" i="3"/>
  <c r="AG167" i="3"/>
  <c r="AF167" i="3" s="1"/>
  <c r="AE167" i="3" s="1"/>
  <c r="AH167" i="3"/>
  <c r="AL165" i="3"/>
  <c r="AL331" i="3"/>
  <c r="AI333" i="3"/>
  <c r="AG333" i="3"/>
  <c r="AF333" i="3" s="1"/>
  <c r="AE333" i="3" s="1"/>
  <c r="AH333" i="3"/>
  <c r="AI159" i="3"/>
  <c r="AL157" i="3"/>
  <c r="AG159" i="3"/>
  <c r="AF159" i="3" s="1"/>
  <c r="AE159" i="3" s="1"/>
  <c r="AH159" i="3"/>
  <c r="AG365" i="3"/>
  <c r="AF365" i="3" s="1"/>
  <c r="AE365" i="3" s="1"/>
  <c r="AI365" i="3"/>
  <c r="AL363" i="3"/>
  <c r="AH365" i="3"/>
  <c r="AQ365" i="3"/>
  <c r="Y243" i="3"/>
  <c r="Z243" i="3" s="1"/>
  <c r="AA243" i="3" s="1"/>
  <c r="X241" i="3"/>
  <c r="AI179" i="3"/>
  <c r="AH179" i="3"/>
  <c r="AG179" i="3"/>
  <c r="AF179" i="3" s="1"/>
  <c r="AE179" i="3" s="1"/>
  <c r="AL177" i="3"/>
  <c r="AQ179" i="3"/>
  <c r="Y235" i="3"/>
  <c r="Z235" i="3" s="1"/>
  <c r="AA235" i="3" s="1"/>
  <c r="X233" i="3"/>
  <c r="AL31" i="3"/>
  <c r="AI33" i="3"/>
  <c r="AH33" i="3"/>
  <c r="AG33" i="3"/>
  <c r="AF33" i="3" s="1"/>
  <c r="AE33" i="3" s="1"/>
  <c r="AQ33" i="3"/>
  <c r="AI305" i="3"/>
  <c r="AG305" i="3"/>
  <c r="AF305" i="3" s="1"/>
  <c r="AE305" i="3" s="1"/>
  <c r="AH305" i="3"/>
  <c r="AL303" i="3"/>
  <c r="AH115" i="3"/>
  <c r="AG115" i="3"/>
  <c r="AF115" i="3" s="1"/>
  <c r="AE115" i="3" s="1"/>
  <c r="AL113" i="3"/>
  <c r="AI115" i="3"/>
  <c r="AH151" i="3"/>
  <c r="AI151" i="3"/>
  <c r="AG151" i="3"/>
  <c r="AF151" i="3" s="1"/>
  <c r="AE151" i="3" s="1"/>
  <c r="AL149" i="3"/>
  <c r="AL359" i="3"/>
  <c r="AI361" i="3"/>
  <c r="AG361" i="3"/>
  <c r="AF361" i="3" s="1"/>
  <c r="AE361" i="3" s="1"/>
  <c r="AH361" i="3"/>
  <c r="AI341" i="3"/>
  <c r="AG341" i="3"/>
  <c r="AF341" i="3" s="1"/>
  <c r="AE341" i="3" s="1"/>
  <c r="AL339" i="3"/>
  <c r="AH341" i="3"/>
  <c r="AQ416" i="3"/>
  <c r="AL414" i="3"/>
  <c r="AH416" i="3"/>
  <c r="AG416" i="3"/>
  <c r="AF416" i="3" s="1"/>
  <c r="AE416" i="3" s="1"/>
  <c r="AI416" i="3"/>
  <c r="AI255" i="3"/>
  <c r="AG255" i="3"/>
  <c r="AF255" i="3" s="1"/>
  <c r="AE255" i="3" s="1"/>
  <c r="AL253" i="3"/>
  <c r="AH255" i="3"/>
  <c r="AQ163" i="3"/>
  <c r="AQ239" i="3"/>
  <c r="W275" i="3"/>
  <c r="V274" i="3"/>
  <c r="U274" i="3" s="1"/>
  <c r="T274" i="3" s="1"/>
  <c r="O274" i="3" s="1"/>
  <c r="P274" i="3" s="1"/>
  <c r="Q274" i="3" s="1"/>
  <c r="R274" i="3" s="1"/>
  <c r="S274" i="3" s="1"/>
  <c r="AL274" i="3"/>
  <c r="AB255" i="3"/>
  <c r="AC255" i="3"/>
  <c r="AD255" i="3" s="1"/>
  <c r="AH63" i="3"/>
  <c r="AI63" i="3"/>
  <c r="AG63" i="3"/>
  <c r="AF63" i="3" s="1"/>
  <c r="AE63" i="3" s="1"/>
  <c r="AL62" i="3"/>
  <c r="AQ119" i="3"/>
  <c r="AL233" i="3"/>
  <c r="AI235" i="3"/>
  <c r="AH235" i="3"/>
  <c r="AG235" i="3"/>
  <c r="AF235" i="3" s="1"/>
  <c r="AE235" i="3" s="1"/>
  <c r="AQ235" i="3"/>
  <c r="AR21" i="3"/>
  <c r="AL77" i="3"/>
  <c r="AG79" i="3"/>
  <c r="AF79" i="3" s="1"/>
  <c r="AE79" i="3" s="1"/>
  <c r="AH79" i="3"/>
  <c r="AQ79" i="3"/>
  <c r="AI79" i="3"/>
  <c r="AB373" i="3"/>
  <c r="AC373" i="3" s="1"/>
  <c r="AD373" i="3" s="1"/>
  <c r="AA373" i="3"/>
  <c r="AQ215" i="3"/>
  <c r="AD274" i="3" l="1"/>
  <c r="AC243" i="3"/>
  <c r="AD243" i="3" s="1"/>
  <c r="AB243" i="3"/>
  <c r="AL272" i="3"/>
  <c r="AG274" i="3"/>
  <c r="AF274" i="3" s="1"/>
  <c r="AE274" i="3" s="1"/>
  <c r="AI274" i="3"/>
  <c r="AH274" i="3"/>
  <c r="AQ274" i="3"/>
  <c r="AB247" i="3"/>
  <c r="AC247" i="3"/>
  <c r="AD247" i="3" s="1"/>
  <c r="AB266" i="3"/>
  <c r="AC266" i="3"/>
  <c r="AD266" i="3" s="1"/>
  <c r="AD259" i="3"/>
  <c r="AD260" i="3" s="1"/>
  <c r="AC260" i="3"/>
  <c r="AQ263" i="3"/>
  <c r="AL261" i="3"/>
  <c r="AB239" i="3"/>
  <c r="AC239" i="3"/>
  <c r="AD239" i="3" s="1"/>
  <c r="AC235" i="3"/>
  <c r="AD235" i="3" s="1"/>
  <c r="AB23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lt109</author>
    <author>Yang Jian</author>
  </authors>
  <commentList>
    <comment ref="AM107" authorId="0" shapeId="0" xr:uid="{00000000-0006-0000-0000-000001000000}">
      <text>
        <r>
          <rPr>
            <b/>
            <sz val="9"/>
            <rFont val="SimSun"/>
            <charset val="134"/>
          </rPr>
          <t>lt109:</t>
        </r>
        <r>
          <rPr>
            <sz val="9"/>
            <rFont val="SimSun"/>
            <charset val="134"/>
          </rPr>
          <t xml:space="preserve">
rechceck ROS date
</t>
        </r>
      </text>
    </comment>
    <comment ref="AA281" authorId="1" shapeId="0" xr:uid="{00000000-0006-0000-0000-000002000000}">
      <text>
        <r>
          <rPr>
            <b/>
            <sz val="9"/>
            <rFont val="SimSun"/>
            <charset val="134"/>
          </rPr>
          <t>Yang Jian:</t>
        </r>
        <r>
          <rPr>
            <sz val="9"/>
            <rFont val="SimSun"/>
            <charset val="134"/>
          </rPr>
          <t xml:space="preserve">
MTO-IFR</t>
        </r>
      </text>
    </comment>
    <comment ref="AA285" authorId="1" shapeId="0" xr:uid="{00000000-0006-0000-0000-000003000000}">
      <text>
        <r>
          <rPr>
            <b/>
            <sz val="9"/>
            <rFont val="SimSun"/>
            <charset val="134"/>
          </rPr>
          <t>Yang Jian:</t>
        </r>
        <r>
          <rPr>
            <sz val="9"/>
            <rFont val="SimSun"/>
            <charset val="134"/>
          </rPr>
          <t xml:space="preserve">
MTO-IFR</t>
        </r>
      </text>
    </comment>
    <comment ref="AA289" authorId="1" shapeId="0" xr:uid="{00000000-0006-0000-0000-000004000000}">
      <text>
        <r>
          <rPr>
            <b/>
            <sz val="9"/>
            <rFont val="SimSun"/>
            <charset val="134"/>
          </rPr>
          <t>Yang Jian:</t>
        </r>
        <r>
          <rPr>
            <sz val="9"/>
            <rFont val="SimSun"/>
            <charset val="134"/>
          </rPr>
          <t xml:space="preserve">
MTO-IFR</t>
        </r>
      </text>
    </comment>
    <comment ref="AA293" authorId="1" shapeId="0" xr:uid="{00000000-0006-0000-0000-000005000000}">
      <text>
        <r>
          <rPr>
            <b/>
            <sz val="9"/>
            <rFont val="SimSun"/>
            <charset val="134"/>
          </rPr>
          <t>Yang Jian:</t>
        </r>
        <r>
          <rPr>
            <sz val="9"/>
            <rFont val="SimSun"/>
            <charset val="134"/>
          </rPr>
          <t xml:space="preserve">
MTO-IFR</t>
        </r>
      </text>
    </comment>
    <comment ref="AA297" authorId="1" shapeId="0" xr:uid="{00000000-0006-0000-0000-000006000000}">
      <text>
        <r>
          <rPr>
            <b/>
            <sz val="9"/>
            <rFont val="SimSun"/>
            <charset val="134"/>
          </rPr>
          <t>Yang Jian:</t>
        </r>
        <r>
          <rPr>
            <sz val="9"/>
            <rFont val="SimSun"/>
            <charset val="134"/>
          </rPr>
          <t xml:space="preserve">
MTO-IFR</t>
        </r>
      </text>
    </comment>
    <comment ref="AA301" authorId="1" shapeId="0" xr:uid="{00000000-0006-0000-0000-000007000000}">
      <text>
        <r>
          <rPr>
            <b/>
            <sz val="9"/>
            <rFont val="SimSun"/>
            <charset val="134"/>
          </rPr>
          <t>Yang Jian:</t>
        </r>
        <r>
          <rPr>
            <sz val="9"/>
            <rFont val="SimSun"/>
            <charset val="134"/>
          </rPr>
          <t xml:space="preserve">
MTO-IFR</t>
        </r>
      </text>
    </comment>
    <comment ref="AA305" authorId="1" shapeId="0" xr:uid="{00000000-0006-0000-0000-000008000000}">
      <text>
        <r>
          <rPr>
            <b/>
            <sz val="9"/>
            <rFont val="SimSun"/>
            <charset val="134"/>
          </rPr>
          <t>Yang Jian:</t>
        </r>
        <r>
          <rPr>
            <sz val="9"/>
            <rFont val="SimSun"/>
            <charset val="134"/>
          </rPr>
          <t xml:space="preserve">
MTO-IFR</t>
        </r>
      </text>
    </comment>
    <comment ref="AA309" authorId="1" shapeId="0" xr:uid="{00000000-0006-0000-0000-000009000000}">
      <text>
        <r>
          <rPr>
            <b/>
            <sz val="9"/>
            <rFont val="SimSun"/>
            <charset val="134"/>
          </rPr>
          <t>Yang Jian:</t>
        </r>
        <r>
          <rPr>
            <sz val="9"/>
            <rFont val="SimSun"/>
            <charset val="134"/>
          </rPr>
          <t xml:space="preserve">
MTO-IFR</t>
        </r>
      </text>
    </comment>
    <comment ref="AA325" authorId="1" shapeId="0" xr:uid="{00000000-0006-0000-0000-00000A000000}">
      <text>
        <r>
          <rPr>
            <b/>
            <sz val="9"/>
            <rFont val="SimSun"/>
            <charset val="134"/>
          </rPr>
          <t>Yang Jian:</t>
        </r>
        <r>
          <rPr>
            <sz val="9"/>
            <rFont val="SimSun"/>
            <charset val="134"/>
          </rPr>
          <t xml:space="preserve">
MTO - IFR</t>
        </r>
      </text>
    </comment>
    <comment ref="AA369" authorId="1" shapeId="0" xr:uid="{00000000-0006-0000-0000-00000B000000}">
      <text>
        <r>
          <rPr>
            <b/>
            <sz val="9"/>
            <rFont val="SimSun"/>
            <charset val="134"/>
          </rPr>
          <t>Yang Jian:</t>
        </r>
        <r>
          <rPr>
            <sz val="9"/>
            <rFont val="SimSun"/>
            <charset val="134"/>
          </rPr>
          <t xml:space="preserve">
MTO-IFR, Assumed date, waiting the information of PTTEP and EPC02</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<sst xmlns="http://schemas.openxmlformats.org/spreadsheetml/2006/main" count="10737" uniqueCount="4975">
  <si>
    <t>Note:</t>
  </si>
  <si>
    <t>1. All MR Issuance with Attached File to be used IFR version, some long lead item to be used FEED document as MR Issuance basis which listed in Remark</t>
  </si>
  <si>
    <t>2. In principle, Datasheet - IFA version shall be issued before TBE issuance as much as possible to avoid the big gap of changes.</t>
  </si>
  <si>
    <t>3.TBE- AFC and MR-AFC should be issued before PO issuance.</t>
  </si>
  <si>
    <t>4.For the Steel Structural, TJE will sign the frame agreement with alternative vendors firstly, once the MTO&amp;IFA drawing issuance, TJE will purchase order promptly</t>
  </si>
  <si>
    <t>5.The 3rd line of Each procuremnt package with "Proposal from TJE" in column N , has been aligned with GCME about date of MR issuance with atteched relative documents, then forward schedule in procurement and leadtime to ETA, this line is the basis for schedule developing.</t>
  </si>
  <si>
    <t>LA</t>
  </si>
  <si>
    <t>LB</t>
  </si>
  <si>
    <t>LC</t>
  </si>
  <si>
    <t>LD</t>
  </si>
  <si>
    <t xml:space="preserve">ZM167 PTTEPI ASK Procurement Plan </t>
  </si>
  <si>
    <t>Update</t>
  </si>
  <si>
    <t>No.</t>
  </si>
  <si>
    <t>RFQ No.</t>
  </si>
  <si>
    <t>Package Name</t>
  </si>
  <si>
    <t>Actual Lead Time</t>
  </si>
  <si>
    <t>Delivery Duration (Weeks)</t>
  </si>
  <si>
    <t>Deviation</t>
  </si>
  <si>
    <t>Float</t>
  </si>
  <si>
    <t>CODE</t>
  </si>
  <si>
    <t>Discripline</t>
  </si>
  <si>
    <t>Long Lead Item (Y/N)</t>
  </si>
  <si>
    <t>Criticality Rating</t>
  </si>
  <si>
    <t>Priority Level</t>
  </si>
  <si>
    <t>Bidder List Approval</t>
  </si>
  <si>
    <t>MR  Issued</t>
  </si>
  <si>
    <t>MR Approved</t>
  </si>
  <si>
    <t>RFQ Issued</t>
  </si>
  <si>
    <t>RFQ Approved</t>
  </si>
  <si>
    <t>CFT Issuance</t>
  </si>
  <si>
    <t>Bid Closing Date</t>
  </si>
  <si>
    <t>TBE Issued</t>
  </si>
  <si>
    <t>TBE Approved</t>
  </si>
  <si>
    <t xml:space="preserve">PO Issued </t>
  </si>
  <si>
    <t>Vendor Acknowledgement</t>
  </si>
  <si>
    <t>KOM</t>
  </si>
  <si>
    <t>VD Submission</t>
  </si>
  <si>
    <t>Approval of Key Vendor Documents</t>
  </si>
  <si>
    <t>Delivery of Major Materials</t>
  </si>
  <si>
    <t>PIM</t>
  </si>
  <si>
    <t>Start Production</t>
  </si>
  <si>
    <t>FAT</t>
  </si>
  <si>
    <t>Ready for Shipment</t>
  </si>
  <si>
    <t>Receipt at WORKSITE</t>
  </si>
  <si>
    <t>Punch List Clearance</t>
  </si>
  <si>
    <t>Approval of Final Documentation  (To be confirmed later)</t>
  </si>
  <si>
    <t>Lead Time</t>
  </si>
  <si>
    <t>ETA date</t>
  </si>
  <si>
    <t>ROS date</t>
  </si>
  <si>
    <t>ROS date update</t>
  </si>
  <si>
    <t>Construction Date</t>
  </si>
  <si>
    <t>Remark</t>
  </si>
  <si>
    <t>Matrix</t>
  </si>
  <si>
    <t>Installation</t>
  </si>
  <si>
    <t>Holiday</t>
  </si>
  <si>
    <t>China</t>
  </si>
  <si>
    <t>Thai</t>
  </si>
  <si>
    <t>RFQ-MEC-001</t>
  </si>
  <si>
    <t>Pedestal Crane</t>
  </si>
  <si>
    <t>Mechanical</t>
  </si>
  <si>
    <t>Y</t>
  </si>
  <si>
    <t>Plan</t>
  </si>
  <si>
    <t>WPA-01</t>
  </si>
  <si>
    <t>New Plan</t>
  </si>
  <si>
    <t>4-2.1</t>
  </si>
  <si>
    <t>Forecast</t>
  </si>
  <si>
    <t>WPA-02</t>
  </si>
  <si>
    <t>Actual</t>
  </si>
  <si>
    <t>Upper Deck</t>
  </si>
  <si>
    <t>RFQ-MEC-002</t>
  </si>
  <si>
    <t>Material Handling Equipment</t>
  </si>
  <si>
    <t>N</t>
  </si>
  <si>
    <t>4-2.2</t>
  </si>
  <si>
    <t>check Location</t>
  </si>
  <si>
    <t>RFQ-MEC-003</t>
  </si>
  <si>
    <t>Instrument Gas Filter Coalescer</t>
  </si>
  <si>
    <t>4-2.4</t>
  </si>
  <si>
    <t>Lower Deck</t>
  </si>
  <si>
    <t>RFQ-MEC-004</t>
  </si>
  <si>
    <t>Production &amp; Test Seperator</t>
  </si>
  <si>
    <t>4-2.3</t>
  </si>
  <si>
    <t>RFQ-PIP-005</t>
  </si>
  <si>
    <t>QUICK OPENING CLOSURE</t>
  </si>
  <si>
    <t>Piping</t>
  </si>
  <si>
    <t>4-2.6</t>
  </si>
  <si>
    <t>RFQ-MEC-006</t>
  </si>
  <si>
    <t>Chemical Injection Pump</t>
  </si>
  <si>
    <t>4-2.8</t>
  </si>
  <si>
    <t>RFQ-MEC-007</t>
  </si>
  <si>
    <t>De-mulsifier / Water Clarifier Injection Pump</t>
  </si>
  <si>
    <t>De-mulsifier / Water Clarifier Injection Pump included in Item 6 Chemical Injection Pump</t>
  </si>
  <si>
    <t>4-2.9</t>
  </si>
  <si>
    <t>RFQ-MEC-008</t>
  </si>
  <si>
    <t>De-Oiler Hydrocyclone</t>
  </si>
  <si>
    <t>NA</t>
  </si>
  <si>
    <t>4-2.10</t>
  </si>
  <si>
    <t>only  WPA02</t>
  </si>
  <si>
    <t>RFQ-MEC-009</t>
  </si>
  <si>
    <t>Degasser</t>
  </si>
  <si>
    <t>4-2.11</t>
  </si>
  <si>
    <t>RFQ-MEC-010</t>
  </si>
  <si>
    <t>Skim Tank Vessel</t>
  </si>
  <si>
    <t>4-2.13</t>
  </si>
  <si>
    <t>RFQ-MEC-011</t>
  </si>
  <si>
    <t>Closed Drain Sump Vessel</t>
  </si>
  <si>
    <t>4-2.12</t>
  </si>
  <si>
    <t>Sump Deck</t>
  </si>
  <si>
    <t>RFQ-MEC-012</t>
  </si>
  <si>
    <t xml:space="preserve"> Storage Tote Tank</t>
  </si>
  <si>
    <t>This package 7 tote tanks are cancelled and FOUR tote tanks are moved to Storage Tank Package</t>
  </si>
  <si>
    <t>4-2.15</t>
  </si>
  <si>
    <t>RFQ-MEC-013</t>
  </si>
  <si>
    <t>Storage Tank</t>
  </si>
  <si>
    <t>4-2.17</t>
  </si>
  <si>
    <t>Mezz &amp; Lower</t>
  </si>
  <si>
    <t>RFQ-MEC-014</t>
  </si>
  <si>
    <t>Closed Drain Sump Pump</t>
  </si>
  <si>
    <t>4-2.21</t>
  </si>
  <si>
    <t>RFQ-MEC-015</t>
  </si>
  <si>
    <t>Diesel Transfer Pump</t>
  </si>
  <si>
    <t>4-2.23</t>
  </si>
  <si>
    <t>RFQ-MEC-016</t>
  </si>
  <si>
    <t>Open Drain Caisson Pump</t>
  </si>
  <si>
    <t>4-2.24</t>
  </si>
  <si>
    <t>RFQ-ELE-017</t>
  </si>
  <si>
    <t>AC/DC Distribution Board</t>
  </si>
  <si>
    <t>Electrical</t>
  </si>
  <si>
    <t>4-3.1</t>
  </si>
  <si>
    <t>It is included in RFQ for Solar Power System</t>
  </si>
  <si>
    <t>RFQ-ELE-018</t>
  </si>
  <si>
    <t>Solar Power System</t>
  </si>
  <si>
    <t>4-3.3</t>
  </si>
  <si>
    <t>RFQ-ELE-019</t>
  </si>
  <si>
    <t>Navigation Aid System</t>
  </si>
  <si>
    <t>4-3.2</t>
  </si>
  <si>
    <t>RFQ-ELE-020</t>
  </si>
  <si>
    <t>External Battery Charger</t>
  </si>
  <si>
    <t>RFQ-INS-021</t>
  </si>
  <si>
    <t>Control Valve</t>
  </si>
  <si>
    <t>Instrument</t>
  </si>
  <si>
    <t>4-4.5</t>
  </si>
  <si>
    <t>installation during Reinstatement</t>
  </si>
  <si>
    <t>RFQ-INS-022</t>
  </si>
  <si>
    <t>Self Regulator Valve</t>
  </si>
  <si>
    <t>4-4.6</t>
  </si>
  <si>
    <t>RFQ-INS-023</t>
  </si>
  <si>
    <t>Actuated Choke Valve</t>
  </si>
  <si>
    <t>4-4.3</t>
  </si>
  <si>
    <t>RFQ-INS-024</t>
  </si>
  <si>
    <t>Actuated Ball Valve</t>
  </si>
  <si>
    <t>4-4.4</t>
  </si>
  <si>
    <t>RFQ-INS-025</t>
  </si>
  <si>
    <t>Actuated Compact Ball Valve</t>
  </si>
  <si>
    <t>RFQ-INS-026</t>
  </si>
  <si>
    <t>Safety Relief Valves</t>
  </si>
  <si>
    <t>4-4.7</t>
  </si>
  <si>
    <t>RFQ-INS-027</t>
  </si>
  <si>
    <t xml:space="preserve">Coriolis Flow Meters </t>
  </si>
  <si>
    <t>4-4.9</t>
  </si>
  <si>
    <t>RFQ-INS-028</t>
  </si>
  <si>
    <t>Wellhead Control Panel (WHCP)</t>
  </si>
  <si>
    <t>4-4.2</t>
  </si>
  <si>
    <t>RFQ-INS-029</t>
  </si>
  <si>
    <t>Pressure Gauge</t>
  </si>
  <si>
    <t>4-4.12</t>
  </si>
  <si>
    <t>RFQ-INS-030</t>
  </si>
  <si>
    <t>Pressure Transmitter</t>
  </si>
  <si>
    <t>RFQ-INS-031</t>
  </si>
  <si>
    <t>Temperature Gauge</t>
  </si>
  <si>
    <t>RFQ-INS-032</t>
  </si>
  <si>
    <t>Temperature Transmitter</t>
  </si>
  <si>
    <t>RFQ-INS-033</t>
  </si>
  <si>
    <t>Vortex Flow Meter</t>
  </si>
  <si>
    <t>4-4.10</t>
  </si>
  <si>
    <t>RFQ-INS-034</t>
  </si>
  <si>
    <t>Level Transmitter and Gauge</t>
  </si>
  <si>
    <t>RFQ-INS-035</t>
  </si>
  <si>
    <t>Pig Signaller</t>
  </si>
  <si>
    <t>4-4.11</t>
  </si>
  <si>
    <t>RFQ-INS-036</t>
  </si>
  <si>
    <t>Rrestriction Orifice</t>
  </si>
  <si>
    <t>RFQ-INS-037</t>
  </si>
  <si>
    <t>PLC System</t>
  </si>
  <si>
    <t>4-4.1</t>
  </si>
  <si>
    <t>RFQ-INS-038</t>
  </si>
  <si>
    <t>Fire and Gas Detector</t>
  </si>
  <si>
    <t>4-4.20</t>
  </si>
  <si>
    <t>RFQ-INS-039</t>
  </si>
  <si>
    <t>Dip Tape Level Indicator</t>
  </si>
  <si>
    <t>RFQ-INS-040</t>
  </si>
  <si>
    <t>Position Limit Switches</t>
  </si>
  <si>
    <t>4-4.14</t>
  </si>
  <si>
    <t>RFQ-INS-041</t>
  </si>
  <si>
    <t>Guided Wave Radar Level Transmitter</t>
  </si>
  <si>
    <t>RFQ-INS-042</t>
  </si>
  <si>
    <t>Oil in Water Analyzer</t>
  </si>
  <si>
    <t>4-4.8</t>
  </si>
  <si>
    <t>RFQ-INS-043</t>
  </si>
  <si>
    <t>Level Switch</t>
  </si>
  <si>
    <t>4-4.13</t>
  </si>
  <si>
    <t>RFQ-INS-044</t>
  </si>
  <si>
    <t>Flow Switch</t>
  </si>
  <si>
    <t>RFQ-INS-045</t>
  </si>
  <si>
    <t>SCADA System</t>
  </si>
  <si>
    <t>4-4.18</t>
  </si>
  <si>
    <t>RFQ-TEL-046</t>
  </si>
  <si>
    <t>Telecommunication System (WiMAX, Telephone, Marine Radio,AIS)</t>
  </si>
  <si>
    <t>Telecommunication</t>
  </si>
  <si>
    <t>4-4.15</t>
  </si>
  <si>
    <t>RFQ-TEL-047</t>
  </si>
  <si>
    <t>Marine Racon</t>
  </si>
  <si>
    <t>4-4.16</t>
  </si>
  <si>
    <t>RFQ-PIP-048</t>
  </si>
  <si>
    <t>BALL VALVE (FLANGE END)</t>
  </si>
  <si>
    <t>4-1</t>
  </si>
  <si>
    <t>2/3</t>
  </si>
  <si>
    <t>install before Testing</t>
  </si>
  <si>
    <t>RFQ-PIP-049</t>
  </si>
  <si>
    <t>BALL VALVE (Welded END)</t>
  </si>
  <si>
    <t>RFQ-PIP-050</t>
  </si>
  <si>
    <t>GLOBE VALVE (FLANGE END)</t>
  </si>
  <si>
    <t>RFQ-PIP-051</t>
  </si>
  <si>
    <t>GLOBE VALVE (WELDED END)</t>
  </si>
  <si>
    <t>RFQ-PIP-052</t>
  </si>
  <si>
    <t>CHECK VALVE (FLANGE END)</t>
  </si>
  <si>
    <t>RFQ-PIP-053</t>
  </si>
  <si>
    <t>CHECK VALVE (WELDED END)</t>
  </si>
  <si>
    <t>RFQ-PIP-054</t>
  </si>
  <si>
    <t>COMPACT CHECK VALVE (WELDED END)</t>
  </si>
  <si>
    <t>RFQ-STR-055</t>
  </si>
  <si>
    <t>Primary Steel - Plates for topside</t>
  </si>
  <si>
    <t>Structural</t>
  </si>
  <si>
    <t>12-Jun-26</t>
  </si>
  <si>
    <t>5-2</t>
  </si>
  <si>
    <t>1st Cutting Change to 16-Aug</t>
  </si>
  <si>
    <t>RFQ-STR-056</t>
  </si>
  <si>
    <t>Primary Steel – Beam for topside</t>
  </si>
  <si>
    <t>for Deck Pre-assembly</t>
  </si>
  <si>
    <t>RFQ-STR-057</t>
  </si>
  <si>
    <t>Secondary Steel – Beam for topside</t>
  </si>
  <si>
    <t>5-4</t>
  </si>
  <si>
    <t xml:space="preserve"> </t>
  </si>
  <si>
    <t>RFQ-STR-058</t>
  </si>
  <si>
    <t xml:space="preserve">Topside Tertiary Steel </t>
  </si>
  <si>
    <t>RFQ-STR-059</t>
  </si>
  <si>
    <t xml:space="preserve">Primary Steel - Tubular for topside </t>
  </si>
  <si>
    <t>Column and Brace</t>
  </si>
  <si>
    <t>RFQ-STR-060</t>
  </si>
  <si>
    <t>Primary Steel - Plates for jacket</t>
  </si>
  <si>
    <t>RFQ-STR-061</t>
  </si>
  <si>
    <t xml:space="preserve">Secondary Steel -Beam for jacket </t>
  </si>
  <si>
    <t>RFQ-STR-062</t>
  </si>
  <si>
    <t xml:space="preserve">Primary Steel -Tubular for jacket </t>
  </si>
  <si>
    <t>RFQ-063</t>
  </si>
  <si>
    <t>Primary Steel -Tubular for jacket (bracing)</t>
  </si>
  <si>
    <t>Combined into RFQ-62</t>
  </si>
  <si>
    <t>RFQ-STR-064</t>
  </si>
  <si>
    <t>Primary Steel - Plates for Pile</t>
  </si>
  <si>
    <t>5-3</t>
  </si>
  <si>
    <t>RFQ-STR-065</t>
  </si>
  <si>
    <t>Primary Steel -Tubular for Pile</t>
  </si>
  <si>
    <t>RFQ-066</t>
  </si>
  <si>
    <t>Special items</t>
  </si>
  <si>
    <t>5-5</t>
  </si>
  <si>
    <t>RFQ-PIP-067</t>
  </si>
  <si>
    <t>CS Fitting</t>
  </si>
  <si>
    <t>RFQ-PIP-068</t>
  </si>
  <si>
    <t>SS &amp; DSS Fitting</t>
  </si>
  <si>
    <t>RFQ-PIP-069</t>
  </si>
  <si>
    <t>CS Flange</t>
  </si>
  <si>
    <t>RFQ-PIP-070</t>
  </si>
  <si>
    <t>SS &amp; DSS Flange</t>
  </si>
  <si>
    <t>RFQ-PIP-071</t>
  </si>
  <si>
    <t>SAW Welded Pipe</t>
  </si>
  <si>
    <t>RFQ-PIP-072</t>
  </si>
  <si>
    <t>CS Pipe</t>
  </si>
  <si>
    <t>RFQ-PIP-073</t>
  </si>
  <si>
    <t>DSS Pipes</t>
  </si>
  <si>
    <t>RFQ-PIP-074</t>
  </si>
  <si>
    <t>Steamless SS pipes</t>
  </si>
  <si>
    <t>RFQ-PIP-075</t>
  </si>
  <si>
    <t>Bolts &amp; Nuts</t>
  </si>
  <si>
    <t>9-Jan-27</t>
  </si>
  <si>
    <t>RFQ-PIP-076</t>
  </si>
  <si>
    <t>Gasket</t>
  </si>
  <si>
    <t>RFQ-ELE-077</t>
  </si>
  <si>
    <t>ELECTRICAL CABLES</t>
  </si>
  <si>
    <t>5-7</t>
  </si>
  <si>
    <t>RFQ-ELE-078</t>
  </si>
  <si>
    <t>ELECTRICAL BULK MATERIALS</t>
  </si>
  <si>
    <t>cable Tray</t>
  </si>
  <si>
    <t>RFQ-ELE-079</t>
  </si>
  <si>
    <t>FOG HORN</t>
  </si>
  <si>
    <t>RFQ-INS-080</t>
  </si>
  <si>
    <t>INSTRUMENT BULK MATERIALS</t>
  </si>
  <si>
    <t>5-8</t>
  </si>
  <si>
    <t>RFQ-INS-081</t>
  </si>
  <si>
    <t>Instrument Cables</t>
  </si>
  <si>
    <t>RFQ-SAF-082</t>
  </si>
  <si>
    <t>FIREFIGHTING EQUIPMENT</t>
  </si>
  <si>
    <t>Safety</t>
  </si>
  <si>
    <t>4-5</t>
  </si>
  <si>
    <t>RFQ-SAF-083</t>
  </si>
  <si>
    <t xml:space="preserve">LIFESAVING EQUIPMENT AND SAFETY EQUIPMENT </t>
  </si>
  <si>
    <t>RFQ-SAF-084</t>
  </si>
  <si>
    <t>SAFETY SIGNS</t>
  </si>
  <si>
    <t>RFQ-PLR-085</t>
  </si>
  <si>
    <t>PIPELINE FLANGES</t>
  </si>
  <si>
    <t>Piping &amp; Riser</t>
  </si>
  <si>
    <t>5-6</t>
  </si>
  <si>
    <t>RFQ-PLR-086</t>
  </si>
  <si>
    <t>BARRED TEE</t>
  </si>
  <si>
    <t>RFQ-PLR-087</t>
  </si>
  <si>
    <t>PIGGABLE WYE</t>
  </si>
  <si>
    <t>RFQ-PLR-088</t>
  </si>
  <si>
    <t>BARREL REDUCER</t>
  </si>
  <si>
    <t>Request CPY for support to shorten the approval cycle.</t>
  </si>
  <si>
    <t>RFQ-TEL- 089</t>
  </si>
  <si>
    <t>Telecommunication System Bulk Material</t>
  </si>
  <si>
    <t>5-9</t>
  </si>
  <si>
    <t>RFQ-STR-090</t>
  </si>
  <si>
    <t>JKT Anode</t>
  </si>
  <si>
    <t>5-11</t>
  </si>
  <si>
    <t>RFQ-PIP-093</t>
  </si>
  <si>
    <t>Coat</t>
  </si>
  <si>
    <t>5-10</t>
  </si>
  <si>
    <t>Coating</t>
  </si>
  <si>
    <t>Topside Deck B&amp;P</t>
  </si>
  <si>
    <t>RFQ-PLR-091</t>
  </si>
  <si>
    <t>RISER HANGER FLANGES</t>
  </si>
  <si>
    <t>RFQ-PIP-092</t>
  </si>
  <si>
    <t>CORROSION FITTINGS (PROBE, COUPON AND CHEMICAL INJECTION QUILL)</t>
  </si>
  <si>
    <t>RFQ-PIP-094</t>
  </si>
  <si>
    <t>HOSE AND HOSE CONNECTOR</t>
  </si>
  <si>
    <t>RFQ-PIP-095</t>
  </si>
  <si>
    <t>STRAINER</t>
  </si>
  <si>
    <t>RFQ-PIP-096</t>
  </si>
  <si>
    <t>LIQUID TRAP</t>
  </si>
  <si>
    <t>RFQ-PIP-097</t>
  </si>
  <si>
    <t>G-CLAMP</t>
  </si>
  <si>
    <t>RFQ-PIP-098</t>
  </si>
  <si>
    <t>FLAME ARRESTOR</t>
  </si>
  <si>
    <t>RFQ-PIP-099</t>
  </si>
  <si>
    <t>RFQ-PIP-100</t>
  </si>
  <si>
    <t>PIPE SUPPORT</t>
  </si>
  <si>
    <t>基于Standard Piping Support</t>
  </si>
  <si>
    <t>RFQ-INS-101</t>
  </si>
  <si>
    <t xml:space="preserve">DP LEVEL TRANSMITTERS </t>
  </si>
  <si>
    <t>ActivityID</t>
  </si>
  <si>
    <t>Activity Name</t>
  </si>
  <si>
    <t>Planned Duration</t>
  </si>
  <si>
    <t>Start</t>
  </si>
  <si>
    <t>Finish</t>
  </si>
  <si>
    <t>Total Float</t>
  </si>
  <si>
    <t>Calendar</t>
  </si>
  <si>
    <t>DETAILENGINEERINGFORWELLHEADPLATFORMS(WPA01ANDWPA02)(ASKPROJECT)</t>
  </si>
  <si>
    <t>PTTME Office 5dx8h</t>
  </si>
  <si>
    <t>PROJECTMILESTONE</t>
  </si>
  <si>
    <t>MI-1000</t>
  </si>
  <si>
    <t>Project Start, KOM</t>
  </si>
  <si>
    <t>MI-1010</t>
  </si>
  <si>
    <t>P&amp;ID Issue for Review</t>
  </si>
  <si>
    <t>27-Apr-26*</t>
  </si>
  <si>
    <t>MI-1020</t>
  </si>
  <si>
    <t>30% Model Review</t>
  </si>
  <si>
    <t>MI-1030</t>
  </si>
  <si>
    <t>P&amp;ID issue for HAZOP</t>
  </si>
  <si>
    <t>MI-1040</t>
  </si>
  <si>
    <t>HAZID Review Meeting</t>
  </si>
  <si>
    <t>MI-1050</t>
  </si>
  <si>
    <t>HAZOP Review Meeting</t>
  </si>
  <si>
    <t>MI-1060</t>
  </si>
  <si>
    <t>SIL Review Meeting</t>
  </si>
  <si>
    <t>MI-1070</t>
  </si>
  <si>
    <t>Structural - Primary MTO Issue for review</t>
  </si>
  <si>
    <t>26-May-26*</t>
  </si>
  <si>
    <t>MI-1080</t>
  </si>
  <si>
    <t>60% Model Review</t>
  </si>
  <si>
    <t>MI-1090</t>
  </si>
  <si>
    <t>90% Model Review</t>
  </si>
  <si>
    <t>MI-1100</t>
  </si>
  <si>
    <t>Issue all AFC Documents /Drawing</t>
  </si>
  <si>
    <t>MI-1110</t>
  </si>
  <si>
    <t>Design Engineering Compilation</t>
  </si>
  <si>
    <t>GENERALSTUDIES</t>
  </si>
  <si>
    <t>PJ-1000</t>
  </si>
  <si>
    <t>Master Deliverable Register - IFR</t>
  </si>
  <si>
    <t>PJ-1010</t>
  </si>
  <si>
    <t>Master Deliverable Register - AFC</t>
  </si>
  <si>
    <t>PJ-1020</t>
  </si>
  <si>
    <t>Engineering Master Schedule - IFR</t>
  </si>
  <si>
    <t>PJ-1030</t>
  </si>
  <si>
    <t>Engineering Master Schedule - AFC</t>
  </si>
  <si>
    <t>PROCESSANDUTILITIESENGINEERING</t>
  </si>
  <si>
    <t>PR-1000</t>
  </si>
  <si>
    <t>Process Basis of Design - IFR</t>
  </si>
  <si>
    <t>PR-1010</t>
  </si>
  <si>
    <t>Process Basis of Design - IFA</t>
  </si>
  <si>
    <t>PR-1020</t>
  </si>
  <si>
    <t>Process Basis of Design - AFC</t>
  </si>
  <si>
    <t>PR-1090</t>
  </si>
  <si>
    <t>Process Simulation Report - IFR</t>
  </si>
  <si>
    <t>PR-1100</t>
  </si>
  <si>
    <t>Process Simulation Report - AFC</t>
  </si>
  <si>
    <t>PR-1110</t>
  </si>
  <si>
    <t>Utility Balance and Consumption Report - IFR</t>
  </si>
  <si>
    <t>PR-1120</t>
  </si>
  <si>
    <t>Utility Balance and Consumption Report - AFC</t>
  </si>
  <si>
    <t>PR-1130</t>
  </si>
  <si>
    <t>AIV And FIV Study Report - IFR</t>
  </si>
  <si>
    <t>PR-1140</t>
  </si>
  <si>
    <t>AIV And FIV Study Report - AFC</t>
  </si>
  <si>
    <t>PR-1150</t>
  </si>
  <si>
    <t>Depressurization and Low Temperature Study Report - IFR</t>
  </si>
  <si>
    <t>PR-1160</t>
  </si>
  <si>
    <t>Depressurization and Low Temperature Study Report - AFC</t>
  </si>
  <si>
    <t>PR-1170</t>
  </si>
  <si>
    <t>Vent Sizing and Relief Load Report - IFR</t>
  </si>
  <si>
    <t>PR-1180</t>
  </si>
  <si>
    <t>Vent Sizing and Relief Load Report - AFC</t>
  </si>
  <si>
    <t>PR-1190</t>
  </si>
  <si>
    <t>Instrument Gas System Study Report - IFR</t>
  </si>
  <si>
    <t>PR-1200</t>
  </si>
  <si>
    <t>Instrument Gas System Study Report - AFC</t>
  </si>
  <si>
    <t>PR-1201</t>
  </si>
  <si>
    <t>Produced Water Study Report - IFR</t>
  </si>
  <si>
    <t>PR-1202</t>
  </si>
  <si>
    <t>Produced Water Study Report - AFC</t>
  </si>
  <si>
    <t>PR-1210</t>
  </si>
  <si>
    <t>Topside Dynamic Overpressure Protection Study Report - IFR</t>
  </si>
  <si>
    <t>PR-1220</t>
  </si>
  <si>
    <t>Topside Dynamic Overpressure Protection Study Report - AFC</t>
  </si>
  <si>
    <t>PR-1230</t>
  </si>
  <si>
    <t>Process Line List - IFR</t>
  </si>
  <si>
    <t>PR-1240</t>
  </si>
  <si>
    <t>Process Line List - AFC</t>
  </si>
  <si>
    <t>PR-1250</t>
  </si>
  <si>
    <t>ESD Logic Diagram - IFR</t>
  </si>
  <si>
    <t>PR-1260</t>
  </si>
  <si>
    <t>ESD Logic Diagram - AFC</t>
  </si>
  <si>
    <t>PR-1270</t>
  </si>
  <si>
    <t>Operating, Control, Shutdown and Black Start Philosophy - IFR</t>
  </si>
  <si>
    <t>PR-1280</t>
  </si>
  <si>
    <t>Operating, Control, Shutdown and Black Start Philosophy - AFC</t>
  </si>
  <si>
    <t>PR-1290</t>
  </si>
  <si>
    <t>Isolation Philosophy - IFR</t>
  </si>
  <si>
    <t>PR-1300</t>
  </si>
  <si>
    <t>Isolation Philosophy - AFC</t>
  </si>
  <si>
    <t>PR-1310</t>
  </si>
  <si>
    <t>Vent and Drain Philosophy - AFC</t>
  </si>
  <si>
    <t>PR-1320</t>
  </si>
  <si>
    <t>Process Control Narrative - AFC</t>
  </si>
  <si>
    <t>PR-1330</t>
  </si>
  <si>
    <t>Process Flow Diagram (WP01) (1 Sheet) - IFR</t>
  </si>
  <si>
    <t>PR-1340</t>
  </si>
  <si>
    <t>Process Flow Diagram (WP01) (1 Sheet) - IFA</t>
  </si>
  <si>
    <t>PR-1350</t>
  </si>
  <si>
    <t>Process Flow Diagram (WP01) (1 Sheet)  - AFC</t>
  </si>
  <si>
    <t>PR-1360</t>
  </si>
  <si>
    <t>Utility Flow Diagram (WP01) (4 Sheets) - IFR</t>
  </si>
  <si>
    <t>PR-1370</t>
  </si>
  <si>
    <t>Utility Flow Diagram (WP01) (4 Sheets) - IFA</t>
  </si>
  <si>
    <t>PR-1380</t>
  </si>
  <si>
    <t>Utility Flow Diagram (WP01) (4 Sheets) - AFC</t>
  </si>
  <si>
    <t>PR-1390</t>
  </si>
  <si>
    <t>Process Flow Diagram (WP02) (3 Sheets) - IFR</t>
  </si>
  <si>
    <t>PR-1400</t>
  </si>
  <si>
    <t>Process Flow Diagram (WP02) (3 Sheets) - IFA</t>
  </si>
  <si>
    <t>PR-1410</t>
  </si>
  <si>
    <t>Process Flow Diagram (WP02) (3 Sheets)- AFC</t>
  </si>
  <si>
    <t>PR-1420</t>
  </si>
  <si>
    <t>Utility Flow Diagram (WP02) (4 Sheets) - IFR</t>
  </si>
  <si>
    <t>PR-1430</t>
  </si>
  <si>
    <t>Utility Flow Diagram (WP02) (4 Sheets) - IFA</t>
  </si>
  <si>
    <t>PR-1440</t>
  </si>
  <si>
    <t>Utility Flow Diagram (WP02) (4 Sheets) - AFC</t>
  </si>
  <si>
    <t>PR-1450</t>
  </si>
  <si>
    <t>Piping &amp; Instrumentation Diagram (10 Sheets) - IFR</t>
  </si>
  <si>
    <t>PR-1460</t>
  </si>
  <si>
    <t>Piping &amp; Instrumentation Diagram (10 Sheets) - IFA</t>
  </si>
  <si>
    <t>PR-1470</t>
  </si>
  <si>
    <t>Piping &amp; Instrumentation Diagram (10 Sheets) - AFC</t>
  </si>
  <si>
    <t>PR-1480</t>
  </si>
  <si>
    <t>Piping &amp; Instrumentation Diagram (WP01) (19 Sheets) - IFR</t>
  </si>
  <si>
    <t>PR-1490</t>
  </si>
  <si>
    <t>Piping &amp; Instrumentation Diagram (WP01) (19 Sheets) - IFA</t>
  </si>
  <si>
    <t>PR-1500</t>
  </si>
  <si>
    <t>Piping &amp; Instrumentation Diagram (WP01) (19 Sheets) - AFC</t>
  </si>
  <si>
    <t>PR-1510</t>
  </si>
  <si>
    <t>Piping &amp; Instrumentation Diagram (WP02) (10 Sheets) - IFR</t>
  </si>
  <si>
    <t>PR-1520</t>
  </si>
  <si>
    <t>Piping &amp; Instrumentation Diagram (WP02) (26 Sheets) - IFA</t>
  </si>
  <si>
    <t>PR-1530</t>
  </si>
  <si>
    <t>Piping &amp; Instrumentation Diagram (WP02) (26 Sheets) - AFC</t>
  </si>
  <si>
    <t>PR-1540</t>
  </si>
  <si>
    <t>Heat and Material Balance for WP01 - IFR</t>
  </si>
  <si>
    <t>PR-1550</t>
  </si>
  <si>
    <t>Heat and Material Balance for WP01 - AFC</t>
  </si>
  <si>
    <t>PR-1560</t>
  </si>
  <si>
    <t>Heat and Material Balance for WP02 - IFR</t>
  </si>
  <si>
    <t>PR-1570</t>
  </si>
  <si>
    <t>Heat and Material Balance for WP02 - AFC</t>
  </si>
  <si>
    <t>PR-1580</t>
  </si>
  <si>
    <t>Flow Assurance Basis of Design - IFR</t>
  </si>
  <si>
    <t>PR-1590</t>
  </si>
  <si>
    <t>Flow Assurance Basis of Design - IFA</t>
  </si>
  <si>
    <t>PR-1600</t>
  </si>
  <si>
    <t>Flow Assurance Basis of Design - AFC</t>
  </si>
  <si>
    <t>PR-1610</t>
  </si>
  <si>
    <t>Steady State Flow Assurance Study Report - IFR</t>
  </si>
  <si>
    <t>PR-1620</t>
  </si>
  <si>
    <t>Steady State Flow Assurance Study Report - AFC</t>
  </si>
  <si>
    <t>PR-1630</t>
  </si>
  <si>
    <t>Transient Flow Assurance Study Report - IFR</t>
  </si>
  <si>
    <t>PR-1640</t>
  </si>
  <si>
    <t>Transient Flow Assurance Study Report - IFA</t>
  </si>
  <si>
    <t>PR-1650</t>
  </si>
  <si>
    <t>Transient Flow Assurance Study Report - AFC</t>
  </si>
  <si>
    <t>ProcessCalculationNote</t>
  </si>
  <si>
    <t>PR-1660</t>
  </si>
  <si>
    <t>Process Calculation Note for Line Sizing  - IFR</t>
  </si>
  <si>
    <t>PR-1670</t>
  </si>
  <si>
    <t>Process Calculation Note for Line Sizing - AFC</t>
  </si>
  <si>
    <t>PR-1680</t>
  </si>
  <si>
    <t>Process Calculation Note for Test Separator Sizing - IFR</t>
  </si>
  <si>
    <t>PR-1690</t>
  </si>
  <si>
    <t>Process Calculation Note for Test Separator Sizing - AFC</t>
  </si>
  <si>
    <t>PR-1700</t>
  </si>
  <si>
    <t>Process Calculation Note for Production Separator (V-01001) - IFR</t>
  </si>
  <si>
    <t>PR-1710</t>
  </si>
  <si>
    <t>Process Calculation Note for Production Separator (V-01001) - AFC</t>
  </si>
  <si>
    <t>PR-1720</t>
  </si>
  <si>
    <t>Process Calculation Note for Skim Tank Vessel (V-10002) - IFR</t>
  </si>
  <si>
    <t>PR-1730</t>
  </si>
  <si>
    <t>Process Calculation Note for Skim Tank Vessel (V-10002) - AFC</t>
  </si>
  <si>
    <t>PR-1740</t>
  </si>
  <si>
    <t>Process Calculation Note for Degasser - IFR</t>
  </si>
  <si>
    <t>PR-1750</t>
  </si>
  <si>
    <t>Process Calculation Note for Degasser - AFC</t>
  </si>
  <si>
    <t>PR-1760</t>
  </si>
  <si>
    <t>Process Calculation Note for Closed Drain Sump Vessel Sizing (V-05001) - IFR</t>
  </si>
  <si>
    <t>PR-1770</t>
  </si>
  <si>
    <t>Process Calculation Note for Closed Drain Sump Vessel Sizing (V-05001) - AFC</t>
  </si>
  <si>
    <t>PR-1780</t>
  </si>
  <si>
    <t>Process Calculation Note for Closed Drain Sump Pump Sizing (P-05001) - IFR</t>
  </si>
  <si>
    <t>PR-1790</t>
  </si>
  <si>
    <t>Process Calculation Note for Closed Drain Sump Pump Sizing (P-05001) - AFC</t>
  </si>
  <si>
    <t>PR-1800</t>
  </si>
  <si>
    <t>Process Calculation Note for Open Drain Caisson Tank (T-05003) - IFR</t>
  </si>
  <si>
    <t>PR-1810</t>
  </si>
  <si>
    <t>Process Calculation Note for Open Drain Caisson Tank (T-05003) - AFC</t>
  </si>
  <si>
    <t>PR-1820</t>
  </si>
  <si>
    <t>Process Calculation Note for Open Drain Caisson Pump - IFR</t>
  </si>
  <si>
    <t>PR-1830</t>
  </si>
  <si>
    <t>Process Calculation Note for Open Drain Caisson Pump - AFC</t>
  </si>
  <si>
    <t>PR-1840</t>
  </si>
  <si>
    <t>Process Calculation Note for Recovered Water Pump  (P-05002) - IFR</t>
  </si>
  <si>
    <t>PR-1850</t>
  </si>
  <si>
    <t>Process Calculation Note for Recovered Water Pump  (P-05002) - AFC</t>
  </si>
  <si>
    <t>PR-1860</t>
  </si>
  <si>
    <t>Process Calculation Note for Instrument Gas Filter Coalescer and Stand Pipe Sizing - IFR</t>
  </si>
  <si>
    <t>PR-1870</t>
  </si>
  <si>
    <t>Process Calculation Note for Instrument Gas Filter Coalescer and Stand Pipe Sizing - AFC</t>
  </si>
  <si>
    <t>PR-1880</t>
  </si>
  <si>
    <t>Process Calculation Note for Corrosion Inhibitor/Volatile Corrosion Inhibitor Tank and Pump Sizing  - IFR</t>
  </si>
  <si>
    <t>PR-1890</t>
  </si>
  <si>
    <t>Process Calculation Note for Corrosion Inhibitor/Volatile Corrosion Inhibitor Tank and Pump Sizing - AFC</t>
  </si>
  <si>
    <t>PR-1900</t>
  </si>
  <si>
    <t>Process Calculation Note for Demulsifier / Water Clarifier Tank and Pump Sizing - IFR</t>
  </si>
  <si>
    <t>PR-1910</t>
  </si>
  <si>
    <t>Process Calculation Note for Demulsifier / Water Clarifier Tank and Pump Sizing - AFC</t>
  </si>
  <si>
    <t>PR-1920</t>
  </si>
  <si>
    <t>Process Calculation Note for Biocide Tank and Pump Sizing (Provision) - IFR</t>
  </si>
  <si>
    <t>PR-1930</t>
  </si>
  <si>
    <t>Process Calculation Note for Biocide Tank and Pump Sizing (Provision) - AFC</t>
  </si>
  <si>
    <t>PR-1940</t>
  </si>
  <si>
    <t>Process Calculation Note for Diesel Tote Tank, Day Tank and Diesel Transfer Pump - IFR</t>
  </si>
  <si>
    <t>PR-1950</t>
  </si>
  <si>
    <t>Process Calculation Note for Diesel Tote Tank, Day Tank and Diesel Transfer Pump - AFC</t>
  </si>
  <si>
    <t>PR-1960</t>
  </si>
  <si>
    <t>Process Calculation Note for Fresh Water Tote Tank - IFR</t>
  </si>
  <si>
    <t>PR-1970</t>
  </si>
  <si>
    <t>Process Calculation Note for Fresh Water Tote Tank - AFC</t>
  </si>
  <si>
    <t>PR-1980</t>
  </si>
  <si>
    <t>Process Calculation Note for Choke Valve Sizing - IFR</t>
  </si>
  <si>
    <t>PR-1990</t>
  </si>
  <si>
    <t>Process Calculation Note for Choke Valve Sizing - AFC</t>
  </si>
  <si>
    <t>PR-2000</t>
  </si>
  <si>
    <t>Process Calculation Note for Control Valve Sizing - IFR</t>
  </si>
  <si>
    <t>PR-2010</t>
  </si>
  <si>
    <t>Process Calculation Note for Control Valve Sizing - AFC</t>
  </si>
  <si>
    <t>PR-2020</t>
  </si>
  <si>
    <t>Process Calculation Note for RO Sizing - IFR</t>
  </si>
  <si>
    <t>PR-2030</t>
  </si>
  <si>
    <t>Process Calculation Note for RO Sizing - AFC</t>
  </si>
  <si>
    <t>PR-2040</t>
  </si>
  <si>
    <t>Process Calculation Note for PSV Sizing - IFR</t>
  </si>
  <si>
    <t>PR-2050</t>
  </si>
  <si>
    <t>Process Calculation Note for PSV Sizing - AFC</t>
  </si>
  <si>
    <t>PR-2060</t>
  </si>
  <si>
    <t>Process Calculation Note - Depressurization and Blowdown - IFR</t>
  </si>
  <si>
    <t>PR-2070</t>
  </si>
  <si>
    <t>Process Calculation Note - Depressurization and Blowdown - AFC</t>
  </si>
  <si>
    <t>MECHANICALENGINEERING</t>
  </si>
  <si>
    <t>ME-1000</t>
  </si>
  <si>
    <t>Mechanical Basis of Design - IFR</t>
  </si>
  <si>
    <t>ME-1010</t>
  </si>
  <si>
    <t>Mechanical Basis of Design - AFC</t>
  </si>
  <si>
    <t>ME-1020</t>
  </si>
  <si>
    <t>Material Handling Study Reports - IFR</t>
  </si>
  <si>
    <t>ME-1030</t>
  </si>
  <si>
    <t>Material Handling Study Reports - AFC</t>
  </si>
  <si>
    <t>ME-1040</t>
  </si>
  <si>
    <t>WPA01 Mechanical Equipment List - IFR</t>
  </si>
  <si>
    <t>ME-1050</t>
  </si>
  <si>
    <t>WPA01 Mechanical Equipment List - AFC</t>
  </si>
  <si>
    <t>ME-1060</t>
  </si>
  <si>
    <t>WPA02 Mechanical Equipment List - IFR</t>
  </si>
  <si>
    <t>ME-1070</t>
  </si>
  <si>
    <t>WPA02 Mechanical Equipment List - AFC</t>
  </si>
  <si>
    <t>ME-1080</t>
  </si>
  <si>
    <t>Project Particular Specification for Test and Production Separators - IFR</t>
  </si>
  <si>
    <t>ME-1090</t>
  </si>
  <si>
    <t>Project Particular Specification for Test and Production Separators - AFC</t>
  </si>
  <si>
    <t>ME-1100</t>
  </si>
  <si>
    <t>Project Particular Specification for Instrument Gas Filter coalescers - IFR</t>
  </si>
  <si>
    <t>ME-1110</t>
  </si>
  <si>
    <t>Project Particular Specification for Instrument Gas Filter coalescers - AFC</t>
  </si>
  <si>
    <t>ME-1120</t>
  </si>
  <si>
    <t>Project Particular Specification for Storage Tote Tanks - IFR</t>
  </si>
  <si>
    <t>ME-1130</t>
  </si>
  <si>
    <t>Project Particular Specification for Storage Tote Tanks - AFC</t>
  </si>
  <si>
    <t>ME-1140</t>
  </si>
  <si>
    <t>Project Particular Specification for Storage Tanks - IFR</t>
  </si>
  <si>
    <t>ME-1150</t>
  </si>
  <si>
    <t>Project Particular Specification for Storage Tanks - AFC</t>
  </si>
  <si>
    <t>ME-1160</t>
  </si>
  <si>
    <t>Project Particular Specification for Chemical Injection Pumps Package - IFR</t>
  </si>
  <si>
    <t>ME-1170</t>
  </si>
  <si>
    <t>Project Particular Specification for Chemical Injection Pumps Package - AFC</t>
  </si>
  <si>
    <t>ME-1180</t>
  </si>
  <si>
    <t>Project Particular Specification for Diesel Oil Transfer Pump Package - IFR</t>
  </si>
  <si>
    <t>ME-1190</t>
  </si>
  <si>
    <t>Project Particular Specification for Diesel Oil Transfer Pump Package - AFC</t>
  </si>
  <si>
    <t>ME-1200</t>
  </si>
  <si>
    <t>Project Particular Specification for Offshore Pedestal Crane - IFR</t>
  </si>
  <si>
    <t>ME-1210</t>
  </si>
  <si>
    <t>Project Particular Specification for Offshore Pedestal Crane - AFC</t>
  </si>
  <si>
    <t>ME-1220</t>
  </si>
  <si>
    <t>Project Particular Specification for Closed Drain Sump Vessels - IFR</t>
  </si>
  <si>
    <t>ME-1230</t>
  </si>
  <si>
    <t>Project Particular Specification for Closed Drain Sump Vessels - AFC</t>
  </si>
  <si>
    <t>ME-1240</t>
  </si>
  <si>
    <t>Project Particular Specification for Closed Drain Sump and Recovered Water Pump Package - IFR</t>
  </si>
  <si>
    <t>ME-1250</t>
  </si>
  <si>
    <t>Project Particular Specification for Closed Drain Sump and Recovered Water Pump Package - AFC</t>
  </si>
  <si>
    <t>ME-1260</t>
  </si>
  <si>
    <t>Project Particular Specification for Material Handling Equipment - IFR</t>
  </si>
  <si>
    <t>ME-1270</t>
  </si>
  <si>
    <t>Project Particular Specification for Material Handling Equipment - AFC</t>
  </si>
  <si>
    <t>ME-1280</t>
  </si>
  <si>
    <t>Project Particular Specification for Deoiler Hydro cyclone Package - IFR</t>
  </si>
  <si>
    <t>ME-1290</t>
  </si>
  <si>
    <t>Project Particular Specification for Deoiler Hydro cyclone Package - AFC</t>
  </si>
  <si>
    <t>ME-1300</t>
  </si>
  <si>
    <t>Project Particular Specification for Degasser Drum - IFR</t>
  </si>
  <si>
    <t>ME-1310</t>
  </si>
  <si>
    <t>Project Particular Specification for Degasser Drum - AFC</t>
  </si>
  <si>
    <t>ME-1320</t>
  </si>
  <si>
    <t>Project Particular Specification for Skim Tank Vessel - IFR</t>
  </si>
  <si>
    <t>ME-1330</t>
  </si>
  <si>
    <t>Project Particular Specification for Skim Tank Vessel - AFC</t>
  </si>
  <si>
    <t>ME-1340</t>
  </si>
  <si>
    <t>Project Particular Specification for Open Drain Caisson Pump Package - IFR</t>
  </si>
  <si>
    <t>ME-1350</t>
  </si>
  <si>
    <t>Project Particular Specification for Open Drain Caisson Pump Package - AFC</t>
  </si>
  <si>
    <t>ME-2510</t>
  </si>
  <si>
    <t>Criticality Rating Report for Equipment - IFR</t>
  </si>
  <si>
    <t>ME-2520</t>
  </si>
  <si>
    <t>Criticality Rating Report for Equipment - AFC</t>
  </si>
  <si>
    <t>Datasheets-Mechanical</t>
  </si>
  <si>
    <t>ME-1360</t>
  </si>
  <si>
    <t>Mechanical Datasheet for Corrosion Inhibitor Storage Tank  (T-09001) - IFR</t>
  </si>
  <si>
    <t>ME-1370</t>
  </si>
  <si>
    <t>Mechanical Datasheet for Corrosion Inhibitor Storage Tank  (T-09001) - IFA</t>
  </si>
  <si>
    <t>ME-1380</t>
  </si>
  <si>
    <t>Mechanical Datasheet for Corrosion Inhibitor Storage Tank  (T-09001) - AFC</t>
  </si>
  <si>
    <t>ME-1390</t>
  </si>
  <si>
    <t>Mechanical Datasheet for Corrosion Inhibitor Storage Tote Tank (T-09011) - IFR</t>
  </si>
  <si>
    <t>ME-1400</t>
  </si>
  <si>
    <t>Mechanical Datasheet for Corrosion Inhibitor Storage Tote Tank (T-09011) - IFA</t>
  </si>
  <si>
    <t>ME-1410</t>
  </si>
  <si>
    <t>Mechanical Datasheet for Corrosion Inhibitor Storage Tote Tank (T-09011) - AFC</t>
  </si>
  <si>
    <t>ME-1420</t>
  </si>
  <si>
    <t>Mechanical Datasheet for Utility Water Storage Tote Tank (T-07003, T-07013) - IFR</t>
  </si>
  <si>
    <t>ME-1430</t>
  </si>
  <si>
    <t>Mechanical Datasheet for Utility Water Storage Tote Tank (T-07003, T-07013) - IFA</t>
  </si>
  <si>
    <t>ME-1440</t>
  </si>
  <si>
    <t>Mechanical Datasheet for Utility Water Storage Tote Tank (T-07003, T-07013) - AFC</t>
  </si>
  <si>
    <t>ME-1450</t>
  </si>
  <si>
    <t>Mechanical Datasheet for Diesel Storage Tote Tank (T-07001,T-07011) - IFR</t>
  </si>
  <si>
    <t>ME-1460</t>
  </si>
  <si>
    <t>Mechanical Datasheet for Diesel Storage Tote Tank (T-07001,T-07011) - IFA</t>
  </si>
  <si>
    <t>ME-1470</t>
  </si>
  <si>
    <t>Mechanical Datasheet for Diesel Storage Tote Tank (T-07001,T-07011) - AFC</t>
  </si>
  <si>
    <t>ME-1480</t>
  </si>
  <si>
    <t>Mechanical Datasheet for Offshore Pedestal Crane CR-07001 - IFR</t>
  </si>
  <si>
    <t>ME-1490</t>
  </si>
  <si>
    <t>Mechanical Datasheet for Offshore Pedestal Crane CR-07001 - IFA</t>
  </si>
  <si>
    <t>ME-1500</t>
  </si>
  <si>
    <t>Mechanical Datasheet for Offshore Pedestal Crane CR-07001 - AFC</t>
  </si>
  <si>
    <t>ME-1540</t>
  </si>
  <si>
    <t>Mechanical Datasheet for Instrument Gas Filter coalescer (V-03001) - IFR</t>
  </si>
  <si>
    <t>ME-1550</t>
  </si>
  <si>
    <t>Mechanical Datasheet for Instrument Gas Filter coalescer (V-03001) - IFA</t>
  </si>
  <si>
    <t>ME-1560</t>
  </si>
  <si>
    <t>Mechanical Datasheet for Instrument Gas Filter coalescer (V-03001) - AFC</t>
  </si>
  <si>
    <t>ME-1570</t>
  </si>
  <si>
    <t>Mechanical Datasheet for Diesel Transfer Pump Package (Sk-07001) - IFR</t>
  </si>
  <si>
    <t>ME-1580</t>
  </si>
  <si>
    <t>Mechanical Datasheet for Diesel Transfer Pump Package (Sk-07001) - IFA</t>
  </si>
  <si>
    <t>ME-1590</t>
  </si>
  <si>
    <t>Mechanical Datasheet for Diesel Transfer Pump Package (Sk-07001) - AFC</t>
  </si>
  <si>
    <t>ME-1600</t>
  </si>
  <si>
    <t>WPA01 Mechanical Datasheet for Test Separator (V-01001) - IFR</t>
  </si>
  <si>
    <t>ME-1610</t>
  </si>
  <si>
    <t>WPA01 Mechanical Datasheet for Test Separator (V-01001) - IFA</t>
  </si>
  <si>
    <t>ME-1620</t>
  </si>
  <si>
    <t>WPA01 Mechanical Datasheet for Test Separator (V-01001) - AFC</t>
  </si>
  <si>
    <t>ME-1660</t>
  </si>
  <si>
    <t>WPA01 Mechanical Datasheet for Corrosion Inhibitor Injection Pump Package SK-09001 - IFR</t>
  </si>
  <si>
    <t>ME-1670</t>
  </si>
  <si>
    <t>WPA01 Mechanical Datasheet for Corrosion Inhibitor Injection Pump Package SK-09001 - IFA</t>
  </si>
  <si>
    <t>ME-1680</t>
  </si>
  <si>
    <t>WPA01 Mechanical Datasheet for Corrosion Inhibitor Injection Pump Package SK-09001 - AFC</t>
  </si>
  <si>
    <t>ME-1720</t>
  </si>
  <si>
    <t>WPA01 Mechanical Datasheet for Closed Drain Sump Vessel (V-05001) - IFR</t>
  </si>
  <si>
    <t>ME-1730</t>
  </si>
  <si>
    <t>WPA01 Mechanical Datasheet for Closed Drain Sump Vessel (V-05001) - IFA</t>
  </si>
  <si>
    <t>ME-1740</t>
  </si>
  <si>
    <t>WPA01 Mechanical Datasheet for Closed Drain Sump Vessel (V-05001) - AFC</t>
  </si>
  <si>
    <t>ME-1750</t>
  </si>
  <si>
    <t>WPA01 Mechanical Datasheet for Closed Drain Sump Pump (P-05001) - IFR</t>
  </si>
  <si>
    <t>ME-1760</t>
  </si>
  <si>
    <t>WPA01 Mechanical Datasheet for Closed Drain Sump Pump (P-05001) - IFA</t>
  </si>
  <si>
    <t>ME-1770</t>
  </si>
  <si>
    <t>WPA01 Mechanical Datasheet for Closed Drain Sump Pump (P-05001) - AFC</t>
  </si>
  <si>
    <t>ME-1780</t>
  </si>
  <si>
    <t>WPA01 Mechanical Datasheet for Material Handling Equipment - IFR</t>
  </si>
  <si>
    <t>ME-1790</t>
  </si>
  <si>
    <t>WPA01 Mechanical Datasheet for Material Handling Equipment - IFA</t>
  </si>
  <si>
    <t>ME-1800</t>
  </si>
  <si>
    <t>WPA01 Mechanical Datasheet for Material Handling Equipment - AFC</t>
  </si>
  <si>
    <t>ME-1810</t>
  </si>
  <si>
    <t>WPA02 Mechanical Datasheet for Test Separator (V-01001) - IFR</t>
  </si>
  <si>
    <t>ME-1820</t>
  </si>
  <si>
    <t>WPA02 Mechanical Datasheet for Test Separator (V-01001) - IFA</t>
  </si>
  <si>
    <t>ME-1830</t>
  </si>
  <si>
    <t>WPA02 Mechanical Datasheet for Test Separator (V-01001) - AFC</t>
  </si>
  <si>
    <t>ME-1840</t>
  </si>
  <si>
    <t>WPA02 Mechanical Datasheet for Production Separator (V-10001) - IFR</t>
  </si>
  <si>
    <t>ME-1850</t>
  </si>
  <si>
    <t>WPA02 Mechanical Datasheet for Production Separator (V-10001) - IFA</t>
  </si>
  <si>
    <t>ME-1860</t>
  </si>
  <si>
    <t>WPA02 Mechanical Datasheet for Production Separator (V-10001) - AFC</t>
  </si>
  <si>
    <t>ME-1900</t>
  </si>
  <si>
    <t>WPA02 Mechanical Datasheet for De-mulsifier / Water Clarifier Storage Tank (T-09003) - IFR</t>
  </si>
  <si>
    <t>ME-1910</t>
  </si>
  <si>
    <t>WPA02 Mechanical Datasheet for De-mulsifier / Water Clarifier Storage Tank (T-09003) - IFA</t>
  </si>
  <si>
    <t>ME-1920</t>
  </si>
  <si>
    <t>WPA02 Mechanical Datasheet for De-mulsifier / Water Clarifier Storage Tank (T-09003) - AFC</t>
  </si>
  <si>
    <t>ME-1930</t>
  </si>
  <si>
    <t>WPA02 Mechanical Datasheet for De-mulsifier / Water Clarifier Storage Tote Tank (T-09013) - IFR</t>
  </si>
  <si>
    <t>ME-1940</t>
  </si>
  <si>
    <t>WPA02 Mechanical Datasheet for De-mulsifier / Water Clarifier Storage Tote Tank (T-09013) - IFA</t>
  </si>
  <si>
    <t>ME-1950</t>
  </si>
  <si>
    <t>WPA02 Mechanical Datasheet for De-mulsifier / Water Clarifier Storage Tote Tank (T-09013) - AFC</t>
  </si>
  <si>
    <t>ME-1960</t>
  </si>
  <si>
    <t>WPA02 Mechanical Datasheet for Chemical Injection Pumps Package SK-09001 - IFR</t>
  </si>
  <si>
    <t>ME-1970</t>
  </si>
  <si>
    <t>WPA02 Mechanical Datasheet for Chemical Injection Pumps Package SK-09001 - IFA</t>
  </si>
  <si>
    <t>ME-1980</t>
  </si>
  <si>
    <t>WPA02 Mechanical Datasheet for Chemical Injection Pumps Package SK-09001 - AFC</t>
  </si>
  <si>
    <t>ME-2020</t>
  </si>
  <si>
    <t>WPA02 Mechanical Datasheet for Closed Drain Sump Vessel (V-05001) - IFR</t>
  </si>
  <si>
    <t>ME-2030</t>
  </si>
  <si>
    <t>WPA02 Mechanical Datasheet for Closed Drain Sump Vessel (V-05001) - IFA</t>
  </si>
  <si>
    <t>ME-2040</t>
  </si>
  <si>
    <t>WPA02 Mechanical Datasheet for Closed Drain Sump Vessel (V-05001) - AFC</t>
  </si>
  <si>
    <t>ME-2050</t>
  </si>
  <si>
    <t>WPA02 Mechanical Datasheet for Closed Drain Sump Pump and Recovery Water Pump (SK-05001) - IFR</t>
  </si>
  <si>
    <t>ME-2060</t>
  </si>
  <si>
    <t>WPA02 Mechanical Datasheet for Closed Drain Sump Pump and Recovery Water Pump (SK-05001) - IFA</t>
  </si>
  <si>
    <t>ME-2070</t>
  </si>
  <si>
    <t>WPA02 Mechanical Datasheet for Closed Drain Sump Pump and Recovery Water Pump (SK-05001) - AFC</t>
  </si>
  <si>
    <t>ME-2080</t>
  </si>
  <si>
    <t>WPA02 Mechanical Datasheet for Material Handling Equipment - IFR</t>
  </si>
  <si>
    <t>ME-2090</t>
  </si>
  <si>
    <t>WPA02 Mechanical Datasheet for Material Handling Equipment - IFA</t>
  </si>
  <si>
    <t>ME-2100</t>
  </si>
  <si>
    <t>WPA02 Mechanical Datasheet for Material Handling Equipment - AFC</t>
  </si>
  <si>
    <t>ME-2110</t>
  </si>
  <si>
    <t>WPA02 Mechanical Datasheet for Skim Tank Vessel (V-10002) - IFR</t>
  </si>
  <si>
    <t>ME-2120</t>
  </si>
  <si>
    <t>WPA02 Mechanical Datasheet for Skim Tank Vessel (V-10002) - IFA</t>
  </si>
  <si>
    <t>ME-2130</t>
  </si>
  <si>
    <t>WPA02 Mechanical Datasheet for Skim Tank Vessel (V-10002) - AFC</t>
  </si>
  <si>
    <t>ME-2140</t>
  </si>
  <si>
    <t>WPA02 Mechanical Datasheet for Deoiler Hydro cyclone Package (SK-11001) - IFR</t>
  </si>
  <si>
    <t>ME-2150</t>
  </si>
  <si>
    <t>WPA02 Mechanical Datasheet for Deoiler Hydro cyclone Package (SK-11001) - IFA</t>
  </si>
  <si>
    <t>ME-2160</t>
  </si>
  <si>
    <t>WPA02 Mechanical Datasheet for Deoiler Hydro cyclone Package (SK-11001) - AFC</t>
  </si>
  <si>
    <t>ME-2170</t>
  </si>
  <si>
    <t>WPA02 Mechanical Datasheet for Degasser Drum (V-11003) - IFR</t>
  </si>
  <si>
    <t>ME-2180</t>
  </si>
  <si>
    <t>WPA02 Mechanical Datasheet for Degasser Drum (V-11003) - IFA</t>
  </si>
  <si>
    <t>ME-2190</t>
  </si>
  <si>
    <t>WPA02 Mechanical Datasheet for Degasser Drum (V-11003) - AFC</t>
  </si>
  <si>
    <t>ME-2200</t>
  </si>
  <si>
    <t>WPA02 Mechanical Datasheet for Open Drain Caisson Pump Package SK-05003) - IFR</t>
  </si>
  <si>
    <t>ME-2210</t>
  </si>
  <si>
    <t>WPA02 Mechanical Datasheet for Open Drain Caisson Pump Package SK-05003) - IFA</t>
  </si>
  <si>
    <t>ME-2220</t>
  </si>
  <si>
    <t>WPA02 Mechanical Datasheet for Open Drain Caisson Pump Package SK-05003) - AFC</t>
  </si>
  <si>
    <t>MR-Mechanical</t>
  </si>
  <si>
    <t>ME-2230</t>
  </si>
  <si>
    <t>Material Requisition for Test and Production Separator - IFR</t>
  </si>
  <si>
    <t>ME-2240</t>
  </si>
  <si>
    <t>Material Requisition for Test and Production Separator - AFC</t>
  </si>
  <si>
    <t>ME-2250</t>
  </si>
  <si>
    <t>Material Requisition for Instrument Gas Filter coalescer - IFR</t>
  </si>
  <si>
    <t>ME-2260</t>
  </si>
  <si>
    <t>Material Requisition for Instrument Gas Filter coalescer - AFC</t>
  </si>
  <si>
    <t>ME-2270</t>
  </si>
  <si>
    <t>Material Requisition for Storage Tote Tanks - IFR</t>
  </si>
  <si>
    <t>ME-2280</t>
  </si>
  <si>
    <t>Material Requisition for Storage Tote Tanks - AFC</t>
  </si>
  <si>
    <t>ME-2290</t>
  </si>
  <si>
    <t>Material Requisition for Storage Tanks - IFR</t>
  </si>
  <si>
    <t>ME-2300</t>
  </si>
  <si>
    <t>Material Requisition for Storage Tanks - AFC</t>
  </si>
  <si>
    <t>ME-2310</t>
  </si>
  <si>
    <t>Material Requisition for Chemical Injection Pumps Package - IFR</t>
  </si>
  <si>
    <t>ME-2320</t>
  </si>
  <si>
    <t>Material Requisition for Chemical Injection Pumps Package - AFC</t>
  </si>
  <si>
    <t>ME-2330</t>
  </si>
  <si>
    <t>Material Requisition for Diesel Oil Transfer Pump Package - IFR</t>
  </si>
  <si>
    <t>ME-2340</t>
  </si>
  <si>
    <t>Material Requisition for Diesel Oil Transfer Pump Package - AFC</t>
  </si>
  <si>
    <t>ME-2350</t>
  </si>
  <si>
    <t>Material Requisition for Offshore Pedestal Crane - IFR</t>
  </si>
  <si>
    <t>ME-2360</t>
  </si>
  <si>
    <t>Material Requisition for Offshore Pedestal Crane - AFC</t>
  </si>
  <si>
    <t>ME-2370</t>
  </si>
  <si>
    <t>Material Requisition for Closed Drain Sump Vessel - IFR</t>
  </si>
  <si>
    <t>ME-2380</t>
  </si>
  <si>
    <t>Material Requisition for Closed Drain Sump Vessel - AFC</t>
  </si>
  <si>
    <t>ME-2390</t>
  </si>
  <si>
    <t>Material Requisition for Closed Drain Sump Pump and Recovery Water Pump Package - IFR</t>
  </si>
  <si>
    <t>ME-2400</t>
  </si>
  <si>
    <t>Material Requisition for Closed Drain Sump Pump and Recovery Water Pump Package - AFC</t>
  </si>
  <si>
    <t>ME-2410</t>
  </si>
  <si>
    <t>Material Requisition for Material Handling Equipment - IFR</t>
  </si>
  <si>
    <t>ME-2420</t>
  </si>
  <si>
    <t>Material Requisition for Material Handling Equipment - AFC</t>
  </si>
  <si>
    <t>ME-2430</t>
  </si>
  <si>
    <t>Material Requisition for Deoiler Hydro cyclone Package - IFR</t>
  </si>
  <si>
    <t>ME-2440</t>
  </si>
  <si>
    <t>Material Requisition for Deoiler Hydro cyclone Package - AFC</t>
  </si>
  <si>
    <t>ME-2450</t>
  </si>
  <si>
    <t>Material Requisition for Degasser Drum - IFR</t>
  </si>
  <si>
    <t>ME-2460</t>
  </si>
  <si>
    <t>Material Requisition for Degasser Drum - AFC</t>
  </si>
  <si>
    <t>ME-2470</t>
  </si>
  <si>
    <t>Material Requisition for Skim Tank Vessel - IFR</t>
  </si>
  <si>
    <t>ME-2480</t>
  </si>
  <si>
    <t>Material Requisition for Skim Tank Vessel - AFC</t>
  </si>
  <si>
    <t>ME-2490</t>
  </si>
  <si>
    <t>Material Requisition for Open Drain Caisson Pump - IFR</t>
  </si>
  <si>
    <t>ME-2500</t>
  </si>
  <si>
    <t>Material Requisition for Open Drain Caisson Pump - AFC</t>
  </si>
  <si>
    <t>TBE-Mechanical</t>
  </si>
  <si>
    <t>ME-2530</t>
  </si>
  <si>
    <t>Technical Bid Evaluation for Test and Production Separator - IFR</t>
  </si>
  <si>
    <t>ME-2540</t>
  </si>
  <si>
    <t>Technical Bid Evaluation for Test and Production Separator - AFC</t>
  </si>
  <si>
    <t>ME-2550</t>
  </si>
  <si>
    <t>Technical Bid Evaluation for Instrument Gas Filter coalescer - IFR</t>
  </si>
  <si>
    <t>ME-2560</t>
  </si>
  <si>
    <t>Technical Bid Evaluation for Instrument Gas Filter coalescer - AFC</t>
  </si>
  <si>
    <t>ME-2570</t>
  </si>
  <si>
    <t>Technical Bid Evaluation for Storage Tote Tanks - IFR</t>
  </si>
  <si>
    <t>ME-2580</t>
  </si>
  <si>
    <t>Technical Bid Evaluation for Storage Tote Tanks - AFC</t>
  </si>
  <si>
    <t>ME-2590</t>
  </si>
  <si>
    <t>Technical Bid Evaluation for Storage Tanks - IFR</t>
  </si>
  <si>
    <t>ME-2600</t>
  </si>
  <si>
    <t>Technical Bid Evaluation for Storage Tanks - AFC</t>
  </si>
  <si>
    <t>ME-2610</t>
  </si>
  <si>
    <t>Technical Bid Evaluation for Chemical Injection Pumps Package - IFR</t>
  </si>
  <si>
    <t>ME-2620</t>
  </si>
  <si>
    <t>Technical Bid Evaluation for Chemical Injection Pumps Package - AFC</t>
  </si>
  <si>
    <t>ME-2630</t>
  </si>
  <si>
    <t>Technical Bid Evaluation for Diesel Oil Transfer Pump Package - IFR</t>
  </si>
  <si>
    <t>ME-2640</t>
  </si>
  <si>
    <t>Technical Bid Evaluation for Diesel Oil Transfer Pump Package - AFC</t>
  </si>
  <si>
    <t>ME-2650</t>
  </si>
  <si>
    <t>Technical Bid Evaluation for Offshore Pedestal Crane - IFR</t>
  </si>
  <si>
    <t>ME-2660</t>
  </si>
  <si>
    <t>Technical Bid Evaluation for Offshore Pedestal Crane - AFC</t>
  </si>
  <si>
    <t>ME-2670</t>
  </si>
  <si>
    <t>Technical Bid Evaluation for Closed Drain Sump Vessel - IFR</t>
  </si>
  <si>
    <t>ME-2680</t>
  </si>
  <si>
    <t>Technical Bid Evaluation for Closed Drain Sump Vessel - AFC</t>
  </si>
  <si>
    <t>ME-2690</t>
  </si>
  <si>
    <t>Technical Bid Evaluation for Closed Drain Sump Pump and Recovery Water Pump Package - IFR</t>
  </si>
  <si>
    <t>ME-2700</t>
  </si>
  <si>
    <t>Technical Bid Evaluation for Closed Drain Sump Pump and Recovery Water Pump Package - AFC</t>
  </si>
  <si>
    <t>ME-2710</t>
  </si>
  <si>
    <t>Technical Bid Evaluation for Material Handling Equipment - IFR</t>
  </si>
  <si>
    <t>ME-2720</t>
  </si>
  <si>
    <t>Technical Bid Evaluation for Material Handling Equipment - AFC</t>
  </si>
  <si>
    <t>ME-2730</t>
  </si>
  <si>
    <t>Technical Bid Evaluation for Deoiler Hydro cyclone Package - IFR</t>
  </si>
  <si>
    <t>ME-2740</t>
  </si>
  <si>
    <t>Technical Bid Evaluation for Deoiler Hydro cyclone Package - AFC</t>
  </si>
  <si>
    <t>ME-2750</t>
  </si>
  <si>
    <t>Technical Bid Evaluation for Degasser Drum - IFR</t>
  </si>
  <si>
    <t>ME-2760</t>
  </si>
  <si>
    <t>Technical Bid Evaluation for Degasser Drum - AFC</t>
  </si>
  <si>
    <t>ME-2770</t>
  </si>
  <si>
    <t>Technical Bid Evaluation for Skim Tank Vessel - IFR</t>
  </si>
  <si>
    <t>ME-2780</t>
  </si>
  <si>
    <t>Technical Bid Evaluation for Skim Tank Vessel - AFC</t>
  </si>
  <si>
    <t>ME-2790</t>
  </si>
  <si>
    <t>Technical Bid Evaluation for Open Drain Caisson Pump - IFR</t>
  </si>
  <si>
    <t>ME-2800</t>
  </si>
  <si>
    <t>Technical Bid Evaluation for Open Drain Caisson Pump - AFC</t>
  </si>
  <si>
    <t>PIPINGENGINEERING</t>
  </si>
  <si>
    <t>PI-1000</t>
  </si>
  <si>
    <t>Piping Basis of Design (offshore) - IFR</t>
  </si>
  <si>
    <t>PI-1010</t>
  </si>
  <si>
    <t>Piping Basis of Design (offshore) - AFC</t>
  </si>
  <si>
    <t>PI-1020</t>
  </si>
  <si>
    <t>Piping Stress Basis of Design - IFR</t>
  </si>
  <si>
    <t>PI-1030</t>
  </si>
  <si>
    <t>Piping Stress Basis of Design - AFC</t>
  </si>
  <si>
    <t>PI-1040</t>
  </si>
  <si>
    <t>3D Model Review Report 30% - IFR</t>
  </si>
  <si>
    <t>PI-1050</t>
  </si>
  <si>
    <t>3D Model Review Report 30% - AFC</t>
  </si>
  <si>
    <t>PI-1060</t>
  </si>
  <si>
    <t>3D Model Review Report 60% - IFR</t>
  </si>
  <si>
    <t>PI-1070</t>
  </si>
  <si>
    <t>3D Model Review Report 60% - AFC</t>
  </si>
  <si>
    <t>PI-1080</t>
  </si>
  <si>
    <t>3D Model Review &amp; Clash Check Reports (90% and Final 3D Model) - IFR</t>
  </si>
  <si>
    <t>PI-1090</t>
  </si>
  <si>
    <t>3D Model Review &amp; Clash Check Reports (90% and Final 3D Model) - AFC</t>
  </si>
  <si>
    <t>PI-1100</t>
  </si>
  <si>
    <t>30% 3D Modeling</t>
  </si>
  <si>
    <t>PI-1110</t>
  </si>
  <si>
    <t>60%3D Modeling</t>
  </si>
  <si>
    <t>PI-1120</t>
  </si>
  <si>
    <t>90%3D Modeling</t>
  </si>
  <si>
    <t>PI-1130</t>
  </si>
  <si>
    <t>Drilling Rig Clash Check Report : WPA01 and WPA02 - IFR</t>
  </si>
  <si>
    <t>PI-1140</t>
  </si>
  <si>
    <t>Drilling Rig Clash Check Report : WPA01 and WPA02 - AFC</t>
  </si>
  <si>
    <t>PI-1150</t>
  </si>
  <si>
    <t>Criticality Rating Report for Piping - IFR</t>
  </si>
  <si>
    <t>PI-1160</t>
  </si>
  <si>
    <t>Criticality Rating Report for Piping - AFC</t>
  </si>
  <si>
    <t>PI-1170</t>
  </si>
  <si>
    <t>Piping Material Specification - IFR</t>
  </si>
  <si>
    <t>PI-1180</t>
  </si>
  <si>
    <t>Piping Material Specification - AFC</t>
  </si>
  <si>
    <t>PI-1190</t>
  </si>
  <si>
    <t>Piping Design Standard - IFR</t>
  </si>
  <si>
    <t>PI-1200</t>
  </si>
  <si>
    <t>Piping Design Standard - AFC</t>
  </si>
  <si>
    <t>PI-1210</t>
  </si>
  <si>
    <t>Pipe Support Standard - IFR</t>
  </si>
  <si>
    <t>PI-1220</t>
  </si>
  <si>
    <t>Pipe Support Standard - AFC</t>
  </si>
  <si>
    <t>PI-1230</t>
  </si>
  <si>
    <t>Piping Stress Critical Line List - IFR</t>
  </si>
  <si>
    <t>PI-1235</t>
  </si>
  <si>
    <t>Piping Stress Critical Line List - IFA</t>
  </si>
  <si>
    <t>PI-1240</t>
  </si>
  <si>
    <t>Piping Stress Critical Line List - AFC</t>
  </si>
  <si>
    <t>PI-1250</t>
  </si>
  <si>
    <t>Piping Specialty Item List - IFR</t>
  </si>
  <si>
    <t>PI-1255</t>
  </si>
  <si>
    <t>Piping Specialty Item List - IFA</t>
  </si>
  <si>
    <t>PI-1260</t>
  </si>
  <si>
    <t>Piping Specialty Item List - AFC</t>
  </si>
  <si>
    <t>PI-1270</t>
  </si>
  <si>
    <t>WPA01 Equipment Layout Drawing (6 Sheets) - IFR</t>
  </si>
  <si>
    <t>PI-1280</t>
  </si>
  <si>
    <t>WPA01 Equipment Layout Drawing (6 Sheets) - IFA</t>
  </si>
  <si>
    <t>PI-1290</t>
  </si>
  <si>
    <t>WPA01 Equipment Layout Drawing (6 Sheets) - AFC</t>
  </si>
  <si>
    <t>PI-1300</t>
  </si>
  <si>
    <t>WPA01 Equipment Layout Elevation Looking (4 Sheets) - IFR</t>
  </si>
  <si>
    <t>PI-1310</t>
  </si>
  <si>
    <t>WPA01 Equipment Layout Elevation Looking (4 Sheets) - IFA</t>
  </si>
  <si>
    <t>PI-1320</t>
  </si>
  <si>
    <t>WPA01 Equipment Layout Elevation Looking (4 Sheets) - AFC</t>
  </si>
  <si>
    <t>PI-1330</t>
  </si>
  <si>
    <t>WPA01 Drilling And Well Service Equipment Layout (5 Sheets) - IFR</t>
  </si>
  <si>
    <t>PI-1340</t>
  </si>
  <si>
    <t>WPA01 Drilling And Well Service Equipment Layout (5 Sheets) - IFA</t>
  </si>
  <si>
    <t>PI-1350</t>
  </si>
  <si>
    <t>WPA01 Drilling And Well Service Equipment Layout (5 Sheets) - AFC</t>
  </si>
  <si>
    <t>PI-1360</t>
  </si>
  <si>
    <t>WPA02 Equipment Layout Drawing (6 Sheets) - IFR</t>
  </si>
  <si>
    <t>PI-1370</t>
  </si>
  <si>
    <t>WPA02 Equipment Layout Drawing (6 Sheets) - IFA</t>
  </si>
  <si>
    <t>PI-1380</t>
  </si>
  <si>
    <t>WPA02 Equipment Layout Drawing (6 Sheets) - AFC</t>
  </si>
  <si>
    <t>PI-1390</t>
  </si>
  <si>
    <t>WPA02 Equipment Layout Elevation Looking (4 Sheets) - IFR</t>
  </si>
  <si>
    <t>PI-1400</t>
  </si>
  <si>
    <t>WPA02 Equipment Layout Elevation Looking (4 Sheets) - IFA</t>
  </si>
  <si>
    <t>PI-1410</t>
  </si>
  <si>
    <t>WPA02 Equipment Layout Elevation Looking (4 Sheets) - AFC</t>
  </si>
  <si>
    <t>PI-1420</t>
  </si>
  <si>
    <t>WPA02 Drilling And Well Service Equipment Layout (5 Sheets) - IFR</t>
  </si>
  <si>
    <t>PI-1430</t>
  </si>
  <si>
    <t>WPA02 Drilling And Well Service Equipment Layout (5 Sheets) - IFA</t>
  </si>
  <si>
    <t>PI-1440</t>
  </si>
  <si>
    <t>WPA02 Drilling And Well Service Equipment Layout (5 Sheets) - AFC</t>
  </si>
  <si>
    <t>PI-1450</t>
  </si>
  <si>
    <t>WPA01 Piping General Arrangement and Support Location Plan (27 Sheets) - IFR</t>
  </si>
  <si>
    <t>PI-1460</t>
  </si>
  <si>
    <t>WPA01 Piping General Arrangement and Support Location Plan (27 Sheets) - AFC</t>
  </si>
  <si>
    <t>PI-1470</t>
  </si>
  <si>
    <t>WPA02 Piping General Arrangement and Support Location Plan (27 Sheets) - IFR</t>
  </si>
  <si>
    <t>PI-1480</t>
  </si>
  <si>
    <t>WPA02 Piping General Arrangement and Support Location Plan (27 Sheets) - AFC</t>
  </si>
  <si>
    <t>PI-1490</t>
  </si>
  <si>
    <t>Piping Wall Thickness Calculation - IFR</t>
  </si>
  <si>
    <t>PI-1500</t>
  </si>
  <si>
    <t>Piping Wall Thickness Calculation - AFC</t>
  </si>
  <si>
    <t>PI-1510</t>
  </si>
  <si>
    <t>Small Bore Connection Assessment - IFR</t>
  </si>
  <si>
    <t>PI-1520</t>
  </si>
  <si>
    <t>Small Bore Connection Assessment - AFC</t>
  </si>
  <si>
    <t>PI-1530</t>
  </si>
  <si>
    <t>WPA01 Piping Stress Analysis Report (Flowline) - IFR</t>
  </si>
  <si>
    <t>PI-1540</t>
  </si>
  <si>
    <t>WPA01 Piping Stress Analysis Report (Flowline) - AFC</t>
  </si>
  <si>
    <t>PI-1550</t>
  </si>
  <si>
    <t>WPA01 Piping Stress Analysis Report (PIG Launcher/Receiver) - IFR</t>
  </si>
  <si>
    <t>PI-1560</t>
  </si>
  <si>
    <t>WPA01 Piping Stress Analysis Report (PIG Launcher/Receiver) - AFC</t>
  </si>
  <si>
    <t>PI-1570</t>
  </si>
  <si>
    <t>WPA01 Piping Stress Analysis Report (Other GC lines, IG lines, and HP vent) - IFR</t>
  </si>
  <si>
    <t>PI-1580</t>
  </si>
  <si>
    <t>WPA01 Piping Stress Analysis Report (Other GC lines, IG lines, and HP vent) - AFC</t>
  </si>
  <si>
    <t>PI-1590</t>
  </si>
  <si>
    <t>WPA01 Piping Stress Analysis Report  (LP vent and DP lines level 2) - IFR</t>
  </si>
  <si>
    <t>PI-1600</t>
  </si>
  <si>
    <t>WPA01 Piping Stress Analysis Report  (LP vent and DP lines level 2) - AFC</t>
  </si>
  <si>
    <t>PI-1610</t>
  </si>
  <si>
    <t>WPA01 Piping Stress Analysis Report (Future Booster Compressor Package) - IFR</t>
  </si>
  <si>
    <t>PI-1620</t>
  </si>
  <si>
    <t>WPA01 Piping Stress Analysis Report (Future Booster Compressor Package) - AFC</t>
  </si>
  <si>
    <t>PI-1630</t>
  </si>
  <si>
    <t>WPA02 Piping Stress Analysis Report (Flowline) - IFR</t>
  </si>
  <si>
    <t>PI-1640</t>
  </si>
  <si>
    <t>WPA02 Piping Stress Analysis Report (Flowline) - AFC</t>
  </si>
  <si>
    <t>PI-1650</t>
  </si>
  <si>
    <t>WPA02 Piping Stress Analysis Report (PIG Launcher/Receiver) - IFR</t>
  </si>
  <si>
    <t>PI-1660</t>
  </si>
  <si>
    <t>WPA02 Piping Stress Analysis Report (PIG Launcher/Receiver) - AFC</t>
  </si>
  <si>
    <t>PI-1670</t>
  </si>
  <si>
    <t>WPA02 Piping Stress Analysis Report (Other GC lines, IG lines, and HP vent) - IFR</t>
  </si>
  <si>
    <t>PI-1680</t>
  </si>
  <si>
    <t>WPA02 Piping Stress Analysis Report (Other GC lines, IG lines, and HP vent) - AFC</t>
  </si>
  <si>
    <t>PI-1690</t>
  </si>
  <si>
    <t>WPA02 Piping Stress Analysis Report  (LP vent and DP lines level 2) - IFR</t>
  </si>
  <si>
    <t>PI-1700</t>
  </si>
  <si>
    <t>WPA02 Piping Stress Analysis Report  (LP vent and DP lines level 2) - AFC</t>
  </si>
  <si>
    <t>PI-1710</t>
  </si>
  <si>
    <t>WPA02 Piping Stress Analysis Report required for any other lines as specific in the Piping StressCritical LL - IFR</t>
  </si>
  <si>
    <t>PI-1720</t>
  </si>
  <si>
    <t>WPA02 Piping Stress Analysis Report required for any other lines as specific in the Piping Stress Critical LL - AFC</t>
  </si>
  <si>
    <t>PI-1730</t>
  </si>
  <si>
    <t>Material Take-Off for Manual Valves WP01 - IFR</t>
  </si>
  <si>
    <t>PI-1740</t>
  </si>
  <si>
    <t>Material Take-Off for Manual Valves WP01 - IFA</t>
  </si>
  <si>
    <t>PI-1750</t>
  </si>
  <si>
    <t>Material Take-Off for Manual Valves WP01 - AFC</t>
  </si>
  <si>
    <t>PI-1760</t>
  </si>
  <si>
    <t>Material Take-Off for Piping Bulk WP01 - IFR</t>
  </si>
  <si>
    <t>PI-1770</t>
  </si>
  <si>
    <t>Material Take-Off for Piping Bulk WP01 - IFA</t>
  </si>
  <si>
    <t>PI-1780</t>
  </si>
  <si>
    <t>Material Take-Off for Piping Bulk WP01 - AFC</t>
  </si>
  <si>
    <t>PI-1790</t>
  </si>
  <si>
    <t>Material Take-Off for Manual Valves WP02 - IFR</t>
  </si>
  <si>
    <t>PI-1800</t>
  </si>
  <si>
    <t>Material Take-Off for Manual Valves WP02 - IFA</t>
  </si>
  <si>
    <t>PI-1810</t>
  </si>
  <si>
    <t>Material Take-Off for Manual Valves WP02 - AFC</t>
  </si>
  <si>
    <t>PI-1820</t>
  </si>
  <si>
    <t>Material Take-Off for Piping Bulk WP02 - IFR</t>
  </si>
  <si>
    <t>PI-1830</t>
  </si>
  <si>
    <t>Material Take-Off for Piping Bulk WP02 - IFA</t>
  </si>
  <si>
    <t>PI-1840</t>
  </si>
  <si>
    <t>Material Take-Off for Piping Bulk WP02 - AFC</t>
  </si>
  <si>
    <t>PI-3010</t>
  </si>
  <si>
    <t>WPA01 Piping Isometric Drawings - IFR</t>
  </si>
  <si>
    <t>PI-3020</t>
  </si>
  <si>
    <t>WPA01 Piping Isometric Drawings - AFC</t>
  </si>
  <si>
    <t>PI-3030</t>
  </si>
  <si>
    <t>WPA01 Piping Support List - IFR</t>
  </si>
  <si>
    <t>PI-3040</t>
  </si>
  <si>
    <t>WPA01 Piping Support List - AFC</t>
  </si>
  <si>
    <t>PI-3050</t>
  </si>
  <si>
    <t>WPA01 Piping Shiploose List - IFR</t>
  </si>
  <si>
    <t>PI-3060</t>
  </si>
  <si>
    <t>WPA01 Piping Shiploose List - AFC</t>
  </si>
  <si>
    <t>PI-3070</t>
  </si>
  <si>
    <t>WPA01 Piping Support Arrangement Drawings - IFR</t>
  </si>
  <si>
    <t>PI-3080</t>
  </si>
  <si>
    <t>WPA01 Piping Support Arrangement Drawings - AFC</t>
  </si>
  <si>
    <t>PI-3090</t>
  </si>
  <si>
    <t>WPA01 Special Pipe Support Drawings - IFR</t>
  </si>
  <si>
    <t>PI-3100</t>
  </si>
  <si>
    <t>WPA01 Special Pipe Support Drawings - AFC</t>
  </si>
  <si>
    <t>PI-4000</t>
  </si>
  <si>
    <t>WPA02 Piping Isometric Drawings - IFR</t>
  </si>
  <si>
    <t>PI-4001</t>
  </si>
  <si>
    <t>WPA02 Piping Isometric Drawings - AFC</t>
  </si>
  <si>
    <t>PI-4002</t>
  </si>
  <si>
    <t>WPA02 Piping Support List - IFR</t>
  </si>
  <si>
    <t>PI-4003</t>
  </si>
  <si>
    <t>WPA02 Piping Support List - AFC</t>
  </si>
  <si>
    <t>PI-4004</t>
  </si>
  <si>
    <t>WPA02 Piping Shiploose List - IFR</t>
  </si>
  <si>
    <t>PI-4005</t>
  </si>
  <si>
    <t>WPA02 Piping Shiploose List - AFC</t>
  </si>
  <si>
    <t>PI-4006</t>
  </si>
  <si>
    <t>WPA02 Piping Support Arrangement Drawings - IFR</t>
  </si>
  <si>
    <t>PI-4007</t>
  </si>
  <si>
    <t>WPA02 Piping Support Arrangement Drawings - AFC</t>
  </si>
  <si>
    <t>PI-4008</t>
  </si>
  <si>
    <t>WPA02 Special Pipe Support Drawings - IFR</t>
  </si>
  <si>
    <t>PI-4009</t>
  </si>
  <si>
    <t>WPA02 Special Pipe Support Drawings - AFC</t>
  </si>
  <si>
    <t>Datasheets-Piping</t>
  </si>
  <si>
    <t>PI-1850</t>
  </si>
  <si>
    <t>Datasheet for Manual Valves - IFR</t>
  </si>
  <si>
    <t>PI-1860</t>
  </si>
  <si>
    <t>Datasheet for Manual Valves - IFA</t>
  </si>
  <si>
    <t>PI-1870</t>
  </si>
  <si>
    <t>Datasheet for Manual Valves - AFC</t>
  </si>
  <si>
    <t>PI-1880</t>
  </si>
  <si>
    <t>Datasheet for Corrosion Fittings (Probe, Coupon and Chemical Injection Quill) - IFR</t>
  </si>
  <si>
    <t>PI-1890</t>
  </si>
  <si>
    <t>Datasheet for Corrosion Fittings (Probe, Coupon and Chemical Injection Quill) - IFA</t>
  </si>
  <si>
    <t>PI-1900</t>
  </si>
  <si>
    <t>Datasheet for Corrosion Fittings (Probe, Coupon and Chemical Injection Quill) - AFC</t>
  </si>
  <si>
    <t>PI-1910</t>
  </si>
  <si>
    <t>Datasheet for Hose and Hose Connector - IFR</t>
  </si>
  <si>
    <t>PI-1920</t>
  </si>
  <si>
    <t>Datasheet for Hose and Hose Connector - IFA</t>
  </si>
  <si>
    <t>PI-1930</t>
  </si>
  <si>
    <t>Datasheet for Hose and Hose Connector - AFC</t>
  </si>
  <si>
    <t>PI-1940</t>
  </si>
  <si>
    <t>Datasheet for Strainer - IFR</t>
  </si>
  <si>
    <t>PI-1950</t>
  </si>
  <si>
    <t>Datasheet for Strainer - IFA</t>
  </si>
  <si>
    <t>PI-1960</t>
  </si>
  <si>
    <t>Datasheet for Strainer - AFC</t>
  </si>
  <si>
    <t>PI-1970</t>
  </si>
  <si>
    <t>Datasheet for Liquid Trap - IFR</t>
  </si>
  <si>
    <t>PI-1980</t>
  </si>
  <si>
    <t>Datasheet for Liquid Trap - IFA</t>
  </si>
  <si>
    <t>PI-1990</t>
  </si>
  <si>
    <t>Datasheet for Liquid Trap - AFC</t>
  </si>
  <si>
    <t>PI-2000</t>
  </si>
  <si>
    <t>Datasheet for G-Clamp - IFR</t>
  </si>
  <si>
    <t>PI-2010</t>
  </si>
  <si>
    <t>Datasheet for G-Clamp - IFA</t>
  </si>
  <si>
    <t>PI-2020</t>
  </si>
  <si>
    <t>Datasheet for G-Clamp - AFC</t>
  </si>
  <si>
    <t>PI-2030</t>
  </si>
  <si>
    <t>Datasheet for Flame Arrestor - IFR</t>
  </si>
  <si>
    <t>PI-2040</t>
  </si>
  <si>
    <t>Datasheet for Flame Arrestor - IFA</t>
  </si>
  <si>
    <t>PI-2050</t>
  </si>
  <si>
    <t>Datasheet for Flame Arrestor - AFC</t>
  </si>
  <si>
    <t>PI-2060</t>
  </si>
  <si>
    <t>Datasheet for Sight Glass - IFR</t>
  </si>
  <si>
    <t>PI-2070</t>
  </si>
  <si>
    <t>Datasheet for Sight Glass - IFA</t>
  </si>
  <si>
    <t>PI-2080</t>
  </si>
  <si>
    <t>Datasheet for Sight Glass - AFC</t>
  </si>
  <si>
    <t>PI-4019</t>
  </si>
  <si>
    <t>Datasheet for Quick Opening Closure - IFR</t>
  </si>
  <si>
    <t>PI-4029</t>
  </si>
  <si>
    <t>Datasheet for Quick Opening Closure - IFA</t>
  </si>
  <si>
    <t>PI-4039</t>
  </si>
  <si>
    <t>Datasheet for Quick Opening Closure - AFC</t>
  </si>
  <si>
    <t>MR-Piping</t>
  </si>
  <si>
    <t>PI-2090</t>
  </si>
  <si>
    <t>Material Requisition for Ball valve (Flange end) - IFR</t>
  </si>
  <si>
    <t>PI-2100</t>
  </si>
  <si>
    <t>Material Requisition for Ball valve (Flange end) - AFC</t>
  </si>
  <si>
    <t>PI-2110</t>
  </si>
  <si>
    <t>Material Requisition for Ball valve (Welded end) - IFR</t>
  </si>
  <si>
    <t>PI-2120</t>
  </si>
  <si>
    <t>Material Requisition for Ball valve (Welded end) - AFC</t>
  </si>
  <si>
    <t>PI-2130</t>
  </si>
  <si>
    <t>Material Requisition for Globe valve (Flange end) - IFR</t>
  </si>
  <si>
    <t>PI-2140</t>
  </si>
  <si>
    <t>Material Requisition for Globe valve (Flange end) - AFC</t>
  </si>
  <si>
    <t>PI-2150</t>
  </si>
  <si>
    <t>Material Requisition for Globe valve (Welded end) - IFR</t>
  </si>
  <si>
    <t>PI-2160</t>
  </si>
  <si>
    <t>Material Requisition for Globe valve (Welded end) - AFC</t>
  </si>
  <si>
    <t>PI-2170</t>
  </si>
  <si>
    <t>Material Requisition for Check valve (Flange end) - IFR</t>
  </si>
  <si>
    <t>PI-2180</t>
  </si>
  <si>
    <t>Material Requisition for Check valve (Flange end) - AFC</t>
  </si>
  <si>
    <t>PI-2190</t>
  </si>
  <si>
    <t>Material Requisition for Check valve (Welded end) - IFR</t>
  </si>
  <si>
    <t>PI-2200</t>
  </si>
  <si>
    <t>Material Requisition for Check valve (Welded end) - AFC</t>
  </si>
  <si>
    <t>PI-2210</t>
  </si>
  <si>
    <t>Material Requisition for Compact Check valve (Welded end) - IFR</t>
  </si>
  <si>
    <t>PI-2220</t>
  </si>
  <si>
    <t>Material Requisition for Compact Check valve (Welded end) - AFC</t>
  </si>
  <si>
    <t>PI-2230</t>
  </si>
  <si>
    <t>Material Requisition for Carbon steel pipe - IFR</t>
  </si>
  <si>
    <t>PI-2240</t>
  </si>
  <si>
    <t>Material Requisition for Carbon steel pipe - AFC</t>
  </si>
  <si>
    <t>PI-2250</t>
  </si>
  <si>
    <t>Material Requisition for Carbon steel fitting - IFR</t>
  </si>
  <si>
    <t>PI-2260</t>
  </si>
  <si>
    <t>Material Requisition for Carbon steel fitting - AFC</t>
  </si>
  <si>
    <t>PI-2270</t>
  </si>
  <si>
    <t>Material Requisition for Carbon steel flange - IFR</t>
  </si>
  <si>
    <t>PI-2280</t>
  </si>
  <si>
    <t>Material Requisition for Carbon steel flange - AFC</t>
  </si>
  <si>
    <t>PI-2290</t>
  </si>
  <si>
    <t>Material Requisition for SS and DSS Pipe - IFR</t>
  </si>
  <si>
    <t>PI-2300</t>
  </si>
  <si>
    <t>Material Requisition for SS and DSS Pipe - AFC</t>
  </si>
  <si>
    <t>PI-2310</t>
  </si>
  <si>
    <t>Material Requisition for SS and DSS fitting - IFR</t>
  </si>
  <si>
    <t>PI-2320</t>
  </si>
  <si>
    <t>Material Requisition for SS and DSS fitting - AFC</t>
  </si>
  <si>
    <t>PI-2330</t>
  </si>
  <si>
    <t>Material Requisition for SS and DSS flange - IFR</t>
  </si>
  <si>
    <t>PI-2340</t>
  </si>
  <si>
    <t>Material Requisition for SS and DSS flange - AFC</t>
  </si>
  <si>
    <t>PI-2350</t>
  </si>
  <si>
    <t>Material Requisition for stud bolts and nuts - IFR</t>
  </si>
  <si>
    <t>PI-2360</t>
  </si>
  <si>
    <t>Material Requisition for stud bolts and nuts - AFC</t>
  </si>
  <si>
    <t>PI-2370</t>
  </si>
  <si>
    <t>Material Requisition for gaskets - IFR</t>
  </si>
  <si>
    <t>PI-2380</t>
  </si>
  <si>
    <t>Material Requisition for gaskets - AFC</t>
  </si>
  <si>
    <t>PI-2390</t>
  </si>
  <si>
    <t>Material Requisition for pipe support - IFR</t>
  </si>
  <si>
    <t>PI-2400</t>
  </si>
  <si>
    <t>Material Requisition for pipe support - AFC</t>
  </si>
  <si>
    <t>PI-2410</t>
  </si>
  <si>
    <t>Material Requisition for Corrosion Fittings (Probe, Coupon and Chemical Injection Quill) - IFR</t>
  </si>
  <si>
    <t>PI-2420</t>
  </si>
  <si>
    <t>Material Requisition for Corrosion Fittings (Probe, Coupon and Chemical Injection Quill) - AFC</t>
  </si>
  <si>
    <t>PI-2430</t>
  </si>
  <si>
    <t>Material Requisition for Hose and Hose Connector - IFR</t>
  </si>
  <si>
    <t>PI-2440</t>
  </si>
  <si>
    <t>Material Requisition for Hose and Hose Connector - AFC</t>
  </si>
  <si>
    <t>PI-2450</t>
  </si>
  <si>
    <t>Material Requisition for Strainer - IFR</t>
  </si>
  <si>
    <t>PI-2460</t>
  </si>
  <si>
    <t>Material Requisition for Strainer - AFC</t>
  </si>
  <si>
    <t>PI-2470</t>
  </si>
  <si>
    <t>Material Requisition for Liquid Trap - IFR</t>
  </si>
  <si>
    <t>PI-2480</t>
  </si>
  <si>
    <t>Material Requisition for Liquid Trap - AFC</t>
  </si>
  <si>
    <t>PI-2490</t>
  </si>
  <si>
    <t>Material Requisition for G-Clamp - IFR</t>
  </si>
  <si>
    <t>PI-2500</t>
  </si>
  <si>
    <t>Material Requisition for G-Clamp - AFC</t>
  </si>
  <si>
    <t>PI-2510</t>
  </si>
  <si>
    <t>Material Requisition for Flame Arrestor - IFR</t>
  </si>
  <si>
    <t>PI-2520</t>
  </si>
  <si>
    <t>Material Requisition for Flame Arrestor - AFC</t>
  </si>
  <si>
    <t>PI-2530</t>
  </si>
  <si>
    <t>Material Requisition for Sight Glass - IFR</t>
  </si>
  <si>
    <t>PI-2540</t>
  </si>
  <si>
    <t>Material Requisition for Sight Glass - AFC</t>
  </si>
  <si>
    <t>PI-4049</t>
  </si>
  <si>
    <t>Material Requisition for Quick Opening Closure - IFR</t>
  </si>
  <si>
    <t>PI-4059</t>
  </si>
  <si>
    <t>Material Requisition for Quick Opening Closure - AFC</t>
  </si>
  <si>
    <t>TBE-Piping</t>
  </si>
  <si>
    <t>PI-2550</t>
  </si>
  <si>
    <t>Technical Bid Evaluation for Ball valve (Flange end) - IFR</t>
  </si>
  <si>
    <t>PI-2560</t>
  </si>
  <si>
    <t>Technical Bid Evaluation for Ball valve (Flange end) - AFC</t>
  </si>
  <si>
    <t>PI-2570</t>
  </si>
  <si>
    <t>Technical Bid Evaluation for Ball valve (Welded end) - IFR</t>
  </si>
  <si>
    <t>PI-2580</t>
  </si>
  <si>
    <t>Technical Bid Evaluation for Ball valve (Welded end) - AFC</t>
  </si>
  <si>
    <t>PI-2590</t>
  </si>
  <si>
    <t>Technical Bid Evaluation for Globe valve (Flange end) - IFR</t>
  </si>
  <si>
    <t>PI-2600</t>
  </si>
  <si>
    <t>Technical Bid Evaluation for Globe valve (Flange end) - AFC</t>
  </si>
  <si>
    <t>PI-2610</t>
  </si>
  <si>
    <t>Technical Bid Evaluation for Globe valve (Welded end) - IFR</t>
  </si>
  <si>
    <t>PI-2620</t>
  </si>
  <si>
    <t>Technical Bid Evaluation for Globe valve (Welded end) - AFC</t>
  </si>
  <si>
    <t>PI-2630</t>
  </si>
  <si>
    <t>Technical Bid Evaluation for Check valve (Flange end) - IFR</t>
  </si>
  <si>
    <t>PI-2640</t>
  </si>
  <si>
    <t>Technical Bid Evaluation for Check valve (Flange end) - AFC</t>
  </si>
  <si>
    <t>PI-2650</t>
  </si>
  <si>
    <t>Technical Bid Evaluation for Check valve (Welded end) - IFR</t>
  </si>
  <si>
    <t>PI-2660</t>
  </si>
  <si>
    <t>Technical Bid Evaluation for Check valve (Welded end) - AFC</t>
  </si>
  <si>
    <t>PI-2670</t>
  </si>
  <si>
    <t>Technical Bid Evaluation for Compact Check valve (Welded end) - IFR</t>
  </si>
  <si>
    <t>PI-2680</t>
  </si>
  <si>
    <t>Technical Bid Evaluation for Compact Check valve (Welded end) - AFC</t>
  </si>
  <si>
    <t>PI-2690</t>
  </si>
  <si>
    <t>Technical Bid Evaluation for Carbon steel pipe - IFR</t>
  </si>
  <si>
    <t>PI-2700</t>
  </si>
  <si>
    <t>Technical Bid Evaluation for Carbon steel pipe - AFC</t>
  </si>
  <si>
    <t>PI-2710</t>
  </si>
  <si>
    <t>Technical Bid Evaluation for Carbon steel fitting - IFR</t>
  </si>
  <si>
    <t>PI-2720</t>
  </si>
  <si>
    <t>Technical Bid Evaluation for Carbon steel fitting - AFC</t>
  </si>
  <si>
    <t>PI-2730</t>
  </si>
  <si>
    <t>Technical Bid Evaluation for Carbon steel flange - IFR</t>
  </si>
  <si>
    <t>PI-2740</t>
  </si>
  <si>
    <t>Technical Bid Evaluation for Carbon steel flange - AFC</t>
  </si>
  <si>
    <t>PI-2750</t>
  </si>
  <si>
    <t>Technical Bid Evaluation for SS and DSS Pipe - IFR</t>
  </si>
  <si>
    <t>PI-2760</t>
  </si>
  <si>
    <t>Technical Bid Evaluation for SS and DSS Pipe - AFC</t>
  </si>
  <si>
    <t>PI-2770</t>
  </si>
  <si>
    <t>Technical Bid Evaluation for SS and DSS fitting - IFR</t>
  </si>
  <si>
    <t>PI-2780</t>
  </si>
  <si>
    <t>Technical Bid Evaluation for SS and DSS fitting - AFC</t>
  </si>
  <si>
    <t>PI-2790</t>
  </si>
  <si>
    <t>Technical Bid Evaluation for SS and DSS flange - IFR</t>
  </si>
  <si>
    <t>PI-2800</t>
  </si>
  <si>
    <t>Technical Bid Evaluation for SS and DSS flange - AFC</t>
  </si>
  <si>
    <t>PI-2810</t>
  </si>
  <si>
    <t>Technical Bid Evaluation for stud bolts and nuts - IFR</t>
  </si>
  <si>
    <t>PI-2820</t>
  </si>
  <si>
    <t>Technical Bid Evaluation for stud bolts and nuts - AFC</t>
  </si>
  <si>
    <t>PI-2830</t>
  </si>
  <si>
    <t>Technical Bid Evaluation for gaskets - IFR</t>
  </si>
  <si>
    <t>PI-2840</t>
  </si>
  <si>
    <t>Technical Bid Evaluation for gaskets - AFC</t>
  </si>
  <si>
    <t>PI-2850</t>
  </si>
  <si>
    <t>Technical Bid Evaluation for pipe support - IFR</t>
  </si>
  <si>
    <t>PI-2860</t>
  </si>
  <si>
    <t>Technical Bid Evaluation for pipe support - AFC</t>
  </si>
  <si>
    <t>PI-2870</t>
  </si>
  <si>
    <t>Technical Bid Evaluation for Corrosion Fittings (Probe, Coupon and Chemical Injection Quill) - IFR</t>
  </si>
  <si>
    <t>PI-2880</t>
  </si>
  <si>
    <t>Technical Bid Evaluation for Corrosion Fittings (Probe, Coupon and Chemical Injection Quill) - AFC</t>
  </si>
  <si>
    <t>PI-2890</t>
  </si>
  <si>
    <t>Technical Bid Evaluation for Hose and Hose Connector - IFR</t>
  </si>
  <si>
    <t>PI-2900</t>
  </si>
  <si>
    <t>Technical Bid Evaluation for Hose and Hose Connector - AFC</t>
  </si>
  <si>
    <t>PI-2910</t>
  </si>
  <si>
    <t>Technical Bid Evaluation for Strainer - IFR</t>
  </si>
  <si>
    <t>PI-2920</t>
  </si>
  <si>
    <t>Technical Bid Evaluation for Strainer - AFC</t>
  </si>
  <si>
    <t>PI-2930</t>
  </si>
  <si>
    <t>Technical Bid Evaluation for Liquid Trap - IFR</t>
  </si>
  <si>
    <t>PI-2940</t>
  </si>
  <si>
    <t>Technical Bid Evaluation for Liquid Trap - AFC</t>
  </si>
  <si>
    <t>PI-2950</t>
  </si>
  <si>
    <t>Technical Bid Evaluation for G-Clamp - IFR</t>
  </si>
  <si>
    <t>PI-2960</t>
  </si>
  <si>
    <t>Technical Bid Evaluation for G-Clamp - AFC</t>
  </si>
  <si>
    <t>PI-2970</t>
  </si>
  <si>
    <t>Technical Bid Evaluation for Flame Arrestor - IFR</t>
  </si>
  <si>
    <t>PI-2980</t>
  </si>
  <si>
    <t>Technical Bid Evaluation for Flame Arrestor - AFC</t>
  </si>
  <si>
    <t>PI-2990</t>
  </si>
  <si>
    <t>Technical Bid Evaluation for Sight Glass - IFR</t>
  </si>
  <si>
    <t>PI-3000</t>
  </si>
  <si>
    <t>Technical Bid Evaluation for Sight Glass - AFC</t>
  </si>
  <si>
    <t>PI-4069</t>
  </si>
  <si>
    <t>Technical Bid Evaluation for Quick Opening Closure - IFR</t>
  </si>
  <si>
    <t>PI-4079</t>
  </si>
  <si>
    <t>Technical Bid Evaluation for Quick Opening Closure - AFC</t>
  </si>
  <si>
    <t>STRUCTUREENGINEERING-TOPSIDE</t>
  </si>
  <si>
    <t>ST-1000</t>
  </si>
  <si>
    <t>WPA01 Topside Drawing Index (2 Sheets) - IFR</t>
  </si>
  <si>
    <t>ST-1010</t>
  </si>
  <si>
    <t>WPA01 Topside Drawing Index (2 Sheets) - IFA</t>
  </si>
  <si>
    <t>ST-1020</t>
  </si>
  <si>
    <t>WPA01 Topside Drawing Index (2 Sheets) - AFC</t>
  </si>
  <si>
    <t>ST-1030</t>
  </si>
  <si>
    <t>WPA01 Topside Deck Loading Diagrams - IFR</t>
  </si>
  <si>
    <t>ST-1040</t>
  </si>
  <si>
    <t>WPA01 Topside Deck Loading Diagrams - IFA</t>
  </si>
  <si>
    <t>ST-1050</t>
  </si>
  <si>
    <t>WPA01 Topside Deck Loading Diagrams - AFC</t>
  </si>
  <si>
    <t>ST-1060</t>
  </si>
  <si>
    <t>WPA01 Topside - Upper Deck Primary Steel Framing Plan - IFR</t>
  </si>
  <si>
    <t>ST-1070</t>
  </si>
  <si>
    <t>WPA01 Topside - Upper Deck Primary Steel Framing Plan - IFA</t>
  </si>
  <si>
    <t>ST-1080</t>
  </si>
  <si>
    <t>WPA01 Topside - Upper Deck Primary Steel Framing Plan - AFC</t>
  </si>
  <si>
    <t>ST-1090</t>
  </si>
  <si>
    <t>WPA02 Topside - Lower Deck Primary Steel Framing Plan - IFR</t>
  </si>
  <si>
    <t>ST-1100</t>
  </si>
  <si>
    <t>WPA02 Topside - Lower Deck Primary Steel Framing Plan - IFA</t>
  </si>
  <si>
    <t>ST-1110</t>
  </si>
  <si>
    <t>WPA02 Topside - Lower Deck Primary Steel Framing Plan - AFC</t>
  </si>
  <si>
    <t>ST-1120</t>
  </si>
  <si>
    <t>WPA01 Topside - Elevation Truss Row A, B, 1, 2 - IFR</t>
  </si>
  <si>
    <t>ST-1130</t>
  </si>
  <si>
    <t>WPA01 Topside - Elevation Truss Row A, B, 1, 2 - IFA</t>
  </si>
  <si>
    <t>ST-1140</t>
  </si>
  <si>
    <t>WPA01 Topside - Elevation Truss Row A, B, 1, 2 - AFC</t>
  </si>
  <si>
    <t>ST-1150</t>
  </si>
  <si>
    <t>WPA01 Topside - Sections (2 Sheets) - IFR</t>
  </si>
  <si>
    <t>ST-1160</t>
  </si>
  <si>
    <t>WPA01 Topside - Sections (2 Sheets) - IFA</t>
  </si>
  <si>
    <t>ST-1170</t>
  </si>
  <si>
    <t>WPA01 Topside - Sections (2 Sheets) - AFC</t>
  </si>
  <si>
    <t>ST-1180</t>
  </si>
  <si>
    <t>WPA01 Topside Joint Connection Details (14 Sheets) - IFR</t>
  </si>
  <si>
    <t>ST-1190</t>
  </si>
  <si>
    <t>WPA01 Topside Joint Connection Details (14 Sheets) - IFA</t>
  </si>
  <si>
    <t>ST-1200</t>
  </si>
  <si>
    <t>WPA01 Topside Joint Connection Details (14 Sheets) - AFC</t>
  </si>
  <si>
    <t>ST-1210</t>
  </si>
  <si>
    <t>WPA01 Topside Upper Deck Secondary Steel Framing Plan - IFR</t>
  </si>
  <si>
    <t>ST-1220</t>
  </si>
  <si>
    <t>WPA01 Topside Upper Deck Secondary Steel Framing Plan - IFA</t>
  </si>
  <si>
    <t>ST-1230</t>
  </si>
  <si>
    <t>WPA01 Topside Upper Deck Secondary Steel Framing Plan - AFC</t>
  </si>
  <si>
    <t>ST-1240</t>
  </si>
  <si>
    <t>WPA01 Topside Lower Deck Secondary Steel Framing Plan - IFR</t>
  </si>
  <si>
    <t>ST-1250</t>
  </si>
  <si>
    <t>WPA01 Topside Lower Deck Secondary Steel Framing Plan - IFA</t>
  </si>
  <si>
    <t>ST-1260</t>
  </si>
  <si>
    <t>WPA01 Topside Lower Deck Secondary Steel Framing Plan - AFC</t>
  </si>
  <si>
    <t>ST-1270</t>
  </si>
  <si>
    <t>WPA01 Topside Mezzanine Deck Framing Plan - IFR</t>
  </si>
  <si>
    <t>ST-1280</t>
  </si>
  <si>
    <t>WPA01 Topside Mezzanine Deck Framing Plan - IFA</t>
  </si>
  <si>
    <t>ST-1290</t>
  </si>
  <si>
    <t>WPA01 Topside Mezzanine Deck Framing Plan - AFC</t>
  </si>
  <si>
    <t>ST-1300</t>
  </si>
  <si>
    <t>WPA01 Topside Mezzanine Deck Section &amp; Details (3 Sheets) - IFR</t>
  </si>
  <si>
    <t>ST-1310</t>
  </si>
  <si>
    <t>WPA01 Topside Mezzanine Deck Section &amp; Details (3 Sheets) - IFA</t>
  </si>
  <si>
    <t>ST-1320</t>
  </si>
  <si>
    <t>WPA01 Topside Mezzanine Deck Section &amp; Details (3 Sheets) - AFC</t>
  </si>
  <si>
    <t>ST-1330</t>
  </si>
  <si>
    <t>WPA01 Topside Sump Deck Framing Plan - IFR</t>
  </si>
  <si>
    <t>ST-1340</t>
  </si>
  <si>
    <t>WPA01 Topside Sump Deck Framing Plan - IFA</t>
  </si>
  <si>
    <t>ST-1350</t>
  </si>
  <si>
    <t>WPA01 Topside Sump Deck Framing Plan - AFC</t>
  </si>
  <si>
    <t>ST-1360</t>
  </si>
  <si>
    <t>WPA01 Topside Sump Deck Section &amp; Details (3 Sheets) - IFR</t>
  </si>
  <si>
    <t>ST-1370</t>
  </si>
  <si>
    <t>WPA01 Topside Sump Deck Section &amp; Details (3 Sheets) - IFA</t>
  </si>
  <si>
    <t>ST-1380</t>
  </si>
  <si>
    <t>WPA01 Topside Sump Deck Section &amp; Details (3 Sheets) - AFC</t>
  </si>
  <si>
    <t>ST-1390</t>
  </si>
  <si>
    <t>WPA01 Topside Standard Joint Details for Secondary Beam - IFR</t>
  </si>
  <si>
    <t>ST-1400</t>
  </si>
  <si>
    <t>WPA01 Topside Standard Joint Details for Secondary Beam - IFA</t>
  </si>
  <si>
    <t>ST-1410</t>
  </si>
  <si>
    <t>WPA01 Topside Standard Joint Details for Secondary Beam - AFC</t>
  </si>
  <si>
    <t>ST-1420</t>
  </si>
  <si>
    <t>WPA01 Topside Vent Boom Plan and Elevation - IFR</t>
  </si>
  <si>
    <t>ST-1430</t>
  </si>
  <si>
    <t>WPA01 Topside Vent Boom Plan and Elevation - IFA</t>
  </si>
  <si>
    <t>ST-1440</t>
  </si>
  <si>
    <t>WPA01 Topside Vent Boom Plan and Elevation - AFC</t>
  </si>
  <si>
    <t>ST-1450</t>
  </si>
  <si>
    <t>WPA01 Topside Vent Boom Sections - IFR</t>
  </si>
  <si>
    <t>ST-1460</t>
  </si>
  <si>
    <t>WPA01 Topside Vent Boom Sections - IFA</t>
  </si>
  <si>
    <t>ST-1470</t>
  </si>
  <si>
    <t>WPA01 Topside Vent Boom Sections - AFC</t>
  </si>
  <si>
    <t>ST-1480</t>
  </si>
  <si>
    <t>WPA01 Topside Vent Boom Walkway Plan and Sections - IFR</t>
  </si>
  <si>
    <t>ST-1490</t>
  </si>
  <si>
    <t>WPA01 Topside Vent Boom Walkway Plan and Sections - IFA</t>
  </si>
  <si>
    <t>ST-1500</t>
  </si>
  <si>
    <t>WPA01 Topside Vent Boom Walkway Plan and Sections - AFC</t>
  </si>
  <si>
    <t>ST-1510</t>
  </si>
  <si>
    <t>WPA01 Topside Vent Boom Walkway Sections and Details (3 Sheets) - IFR</t>
  </si>
  <si>
    <t>ST-1520</t>
  </si>
  <si>
    <t>WPA01 Topside Vent Boom Walkway Sections and Details (3 Sheets) - IFA</t>
  </si>
  <si>
    <t>ST-1530</t>
  </si>
  <si>
    <t>WPA01 Topside Vent Boom Walkway Sections and Details (3 Sheets) - AFC</t>
  </si>
  <si>
    <t>ST-1540</t>
  </si>
  <si>
    <t>WPA01 Topside Solar Panel Arrangement &amp; Support Details (7 Sheets) - IFR</t>
  </si>
  <si>
    <t>ST-1550</t>
  </si>
  <si>
    <t>WPA01 Topside Solar Panel Arrangement &amp; Support Details (7 Sheets) - IFA</t>
  </si>
  <si>
    <t>ST-1560</t>
  </si>
  <si>
    <t>WPA01 Topside Solar Panel Arrangement &amp; Support Details (7 Sheets) - AFC</t>
  </si>
  <si>
    <t>ST-1570</t>
  </si>
  <si>
    <t>WPA01 Topside Upper Deck Flooring &amp; Handrail Layout - IFR</t>
  </si>
  <si>
    <t>ST-1580</t>
  </si>
  <si>
    <t>WPA01 Topside Upper Deck Flooring &amp; Handrail Layout - IFA</t>
  </si>
  <si>
    <t>ST-1590</t>
  </si>
  <si>
    <t>WPA01 Topside Upper Deck Flooring &amp; Handrail Layout - AFC</t>
  </si>
  <si>
    <t>ST-1600</t>
  </si>
  <si>
    <t>WPA01 Topside Lower Deck Flooring &amp; Handrail Layout - IFR</t>
  </si>
  <si>
    <t>ST-1610</t>
  </si>
  <si>
    <t>WPA01 Topside Lower Deck Flooring &amp; Handrail Layout - IFA</t>
  </si>
  <si>
    <t>ST-1620</t>
  </si>
  <si>
    <t>WPA01 Topside Lower Deck Flooring &amp; Handrail Layout - AFC</t>
  </si>
  <si>
    <t>ST-1630</t>
  </si>
  <si>
    <t>WPA01 Topside Mezzanine Deck Flooring &amp; Handrail Layout - IFR</t>
  </si>
  <si>
    <t>ST-1640</t>
  </si>
  <si>
    <t>WPA01 Topside Mezzanine Deck Flooring &amp; Handrail Layout - IFA</t>
  </si>
  <si>
    <t>ST-1650</t>
  </si>
  <si>
    <t>WPA01 Topside Mezzanine Deck Flooring &amp; Handrail Layout - AFC</t>
  </si>
  <si>
    <t>ST-1660</t>
  </si>
  <si>
    <t>WPA01 Topside Sump Deck Flooring &amp; Handrail Layout - IFR</t>
  </si>
  <si>
    <t>ST-1670</t>
  </si>
  <si>
    <t>WPA01 Topside Sump Deck Flooring &amp; Handrail Layout - IFA</t>
  </si>
  <si>
    <t>ST-1680</t>
  </si>
  <si>
    <t>WPA01 Topside Sump Deck Flooring &amp; Handrail Layout - AFC</t>
  </si>
  <si>
    <t>ST-1690</t>
  </si>
  <si>
    <t>WPA01 Topside Flooring Sections &amp; Details (2 Sheets) - IFR</t>
  </si>
  <si>
    <t>ST-1700</t>
  </si>
  <si>
    <t>WPA01 Topside Flooring Sections &amp; Details (2 Sheets) - IFA</t>
  </si>
  <si>
    <t>ST-1710</t>
  </si>
  <si>
    <t>WPA01 Topside Flooring Sections &amp; Details (2 Sheets) - AFC</t>
  </si>
  <si>
    <t>ST-1720</t>
  </si>
  <si>
    <t>WPA01 Topside Stairway Layout &amp; Details (11 Sheets) - IFR</t>
  </si>
  <si>
    <t>ST-1730</t>
  </si>
  <si>
    <t>WPA01 Topside Stairway Layout &amp; Details (11 Sheets) - IFA</t>
  </si>
  <si>
    <t>ST-1740</t>
  </si>
  <si>
    <t>WPA01 Topside Stairway Layout &amp; Details (11 Sheets) - AFC</t>
  </si>
  <si>
    <t>ST-1750</t>
  </si>
  <si>
    <t>WPA01 Topside Deck Hatch Arrangement &amp; Details (11 Sheets) - IFR</t>
  </si>
  <si>
    <t>ST-1760</t>
  </si>
  <si>
    <t>WPA01 Topside Deck Hatch Arrangement &amp; Details (11 Sheets) - IFA</t>
  </si>
  <si>
    <t>ST-1770</t>
  </si>
  <si>
    <t>WPA01 Topside Deck Hatch Arrangement &amp; Details (11 Sheets) - AFC</t>
  </si>
  <si>
    <t>ST-1780</t>
  </si>
  <si>
    <t>WPA01 Topside Monorail Layout and Details - IFR</t>
  </si>
  <si>
    <t>ST-1790</t>
  </si>
  <si>
    <t>WPA01 Topside Monorail Layout and Details - IFA</t>
  </si>
  <si>
    <t>ST-1800</t>
  </si>
  <si>
    <t>WPA01 Topside Monorail Layout and Details - AFC</t>
  </si>
  <si>
    <t>ST-1810</t>
  </si>
  <si>
    <t>WPA01 Topside Condensate Burner Boom Support Details (2 Sheets) - IFR</t>
  </si>
  <si>
    <t>ST-1820</t>
  </si>
  <si>
    <t>WPA01 Topside Condensate Burner Boom Support Details (2 Sheets) - IFA</t>
  </si>
  <si>
    <t>ST-1830</t>
  </si>
  <si>
    <t>WPA01 Topside Condensate Burner Boom Support Details (2 Sheets) - AFC</t>
  </si>
  <si>
    <t>ST-1840</t>
  </si>
  <si>
    <t>WPA01 Topside Helideck Marking and Safety Netting Layout - IFR</t>
  </si>
  <si>
    <t>ST-1850</t>
  </si>
  <si>
    <t>WPA01 Topside Helideck Marking and Safety Netting Layout - IFA</t>
  </si>
  <si>
    <t>ST-1860</t>
  </si>
  <si>
    <t>WPA01 Topside Helideck Marking and Safety Netting Layout - AFC</t>
  </si>
  <si>
    <t>ST-1870</t>
  </si>
  <si>
    <t>WPA01 Topside Helideck Marking and Safety Netting Details (2 Sheets) - IFR</t>
  </si>
  <si>
    <t>ST-1880</t>
  </si>
  <si>
    <t>WPA01 Topside Helideck Marking and Safety Netting Details (2 Sheets) - IFA</t>
  </si>
  <si>
    <t>ST-1890</t>
  </si>
  <si>
    <t>WPA01 Topside Helideck Marking and Safety Netting Details (2 Sheets) - AFC</t>
  </si>
  <si>
    <t>ST-1900</t>
  </si>
  <si>
    <t>WPA01 Topside Upper Deck Equipment Support Location Plan - IFR</t>
  </si>
  <si>
    <t>ST-1910</t>
  </si>
  <si>
    <t>WPA01 Topside Upper Deck Equipment Support Location Plan - IFA</t>
  </si>
  <si>
    <t>ST-1920</t>
  </si>
  <si>
    <t>WPA01 Topside Upper Deck Equipment Support Location Plan - AFC</t>
  </si>
  <si>
    <t>ST-1930</t>
  </si>
  <si>
    <t>WPA01 Topside Lower Deck Equipment Support Location Plan - IFR</t>
  </si>
  <si>
    <t>ST-1940</t>
  </si>
  <si>
    <t>WPA01 Topside Lower Deck Equipment Support Location Plan - IFA</t>
  </si>
  <si>
    <t>ST-1950</t>
  </si>
  <si>
    <t>WPA01 Topside Lower Deck Equipment Support Location Plan - AFC</t>
  </si>
  <si>
    <t>ST-1960</t>
  </si>
  <si>
    <t>WPA01 Topside Mezzanine Deck Equipment Support Location Plan - IFR</t>
  </si>
  <si>
    <t>ST-1970</t>
  </si>
  <si>
    <t>WPA01 Topside Mezzanine Deck Equipment Support Location Plan - IFA</t>
  </si>
  <si>
    <t>ST-1980</t>
  </si>
  <si>
    <t>WPA01 Topside Mezzanine Deck Equipment Support Location Plan - AFC</t>
  </si>
  <si>
    <t>ST-1990</t>
  </si>
  <si>
    <t>WPA01 Topside Sump Deck Equipment Support Location Plan - IFR</t>
  </si>
  <si>
    <t>ST-2000</t>
  </si>
  <si>
    <t>WPA01 Topside Sump Deck Equipment Support Location Plan - IFA</t>
  </si>
  <si>
    <t>ST-2010</t>
  </si>
  <si>
    <t>WPA01 Topside Sump Deck Equipment Support Location Plan - AFC</t>
  </si>
  <si>
    <t>ST-2020</t>
  </si>
  <si>
    <t>WPA01 Topside Equipment Support Details (12 Sheets) - IFR</t>
  </si>
  <si>
    <t>ST-2030</t>
  </si>
  <si>
    <t>WPA01 Topside Equipment Support Details (12 Sheets) - IFA</t>
  </si>
  <si>
    <t>ST-2040</t>
  </si>
  <si>
    <t>WPA01 Topside Equipment Support Details (12 Sheets) - AFC</t>
  </si>
  <si>
    <t>ST-2050</t>
  </si>
  <si>
    <t>WPA01 Topside Platform Name Plate Details - IFR</t>
  </si>
  <si>
    <t>ST-2060</t>
  </si>
  <si>
    <t>WPA01 Topside Platform Name Plate Details - IFA</t>
  </si>
  <si>
    <t>ST-2070</t>
  </si>
  <si>
    <t>WPA01 Topside Platform Name Plate Details - AFC</t>
  </si>
  <si>
    <t>ST-2080</t>
  </si>
  <si>
    <t>WPA01 Topside Lifting Configuration - IFR</t>
  </si>
  <si>
    <t>ST-2090</t>
  </si>
  <si>
    <t>WPA01 Topside Lifting Configuration - IFA</t>
  </si>
  <si>
    <t>ST-2100</t>
  </si>
  <si>
    <t>WPA01 Topside Lifting Configuration - AFC</t>
  </si>
  <si>
    <t>ST-2110</t>
  </si>
  <si>
    <t>WPA01 Topside Lifting Padeye Details (4 Sheets) - IFR</t>
  </si>
  <si>
    <t>ST-2120</t>
  </si>
  <si>
    <t>WPA01 Topside Lifting Padeye Details (4 Sheets) - IFA</t>
  </si>
  <si>
    <t>ST-2130</t>
  </si>
  <si>
    <t>WPA01 Topside Lifting Padeye Details (4 Sheets) - AFC</t>
  </si>
  <si>
    <t>ST-2140</t>
  </si>
  <si>
    <t>WPA01 Topside Primary Steel MTO Report - IFR</t>
  </si>
  <si>
    <t>ST-2150</t>
  </si>
  <si>
    <t>WPA01 Topside Primary Steel MTO Report - IFA</t>
  </si>
  <si>
    <t>ST-2160</t>
  </si>
  <si>
    <t>WPA01 Topside Primary Steel MTO Report - AFC</t>
  </si>
  <si>
    <t>ST-2170</t>
  </si>
  <si>
    <t>WPA01 Topside Secondary and Tertiary Steel MTO Report - IFR</t>
  </si>
  <si>
    <t>ST-2180</t>
  </si>
  <si>
    <t>WPA01 Topside Secondary and Tertiary Steel MTO Report - IFA</t>
  </si>
  <si>
    <t>ST-2190</t>
  </si>
  <si>
    <t>WPA01 Topside Secondary and Tertiary Steel MTO Report - AFC</t>
  </si>
  <si>
    <t>ST-2200</t>
  </si>
  <si>
    <t>WPA01 Topside Computer Modeling and Load Formulation Report - IFR</t>
  </si>
  <si>
    <t>ST-2210</t>
  </si>
  <si>
    <t>WPA01 Topside Computer Modeling and Load Formulation Report - IFA</t>
  </si>
  <si>
    <t>ST-2220</t>
  </si>
  <si>
    <t>WPA01 Topside Computer Modeling and Load Formulation Report - AFC</t>
  </si>
  <si>
    <t>ST-2230</t>
  </si>
  <si>
    <t>WPA01 Topside In-Place Analysis Report - IFR</t>
  </si>
  <si>
    <t>ST-2240</t>
  </si>
  <si>
    <t>WPA01 Topside In-Place Analysis Report - IFA</t>
  </si>
  <si>
    <t>ST-2250</t>
  </si>
  <si>
    <t>WPA01 Topside In-Place Analysis Report - AFC</t>
  </si>
  <si>
    <t>ST-2253</t>
  </si>
  <si>
    <t>WPA01 Topside Vibration Anaysis Report - IFR</t>
  </si>
  <si>
    <t>ST-2255</t>
  </si>
  <si>
    <t>WPA01 Topside Vibration Anaysis Report - IFA</t>
  </si>
  <si>
    <t>ST-2256</t>
  </si>
  <si>
    <t>WPA01 Topside Vibration Anaysis Report - AFC</t>
  </si>
  <si>
    <t>ST-2260</t>
  </si>
  <si>
    <t>WPA01 Topside Loadout Analysis Report - IFR</t>
  </si>
  <si>
    <t>ST-2270</t>
  </si>
  <si>
    <t>WPA01 Topside Loadout Analysis Report - IFA</t>
  </si>
  <si>
    <t>ST-2280</t>
  </si>
  <si>
    <t>WPA01 Topside Loadout Analysis Report - AFC</t>
  </si>
  <si>
    <t>ST-2290</t>
  </si>
  <si>
    <t>WPA01 Topside Transportation Analysis Report - IFR</t>
  </si>
  <si>
    <t>ST-2300</t>
  </si>
  <si>
    <t>WPA01 Topside Transportation Analysis Report - IFA</t>
  </si>
  <si>
    <t>ST-2310</t>
  </si>
  <si>
    <t>WPA01 Topside Transportation Analysis Report - AFC</t>
  </si>
  <si>
    <t>ST-2320</t>
  </si>
  <si>
    <t>WPA01 Topside Transportation Fatigue Analysis Report - IFR</t>
  </si>
  <si>
    <t>ST-2330</t>
  </si>
  <si>
    <t>WPA01 Topside Transportation Fatigue Analysis Report - IFA</t>
  </si>
  <si>
    <t>ST-2340</t>
  </si>
  <si>
    <t>WPA01 Topside Transportation Fatigue Analysis Report - AFC</t>
  </si>
  <si>
    <t>ST-2350</t>
  </si>
  <si>
    <t>WPA01 Topside Lifting Analysis Report - IFR</t>
  </si>
  <si>
    <t>ST-2360</t>
  </si>
  <si>
    <t>WPA01 Topside Lifting Analysis Report - IFA</t>
  </si>
  <si>
    <t>ST-2370</t>
  </si>
  <si>
    <t>WPA01 Topside Lifting Analysis Report - AFC</t>
  </si>
  <si>
    <t>ST-2380</t>
  </si>
  <si>
    <t>WPA01 Topside Miscellaneous Design Report - IFR</t>
  </si>
  <si>
    <t>ST-2390</t>
  </si>
  <si>
    <t>WPA01 Topside Miscellaneous Design Report - IFA</t>
  </si>
  <si>
    <t>ST-2400</t>
  </si>
  <si>
    <t>WPA01 Topside Miscellaneous Design Report - AFC</t>
  </si>
  <si>
    <t>ST-2401</t>
  </si>
  <si>
    <t>WPA01 Topside Finite Element Analysis for Casing Slot and Unihead Spacer Report - IFR</t>
  </si>
  <si>
    <t>ST-2402</t>
  </si>
  <si>
    <t>WPA01 Topside Finite Element Analysis for Casing Slot and Unihead Spacer Report - IFA</t>
  </si>
  <si>
    <t>ST-2403</t>
  </si>
  <si>
    <t>WPA01 Topside Finite Element Analysis for Casing Slot and Unihead Spacer Report - AFC</t>
  </si>
  <si>
    <t>ST-2407</t>
  </si>
  <si>
    <t>WPA01 Structural Design for Dropped Object Report - IFR</t>
  </si>
  <si>
    <t>ST-2408</t>
  </si>
  <si>
    <t>WPA01 Structural Design for Dropped Object Report - IFA</t>
  </si>
  <si>
    <t>ST-2409</t>
  </si>
  <si>
    <t>WPA01 Structural Design for Dropped Object Report - AFC</t>
  </si>
  <si>
    <t>ST-24091</t>
  </si>
  <si>
    <t>WPA01 Topside Weight Control Report - IFR</t>
  </si>
  <si>
    <t>ST-24092</t>
  </si>
  <si>
    <t>WPA01 Topside Weight Control Report - IFA</t>
  </si>
  <si>
    <t>ST-24093</t>
  </si>
  <si>
    <t>WPA01 Topside Weight Control Report - AFC</t>
  </si>
  <si>
    <t>ST-2410</t>
  </si>
  <si>
    <t>WPA02 Topside Drawing Index (2 Sheets) - IFR</t>
  </si>
  <si>
    <t>ST-2420</t>
  </si>
  <si>
    <t>WPA02 Topside Drawing Index (2 Sheets) - IFA</t>
  </si>
  <si>
    <t>ST-2430</t>
  </si>
  <si>
    <t>WPA02 Topside Drawing Index (2 Sheets) - AFC</t>
  </si>
  <si>
    <t>ST-2440</t>
  </si>
  <si>
    <t>WPA02 Topside Deck Loading Diagrams - IFR</t>
  </si>
  <si>
    <t>ST-2450</t>
  </si>
  <si>
    <t>WPA02 Topside Deck Loading Diagrams - IFA</t>
  </si>
  <si>
    <t>ST-2460</t>
  </si>
  <si>
    <t>WPA02 Topside Deck Loading Diagrams - AFC</t>
  </si>
  <si>
    <t>ST-2470</t>
  </si>
  <si>
    <t>WPA02 Topside - Upper Deck Primary Steel Framing Plan - IFR</t>
  </si>
  <si>
    <t>ST-2480</t>
  </si>
  <si>
    <t>WPA02 Topside - Upper Deck Primary Steel Framing Plan - IFA</t>
  </si>
  <si>
    <t>ST-2490</t>
  </si>
  <si>
    <t>WPA02 Topside - Upper Deck Primary Steel Framing Plan - AFC</t>
  </si>
  <si>
    <t>ST-2500</t>
  </si>
  <si>
    <t>ST-2510</t>
  </si>
  <si>
    <t>ST-2520</t>
  </si>
  <si>
    <t>ST-2530</t>
  </si>
  <si>
    <t>WPA02 Topside - Elevation Truss Row A, B, 1, 2 - IFR</t>
  </si>
  <si>
    <t>ST-2540</t>
  </si>
  <si>
    <t>WPA02 Topside - Elevation Truss Row A, B, 1, 2 - IFA</t>
  </si>
  <si>
    <t>ST-2550</t>
  </si>
  <si>
    <t>WPA02 Topside - Elevation Truss Row A, B, 1, 2 - AFC</t>
  </si>
  <si>
    <t>ST-2560</t>
  </si>
  <si>
    <t>WPA02 Topside - Sections (2 Sheets) - IFR</t>
  </si>
  <si>
    <t>ST-2570</t>
  </si>
  <si>
    <t>WPA02 Topside - Sections (2 Sheets) - IFA</t>
  </si>
  <si>
    <t>ST-2580</t>
  </si>
  <si>
    <t>WPA02 Topside - Sections (2 Sheets) - AFC</t>
  </si>
  <si>
    <t>ST-2590</t>
  </si>
  <si>
    <t>WPA02 Topside Joint Connection Details (14 Sheets) - IFR</t>
  </si>
  <si>
    <t>ST-2600</t>
  </si>
  <si>
    <t>WPA02 Topside Joint Connection Details (14 Sheets) - IFA</t>
  </si>
  <si>
    <t>ST-2610</t>
  </si>
  <si>
    <t>WPA02 Topside Joint Connection Details (14 Sheets) - AFC</t>
  </si>
  <si>
    <t>ST-2620</t>
  </si>
  <si>
    <t>WPA02 Topside Upper Deck Secondary Steel Framing Plan - IFR</t>
  </si>
  <si>
    <t>ST-2630</t>
  </si>
  <si>
    <t>WPA02 Topside Upper Deck Secondary Steel Framing Plan - IFA</t>
  </si>
  <si>
    <t>ST-2640</t>
  </si>
  <si>
    <t>WPA02 Topside Upper Deck Secondary Steel Framing Plan - AFC</t>
  </si>
  <si>
    <t>ST-2650</t>
  </si>
  <si>
    <t>WPA02 Topside Lower Deck Secondary Steel Framing Plan - IFR</t>
  </si>
  <si>
    <t>ST-2660</t>
  </si>
  <si>
    <t>WPA02 Topside Lower Deck Secondary Steel Framing Plan - IFA</t>
  </si>
  <si>
    <t>ST-2670</t>
  </si>
  <si>
    <t>WPA02 Topside Lower Deck Secondary Steel Framing Plan - AFC</t>
  </si>
  <si>
    <t>ST-2680</t>
  </si>
  <si>
    <t>WPA02 Topside Mezzanine Deck Framing Plan - IFR</t>
  </si>
  <si>
    <t>ST-2690</t>
  </si>
  <si>
    <t>WPA02 Topside Mezzanine Deck Framing Plan - IFA</t>
  </si>
  <si>
    <t>ST-2700</t>
  </si>
  <si>
    <t>WPA02 Topside Mezzanine Deck Framing Plan - AFC</t>
  </si>
  <si>
    <t>ST-2710</t>
  </si>
  <si>
    <t>WPA02 Topside Mezzanine Deck Section &amp; Details (3 Sheets) - IFR</t>
  </si>
  <si>
    <t>ST-2720</t>
  </si>
  <si>
    <t>WPA02 Topside Mezzanine Deck Section &amp; Details (3 Sheets) - IFA</t>
  </si>
  <si>
    <t>ST-2730</t>
  </si>
  <si>
    <t>WPA02 Topside Mezzanine Deck Section &amp; Details (3 Sheets) - AFC</t>
  </si>
  <si>
    <t>ST-2740</t>
  </si>
  <si>
    <t>WPA02 Topside Sump Deck Framing Plan - IFR</t>
  </si>
  <si>
    <t>ST-2750</t>
  </si>
  <si>
    <t>WPA02 Topside Sump Deck Framing Plan - IFA</t>
  </si>
  <si>
    <t>ST-2760</t>
  </si>
  <si>
    <t>WPA02 Topside Sump Deck Framing Plan - AFC</t>
  </si>
  <si>
    <t>ST-2770</t>
  </si>
  <si>
    <t>WPA02 Topside Sump Deck Section &amp; Details (3 Sheets) - IFR</t>
  </si>
  <si>
    <t>ST-2780</t>
  </si>
  <si>
    <t>WPA02 Topside Sump Deck Section &amp; Details (3 Sheets) - IFA</t>
  </si>
  <si>
    <t>ST-2790</t>
  </si>
  <si>
    <t>WPA02 Topside Sump Deck Section &amp; Details (3 Sheets) - AFC</t>
  </si>
  <si>
    <t>ST-2800</t>
  </si>
  <si>
    <t>WPA02 Topside Standard Joint Details for Secondary Beam - IFR</t>
  </si>
  <si>
    <t>ST-2810</t>
  </si>
  <si>
    <t>WPA02 Topside Standard Joint Details for Secondary Beam - IFA</t>
  </si>
  <si>
    <t>ST-2820</t>
  </si>
  <si>
    <t>WPA02 Topside Standard Joint Details for Secondary Beam - AFC</t>
  </si>
  <si>
    <t>ST-2830</t>
  </si>
  <si>
    <t>WPA02 Topside Vent Boom Plan and Elevation - IFR</t>
  </si>
  <si>
    <t>ST-2840</t>
  </si>
  <si>
    <t>WPA02 Topside Vent Boom Plan and Elevation - IFA</t>
  </si>
  <si>
    <t>ST-2850</t>
  </si>
  <si>
    <t>WPA02 Topside Vent Boom Plan and Elevation - AFC</t>
  </si>
  <si>
    <t>ST-2860</t>
  </si>
  <si>
    <t>WPA02 Topside Vent Boom Sections - IFR</t>
  </si>
  <si>
    <t>ST-2870</t>
  </si>
  <si>
    <t>WPA02 Topside Vent Boom Sections - IFA</t>
  </si>
  <si>
    <t>ST-2880</t>
  </si>
  <si>
    <t>WPA02 Topside Vent Boom Sections - AFC</t>
  </si>
  <si>
    <t>ST-2890</t>
  </si>
  <si>
    <t>WPA02 Topside Vent Boom Walkway Plan and Sections - IFR</t>
  </si>
  <si>
    <t>ST-2900</t>
  </si>
  <si>
    <t>WPA02 Topside Vent Boom Walkway Plan and Sections - IFA</t>
  </si>
  <si>
    <t>ST-2910</t>
  </si>
  <si>
    <t>WPA02 Topside Vent Boom Walkway Plan and Sections - AFC</t>
  </si>
  <si>
    <t>ST-2920</t>
  </si>
  <si>
    <t>WPA02 Topside Vent Boom Walkway Section and Details (3 Sheets) - IFR</t>
  </si>
  <si>
    <t>ST-2930</t>
  </si>
  <si>
    <t>WPA02 Topside Vent Boom Walkway Section and Details (3 Sheets) - IFA</t>
  </si>
  <si>
    <t>ST-2940</t>
  </si>
  <si>
    <t>WPA02 Topside Vent Boom Walkway Section and Details (3 Sheets) - AFC</t>
  </si>
  <si>
    <t>ST-2950</t>
  </si>
  <si>
    <t>WPA02 Topside Solar Panel Arrangement &amp; Support Details (7 Sheets) - IFR</t>
  </si>
  <si>
    <t>ST-2960</t>
  </si>
  <si>
    <t>WPA02 Topside Solar Panel Arrangement &amp; Support Details (7 Sheets) - IFA</t>
  </si>
  <si>
    <t>ST-2970</t>
  </si>
  <si>
    <t>WPA02 Topside Solar Panel Arrangement &amp; Support Details (7 Sheets) - AFC</t>
  </si>
  <si>
    <t>ST-2980</t>
  </si>
  <si>
    <t>WPA02 Topside Upper Deck Flooring &amp; Handrail Layout Plan - IFR</t>
  </si>
  <si>
    <t>ST-2990</t>
  </si>
  <si>
    <t>WPA02 Topside Upper Deck Flooring &amp; Handrail Layout Plan - IFA</t>
  </si>
  <si>
    <t>ST-3000</t>
  </si>
  <si>
    <t>WPA02 Topside Upper Deck Flooring &amp; Handrail Layout Plan - AFC</t>
  </si>
  <si>
    <t>ST-3010</t>
  </si>
  <si>
    <t>WPA02 Topside Lower Deck Flooring &amp; Handrail Layout - IFR</t>
  </si>
  <si>
    <t>ST-3020</t>
  </si>
  <si>
    <t>WPA02 Topside Lower Deck Flooring &amp; Handrail Layout - IFA</t>
  </si>
  <si>
    <t>ST-3030</t>
  </si>
  <si>
    <t>WPA02 Topside Lower Deck Flooring &amp; Handrail Layout - AFC</t>
  </si>
  <si>
    <t>ST-3040</t>
  </si>
  <si>
    <t>WPA02 Topside Mezzanine Deck Flooring &amp; Handrail Layout - IFR</t>
  </si>
  <si>
    <t>ST-3050</t>
  </si>
  <si>
    <t>WPA02 Topside Mezzanine Deck Flooring &amp; Handrail Layout - IFA</t>
  </si>
  <si>
    <t>ST-3060</t>
  </si>
  <si>
    <t>WPA02 Topside Mezzanine Deck Flooring &amp; Handrail Layout - AFC</t>
  </si>
  <si>
    <t>ST-3070</t>
  </si>
  <si>
    <t>WPA02 Topside Sump Deck Flooring &amp; Handrail Layout - IFR</t>
  </si>
  <si>
    <t>ST-3080</t>
  </si>
  <si>
    <t>WPA02 Topside Sump Deck Flooring &amp; Handrail Layout - IFA</t>
  </si>
  <si>
    <t>ST-3090</t>
  </si>
  <si>
    <t>WPA02 Topside Sump Deck Flooring &amp; Handrail Layout - AFC</t>
  </si>
  <si>
    <t>ST-3100</t>
  </si>
  <si>
    <t>WPA02 Topside Flooring Sections &amp; Details (2 Sheets) - IFR</t>
  </si>
  <si>
    <t>ST-3110</t>
  </si>
  <si>
    <t>WPA02 Topside Flooring Sections &amp; Details (2 Sheets) - IFA</t>
  </si>
  <si>
    <t>ST-3120</t>
  </si>
  <si>
    <t>WPA02 Topside Flooring Sections &amp; Details (2 Sheets) - AFC</t>
  </si>
  <si>
    <t>ST-3130</t>
  </si>
  <si>
    <t>WPA02 Topside Stairway Layout &amp; Details (11 Sheets) - IFR</t>
  </si>
  <si>
    <t>ST-3140</t>
  </si>
  <si>
    <t>WPA02 Topside Stairway Layout &amp; Details (11 Sheets) - IFA</t>
  </si>
  <si>
    <t>ST-3150</t>
  </si>
  <si>
    <t>WPA02 Topside Stairway Layout &amp; Details (11 Sheets) - AFC</t>
  </si>
  <si>
    <t>ST-3160</t>
  </si>
  <si>
    <t>WPA02 Topside Deck Hatch Arrangement &amp; Details (11 Sheets) - IFR</t>
  </si>
  <si>
    <t>ST-3170</t>
  </si>
  <si>
    <t>WPA02 Topside Deck Hatch Arrangement &amp; Details (11 Sheets) - IFA</t>
  </si>
  <si>
    <t>ST-3180</t>
  </si>
  <si>
    <t>WPA02 Topside Deck Hatch Arrangement &amp; Details (11 Sheets) - AFC</t>
  </si>
  <si>
    <t>ST-3190</t>
  </si>
  <si>
    <t>WPA02 Topside Monorail Layout and Details - IFR</t>
  </si>
  <si>
    <t>ST-3200</t>
  </si>
  <si>
    <t>WPA02 Topside Monorail Layout and Details - IFA</t>
  </si>
  <si>
    <t>ST-3210</t>
  </si>
  <si>
    <t>WPA02 Topside Monorail Layout and Details - AFC</t>
  </si>
  <si>
    <t>ST-3220</t>
  </si>
  <si>
    <t>WPA02 Topside Condensate Burner Boom Support Details (2 Sheets) - IFR</t>
  </si>
  <si>
    <t>ST-3230</t>
  </si>
  <si>
    <t>WPA02 Topside Condensate Burner Boom Support Details (2 Sheets) - IFA</t>
  </si>
  <si>
    <t>ST-3240</t>
  </si>
  <si>
    <t>WPA02 Topside Condensate Burner Boom Support Details (2 Sheets) - AFC</t>
  </si>
  <si>
    <t>ST-3250</t>
  </si>
  <si>
    <t>WPA02 Topside Helideck Marking and Safety Netting Layout - IFR</t>
  </si>
  <si>
    <t>ST-3260</t>
  </si>
  <si>
    <t>WPA02 Topside Helideck Marking and Safety Netting Layout - IFA</t>
  </si>
  <si>
    <t>ST-3270</t>
  </si>
  <si>
    <t>WPA02 Topside Helideck Marking and Safety Netting Layout - AFC</t>
  </si>
  <si>
    <t>ST-3280</t>
  </si>
  <si>
    <t>WPA02 Topside Helideck Marking and Safety Netting Details (2 Sheets) - IFR</t>
  </si>
  <si>
    <t>ST-3290</t>
  </si>
  <si>
    <t>WPA02 Topside Helideck Marking and Safety Netting Details (2 Sheets) - IFA</t>
  </si>
  <si>
    <t>ST-3300</t>
  </si>
  <si>
    <t>WPA02 Topside Helideck Marking and Safety Netting Details (2 Sheets) - AFC</t>
  </si>
  <si>
    <t>ST-3310</t>
  </si>
  <si>
    <t>WPA02 Topside Upper Deck Equipment Support Location Plan - IFR</t>
  </si>
  <si>
    <t>ST-3320</t>
  </si>
  <si>
    <t>WPA02 Topside Upper Deck Equipment Support Location Plan - IFA</t>
  </si>
  <si>
    <t>ST-3330</t>
  </si>
  <si>
    <t>WPA02 Topside Upper Deck Equipment Support Location Plan - AFC</t>
  </si>
  <si>
    <t>ST-3340</t>
  </si>
  <si>
    <t>WPA02 Topside Lower Deck Equipment Support Location Plan - IFR</t>
  </si>
  <si>
    <t>ST-3350</t>
  </si>
  <si>
    <t>WPA02 Topside Lower Deck Equipment Support Location Plan - IFA</t>
  </si>
  <si>
    <t>ST-3360</t>
  </si>
  <si>
    <t>WPA02 Topside Lower Deck Equipment Support Location Plan - AFC</t>
  </si>
  <si>
    <t>ST-3370</t>
  </si>
  <si>
    <t>WPA02 Topside Mezzanine Deck Equipment Support Location Plan - IFR</t>
  </si>
  <si>
    <t>ST-3380</t>
  </si>
  <si>
    <t>WPA02 Topside Mezzanine Deck Equipment Support Location Plan - IFA</t>
  </si>
  <si>
    <t>ST-3390</t>
  </si>
  <si>
    <t>WPA02 Topside Mezzanine Deck Equipment Support Location Plan - AFC</t>
  </si>
  <si>
    <t>ST-3400</t>
  </si>
  <si>
    <t>WPA02 Topside Sump Deck Equipment Support Location Plan - IFR</t>
  </si>
  <si>
    <t>ST-3410</t>
  </si>
  <si>
    <t>WPA02 Topside Sump Deck Equipment Support Location Plan - IFA</t>
  </si>
  <si>
    <t>ST-3420</t>
  </si>
  <si>
    <t>WPA02 Topside Sump Deck Equipment Support Location Plan - AFC</t>
  </si>
  <si>
    <t>ST-3430</t>
  </si>
  <si>
    <t>WPA02 Topside Equipment Support Details (17 Sheets) - IFR</t>
  </si>
  <si>
    <t>ST-3440</t>
  </si>
  <si>
    <t>WPA02 Topside Equipment Support Details (17 Sheets) - IFA</t>
  </si>
  <si>
    <t>ST-3450</t>
  </si>
  <si>
    <t>WPA02 Topside Equipment Support Details (17 Sheets) - AFC</t>
  </si>
  <si>
    <t>ST-3460</t>
  </si>
  <si>
    <t>WPA02 Topside Platform Name Plate Details - IFR</t>
  </si>
  <si>
    <t>ST-3470</t>
  </si>
  <si>
    <t>WPA02 Topside Platform Name Plate Details - IFA</t>
  </si>
  <si>
    <t>ST-3480</t>
  </si>
  <si>
    <t>WPA02 Topside Platform Name Plate Details - AFC</t>
  </si>
  <si>
    <t>ST-3490</t>
  </si>
  <si>
    <t>WPA02 Topside Lifting Configuration - IFR</t>
  </si>
  <si>
    <t>ST-3500</t>
  </si>
  <si>
    <t>WPA02 Topside Lifting Configuration - IFA</t>
  </si>
  <si>
    <t>ST-3510</t>
  </si>
  <si>
    <t>WPA02 Topside Lifting Configuration - AFC</t>
  </si>
  <si>
    <t>ST-3520</t>
  </si>
  <si>
    <t>WPA02 Topside Lifting Padeye Details (4 Sheets) - IFR</t>
  </si>
  <si>
    <t>ST-3530</t>
  </si>
  <si>
    <t>WPA02 Topside Lifting Padeye Details (4 Sheets) - IFA</t>
  </si>
  <si>
    <t>ST-3540</t>
  </si>
  <si>
    <t>WPA02 Topside Lifting Padeye Details (4 Sheets) - AFC</t>
  </si>
  <si>
    <t>ST-3550</t>
  </si>
  <si>
    <t>WPA02 Topside Primary Steel MTO Report - IFR</t>
  </si>
  <si>
    <t>ST-3560</t>
  </si>
  <si>
    <t>WPA02 Topside Primary Steel MTO Report  - IFA</t>
  </si>
  <si>
    <t>ST-3570</t>
  </si>
  <si>
    <t>WPA02 Topside Primary Steel MTO Report - AFC</t>
  </si>
  <si>
    <t>ST-3580</t>
  </si>
  <si>
    <t>WPA02 Topside Secondary and Tertiary Steel MTO Report - IFR</t>
  </si>
  <si>
    <t>ST-3590</t>
  </si>
  <si>
    <t>WPA02 Topside Secondary and Tertiary Steel MTO Report - IFA</t>
  </si>
  <si>
    <t>ST-3600</t>
  </si>
  <si>
    <t>WPA02 Topside Secondary and Tertiary Steel MTO Report - AFC</t>
  </si>
  <si>
    <t>ST-3610</t>
  </si>
  <si>
    <t>WPA02 Topside Computer Modeling and Load Formulation Report - IFR</t>
  </si>
  <si>
    <t>ST-3620</t>
  </si>
  <si>
    <t>WPA02 Topside Computer Modeling and Load Formulation Report - IFA</t>
  </si>
  <si>
    <t>ST-3630</t>
  </si>
  <si>
    <t>WPA02 Topside Computer Modeling and Load Formulation Report - AFC</t>
  </si>
  <si>
    <t>ST-3640</t>
  </si>
  <si>
    <t>WPA02 Topside In-Place Analysis Report - IFR</t>
  </si>
  <si>
    <t>ST-3650</t>
  </si>
  <si>
    <t>WPA02 Topside In-Place Analysis Report - IFA</t>
  </si>
  <si>
    <t>ST-3660</t>
  </si>
  <si>
    <t>WPA02 Topside In-Place Analysis Report - AFC</t>
  </si>
  <si>
    <t>ST-3670</t>
  </si>
  <si>
    <t>WPA02 Topside Loadout Analysis Report - IFR</t>
  </si>
  <si>
    <t>ST-3680</t>
  </si>
  <si>
    <t>WPA02 Topside Loadout Analysis Report - IFA</t>
  </si>
  <si>
    <t>ST-3690</t>
  </si>
  <si>
    <t>WPA02 Topside Loadout Analysis Report - AFC</t>
  </si>
  <si>
    <t>ST-3700</t>
  </si>
  <si>
    <t>WPA02 Topside Transportation Analysis Report - IFR</t>
  </si>
  <si>
    <t>ST-3710</t>
  </si>
  <si>
    <t>WPA02 Topside Transportation Analysis Report - IFA</t>
  </si>
  <si>
    <t>ST-3720</t>
  </si>
  <si>
    <t>WPA02 Topside Transportation Analysis Report - AFC</t>
  </si>
  <si>
    <t>ST-3730</t>
  </si>
  <si>
    <t>WPA02 Topside Transportation Fatigue Analysis Report - IFR</t>
  </si>
  <si>
    <t>ST-3740</t>
  </si>
  <si>
    <t>WPA02 Topside Transportation Fatigue Analysis Report - IFA</t>
  </si>
  <si>
    <t>ST-3750</t>
  </si>
  <si>
    <t>WPA02 Topside Transportation Fatigue Analysis Report - AFC</t>
  </si>
  <si>
    <t>ST-3760</t>
  </si>
  <si>
    <t>WPA02 Topside Lifting Analysis Report - IFR</t>
  </si>
  <si>
    <t>ST-3770</t>
  </si>
  <si>
    <t>WPA02 Topside Lifting Analysis Report - IFA</t>
  </si>
  <si>
    <t>ST-3780</t>
  </si>
  <si>
    <t>WPA02 Topside Lifting Analysis Report - AFC</t>
  </si>
  <si>
    <t>ST-3790</t>
  </si>
  <si>
    <t>WPA02 Topside Miscellaneous Design Report - IFR</t>
  </si>
  <si>
    <t>ST-3800</t>
  </si>
  <si>
    <t>WPA02 Topside Miscellaneous Design Report - IFA</t>
  </si>
  <si>
    <t>ST-3810</t>
  </si>
  <si>
    <t>WPA02 Topside Miscellaneous Design Report - AFC</t>
  </si>
  <si>
    <t>ST-3811</t>
  </si>
  <si>
    <t>WPA02 Topside Finite Element Analysis for Casing Slot and Unihead Spacer Report - IFR</t>
  </si>
  <si>
    <t>ST-3812</t>
  </si>
  <si>
    <t>WPA02 Topside Finite Element Analysis for Casing Slot and Unihead Spacer Report - IFA</t>
  </si>
  <si>
    <t>ST-3813</t>
  </si>
  <si>
    <t>WPA02 Topside Finite Element Analysis for Casing Slot and Unihead Spacer Report - AFC</t>
  </si>
  <si>
    <t>ST-3817</t>
  </si>
  <si>
    <t>WPA02 Structural Design for Dropped Object Report - IFR</t>
  </si>
  <si>
    <t>ST-3818</t>
  </si>
  <si>
    <t>WPA02 Structural Design for Dropped Object Report - IFA</t>
  </si>
  <si>
    <t>ST-3819</t>
  </si>
  <si>
    <t>WPA02 Structural Design for Dropped Object Report - AFC</t>
  </si>
  <si>
    <t>ST-3820</t>
  </si>
  <si>
    <t>WPA02 Topside Weight Control Report - IFR</t>
  </si>
  <si>
    <t>ST-3830</t>
  </si>
  <si>
    <t>WPA02 Topside Weight Control Report - IFA</t>
  </si>
  <si>
    <t>ST-3840</t>
  </si>
  <si>
    <t>WPA02 Topside Weight Control Report - AFC</t>
  </si>
  <si>
    <t>ST-3880</t>
  </si>
  <si>
    <t>Structural Design Basis - IFR</t>
  </si>
  <si>
    <t>ST-3890</t>
  </si>
  <si>
    <t>Structural Design Basis - IFA</t>
  </si>
  <si>
    <t>ST-3900</t>
  </si>
  <si>
    <t>Structural Design Basis - AFC</t>
  </si>
  <si>
    <t>ST-3902</t>
  </si>
  <si>
    <t>Topside General Notes - IFR</t>
  </si>
  <si>
    <t>ST-3904</t>
  </si>
  <si>
    <t>Topside General Notes - IFA</t>
  </si>
  <si>
    <t>ST-3907</t>
  </si>
  <si>
    <t>Topside General Notes - AFC</t>
  </si>
  <si>
    <t>ST-3910</t>
  </si>
  <si>
    <t>Topside Standard Details Welding Detail (2 Sheets) - IFR</t>
  </si>
  <si>
    <t>ST-3920</t>
  </si>
  <si>
    <t>Topside Standard Details Welding Detail (2 Sheets) - IFA</t>
  </si>
  <si>
    <t>ST-3930</t>
  </si>
  <si>
    <t>Topside Standard Details Welding Detail (2 Sheets) - AFC</t>
  </si>
  <si>
    <t>ST-3940</t>
  </si>
  <si>
    <t>Topside Standard Details Beam Connections (4 Sheets) - IFR</t>
  </si>
  <si>
    <t>ST-3950</t>
  </si>
  <si>
    <t>Topside Standard Details Beam Connections (4 Sheets) - IFA</t>
  </si>
  <si>
    <t>ST-3960</t>
  </si>
  <si>
    <t>Topside Standard Details Beam Connections (4 Sheets) - AFC</t>
  </si>
  <si>
    <t>ST-3970</t>
  </si>
  <si>
    <t>Topside Standard Details Tubular Connections - IFR</t>
  </si>
  <si>
    <t>ST-3980</t>
  </si>
  <si>
    <t>Topside Standard Details Tubular Connections - IFA</t>
  </si>
  <si>
    <t>ST-3990</t>
  </si>
  <si>
    <t>Topside Standard Details Tubular Connections - AFC</t>
  </si>
  <si>
    <t>ST-4000</t>
  </si>
  <si>
    <t>Topside Standard Details Handrail Details (2 Sheets) - IFR</t>
  </si>
  <si>
    <t>ST-4010</t>
  </si>
  <si>
    <t>Topside Standard Details Handrail Details (2 Sheets) - IFA</t>
  </si>
  <si>
    <t>ST-4020</t>
  </si>
  <si>
    <t>Topside Standard Details Handrail Details (2 Sheets) - AFC</t>
  </si>
  <si>
    <t>ST-4030</t>
  </si>
  <si>
    <t>Topside Standard Details Ladder Details (3 Sheets) - IFR</t>
  </si>
  <si>
    <t>ST-4040</t>
  </si>
  <si>
    <t>Topside Standard Details Ladder Details (3 Sheets) - IFA</t>
  </si>
  <si>
    <t>ST-4050</t>
  </si>
  <si>
    <t>Topside Standard Details Ladder Details (3 Sheets) - AFC</t>
  </si>
  <si>
    <t>ST-4060</t>
  </si>
  <si>
    <t>Topside Standard Details Plating and Grating Details (2 Sheets) - IFR</t>
  </si>
  <si>
    <t>ST-4070</t>
  </si>
  <si>
    <t>Topside Standard Details Plating and Grating Details (2 Sheets) - IFA</t>
  </si>
  <si>
    <t>ST-4080</t>
  </si>
  <si>
    <t>Topside Standard Details Plating and Grating Details (2 Sheets) - AFC</t>
  </si>
  <si>
    <t>ST-4090</t>
  </si>
  <si>
    <t>Topside Standard Details Deck Drain Details ( 2 Sheets) - IFR</t>
  </si>
  <si>
    <t>ST-4100</t>
  </si>
  <si>
    <t>Topside Standard Details Deck Drain Details ( 2 Sheets) - IFA</t>
  </si>
  <si>
    <t>ST-4110</t>
  </si>
  <si>
    <t>Topside Standard Details Deck Drain Details ( 2 Sheets) - AFC</t>
  </si>
  <si>
    <t>ST-4120</t>
  </si>
  <si>
    <t>Topside Standard Details Logo Painting - IFR</t>
  </si>
  <si>
    <t>ST-4130</t>
  </si>
  <si>
    <t>Topside Standard Details Logo Painting - IFA</t>
  </si>
  <si>
    <t>ST-4140</t>
  </si>
  <si>
    <t>Topside Standard Details Logo Painting - AFC</t>
  </si>
  <si>
    <t>ST-4150</t>
  </si>
  <si>
    <t>Topside Casing Slot Arrangement (2 Sheets) - IFR</t>
  </si>
  <si>
    <t>ST-4160</t>
  </si>
  <si>
    <t>Topside Casing Slot Arrangement (2 Sheets) - IFA</t>
  </si>
  <si>
    <t>ST-4170</t>
  </si>
  <si>
    <t>Topside Casing Slot Arrangement (2 Sheets) - AFC</t>
  </si>
  <si>
    <t>ST-4180</t>
  </si>
  <si>
    <t>Topside Unihead Spacer Arrangement and Details (2 Sheets) - IFR</t>
  </si>
  <si>
    <t>ST-4190</t>
  </si>
  <si>
    <t>Topside Unihead Spacer Arrangement and Details (2 Sheets) - IFA</t>
  </si>
  <si>
    <t>ST-4200</t>
  </si>
  <si>
    <t>Topside Unihead Spacer Arrangement and Details (2 Sheets) - AFC</t>
  </si>
  <si>
    <t>ST-4210</t>
  </si>
  <si>
    <t>Topside Deck to Pile Connection Details - IFR</t>
  </si>
  <si>
    <t>ST-4220</t>
  </si>
  <si>
    <t>Topside Deck to Pile Connection Details - IFA</t>
  </si>
  <si>
    <t>ST-4230</t>
  </si>
  <si>
    <t>Topside Deck to Pile Connection Details - AFC</t>
  </si>
  <si>
    <t>ST-4240</t>
  </si>
  <si>
    <t>Topside E&amp;I Room Plans and Elevations (2 Sheets) - IFR</t>
  </si>
  <si>
    <t>ST-4250</t>
  </si>
  <si>
    <t>Topside E&amp;I Room Plans and Elevations (2 Sheets) - IFA</t>
  </si>
  <si>
    <t>ST-4260</t>
  </si>
  <si>
    <t>Topside E&amp;I Room Plans and Elevations (2 Sheets) - AFC</t>
  </si>
  <si>
    <t>ST-4270</t>
  </si>
  <si>
    <t>Topside E&amp;I Room Sections and Details (2 Sheets) - IFR</t>
  </si>
  <si>
    <t>ST-4280</t>
  </si>
  <si>
    <t>Topside E&amp;I Room Sections and Details (2 Sheets) - IFA</t>
  </si>
  <si>
    <t>ST-4290</t>
  </si>
  <si>
    <t>Topside E&amp;I Room Sections and Details (2 Sheets) - AFC</t>
  </si>
  <si>
    <t>ST-4300</t>
  </si>
  <si>
    <t>Topside Crane Boom Rest Details - IFR</t>
  </si>
  <si>
    <t>ST-4310</t>
  </si>
  <si>
    <t>Topside Crane Boom Rest Details - IFA</t>
  </si>
  <si>
    <t>ST-4320</t>
  </si>
  <si>
    <t>Topside Crane Boom Rest Details - AFC</t>
  </si>
  <si>
    <t>ST-4330</t>
  </si>
  <si>
    <t>Topside Amenities Cubicle Plan, Sections and Details (2 Sheets) - IFR</t>
  </si>
  <si>
    <t>ST-4340</t>
  </si>
  <si>
    <t>Topside Amenities Cubicle Plan, Sections and Details (2 Sheets) - IFA</t>
  </si>
  <si>
    <t>ST-4350</t>
  </si>
  <si>
    <t>Topside Amenities Cubicle Plan, Sections and Details (2 Sheets) - AFC</t>
  </si>
  <si>
    <t>ST-4360</t>
  </si>
  <si>
    <t>Topside Swing Ropes and Details (2 Sheets) - IFR</t>
  </si>
  <si>
    <t>ST-4370</t>
  </si>
  <si>
    <t>Topside Swing Ropes and Details (2 Sheets) - IFA</t>
  </si>
  <si>
    <t>ST-4380</t>
  </si>
  <si>
    <t>Topside Swing Ropes and Details (2 Sheets) - AFC</t>
  </si>
  <si>
    <t>ST-4390</t>
  </si>
  <si>
    <t>Topside Life Raft and Descending Device Support Details - IFR</t>
  </si>
  <si>
    <t>ST-4400</t>
  </si>
  <si>
    <t>Topside Life Raft and Descending Device Support Details - IFA</t>
  </si>
  <si>
    <t>ST-4410</t>
  </si>
  <si>
    <t>Topside Life Raft and Descending Device Support Details - AFC</t>
  </si>
  <si>
    <t>ST-4420</t>
  </si>
  <si>
    <t>Weight Control Procedure - IFR</t>
  </si>
  <si>
    <t>ST-4430</t>
  </si>
  <si>
    <t>Weight Control Procedure - IFA</t>
  </si>
  <si>
    <t>ST-4440</t>
  </si>
  <si>
    <t>Weight Control Procedure - AFC</t>
  </si>
  <si>
    <t>STRUCTUREENGINEERING-JACKET</t>
  </si>
  <si>
    <t>STJ-1000</t>
  </si>
  <si>
    <t>WPA01 Jacket Loadout Analysis Report - IFR</t>
  </si>
  <si>
    <t>STJ-1010</t>
  </si>
  <si>
    <t>WPA01 Jacket Loadout Analysis Report - IFA</t>
  </si>
  <si>
    <t>STJ-1020</t>
  </si>
  <si>
    <t>WPA01 Jacket Loadout Analysis Report - AFC</t>
  </si>
  <si>
    <t>STJ-1030</t>
  </si>
  <si>
    <t>WPA02 Jacket Loadout Analysis Report - IFR</t>
  </si>
  <si>
    <t>STJ-1040</t>
  </si>
  <si>
    <t>WPA02 Jacket Loadout Analysis Report - IFA</t>
  </si>
  <si>
    <t>STJ-1050</t>
  </si>
  <si>
    <t>WPA02 Jacket Loadout Analysis Report - AFC</t>
  </si>
  <si>
    <t>STJ-1060</t>
  </si>
  <si>
    <t>WPA01 Jacket Transportation Analysis Report - IFR</t>
  </si>
  <si>
    <t>STJ-1070</t>
  </si>
  <si>
    <t>WPA01 Jacket Transportation Analysis Report - IFA</t>
  </si>
  <si>
    <t>STJ-1080</t>
  </si>
  <si>
    <t>WPA01 Jacket Transportation Analysis Report - AFC</t>
  </si>
  <si>
    <t>STJ-1090</t>
  </si>
  <si>
    <t>WPA02 Jacket Transportation Analysis Report - IFR</t>
  </si>
  <si>
    <t>STJ-1100</t>
  </si>
  <si>
    <t>WPA02 Jacket Transportation Analysis Report - IFA</t>
  </si>
  <si>
    <t>STJ-1110</t>
  </si>
  <si>
    <t>WPA02 Jacket Transportation Analysis Report - AFC</t>
  </si>
  <si>
    <t>STJ-1120</t>
  </si>
  <si>
    <t>WPA01 Jacket Lifting Analysis Report - IFR</t>
  </si>
  <si>
    <t>STJ-1130</t>
  </si>
  <si>
    <t>WPA01 Jacket Lifting Analysis Report - IFA</t>
  </si>
  <si>
    <t>STJ-1140</t>
  </si>
  <si>
    <t>WPA01 Jacket Lifting Analysis Report - AFC</t>
  </si>
  <si>
    <t>STJ-1150</t>
  </si>
  <si>
    <t>WPA02 Jacket Lifting Analysis Report - IFR</t>
  </si>
  <si>
    <t>STJ-1160</t>
  </si>
  <si>
    <t>WPA02 Jacket Lifting Analysis Report - IFA</t>
  </si>
  <si>
    <t>STJ-1170</t>
  </si>
  <si>
    <t>WPA02 Jacket Lifting Analysis Report - AFC</t>
  </si>
  <si>
    <t>STJ-1180</t>
  </si>
  <si>
    <t>WPA01 Jacket Miscellaneous Design Report - IFR</t>
  </si>
  <si>
    <t>STJ-1190</t>
  </si>
  <si>
    <t>WPA01 Jacket Miscellaneous Design Report - IFA</t>
  </si>
  <si>
    <t>STJ-1200</t>
  </si>
  <si>
    <t>WPA01 Jacket Miscellaneous Design Report - AFC</t>
  </si>
  <si>
    <t>STJ-1210</t>
  </si>
  <si>
    <t>WPA02 Jacket Miscellaneous Design Report - IFR</t>
  </si>
  <si>
    <t>STJ-1220</t>
  </si>
  <si>
    <t>WPA02 Jacket Miscellaneous Design Report - IFA</t>
  </si>
  <si>
    <t>STJ-1230</t>
  </si>
  <si>
    <t>WPA02 Jacket Miscellaneous Design Report - AFC</t>
  </si>
  <si>
    <t>STJ-1240</t>
  </si>
  <si>
    <t>Jacket General Notes (2 Sheets) - IFR</t>
  </si>
  <si>
    <t>STJ-1250</t>
  </si>
  <si>
    <t>Jacket General Notes (2 Sheets) - IFA</t>
  </si>
  <si>
    <t>STJ-1260</t>
  </si>
  <si>
    <t>Jacket General Notes (2 Sheets) - AFC</t>
  </si>
  <si>
    <t>STJ-1270</t>
  </si>
  <si>
    <t>Jacket Casing Guides Layout - IFR</t>
  </si>
  <si>
    <t>STJ-1280</t>
  </si>
  <si>
    <t>Jacket Casing Guides Layout - IFA</t>
  </si>
  <si>
    <t>STJ-1290</t>
  </si>
  <si>
    <t>Jacket Casing Guides Layout - AFC</t>
  </si>
  <si>
    <t>STJ-1300</t>
  </si>
  <si>
    <t>Jacket Casing Guides Section &amp; Details (3 Sheets) - IFR</t>
  </si>
  <si>
    <t>STJ-1310</t>
  </si>
  <si>
    <t>Jacket Casing Guides Section &amp; Details (3 Sheets) - IFA</t>
  </si>
  <si>
    <t>STJ-1320</t>
  </si>
  <si>
    <t>Jacket Casing Guides Section &amp; Details (3 Sheets) - AFC</t>
  </si>
  <si>
    <t>STJ-1330</t>
  </si>
  <si>
    <t>Jacket Pile to Jacket Connection Details - IFR</t>
  </si>
  <si>
    <t>STJ-1340</t>
  </si>
  <si>
    <t>Jacket Pile to Jacket Connection Details - IFA</t>
  </si>
  <si>
    <t>STJ-1350</t>
  </si>
  <si>
    <t>Jacket Pile to Jacket Connection Details - AFC</t>
  </si>
  <si>
    <t>STJ-1360</t>
  </si>
  <si>
    <t>Jacket Boatlanding Arrangement - IFR</t>
  </si>
  <si>
    <t>STJ-1370</t>
  </si>
  <si>
    <t>Jacket Boatlanding Arrangement - IFA</t>
  </si>
  <si>
    <t>STJ-1380</t>
  </si>
  <si>
    <t>Jacket Boatlanding Arrangement - AFC</t>
  </si>
  <si>
    <t>STJ-1390</t>
  </si>
  <si>
    <t>Jacket Boatlanding Section &amp; Details (7 Sheets) - IFR</t>
  </si>
  <si>
    <t>STJ-1400</t>
  </si>
  <si>
    <t>Jacket Boatlanding Section &amp; Details (7 Sheets) - IFA</t>
  </si>
  <si>
    <t>STJ-1410</t>
  </si>
  <si>
    <t>Jacket Boatlanding Section &amp; Details (7 Sheets) - AFC</t>
  </si>
  <si>
    <t>STJ-1420</t>
  </si>
  <si>
    <t>Jacket Paint Marking Details - IFR</t>
  </si>
  <si>
    <t>STJ-1430</t>
  </si>
  <si>
    <t>Jacket Paint Marking Details - IFA</t>
  </si>
  <si>
    <t>STJ-1440</t>
  </si>
  <si>
    <t>Jacket Paint Marking Details - AFC</t>
  </si>
  <si>
    <t>STJ-1450</t>
  </si>
  <si>
    <t>Jacket Vortex Shedding Prevention Plan &amp; Details - IFR</t>
  </si>
  <si>
    <t>STJ-1460</t>
  </si>
  <si>
    <t>Jacket Vortex Shedding Prevention Plan &amp; Details - IFA</t>
  </si>
  <si>
    <t>STJ-1470</t>
  </si>
  <si>
    <t>Jacket Vortex Shedding Prevention Plan &amp; Details - AFC</t>
  </si>
  <si>
    <t>STJ-1480</t>
  </si>
  <si>
    <t>WPA01 Jacket Computer Modelling &amp; Load Formulation Report - IFR</t>
  </si>
  <si>
    <t>STJ-1490</t>
  </si>
  <si>
    <t>WPA01 Jacket Computer Modelling &amp; Load Formulation Report - IFA</t>
  </si>
  <si>
    <t>STJ-1500</t>
  </si>
  <si>
    <t>WPA01 Jacket Computer Modelling &amp; Load Formulation Report - AFC</t>
  </si>
  <si>
    <t>STJ-1510</t>
  </si>
  <si>
    <t>WPA01 Jacket In-place Analysis Report - IFR</t>
  </si>
  <si>
    <t>STJ-1520</t>
  </si>
  <si>
    <t>WPA01 Jacket In-place Analysis Report - IFA</t>
  </si>
  <si>
    <t>STJ-1530</t>
  </si>
  <si>
    <t>WPA01 Jacket In-place Analysis Report - AFC</t>
  </si>
  <si>
    <t>STJ-1540</t>
  </si>
  <si>
    <t>WPA01 Jacket Dynamic Analysis Report - IFR</t>
  </si>
  <si>
    <t>STJ-1550</t>
  </si>
  <si>
    <t>WPA01 Jacket Dynamic Analysis Report - IFA</t>
  </si>
  <si>
    <t>STJ-1560</t>
  </si>
  <si>
    <t>WPA01 Jacket Dynamic Analysis Report - AFC</t>
  </si>
  <si>
    <t>STJ-1570</t>
  </si>
  <si>
    <t>WPA01 Platform Spectral Fatigue Analysis Report - IFR</t>
  </si>
  <si>
    <t>STJ-1580</t>
  </si>
  <si>
    <t>WPA01 Platform Spectral Fatigue Analysis Report - IFA</t>
  </si>
  <si>
    <t>STJ-1590</t>
  </si>
  <si>
    <t>WPA01 Platform Spectral Fatigue Analysis Report - AFC</t>
  </si>
  <si>
    <t>STJ-1600</t>
  </si>
  <si>
    <t>WPA01 Jacket On-bottom Stability Analysis &amp; Mudmat Design Report - IFR</t>
  </si>
  <si>
    <t>STJ-1610</t>
  </si>
  <si>
    <t>WPA01 Jacket On-bottom Stability Analysis &amp; Mudmat Design Report - IFA</t>
  </si>
  <si>
    <t>STJ-1620</t>
  </si>
  <si>
    <t>WPA01 Jacket On-bottom Stability Analysis &amp; Mudmat Design Report - AFC</t>
  </si>
  <si>
    <t>STJ-1630</t>
  </si>
  <si>
    <t>WPA01 Jacket Cathodic Protection Design Report - IFR</t>
  </si>
  <si>
    <t>STJ-1640</t>
  </si>
  <si>
    <t>WPA01 Jacket Cathodic Protection Design Report - IFA</t>
  </si>
  <si>
    <t>STJ-1650</t>
  </si>
  <si>
    <t>WPA01 Jacket Cathodic Protection Design Report - AFC</t>
  </si>
  <si>
    <t>STJ-1660</t>
  </si>
  <si>
    <t>WPA01 Topside and Jacket Seismic Analysis Report (Extreme Level Earthquake - ELE) - IFR</t>
  </si>
  <si>
    <t>STJ-1670</t>
  </si>
  <si>
    <t>WPA01 Topside and Jacket Seismic Analysis Report (Extreme Level Earthquake - ELE) - IFA</t>
  </si>
  <si>
    <t>STJ-1680</t>
  </si>
  <si>
    <t>WPA01 Topside and Jacket Seismic Analysis Report (Extreme Level Earthquake - ELE) - AFC</t>
  </si>
  <si>
    <t>STJ-1690</t>
  </si>
  <si>
    <t>WPA01 Topside and Jacket Seismic Analysis Report (Abnormal Level Earthquake - ALE) - IFR</t>
  </si>
  <si>
    <t>STJ-1700</t>
  </si>
  <si>
    <t>WPA01 Topside and Jacket Seismic Analysis Report (Abnormal Level Earthquake - ALE) - IFA</t>
  </si>
  <si>
    <t>STJ-1710</t>
  </si>
  <si>
    <t>WPA01 Topside and Jacket Seismic Analysis Report (Abnormal Level Earthquake - ALE) - AFC</t>
  </si>
  <si>
    <t>STJ-1720</t>
  </si>
  <si>
    <t>WPA01 Boat Impact Analysis - IFR</t>
  </si>
  <si>
    <t>STJ-1730</t>
  </si>
  <si>
    <t>WPA01 Boat Impact Analysis - IFA</t>
  </si>
  <si>
    <t>STJ-1740</t>
  </si>
  <si>
    <t>WPA01 Boat Impact Analysis - AFC</t>
  </si>
  <si>
    <t>STJ-1750</t>
  </si>
  <si>
    <t>WPA01 Non-Linear Static Pushover Analysis - IFR</t>
  </si>
  <si>
    <t>STJ-1760</t>
  </si>
  <si>
    <t>WPA01 Non-Linear Static Pushover Analysis - IFA</t>
  </si>
  <si>
    <t>STJ-1770</t>
  </si>
  <si>
    <t>WPA01 Non-Linear Static Pushover Analysis - AFC</t>
  </si>
  <si>
    <t>STJ-1780</t>
  </si>
  <si>
    <t>WPA01 Jacket Transportation Fatigue Analysis Report - IFR</t>
  </si>
  <si>
    <t>STJ-1790</t>
  </si>
  <si>
    <t>WPA01 Jacket Transportation Fatigue Analysis Report - IFA</t>
  </si>
  <si>
    <t>STJ-1800</t>
  </si>
  <si>
    <t>WPA01 Jacket Transportation Fatigue Analysis Report - AFC</t>
  </si>
  <si>
    <t>STJ-1810</t>
  </si>
  <si>
    <t>WPA01 Levelling Analysis Report - IFR</t>
  </si>
  <si>
    <t>STJ-1820</t>
  </si>
  <si>
    <t>WPA01 Levelling Analysis Report - IFA</t>
  </si>
  <si>
    <t>STJ-1830</t>
  </si>
  <si>
    <t>WPA01 Levelling Analysis Report - AFC</t>
  </si>
  <si>
    <t>STJ-1840</t>
  </si>
  <si>
    <t>WPA01 Pile Fatigue, Pile Handling, Stuck-Up and Pile Driving Analysis Report - IFR</t>
  </si>
  <si>
    <t>STJ-1850</t>
  </si>
  <si>
    <t>WPA01 Pile Fatigue, Pile Handling, Stuck-Up and Pile Driving Analysis Report - IFA</t>
  </si>
  <si>
    <t>STJ-1860</t>
  </si>
  <si>
    <t>WPA01 Pile Fatigue, Pile Handling, Stuck-Up and Pile Driving Analysis Report - AFC</t>
  </si>
  <si>
    <t>STJ-1870</t>
  </si>
  <si>
    <t>WPA01 Jacket - Drawing Index - IFR</t>
  </si>
  <si>
    <t>STJ-1880</t>
  </si>
  <si>
    <t>WPA01 Jacket - Drawing Index - IFA</t>
  </si>
  <si>
    <t>STJ-1890</t>
  </si>
  <si>
    <t>WPA01 Jacket - Drawing Index - AFC</t>
  </si>
  <si>
    <t>STJ-1900</t>
  </si>
  <si>
    <t>WPA01 Jacket - Elevation Row A, B, 1, 2 - IFR</t>
  </si>
  <si>
    <t>STJ-1910</t>
  </si>
  <si>
    <t>WPA01 Jacket - Elevation Row A, B, 1, 2 - IFA</t>
  </si>
  <si>
    <t>STJ-1920</t>
  </si>
  <si>
    <t>WPA01 Jacket - Elevation Row A, B, 1, 2 - AFC</t>
  </si>
  <si>
    <t>STJ-1930</t>
  </si>
  <si>
    <t>WPA01 Jacket - Horizontal Framing Plan (4 Sheets) - IFR</t>
  </si>
  <si>
    <t>STJ-1940</t>
  </si>
  <si>
    <t>WPA01 Jacket - Horizontal Framing Plan (4 Sheets) - IFA</t>
  </si>
  <si>
    <t>STJ-1950</t>
  </si>
  <si>
    <t>WPA01 Jacket - Horizontal Framing Plan (4 Sheets) - AFC</t>
  </si>
  <si>
    <t>STJ-1960</t>
  </si>
  <si>
    <t>WPA01 Jacket - Sections - IFR</t>
  </si>
  <si>
    <t>STJ-1970</t>
  </si>
  <si>
    <t>WPA01 Jacket - Sections - IFA</t>
  </si>
  <si>
    <t>STJ-1980</t>
  </si>
  <si>
    <t>WPA01 Jacket - Sections - AFC</t>
  </si>
  <si>
    <t>STJ-1990</t>
  </si>
  <si>
    <t>WPA01 Jacket - Pile Make Up &amp; Details (2 Sheets) - IFR</t>
  </si>
  <si>
    <t>STJ-2000</t>
  </si>
  <si>
    <t>WPA01 Jacket - Pile Make Up &amp; Details (2 Sheets) - IFA</t>
  </si>
  <si>
    <t>STJ-2010</t>
  </si>
  <si>
    <t>WPA01 Jacket - Pile Make Up &amp; Details (2 Sheets) - AFC</t>
  </si>
  <si>
    <t>STJ-2020</t>
  </si>
  <si>
    <t>WPA01 Jacket - Pile Marking Details - IFR</t>
  </si>
  <si>
    <t>STJ-2030</t>
  </si>
  <si>
    <t>WPA01 Jacket - Pile Marking Details - IFA</t>
  </si>
  <si>
    <t>STJ-2040</t>
  </si>
  <si>
    <t>WPA01 Jacket - Pile Marking Details - AFC</t>
  </si>
  <si>
    <t>STJ-2050</t>
  </si>
  <si>
    <t>WPA01 Jacket - Access Walkway Layout &amp; Details (3 Sheets) - IFR</t>
  </si>
  <si>
    <t>STJ-2060</t>
  </si>
  <si>
    <t>WPA01 Jacket - Access Walkway Layout &amp; Details (3 Sheets) - IFA</t>
  </si>
  <si>
    <t>STJ-2070</t>
  </si>
  <si>
    <t>WPA01 Jacket - Access Walkway Layout &amp; Details (3 Sheets) - AFC</t>
  </si>
  <si>
    <t>STJ-2080</t>
  </si>
  <si>
    <t>WPA01 Jacket - Anode Layout &amp; Details - IFR</t>
  </si>
  <si>
    <t>STJ-2090</t>
  </si>
  <si>
    <t>WPA01 Jacket - Anode Layout &amp; Details - IFA</t>
  </si>
  <si>
    <t>STJ-2100</t>
  </si>
  <si>
    <t>WPA01 Jacket - Anode Layout &amp; Details - AFC</t>
  </si>
  <si>
    <t>STJ-2110</t>
  </si>
  <si>
    <t>WPA01 Jacket - Mudmat Layout &amp; Details (2 Sheets) - IFR</t>
  </si>
  <si>
    <t>STJ-2120</t>
  </si>
  <si>
    <t>WPA01 Jacket - Mudmat Layout &amp; Details (2 Sheets) - IFA</t>
  </si>
  <si>
    <t>STJ-2130</t>
  </si>
  <si>
    <t>WPA01 Jacket - Mudmat Layout &amp; Details (2 Sheets) - AFC</t>
  </si>
  <si>
    <t>STJ-2140</t>
  </si>
  <si>
    <t>WPA01 Jacket - Lifting Configuration - IFR</t>
  </si>
  <si>
    <t>STJ-2150</t>
  </si>
  <si>
    <t>WPA01 Jacket - Lifting Configuration - IFA</t>
  </si>
  <si>
    <t>STJ-2160</t>
  </si>
  <si>
    <t>WPA01 Jacket - Lifting Configuration - AFC</t>
  </si>
  <si>
    <t>STJ-2170</t>
  </si>
  <si>
    <t>WPA01 Jacket - Lifting Padeye Details - IFR</t>
  </si>
  <si>
    <t>STJ-2180</t>
  </si>
  <si>
    <t>WPA01 Jacket - Lifting Padeye Details - IFA</t>
  </si>
  <si>
    <t>STJ-2190</t>
  </si>
  <si>
    <t>WPA01 Jacket - Lifting Padeye Details - AFC</t>
  </si>
  <si>
    <t>STJ-2200</t>
  </si>
  <si>
    <t>WPA01 Jacket - Lowering Sequence - IFR</t>
  </si>
  <si>
    <t>STJ-2210</t>
  </si>
  <si>
    <t>WPA01 Jacket - Lowering Sequence - IFA</t>
  </si>
  <si>
    <t>STJ-2220</t>
  </si>
  <si>
    <t>WPA01 Jacket - Lowering Sequence - AFC</t>
  </si>
  <si>
    <t>STJ-2230</t>
  </si>
  <si>
    <t>WPA01 - TAD Rig Clearance Check - IFR</t>
  </si>
  <si>
    <t>STJ-2240</t>
  </si>
  <si>
    <t>WPA01 - TAD Rig Clearance Check - IFA</t>
  </si>
  <si>
    <t>STJ-2250</t>
  </si>
  <si>
    <t>WPA01 - TAD Rig Clearance Check - AFC</t>
  </si>
  <si>
    <t>STJ-2260</t>
  </si>
  <si>
    <t>WPA02 Jacket Computer Modelling &amp; Load Formulation Report - IFR</t>
  </si>
  <si>
    <t>STJ-2270</t>
  </si>
  <si>
    <t>WPA02 Jacket Computer Modelling &amp; Load Formulation Report - IFA</t>
  </si>
  <si>
    <t>STJ-2280</t>
  </si>
  <si>
    <t>WPA02 Jacket Computer Modelling &amp; Load Formulation Report - AFC</t>
  </si>
  <si>
    <t>STJ-2290</t>
  </si>
  <si>
    <t>WPA02 Jacket In-place Analysis Report - IFR</t>
  </si>
  <si>
    <t>STJ-2300</t>
  </si>
  <si>
    <t>WPA02 Jacket In-place Analysis Report - IFA</t>
  </si>
  <si>
    <t>STJ-2310</t>
  </si>
  <si>
    <t>WPA02 Jacket In-place Analysis Report - AFC</t>
  </si>
  <si>
    <t>STJ-2320</t>
  </si>
  <si>
    <t>WPA02 Jacket Dynamic Analysis Report - IFR</t>
  </si>
  <si>
    <t>STJ-2330</t>
  </si>
  <si>
    <t>WPA02 Jacket Dynamic Analysis Report - IFA</t>
  </si>
  <si>
    <t>STJ-2340</t>
  </si>
  <si>
    <t>WPA02 Jacket Dynamic Analysis Report - AFC</t>
  </si>
  <si>
    <t>STJ-2350</t>
  </si>
  <si>
    <t>WPA02 Platform Spectral Fatigue Analysis Report - IFR</t>
  </si>
  <si>
    <t>STJ-2360</t>
  </si>
  <si>
    <t>WPA02 Platform Spectral Fatigue Analysis Report - IFA</t>
  </si>
  <si>
    <t>STJ-2370</t>
  </si>
  <si>
    <t>WPA02 Platform Spectral Fatigue Analysis Report - AFC</t>
  </si>
  <si>
    <t>STJ-2380</t>
  </si>
  <si>
    <t>WPA02 Jacket On-bottom Stability Analysis &amp; Mudmat Design Report - IFR</t>
  </si>
  <si>
    <t>STJ-2390</t>
  </si>
  <si>
    <t>WPA02 Jacket On-bottom Stability Analysis &amp; Mudmat Design Report - IFA</t>
  </si>
  <si>
    <t>STJ-2400</t>
  </si>
  <si>
    <t>WPA02 Jacket On-bottom Stability Analysis &amp; Mudmat Design Report - AFC</t>
  </si>
  <si>
    <t>STJ-2410</t>
  </si>
  <si>
    <t>WPA02 Topside and Jacket Seismic Analysis Report (Extreme Level Earthquake - ELE) - IFR</t>
  </si>
  <si>
    <t>STJ-2420</t>
  </si>
  <si>
    <t>WPA02 Topside and Jacket Seismic Analysis Report (Extreme Level Earthquake - ELE) - IFA</t>
  </si>
  <si>
    <t>STJ-2430</t>
  </si>
  <si>
    <t>WPA02 Topside and Jacket Seismic Analysis Report (Extreme Level Earthquake - ELE) - AFC</t>
  </si>
  <si>
    <t>STJ-2440</t>
  </si>
  <si>
    <t>WPA02 Topside and Jacket Seismic Analysis Report (Abnormal Level Earthquake - ALE) - IFR</t>
  </si>
  <si>
    <t>STJ-2450</t>
  </si>
  <si>
    <t>WPA02 Topside and Jacket Seismic Analysis Report (Abnormal Level Earthquake - ALE) - IFA</t>
  </si>
  <si>
    <t>STJ-2460</t>
  </si>
  <si>
    <t>WPA02 Topside and Jacket Seismic Analysis Report (Abnormal Level Earthquake - ALE) - AFC</t>
  </si>
  <si>
    <t>STJ-2470</t>
  </si>
  <si>
    <t>WPA02 Boat Impact Analysis - IFR</t>
  </si>
  <si>
    <t>STJ-2480</t>
  </si>
  <si>
    <t>WPA02 Boat Impact Analysis - IFA</t>
  </si>
  <si>
    <t>STJ-2490</t>
  </si>
  <si>
    <t>WPA02 Boat Impact Analysis - AFC</t>
  </si>
  <si>
    <t>STJ-2500</t>
  </si>
  <si>
    <t>WPA02 Non-Linear Static Pushover Analysis - IFR</t>
  </si>
  <si>
    <t>STJ-2510</t>
  </si>
  <si>
    <t>WPA02 Non-Linear Static Pushover Analysis - IFA</t>
  </si>
  <si>
    <t>STJ-2520</t>
  </si>
  <si>
    <t>WPA02 Non-Linear Static Pushover Analysis - AFC</t>
  </si>
  <si>
    <t>STJ-2530</t>
  </si>
  <si>
    <t>WPA02 Jacket Transportation Fatigue Analysis Report - IFR</t>
  </si>
  <si>
    <t>STJ-2540</t>
  </si>
  <si>
    <t>WPA02 Jacket Transportation Fatigue Analysis Report - IFA</t>
  </si>
  <si>
    <t>STJ-2550</t>
  </si>
  <si>
    <t>WPA02 Jacket Transportation Fatigue Analysis Report - AFC</t>
  </si>
  <si>
    <t>STJ-2560</t>
  </si>
  <si>
    <t>WPA02 Levelling Analysis Report - IFR</t>
  </si>
  <si>
    <t>STJ-2570</t>
  </si>
  <si>
    <t>WPA02 Levelling Analysis Report - IFA</t>
  </si>
  <si>
    <t>STJ-2580</t>
  </si>
  <si>
    <t>WPA02 Levelling Analysis Report - AFC</t>
  </si>
  <si>
    <t>STJ-2590</t>
  </si>
  <si>
    <t>WPA02 Pile Fatigue, Pile Handling, Stuck-Up and Pile Driving Analysis Report - IFR</t>
  </si>
  <si>
    <t>STJ-2600</t>
  </si>
  <si>
    <t>WPA02 Pile Fatigue, Pile Handling, Stuck-Up and Pile Driving Analysis Report - IFA</t>
  </si>
  <si>
    <t>STJ-2610</t>
  </si>
  <si>
    <t>WPA02 Pile Fatigue, Pile Handling, Stuck-Up and Pile Driving Analysis Report - AFC</t>
  </si>
  <si>
    <t>STJ-2620</t>
  </si>
  <si>
    <t>WPA02 Jacket Cathodic Protection Design Report - IFR</t>
  </si>
  <si>
    <t>STJ-2630</t>
  </si>
  <si>
    <t>WPA02 Jacket Cathodic Protection Design Report - IFA</t>
  </si>
  <si>
    <t>STJ-2640</t>
  </si>
  <si>
    <t>WPA02 Jacket Cathodic Protection Design Report - AFC</t>
  </si>
  <si>
    <t>STJ-2650</t>
  </si>
  <si>
    <t>WPA02 Jacket - Drawing Index - IFR</t>
  </si>
  <si>
    <t>STJ-2660</t>
  </si>
  <si>
    <t>WPA02 Jacket - Drawing Index - IFA</t>
  </si>
  <si>
    <t>STJ-2670</t>
  </si>
  <si>
    <t>WPA02 Jacket - Drawing Index - AFC</t>
  </si>
  <si>
    <t>STJ-2680</t>
  </si>
  <si>
    <t>WPA02 Jacket - Elevation Row A, B, 1, 2 - IFR</t>
  </si>
  <si>
    <t>STJ-2690</t>
  </si>
  <si>
    <t>WPA02 Jacket - Elevation Row A, B, 1, 2 - IFA</t>
  </si>
  <si>
    <t>STJ-2700</t>
  </si>
  <si>
    <t>WPA02 Jacket - Elevation Row A, B, 1, 2 - AFC</t>
  </si>
  <si>
    <t>STJ-2710</t>
  </si>
  <si>
    <t>WPA02 Jacket - Horizontal Framing Plan (4 Sheets) - IFR</t>
  </si>
  <si>
    <t>STJ-2720</t>
  </si>
  <si>
    <t>WPA02 Jacket - Horizontal Framing Plan (4 Sheets) - IFA</t>
  </si>
  <si>
    <t>STJ-2730</t>
  </si>
  <si>
    <t>WPA02 Jacket - Horizontal Framing Plan (4 Sheets) - AFC</t>
  </si>
  <si>
    <t>STJ-2740</t>
  </si>
  <si>
    <t>WPA02 Jacket - Sections - IFR</t>
  </si>
  <si>
    <t>STJ-2750</t>
  </si>
  <si>
    <t>WPA02 Jacket - Sections - IFA</t>
  </si>
  <si>
    <t>STJ-2760</t>
  </si>
  <si>
    <t>WPA02 Jacket - Sections - AFC</t>
  </si>
  <si>
    <t>STJ-2770</t>
  </si>
  <si>
    <t>WPA02 Jacket - Pile Make Up &amp; Details (2 Sheets) - IFR</t>
  </si>
  <si>
    <t>STJ-2780</t>
  </si>
  <si>
    <t>WPA02 Jacket - Pile Make Up &amp; Details (2 Sheets) - IFA</t>
  </si>
  <si>
    <t>STJ-2790</t>
  </si>
  <si>
    <t>WPA02 Jacket - Pile Make Up &amp; Details (2 Sheets) - AFC</t>
  </si>
  <si>
    <t>STJ-2800</t>
  </si>
  <si>
    <t>WPA02 Jacket - Pile Marking Details - IFR</t>
  </si>
  <si>
    <t>STJ-2810</t>
  </si>
  <si>
    <t>WPA02 Jacket - Pile Marking Details - IFA</t>
  </si>
  <si>
    <t>STJ-2820</t>
  </si>
  <si>
    <t>WPA02 Jacket - Pile Marking Details - AFC</t>
  </si>
  <si>
    <t>STJ-2830</t>
  </si>
  <si>
    <t>WPA02 Jacket - Access Walkway Layout &amp; Details (3 Sheets) - IFR</t>
  </si>
  <si>
    <t>STJ-2840</t>
  </si>
  <si>
    <t>WPA02 Jacket - Access Walkway Layout &amp; Details (3 Sheets) - IFA</t>
  </si>
  <si>
    <t>STJ-2850</t>
  </si>
  <si>
    <t>WPA02 Jacket - Access Walkway Layout &amp; Details (3 Sheets) - AFC</t>
  </si>
  <si>
    <t>STJ-2860</t>
  </si>
  <si>
    <t>WPA02 Jacket - Anode Layout &amp; Details - IFR</t>
  </si>
  <si>
    <t>STJ-2870</t>
  </si>
  <si>
    <t>WPA02 Jacket - Anode Layout &amp; Details - IFA</t>
  </si>
  <si>
    <t>STJ-2880</t>
  </si>
  <si>
    <t>WPA02 Jacket - Anode Layout &amp; Details - AFC</t>
  </si>
  <si>
    <t>STJ-2890</t>
  </si>
  <si>
    <t>WPA02 Jacket - Mudmat Layout &amp; Details (2 Sheets) - IFR</t>
  </si>
  <si>
    <t>STJ-2900</t>
  </si>
  <si>
    <t>WPA02 Jacket - Mudmat Layout &amp; Details (2 Sheets) - IFA</t>
  </si>
  <si>
    <t>STJ-2910</t>
  </si>
  <si>
    <t>WPA02 Jacket - Mudmat Layout &amp; Details (2 Sheets) - AFC</t>
  </si>
  <si>
    <t>STJ-2920</t>
  </si>
  <si>
    <t>WPA02 Jacket - Caisson Support Layout - IFR</t>
  </si>
  <si>
    <t>STJ-2930</t>
  </si>
  <si>
    <t>WPA02 Jacket - Caisson Support Layout - IFA</t>
  </si>
  <si>
    <t>STJ-2940</t>
  </si>
  <si>
    <t>WPA02 Jacket - Caisson Support Layout - AFC</t>
  </si>
  <si>
    <t>STJ-2950</t>
  </si>
  <si>
    <t>WPA02 Jacket - Caisson Support Section &amp; Details - IFR</t>
  </si>
  <si>
    <t>STJ-2960</t>
  </si>
  <si>
    <t>WPA02 Jacket - Caisson Support Section &amp; Details - IFA</t>
  </si>
  <si>
    <t>STJ-2970</t>
  </si>
  <si>
    <t>WPA02 Jacket - Caisson Support Section &amp; Details - AFC</t>
  </si>
  <si>
    <t>STJ-2980</t>
  </si>
  <si>
    <t>WPA02 Jacket - Lifting Configuration - IFR</t>
  </si>
  <si>
    <t>STJ-2990</t>
  </si>
  <si>
    <t>WPA02 Jacket - Lifting Configuration - IFA</t>
  </si>
  <si>
    <t>STJ-3000</t>
  </si>
  <si>
    <t>WPA02 Jacket - Lifting Configuration - AFC</t>
  </si>
  <si>
    <t>STJ-3010</t>
  </si>
  <si>
    <t>WPA02 Jacket - Lifting Padeye Details - IFR</t>
  </si>
  <si>
    <t>STJ-3020</t>
  </si>
  <si>
    <t>WPA02 Jacket - Lifting Padeye Details - IFA</t>
  </si>
  <si>
    <t>STJ-3030</t>
  </si>
  <si>
    <t>WPA02 Jacket - Lifting Padeye Details - AFC</t>
  </si>
  <si>
    <t>STJ-3040</t>
  </si>
  <si>
    <t>WPA02 Jacket - Lowering Sequence - IFR</t>
  </si>
  <si>
    <t>STJ-3050</t>
  </si>
  <si>
    <t>WPA02 Jacket - Lowering Sequence - IFA</t>
  </si>
  <si>
    <t>STJ-3060</t>
  </si>
  <si>
    <t>WPA02 Jacket - Lowering Sequence - AFC</t>
  </si>
  <si>
    <t>STJ-3070</t>
  </si>
  <si>
    <t>WPA02 - TAD Rig Clearance Check - IFR</t>
  </si>
  <si>
    <t>STJ-3080</t>
  </si>
  <si>
    <t>WPA02 - TAD Rig Clearance Check - IFA</t>
  </si>
  <si>
    <t>STJ-3090</t>
  </si>
  <si>
    <t>WPA02 - TAD Rig Clearance Check - AFC</t>
  </si>
  <si>
    <t>STJ-3100</t>
  </si>
  <si>
    <t>WPA01 Jacket Weight Control Report - IFR</t>
  </si>
  <si>
    <t>STJ-3110</t>
  </si>
  <si>
    <t>WPA01 Jacket Weight Control Report - IFA</t>
  </si>
  <si>
    <t>STJ-3120</t>
  </si>
  <si>
    <t>WPA01 Jacket Weight Control Report - AFC</t>
  </si>
  <si>
    <t>STJ-3130</t>
  </si>
  <si>
    <t>WPA01 Jacket Primary Steel MTO - IFR</t>
  </si>
  <si>
    <t>STJ-3140</t>
  </si>
  <si>
    <t>WPA01 Jacket Primary Steel MTO - IFA</t>
  </si>
  <si>
    <t>STJ-3150</t>
  </si>
  <si>
    <t>WPA01 Jacket Primary Steel MTO - AFC</t>
  </si>
  <si>
    <t>STJ-3160</t>
  </si>
  <si>
    <t>WPA01 Jacket Secondary MTO and Tertiary Steel - IFR</t>
  </si>
  <si>
    <t>STJ-3170</t>
  </si>
  <si>
    <t>WPA01 Jacket Secondary MTO and Tertiary Steel - IFA</t>
  </si>
  <si>
    <t>STJ-3180</t>
  </si>
  <si>
    <t>WPA01 Jacket Secondary MTO and Tertiary Steel - AFC</t>
  </si>
  <si>
    <t>STJ-3190</t>
  </si>
  <si>
    <t>WPA02 Jacket Weight Control Report - IFR</t>
  </si>
  <si>
    <t>STJ-3200</t>
  </si>
  <si>
    <t>WPA02 Jacket Weight Control Report - IFA</t>
  </si>
  <si>
    <t>STJ-3210</t>
  </si>
  <si>
    <t>WPA02 Jacket Weight Control Report - AFC</t>
  </si>
  <si>
    <t>STJ-3220</t>
  </si>
  <si>
    <t>WPA02 Jacket Primary Steel MTO - IFR</t>
  </si>
  <si>
    <t>STJ-3230</t>
  </si>
  <si>
    <t>WPA02 Jacket Primary Steel MTO - IFA</t>
  </si>
  <si>
    <t>STJ-3240</t>
  </si>
  <si>
    <t>WPA02 Jacket Primary Steel MTO - AFC</t>
  </si>
  <si>
    <t>STJ-3250</t>
  </si>
  <si>
    <t>WPA02 Jacket Secondary MTO and Tertiary Steel  - IFR</t>
  </si>
  <si>
    <t>STJ-3260</t>
  </si>
  <si>
    <t>WPA02 Jacket Secondary MTO and Tertiary Steel - IFA</t>
  </si>
  <si>
    <t>STJ-3270</t>
  </si>
  <si>
    <t>WPA02 Jacket Secondary MTO and Tertiary Steel - AFC</t>
  </si>
  <si>
    <t>STJ-3280</t>
  </si>
  <si>
    <t>Barge Motion Analysis Report - IFR</t>
  </si>
  <si>
    <t>STJ-3290</t>
  </si>
  <si>
    <t>Barge Motion Analysis Report - IFA</t>
  </si>
  <si>
    <t>STJ-3300</t>
  </si>
  <si>
    <t>Barge Motion Analysis Report - AFC</t>
  </si>
  <si>
    <t>PIPELINE&amp;RISERENGINEERING</t>
  </si>
  <si>
    <t>RI-1000</t>
  </si>
  <si>
    <t>WPA01 Riser Clamp Design Report - IFR</t>
  </si>
  <si>
    <t>RI-1010</t>
  </si>
  <si>
    <t>WPA01 Riser Clamp Design Report - IFA</t>
  </si>
  <si>
    <t>RI-1020</t>
  </si>
  <si>
    <t>WPA01 Riser Clamp Design Report - AFC</t>
  </si>
  <si>
    <t>RI-1030</t>
  </si>
  <si>
    <t>WPA01 NPS 12 Hanger Flange Support Drawing - IFR</t>
  </si>
  <si>
    <t>RI-1040</t>
  </si>
  <si>
    <t>WPA01 NPS 12 Hanger Flange Support Drawing - IFA</t>
  </si>
  <si>
    <t>RI-1050</t>
  </si>
  <si>
    <t>WPA01 NPS 12 Hanger Flange Support Drawing - AFC</t>
  </si>
  <si>
    <t>RI-1060</t>
  </si>
  <si>
    <t>WPA01 NPS 12 Sliding Clamp Type 1 Drawing - IFR</t>
  </si>
  <si>
    <t>RI-1070</t>
  </si>
  <si>
    <t>WPA01 NPS 12 Sliding Clamp Type 1 Drawing - IFA</t>
  </si>
  <si>
    <t>RI-1080</t>
  </si>
  <si>
    <t>WPA01 NPS 12 Sliding Clamp Type 1 Drawing - AFC</t>
  </si>
  <si>
    <t>RI-1090</t>
  </si>
  <si>
    <t>WPA01 NPS 12 Sliding Clamp Type 2 Drawing - IFR</t>
  </si>
  <si>
    <t>RI-1100</t>
  </si>
  <si>
    <t>WPA01 NPS 12 Sliding Clamp Type 2 Drawing - IFA</t>
  </si>
  <si>
    <t>RI-1110</t>
  </si>
  <si>
    <t>WPA01 NPS 12 Sliding Clamp Type 2 Drawing - AFC</t>
  </si>
  <si>
    <t>RI-1120</t>
  </si>
  <si>
    <t>WPA01 NPS 12 Sliding Clamp Type 3 Drawing - IFR</t>
  </si>
  <si>
    <t>RI-1130</t>
  </si>
  <si>
    <t>WPA01 NPS 12 Sliding Clamp Type 3 Drawing - IFA</t>
  </si>
  <si>
    <t>RI-1140</t>
  </si>
  <si>
    <t>WPA01 NPS 12 Sliding Clamp Type 3 Drawing - AFC</t>
  </si>
  <si>
    <t>RI-1150</t>
  </si>
  <si>
    <t>WPA02 NPS 12 Hanger Flange Support Drawing - IFR</t>
  </si>
  <si>
    <t>RI-1160</t>
  </si>
  <si>
    <t>WPA02 NPS 12 Hanger Flange Support Drawing - IFA</t>
  </si>
  <si>
    <t>RI-1170</t>
  </si>
  <si>
    <t>WPA02 NPS 12 Hanger Flange Support Drawing - AFC</t>
  </si>
  <si>
    <t>RI-1180</t>
  </si>
  <si>
    <t>WPA02 NPS 12 Sliding Clamp Type 1 Drawing - IFR</t>
  </si>
  <si>
    <t>RI-1190</t>
  </si>
  <si>
    <t>WPA02 NPS 12 Sliding Clamp Type 1 Drawing - IFA</t>
  </si>
  <si>
    <t>RI-1200</t>
  </si>
  <si>
    <t>WPA02 NPS 12 Sliding Clamp Type 1 Drawing - AFC</t>
  </si>
  <si>
    <t>RI-1210</t>
  </si>
  <si>
    <t>WPA02 NPS 12 Sliding Clamp Type 2 Drawing - IFR</t>
  </si>
  <si>
    <t>RI-1220</t>
  </si>
  <si>
    <t>WPA02 NPS 12 Sliding Clamp Type 2 Drawing - IFA</t>
  </si>
  <si>
    <t>RI-1230</t>
  </si>
  <si>
    <t>WPA02 NPS 12 Sliding Clamp Type 2 Drawing - AFC</t>
  </si>
  <si>
    <t>RI-1240</t>
  </si>
  <si>
    <t>WPA02 NPS 12 Sliding Clamp Type 3 Drawing - IFR</t>
  </si>
  <si>
    <t>RI-1250</t>
  </si>
  <si>
    <t>WPA02 NPS 12 Sliding Clamp Type 3 Drawing - IFA</t>
  </si>
  <si>
    <t>RI-1260</t>
  </si>
  <si>
    <t>WPA02 NPS 12 Sliding Clamp Type 3 Drawing - AFC</t>
  </si>
  <si>
    <t>RI-1270</t>
  </si>
  <si>
    <t>WPA02 Riser Clamp Design Report - IFR</t>
  </si>
  <si>
    <t>RI-1280</t>
  </si>
  <si>
    <t>WPA02 Riser Clamp Design Report - IFA</t>
  </si>
  <si>
    <t>RI-1290</t>
  </si>
  <si>
    <t>WPA02 Riser Clamp Design Report - AFC</t>
  </si>
  <si>
    <t>RI-1300</t>
  </si>
  <si>
    <t>WPA02 NPS 20 Hanger Flange Support Drawing - IFR</t>
  </si>
  <si>
    <t>RI-1310</t>
  </si>
  <si>
    <t>WPA02 NPS 20 Hanger Flange Support Drawing - IFA</t>
  </si>
  <si>
    <t>RI-1320</t>
  </si>
  <si>
    <t>WPA02 NPS 20 Hanger Flange Support Drawing - AFC</t>
  </si>
  <si>
    <t>RI-1330</t>
  </si>
  <si>
    <t>WPA02 NPS 20 Sliding Clamp Type 1 Drawing - IFR</t>
  </si>
  <si>
    <t>RI-1340</t>
  </si>
  <si>
    <t>WPA02 NPS 20 Sliding Clamp Type 1 Drawing - IFA</t>
  </si>
  <si>
    <t>RI-1350</t>
  </si>
  <si>
    <t>WPA02 NPS 20 Sliding Clamp Type 1 Drawing - AFC</t>
  </si>
  <si>
    <t>RI-1360</t>
  </si>
  <si>
    <t>WPA02 NPS 20 Sliding Clamp Type 2 Drawing - IFR</t>
  </si>
  <si>
    <t>RI-1370</t>
  </si>
  <si>
    <t>WPA02 NPS 20 Sliding Clamp Type 2 Drawing - IFA</t>
  </si>
  <si>
    <t>RI-1380</t>
  </si>
  <si>
    <t>WPA02 NPS 20 Sliding Clamp Type 2 Drawing - AFC</t>
  </si>
  <si>
    <t>Datasheet-Pipeline&amp;Riser</t>
  </si>
  <si>
    <t>A1000</t>
  </si>
  <si>
    <t>Datasheet for Pipeline Flanges - IFR</t>
  </si>
  <si>
    <t>A1010</t>
  </si>
  <si>
    <t>Datasheet for Pipeline Flanges - IFA</t>
  </si>
  <si>
    <t>A1020</t>
  </si>
  <si>
    <t>Datasheet for Pipeline Flanges - AFC</t>
  </si>
  <si>
    <t>A1030</t>
  </si>
  <si>
    <t>Datasheet for Barred Tee - IFR</t>
  </si>
  <si>
    <t>A1040</t>
  </si>
  <si>
    <t>Datasheet for Barred Tee - IFA</t>
  </si>
  <si>
    <t>A1050</t>
  </si>
  <si>
    <t>Datasheet for Barred Tee  - AFC</t>
  </si>
  <si>
    <t>A1060</t>
  </si>
  <si>
    <t>Datasheet for Piggable Wye - IFR</t>
  </si>
  <si>
    <t>A1070</t>
  </si>
  <si>
    <t>Datasheet for Piggable Wye - IFA</t>
  </si>
  <si>
    <t>A1080</t>
  </si>
  <si>
    <t>Datasheet for Piggable Wye - AFC</t>
  </si>
  <si>
    <t>A1090</t>
  </si>
  <si>
    <t>Datasheet for Barrel Reducer - IFR</t>
  </si>
  <si>
    <t>A1100</t>
  </si>
  <si>
    <t>Datasheet for Barrel Reducer - IFA</t>
  </si>
  <si>
    <t>A1110</t>
  </si>
  <si>
    <t>Datasheet for Barrel Reducer - AFC</t>
  </si>
  <si>
    <t>MR-Pipeline&amp;Riser</t>
  </si>
  <si>
    <t>A1120</t>
  </si>
  <si>
    <t>Material Requisition for Pipeline Flanges - IFR</t>
  </si>
  <si>
    <t>A1130</t>
  </si>
  <si>
    <t>Material Requisition for Pipeline Flanges - AFC</t>
  </si>
  <si>
    <t>A1140</t>
  </si>
  <si>
    <t>Material Requisition for Barred Tee - IFR</t>
  </si>
  <si>
    <t>A1150</t>
  </si>
  <si>
    <t>Material Requisition for Barred Tee - AFC</t>
  </si>
  <si>
    <t>A1160</t>
  </si>
  <si>
    <t>Material Requisition for Piggable Wye - IFR</t>
  </si>
  <si>
    <t>A1170</t>
  </si>
  <si>
    <t>Material Requisition for Piggable Wye - AFC</t>
  </si>
  <si>
    <t>A1180</t>
  </si>
  <si>
    <t>Material Requisition for Barrel Reducer - IFR</t>
  </si>
  <si>
    <t>A1190</t>
  </si>
  <si>
    <t>Material Requisition for Barrel Reducer - AFC</t>
  </si>
  <si>
    <t>TBE-Pipeline&amp;Riser</t>
  </si>
  <si>
    <t>A1200</t>
  </si>
  <si>
    <t>Technical Bid Evaluation for Pipeline Flanges - IFR</t>
  </si>
  <si>
    <t>A1210</t>
  </si>
  <si>
    <t>Technical Bid Evaluation for Pipeline Flanges - AFC</t>
  </si>
  <si>
    <t>A1220</t>
  </si>
  <si>
    <t>Technical Bid Evaluation for Barred Tee - IFR</t>
  </si>
  <si>
    <t>A1230</t>
  </si>
  <si>
    <t>Technical Bid Evaluation for Barred Tee - AFC</t>
  </si>
  <si>
    <t>A1240</t>
  </si>
  <si>
    <t>Technical Bid Evaluation for Piggable Wye - IFR</t>
  </si>
  <si>
    <t>A1250</t>
  </si>
  <si>
    <t>Technical Bid Evaluation for Piggable Wye - AFC</t>
  </si>
  <si>
    <t>A1260</t>
  </si>
  <si>
    <t>Technical Bid Evaluation for Barrel Reducer - IFR</t>
  </si>
  <si>
    <t>A1270</t>
  </si>
  <si>
    <t>Technical Bid Evaluation for Barrel Reducer - AFC</t>
  </si>
  <si>
    <t>ELECTRICALENGINEERING</t>
  </si>
  <si>
    <t>EE-1000</t>
  </si>
  <si>
    <t>Electrical Basic of Design (offshore) - IFR</t>
  </si>
  <si>
    <t>EE-1010</t>
  </si>
  <si>
    <t>Electrical Basic of Design (offshore) - IFA</t>
  </si>
  <si>
    <t>EE-1020</t>
  </si>
  <si>
    <t>Electrical Basic of Design (offshore) - AFC</t>
  </si>
  <si>
    <t>EE-1030</t>
  </si>
  <si>
    <t>Electrical Load List &amp; Load Analysis - WPA01 - IFR</t>
  </si>
  <si>
    <t>EE-1040</t>
  </si>
  <si>
    <t>Electrical Load List &amp; Load Analysis - WPA01 - IFA</t>
  </si>
  <si>
    <t>EE-1050</t>
  </si>
  <si>
    <t>Electrical Load List &amp; Load Analysis - WPA01 - AFC</t>
  </si>
  <si>
    <t>EE-1060</t>
  </si>
  <si>
    <t>Electrical Equipment Sizing Calculations - WPA01 - IFR</t>
  </si>
  <si>
    <t>EE-1070</t>
  </si>
  <si>
    <t>Electrical Equipment Sizing Calculations - WPA01 - IFA</t>
  </si>
  <si>
    <t>EE-1080</t>
  </si>
  <si>
    <t>Electrical Equipment Sizing Calculations - WPA01 - AFC</t>
  </si>
  <si>
    <t>EE-1090</t>
  </si>
  <si>
    <t>Electrical Cable Sizing Calculations - WPA01 - IFR</t>
  </si>
  <si>
    <t>EE-1100</t>
  </si>
  <si>
    <t>Electrical Cable Sizing Calculations - WPA01 - IFA</t>
  </si>
  <si>
    <t>EE-1110</t>
  </si>
  <si>
    <t>Electrical Cable Sizing Calculations - WPA01 - AFC</t>
  </si>
  <si>
    <t>EE-1120</t>
  </si>
  <si>
    <t>Electrical Cable Tray / Cable Ladder Sizing - WPA01 - IFR</t>
  </si>
  <si>
    <t>EE-1140</t>
  </si>
  <si>
    <t>Electrical Cable Tray / Cable Ladder Sizing - WPA01 - AFC</t>
  </si>
  <si>
    <t>EE-1150</t>
  </si>
  <si>
    <t>Electrical Cable Schedule - WPA01 - IFR</t>
  </si>
  <si>
    <t>EE-1160</t>
  </si>
  <si>
    <t>Electrical Cable Schedule - WPA01 - IFA</t>
  </si>
  <si>
    <t>EE-1170</t>
  </si>
  <si>
    <t>Electrical Cable Schedule - WPA01 - AFC</t>
  </si>
  <si>
    <t>EE-1180</t>
  </si>
  <si>
    <t>Illumination Calculations - WPA01 - IFR</t>
  </si>
  <si>
    <t>EE-1190</t>
  </si>
  <si>
    <t>Illumination Calculations - WPA01 - IFA</t>
  </si>
  <si>
    <t>EE-1200</t>
  </si>
  <si>
    <t>Illumination Calculations - WPA01 - AFC</t>
  </si>
  <si>
    <t>EE-1210</t>
  </si>
  <si>
    <t>Electrical Equipment and Explosion Proof Equipment Schedule - WPA01 - IFR</t>
  </si>
  <si>
    <t>EE-1220</t>
  </si>
  <si>
    <t>Electrical Equipment and Explosion Proof Equipment Schedule - WPA01 - IFA</t>
  </si>
  <si>
    <t>EE-1230</t>
  </si>
  <si>
    <t>Electrical Equipment and Explosion Proof Equipment Schedule - WPA01 - AFC</t>
  </si>
  <si>
    <t>EE-1240</t>
  </si>
  <si>
    <t>Electrical Power Generation Selection Report - WPA02 - IFR</t>
  </si>
  <si>
    <t>EE-1250</t>
  </si>
  <si>
    <t>Electrical Power Generation Selection Report - WPA02 - IFA</t>
  </si>
  <si>
    <t>EE-1260</t>
  </si>
  <si>
    <t>Electrical Power Generation Selection Report - WPA02 - AFC</t>
  </si>
  <si>
    <t>EE-1270</t>
  </si>
  <si>
    <t>Electrical Load List &amp; Load Analysis - WPA02 - IFR</t>
  </si>
  <si>
    <t>EE-1280</t>
  </si>
  <si>
    <t>Electrical Load List &amp; Load Analysis - WPA02 - IFA</t>
  </si>
  <si>
    <t>EE-1290</t>
  </si>
  <si>
    <t>Electrical Load List &amp; Load Analysis - WPA02 - AFC</t>
  </si>
  <si>
    <t>EE-1300</t>
  </si>
  <si>
    <t>Electrical Equipment Sizing Calculations - WPA02 - IFR</t>
  </si>
  <si>
    <t>EE-1310</t>
  </si>
  <si>
    <t>Electrical Equipment Sizing Calculations - WPA02 - IFA</t>
  </si>
  <si>
    <t>EE-1320</t>
  </si>
  <si>
    <t>Electrical Equipment Sizing Calculations - WPA02 - AFC</t>
  </si>
  <si>
    <t>EE-1330</t>
  </si>
  <si>
    <t>Electrical Cable Sizing Calculations - WPA02 - IFR</t>
  </si>
  <si>
    <t>EE-1340</t>
  </si>
  <si>
    <t>Electrical Cable Sizing Calculations - WPA02 - IFA</t>
  </si>
  <si>
    <t>EE-1350</t>
  </si>
  <si>
    <t>Electrical Cable Sizing Calculations - WPA02 - AFC</t>
  </si>
  <si>
    <t>EE-1360</t>
  </si>
  <si>
    <t>Electrical Cable Tray / Cable Ladder Sizing - WPA02 - IFR</t>
  </si>
  <si>
    <t>EE-1380</t>
  </si>
  <si>
    <t>Electrical Cable Tray / Cable Ladder Sizing - WPA02 - AFC</t>
  </si>
  <si>
    <t>EE-1390</t>
  </si>
  <si>
    <t>Electrical Cable Schedule - WPA02 - IFR</t>
  </si>
  <si>
    <t>EE-1400</t>
  </si>
  <si>
    <t>Electrical Cable Schedule - WPA02 - IFA</t>
  </si>
  <si>
    <t>EE-1410</t>
  </si>
  <si>
    <t>Electrical Cable Schedule - WPA02 - AFC</t>
  </si>
  <si>
    <t>EE-1420</t>
  </si>
  <si>
    <t>Illumination Calculations - WPA02 - IFR</t>
  </si>
  <si>
    <t>EE-1430</t>
  </si>
  <si>
    <t>Illumination Calculations - WPA02 - IFA</t>
  </si>
  <si>
    <t>EE-1440</t>
  </si>
  <si>
    <t>Illumination Calculations - WPA02 - AFC</t>
  </si>
  <si>
    <t>EE-1441</t>
  </si>
  <si>
    <t>EE-1442</t>
  </si>
  <si>
    <t>EE-1443</t>
  </si>
  <si>
    <t>EE-1450</t>
  </si>
  <si>
    <t>Motor Starting Study - WPA02 - IFR</t>
  </si>
  <si>
    <t>EE-1460</t>
  </si>
  <si>
    <t>Motor Starting Study - WPA02 - IFA</t>
  </si>
  <si>
    <t>EE-1470</t>
  </si>
  <si>
    <t>Motor Starting Study - WPA02 - AFC</t>
  </si>
  <si>
    <t>EE-1480</t>
  </si>
  <si>
    <t>Project Particular Specification for AC and DC Distribution Boards/Panels - IFR</t>
  </si>
  <si>
    <t>EE-1490</t>
  </si>
  <si>
    <t>Project Particular Specification for AC and DC Distribution Boards/Panels - AFC</t>
  </si>
  <si>
    <t>EE-1500</t>
  </si>
  <si>
    <t>Project Particular Specification for Solar power system - IFR</t>
  </si>
  <si>
    <t>EE-1510</t>
  </si>
  <si>
    <t>Project Particular Specification for Solar power system - AFC</t>
  </si>
  <si>
    <t>EE-1520</t>
  </si>
  <si>
    <t>Project Particular Specification for Navigation Aid system - IFR</t>
  </si>
  <si>
    <t>EE-1530</t>
  </si>
  <si>
    <t>Project Particular Specification for Navigation Aid system - AFC</t>
  </si>
  <si>
    <t>EE-1540</t>
  </si>
  <si>
    <t>Project Particular Specification for External Battery Charger - IFR</t>
  </si>
  <si>
    <t>EE-1550</t>
  </si>
  <si>
    <t>Project Particular Specification for External Battery Charger - AFC</t>
  </si>
  <si>
    <t>EE-1560</t>
  </si>
  <si>
    <t>Project Particular Specification for Electrical Cables - IFR</t>
  </si>
  <si>
    <t>EE-1570</t>
  </si>
  <si>
    <t>Project Particular Specification for Electrical Cables - AFC</t>
  </si>
  <si>
    <t>EE-1580</t>
  </si>
  <si>
    <t>Project Particular Specification for Electrical Bulk Materials - IFR</t>
  </si>
  <si>
    <t>EE-1590</t>
  </si>
  <si>
    <t>Project Particular Specification for Electrical Bulk Materials - AFC</t>
  </si>
  <si>
    <t>EE-1595</t>
  </si>
  <si>
    <t>Project Particular Specification for FOG HORN - IFR</t>
  </si>
  <si>
    <t>EE-1596</t>
  </si>
  <si>
    <t>Project Particular Specification for FOG HORN - AFC</t>
  </si>
  <si>
    <t>EE-1600</t>
  </si>
  <si>
    <t>Project Particular Specification for AC Generator - IFR</t>
  </si>
  <si>
    <t>EE-1610</t>
  </si>
  <si>
    <t>Project Particular Specification for AC Generator - AFC</t>
  </si>
  <si>
    <t>EE-1620</t>
  </si>
  <si>
    <t>Project Particular Specification for Motor Control Center - IFR</t>
  </si>
  <si>
    <t>EE-1630</t>
  </si>
  <si>
    <t>Project Particular Specification for Motor Control Center - AFC</t>
  </si>
  <si>
    <t>EE-1640</t>
  </si>
  <si>
    <t>Project Particular Specification for Induction Motor - IFR</t>
  </si>
  <si>
    <t>EE-1650</t>
  </si>
  <si>
    <t>Project Particular Specification for Induction Motor - AFC</t>
  </si>
  <si>
    <t>EE-2110</t>
  </si>
  <si>
    <t>Electrical Symbols and Legends - IFR</t>
  </si>
  <si>
    <t>EE-2130</t>
  </si>
  <si>
    <t>Electrical Symbols and Legends - AFC</t>
  </si>
  <si>
    <t>EE-2140</t>
  </si>
  <si>
    <t>Electrical Typical Installation Details - Lighting and Small Power (3 Sheets) - IFR</t>
  </si>
  <si>
    <t>EE-2150</t>
  </si>
  <si>
    <t>Electrical Typical Installation Details - Lighting and Small Power (3 Sheets) - AFC</t>
  </si>
  <si>
    <t>EE-2160</t>
  </si>
  <si>
    <t>Electrical Typical Installation Details - Earthing (5 Sheets) - IFR</t>
  </si>
  <si>
    <t>EE-2170</t>
  </si>
  <si>
    <t>Electrical Typical Installation Details - Earthing (5 Sheets) - AFC</t>
  </si>
  <si>
    <t>EE-2180</t>
  </si>
  <si>
    <t>Electrical Typical Installation Details - Cable Ladder/ Tray (3 Sheets) - IFR</t>
  </si>
  <si>
    <t>EE-2190</t>
  </si>
  <si>
    <t>Electrical Typical Installation Details - Cable Ladder/ Tray (3 Sheets) - AFC</t>
  </si>
  <si>
    <t>EE-2200</t>
  </si>
  <si>
    <t>Electrical Typical Installation Details - Navigation Aid System (2 Sheets) - IFR</t>
  </si>
  <si>
    <t>EE-2210</t>
  </si>
  <si>
    <t>Electrical Typical Installation Details - Navigation Aid System (2 Sheets) - AFC</t>
  </si>
  <si>
    <t>EE-2220</t>
  </si>
  <si>
    <t>Electrical Typical Installation Details - Power (3 Sheets) - IFR</t>
  </si>
  <si>
    <t>EE-2230</t>
  </si>
  <si>
    <t>Electrical Typical Installation Details - Power (3 Sheets) - AFC</t>
  </si>
  <si>
    <t>EE-2240</t>
  </si>
  <si>
    <t>Electrical Typical Installation Details - Solar Panel - IFR</t>
  </si>
  <si>
    <t>EE-2250</t>
  </si>
  <si>
    <t>Electrical Typical Installation Details - Solar Panel - AFC</t>
  </si>
  <si>
    <t>EE-2260</t>
  </si>
  <si>
    <t>Electrical Drawing Index - WPA01 - IFR</t>
  </si>
  <si>
    <t>EE-2280</t>
  </si>
  <si>
    <t>Electrical Drawing Index - WPA01 - AFC</t>
  </si>
  <si>
    <t>EE-2290</t>
  </si>
  <si>
    <t>Electrical Power &amp; Control System Block Diagram - WPA01 - IFR</t>
  </si>
  <si>
    <t>EE-2300</t>
  </si>
  <si>
    <t>Electrical Power &amp; Control System Block Diagram - WPA01 - IFA</t>
  </si>
  <si>
    <t>EE-2310</t>
  </si>
  <si>
    <t>Electrical Power &amp; Control System Block Diagram - WPA01 - AFC</t>
  </si>
  <si>
    <t>EE-2320</t>
  </si>
  <si>
    <t>Equipment Location Plan - WPA01 (3 Sheets) - IFR</t>
  </si>
  <si>
    <t>EE-2340</t>
  </si>
  <si>
    <t>Equipment Location Plan - WPA01 (3 Sheets) - AFC</t>
  </si>
  <si>
    <t>EE-2350</t>
  </si>
  <si>
    <t>Solar Panel Layout - WPA01 - IFR</t>
  </si>
  <si>
    <t>EE-2360</t>
  </si>
  <si>
    <t>Solar Panel Layout - WPA01 - IFA</t>
  </si>
  <si>
    <t>EE-2370</t>
  </si>
  <si>
    <t>Solar Panel Layout - WPA01 - AFC</t>
  </si>
  <si>
    <t>EE-2380</t>
  </si>
  <si>
    <t>E&amp;I Room Equipment Layout - WPA01 - IFR</t>
  </si>
  <si>
    <t>EE-2390</t>
  </si>
  <si>
    <t>E&amp;I Room Equipment Layout - WPA01 - IFA</t>
  </si>
  <si>
    <t>EE-2400</t>
  </si>
  <si>
    <t>E&amp;I Room Equipment Layout - WPA01 - AFC</t>
  </si>
  <si>
    <t>EE-2410</t>
  </si>
  <si>
    <t>Electrical Multi Cable Transit Schedule- WPA01 (6 Sheets) - IFR</t>
  </si>
  <si>
    <t>EE-2430</t>
  </si>
  <si>
    <t>Electrical Multi Cable Transit Schedule- WPA01 (6 Sheets) - AFC</t>
  </si>
  <si>
    <t>EE-2440</t>
  </si>
  <si>
    <t>Electrical Overall Earthing and Bonding Diagrams- WPA01 - IFR</t>
  </si>
  <si>
    <t>EE-2450</t>
  </si>
  <si>
    <t>Electrical Overall Earthing and Bonding Diagrams- WPA01 - IFA</t>
  </si>
  <si>
    <t>EE-2460</t>
  </si>
  <si>
    <t>Electrical Overall Earthing and Bonding Diagrams- WPA01 - AFC</t>
  </si>
  <si>
    <t>EE-2470</t>
  </si>
  <si>
    <t>Cable Trays/Ladders Layout Drawings - WPA01(4 Sheets) - IFR</t>
  </si>
  <si>
    <t>EE-2490</t>
  </si>
  <si>
    <t>Cable Trays/Ladders Layout Drawings - WPA01(4 Sheets) - AFC</t>
  </si>
  <si>
    <t>EE-2491</t>
  </si>
  <si>
    <t>Cables Routing Plan/Layout Drawings - WPA01(4 Sheets) - IFR</t>
  </si>
  <si>
    <t>EE-2495</t>
  </si>
  <si>
    <t>Cables Routing Plan/Layout Drawings - WPA01(4 Sheets) - AFC</t>
  </si>
  <si>
    <t>EE-2500</t>
  </si>
  <si>
    <t>Electrical Bulk Materials Take Off - WPA01 - IFR</t>
  </si>
  <si>
    <t>EE-2510</t>
  </si>
  <si>
    <t>Electrical Bulk Materials Take Off - WPA01 - IFA</t>
  </si>
  <si>
    <t>EE-2520</t>
  </si>
  <si>
    <t>Electrical Bulk Materials Take Off - WPA01 - AFC</t>
  </si>
  <si>
    <t>EE-2530</t>
  </si>
  <si>
    <t>Electrical AC Distribution Board Schedule - WPA01 - IFR</t>
  </si>
  <si>
    <t>EE-2540</t>
  </si>
  <si>
    <t>Electrical AC Distribution Board Schedule - WPA01 - IFA</t>
  </si>
  <si>
    <t>EE-2550</t>
  </si>
  <si>
    <t>Electrical AC Distribution Board Schedule - WPA01 - AFC</t>
  </si>
  <si>
    <t>EE-2551</t>
  </si>
  <si>
    <t>Electrical DC Distribution Board Schedule - WPA01 - IFR</t>
  </si>
  <si>
    <t>EE-2553</t>
  </si>
  <si>
    <t>Electrical DC Distribution Board Schedule - WPA01 - IFA</t>
  </si>
  <si>
    <t>EE-2556</t>
  </si>
  <si>
    <t>Electrical DC Distribution Board Schedule - WPA01 - AFC</t>
  </si>
  <si>
    <t>EE-2560</t>
  </si>
  <si>
    <t>Electrical I/O summary - WPA01 - IFR</t>
  </si>
  <si>
    <t>EE-2570</t>
  </si>
  <si>
    <t>Electrical I/O summary - WPA01 - IFA</t>
  </si>
  <si>
    <t>EE-2580</t>
  </si>
  <si>
    <t>Electrical I/O summary - WPA01 - AFC</t>
  </si>
  <si>
    <t>EE-2590</t>
  </si>
  <si>
    <t>Lighting and Small Power Loop Diagram - WPA01 (3 Sheets) - IFR</t>
  </si>
  <si>
    <t>EE-2610</t>
  </si>
  <si>
    <t>Lighting and Small Power Loop Diagram - WPA01 (3 Sheets) - AFC</t>
  </si>
  <si>
    <t>EE-2620</t>
  </si>
  <si>
    <t>Lighting and Small Power Plan - WPA01 Mezzanine Deck - IFR</t>
  </si>
  <si>
    <t>EE-2640</t>
  </si>
  <si>
    <t>Lighting and Small Power Plan - WPA01 Mezzanine Deck - AFC</t>
  </si>
  <si>
    <t>EE-2650</t>
  </si>
  <si>
    <t>Lighting and Small Power Plan - WPA01 Lower Deck - IFR</t>
  </si>
  <si>
    <t>EE-2670</t>
  </si>
  <si>
    <t>Lighting and Small Power Plan - WPA01 Lower Deck - AFC</t>
  </si>
  <si>
    <t>EE-2680</t>
  </si>
  <si>
    <t>Lighting and Small Power Plan - WPA01 Sump Deck and Boat Landing - IFR</t>
  </si>
  <si>
    <t>EE-2700</t>
  </si>
  <si>
    <t>Lighting and Small Power Plan - WPA01 Sump Deck and Boat Landing - AFC</t>
  </si>
  <si>
    <t>EE-2710</t>
  </si>
  <si>
    <t>Electrical Drawing Index - WPA02 - IFR</t>
  </si>
  <si>
    <t>EE-2730</t>
  </si>
  <si>
    <t>Electrical Drawing Index - WPA02 - AFC</t>
  </si>
  <si>
    <t>EE-2740</t>
  </si>
  <si>
    <t>Electrical Power &amp; Control System Block Diagram - WPA02 - IFR</t>
  </si>
  <si>
    <t>EE-2750</t>
  </si>
  <si>
    <t>Electrical Power &amp; Control System Block Diagram - WPA02 - IFA</t>
  </si>
  <si>
    <t>EE-2760</t>
  </si>
  <si>
    <t>Electrical Power &amp; Control System Block Diagram - WPA02 - AFC</t>
  </si>
  <si>
    <t>EE-2770</t>
  </si>
  <si>
    <t>Equipment Location Plan - WPA02 (3 Sheets) - IFR</t>
  </si>
  <si>
    <t>EE-2780</t>
  </si>
  <si>
    <t>Equipment Location Plan - WPA02 (3 Sheets) - IFA</t>
  </si>
  <si>
    <t>EE-2790</t>
  </si>
  <si>
    <t>Equipment Location Plan - WPA02 (3 Sheets) - AFC</t>
  </si>
  <si>
    <t>EE-2800</t>
  </si>
  <si>
    <t>Solar Panel Layout  - WPA02 - IFR</t>
  </si>
  <si>
    <t>EE-2810</t>
  </si>
  <si>
    <t>Solar Panel Layout  - WPA02 - IFA</t>
  </si>
  <si>
    <t>EE-2820</t>
  </si>
  <si>
    <t>Solar Panel Layout  - WPA02 - AFC</t>
  </si>
  <si>
    <t>EE-2830</t>
  </si>
  <si>
    <t>E&amp;I Room Equipment Layout - WPA02 - IFR</t>
  </si>
  <si>
    <t>EE-2840</t>
  </si>
  <si>
    <t>E&amp;I Room Equipment Layout - WPA02 - IFA</t>
  </si>
  <si>
    <t>EE-2850</t>
  </si>
  <si>
    <t>E&amp;I Room Equipment Layout - WPA02 - AFC</t>
  </si>
  <si>
    <t>EE-2860</t>
  </si>
  <si>
    <t>Electrical Multi Cable Transit Schedule  - WPA02 (6 Sheets) - IFR</t>
  </si>
  <si>
    <t>EE-2880</t>
  </si>
  <si>
    <t>Electrical Multi Cable Transit Schedule  - WPA02 (6 Sheets) - AFC</t>
  </si>
  <si>
    <t>EE-2890</t>
  </si>
  <si>
    <t>Electrical Overall Earthing and Bonding Diagrams  - WPA02 - IFR</t>
  </si>
  <si>
    <t>EE-2900</t>
  </si>
  <si>
    <t>Electrical Overall Earthing and Bonding Diagrams  - WPA02 - IFA</t>
  </si>
  <si>
    <t>EE-2910</t>
  </si>
  <si>
    <t>Electrical Overall Earthing and Bonding Diagrams  - WPA02 - AFC</t>
  </si>
  <si>
    <t>EE-2920</t>
  </si>
  <si>
    <t>Cable Trays/Ladders Layout Drawings  - WPA02 (4 Sheets) - IFR</t>
  </si>
  <si>
    <t>EE-2940</t>
  </si>
  <si>
    <t>Cable Trays/Ladders Layout Drawings  - WPA02 (4 Sheets) - AFC</t>
  </si>
  <si>
    <t>EE-2950</t>
  </si>
  <si>
    <t>Cables Routing Plan/Layout Drawings - WPA02 (4 Sheets) - IFR</t>
  </si>
  <si>
    <t>EE-2970</t>
  </si>
  <si>
    <t>Cables Routing Plan/Layout Drawings - WPA02 (4 Sheets) - AFC</t>
  </si>
  <si>
    <t>EE-2980</t>
  </si>
  <si>
    <t>Electrical Bulk Materials Take Off - WPA02 - IFR</t>
  </si>
  <si>
    <t>EE-2990</t>
  </si>
  <si>
    <t>Electrical Bulk Materials Take Off - WPA02 - IFA</t>
  </si>
  <si>
    <t>EE-3000</t>
  </si>
  <si>
    <t>Electrical Bulk Materials Take Off - WPA02 - AFC</t>
  </si>
  <si>
    <t>EE-3010</t>
  </si>
  <si>
    <t>Electrical AC Distribution Board Schedule - WPA02 - IFR</t>
  </si>
  <si>
    <t>EE-3020</t>
  </si>
  <si>
    <t>Electrical AC Distribution Board Schedule - WPA02 - IFA</t>
  </si>
  <si>
    <t>EE-3030</t>
  </si>
  <si>
    <t>Electrical AC Distribution Board Schedule - WPA02 - AFC</t>
  </si>
  <si>
    <t>EE-3031</t>
  </si>
  <si>
    <t>Electrical DC Distribution Board Schedule - WPA02 - IFR</t>
  </si>
  <si>
    <t>EE-3033</t>
  </si>
  <si>
    <t>Electrical DC Distribution Board Schedule - WPA02 - IFA</t>
  </si>
  <si>
    <t>EE-3035</t>
  </si>
  <si>
    <t>Electrical DC Distribution Board Schedule - WPA02 - AFC</t>
  </si>
  <si>
    <t>EE-3040</t>
  </si>
  <si>
    <t>Electrical I/O summary - WPA02 - IFR</t>
  </si>
  <si>
    <t>EE-3060</t>
  </si>
  <si>
    <t>Electrical I/O summary - WPA02 - AFC</t>
  </si>
  <si>
    <t>EE-3070</t>
  </si>
  <si>
    <t>Lighting and Small Power Loop Diagram - WPA02 (3 Sheets) - IFR</t>
  </si>
  <si>
    <t>EE-3090</t>
  </si>
  <si>
    <t>Lighting and Small Power Loop Diagram - WPA02 (3 Sheets) - AFC</t>
  </si>
  <si>
    <t>EE-3100</t>
  </si>
  <si>
    <t>Lighting and Small Power Plan - WPA02 Mezzanine Deck - IFR</t>
  </si>
  <si>
    <t>EE-3120</t>
  </si>
  <si>
    <t>Lighting and Small Power Plan - WPA02 Mezzanine Deck - AFC</t>
  </si>
  <si>
    <t>EE-3130</t>
  </si>
  <si>
    <t>Lighting and Small Power Plan - WPA02 Lower Deck - IFR</t>
  </si>
  <si>
    <t>EE-3150</t>
  </si>
  <si>
    <t>Lighting and Small Power Plan - WPA02 Lower Deck - AFC</t>
  </si>
  <si>
    <t>EE-3160</t>
  </si>
  <si>
    <t>Lighting and Small Power Plan - WPA02 Sump Deck and Boat Landing - IFR</t>
  </si>
  <si>
    <t>EE-3180</t>
  </si>
  <si>
    <t>Lighting and Small Power Plan - WPA02 Sump Deck and Boat Landing - AFC</t>
  </si>
  <si>
    <t>EE-3190</t>
  </si>
  <si>
    <t>Electrical Key Single Line Diagram - WPA01 - IFR</t>
  </si>
  <si>
    <t>EE-3200</t>
  </si>
  <si>
    <t>Electrical Key Single Line Diagram - WPA01 - IFA</t>
  </si>
  <si>
    <t>EE-3210</t>
  </si>
  <si>
    <t>Electrical Key Single Line Diagram - WPA01 - AFC</t>
  </si>
  <si>
    <t>EE-3220</t>
  </si>
  <si>
    <t>Electrical Single Line Diagram - AC System-  WPA01 - IFR</t>
  </si>
  <si>
    <t>EE-3230</t>
  </si>
  <si>
    <t>Electrical Single Line Diagram - AC System-  WPA01 - IFA</t>
  </si>
  <si>
    <t>EE-3240</t>
  </si>
  <si>
    <t>Electrical Single Line Diagram - AC System-  WPA01 - AFC</t>
  </si>
  <si>
    <t>EE-3250</t>
  </si>
  <si>
    <t>Electrical Single Line Diagram - DC System &amp; Navigation Aids System -WPA01 - IFR</t>
  </si>
  <si>
    <t>EE-3260</t>
  </si>
  <si>
    <t>Electrical Single Line Diagram - DC System &amp; Navigation Aids System -WPA01 - IFA</t>
  </si>
  <si>
    <t>EE-3270</t>
  </si>
  <si>
    <t>Electrical Single Line Diagram - DC System &amp; Navigation Aids System -WPA01 - AFC</t>
  </si>
  <si>
    <t>EE-3280</t>
  </si>
  <si>
    <t>Electrical Wiring Interconnection for AC and Distribution System - WPA01 (2 Sheets) - IFR</t>
  </si>
  <si>
    <t>EE-3290</t>
  </si>
  <si>
    <t>Electrical Wiring Interconnection for AC and Distribution System - WPA01 (2 Sheets) - IFA</t>
  </si>
  <si>
    <t>EE-3300</t>
  </si>
  <si>
    <t>Electrical Wiring Interconnection for AC and Distribution System - WPA01 (2 Sheets) - AFC</t>
  </si>
  <si>
    <t>EE-3310</t>
  </si>
  <si>
    <t>Electrical Wiring Interconnection for DC Distribution System - WPA01 (2 Sheets) - IFR</t>
  </si>
  <si>
    <t>EE-3320</t>
  </si>
  <si>
    <t>Electrical Wiring Interconnection for DC Distribution System - WPA01 (2 Sheets) - IFA</t>
  </si>
  <si>
    <t>EE-3330</t>
  </si>
  <si>
    <t>Electrical Wiring Interconnection for DC Distribution System - WPA01 (2 Sheets) - AFC</t>
  </si>
  <si>
    <t>EE-3340</t>
  </si>
  <si>
    <t>Electrical Wiring Interconnection for Navigation Aid System - WPA01 - IFR</t>
  </si>
  <si>
    <t>EE-3350</t>
  </si>
  <si>
    <t>Electrical Wiring Interconnection for Navigation Aid System - WPA01 - IFA</t>
  </si>
  <si>
    <t>EE-3360</t>
  </si>
  <si>
    <t>Electrical Wiring Interconnection for Navigation Aid System - WPA01 - AFC</t>
  </si>
  <si>
    <t>EE-3370</t>
  </si>
  <si>
    <t>Electrical Key Single Line Diagram - WPA02 - IFR</t>
  </si>
  <si>
    <t>EE-3380</t>
  </si>
  <si>
    <t>Electrical Key Single Line Diagram - WPA02 - IFA</t>
  </si>
  <si>
    <t>EE-3390</t>
  </si>
  <si>
    <t>Electrical Key Single Line Diagram - WPA02 - AFC</t>
  </si>
  <si>
    <t>EE-3400</t>
  </si>
  <si>
    <t>Electrical Single Line Diagram - AC System - WPA02 - IFR</t>
  </si>
  <si>
    <t>EE-3410</t>
  </si>
  <si>
    <t>Electrical Single Line Diagram - AC System - WPA02 - IFA</t>
  </si>
  <si>
    <t>EE-3420</t>
  </si>
  <si>
    <t>Electrical Single Line Diagram - AC System - WPA02 - AFC</t>
  </si>
  <si>
    <t>EE-3430</t>
  </si>
  <si>
    <t>Electrical Single Line Diagram - DC System &amp; Navigation Aids System - WPA02 - IFR</t>
  </si>
  <si>
    <t>EE-3440</t>
  </si>
  <si>
    <t>Electrical Single Line Diagram - DC System &amp; Navigation Aids System - WPA02 - IFA</t>
  </si>
  <si>
    <t>EE-3450</t>
  </si>
  <si>
    <t>Electrical Single Line Diagram - DC System &amp; Navigation Aids System - WPA02 - AFC</t>
  </si>
  <si>
    <t>EE-3460</t>
  </si>
  <si>
    <t>Electrical Wiring Interconnection for AC and Distribution System - WPA02 (2 Sheets) - IFR</t>
  </si>
  <si>
    <t>EE-3470</t>
  </si>
  <si>
    <t>Electrical Wiring Interconnection for AC and Distribution System - WPA02 (2 Sheets) - IFA</t>
  </si>
  <si>
    <t>EE-3480</t>
  </si>
  <si>
    <t>Electrical Wiring Interconnection for AC and Distribution System - WPA02 (2 Sheets) - AFC</t>
  </si>
  <si>
    <t>EE-3490</t>
  </si>
  <si>
    <t>Electrical Wiring Interconnection for DC Distribution System - WPA02 (2 Sheets) - IFR</t>
  </si>
  <si>
    <t>EE-3500</t>
  </si>
  <si>
    <t>Electrical Wiring Interconnection for DC Distribution System - WPA02 (2 Sheets) - IFA</t>
  </si>
  <si>
    <t>EE-3510</t>
  </si>
  <si>
    <t>Electrical Wiring Interconnection for DC Distribution System - WPA02 (2 Sheets) - AFC</t>
  </si>
  <si>
    <t>EE-3520</t>
  </si>
  <si>
    <t>Electrical Wiring Interconnection for Navigation Aid System - WPA02 - IFR</t>
  </si>
  <si>
    <t>EE-3530</t>
  </si>
  <si>
    <t>Electrical Wiring Interconnection for Navigation Aid System - WPA02 - IFA</t>
  </si>
  <si>
    <t>EE-3540</t>
  </si>
  <si>
    <t>Electrical Wiring Interconnection for Navigation Aid System - WPA02 - AFC</t>
  </si>
  <si>
    <t>Datasheet-Electrical</t>
  </si>
  <si>
    <t>EE-1660</t>
  </si>
  <si>
    <t>Datasheet for AC and DC Distribution Boards/Panels - WPA01 - IFR</t>
  </si>
  <si>
    <t>EE-1670</t>
  </si>
  <si>
    <t>Datasheet for AC and DC Distribution Boards/Panels - WPA01 - IFA</t>
  </si>
  <si>
    <t>EE-1680</t>
  </si>
  <si>
    <t>Datasheet for AC and DC Distribution Boards/Panels - WPA01 - AFC</t>
  </si>
  <si>
    <t>EE-1690</t>
  </si>
  <si>
    <t>Datasheet for Solar power system  - WPA01 - IFR</t>
  </si>
  <si>
    <t>EE-1700</t>
  </si>
  <si>
    <t>Datasheet for Solar power system  - WPA01 - IFA</t>
  </si>
  <si>
    <t>EE-1710</t>
  </si>
  <si>
    <t>Datasheet for Solar power system  - WPA01 - AFC</t>
  </si>
  <si>
    <t>EE-1720</t>
  </si>
  <si>
    <t>Datasheet for Navigation Aid system  - WPA01 - IFR</t>
  </si>
  <si>
    <t>EE-1730</t>
  </si>
  <si>
    <t>Datasheet for Navigation Aid system  - WPA01 - IFA</t>
  </si>
  <si>
    <t>EE-1740</t>
  </si>
  <si>
    <t>Datasheet for Navigation Aid system  - WPA01 - AFC</t>
  </si>
  <si>
    <t>EE-1750</t>
  </si>
  <si>
    <t>Datasheet for External Battery Charger  - WPA01 - IFR</t>
  </si>
  <si>
    <t>EE-1760</t>
  </si>
  <si>
    <t>Datasheet for External Battery Charger  - WPA01 - IFA</t>
  </si>
  <si>
    <t>EE-1770</t>
  </si>
  <si>
    <t>Datasheet for External Battery Charger  - WPA01 - AFC</t>
  </si>
  <si>
    <t>EE-1780</t>
  </si>
  <si>
    <t>Datasheet for Electrical Cables  - WPA01 - IFR</t>
  </si>
  <si>
    <t>EE-1800</t>
  </si>
  <si>
    <t>Datasheet for Electrical Cables  - WPA01 - AFC</t>
  </si>
  <si>
    <t>EE-1810</t>
  </si>
  <si>
    <t>Datasheet for Electrical Bulk Materials  - WPA01 - IFR</t>
  </si>
  <si>
    <t>EE-1830</t>
  </si>
  <si>
    <t>Datasheet for Electrical Bulk Materials  - WPA01 - AFC</t>
  </si>
  <si>
    <t>EE-1833</t>
  </si>
  <si>
    <t>Datasheet for FOG HORN - WPA01 - IFR</t>
  </si>
  <si>
    <t>EE-1835</t>
  </si>
  <si>
    <t>Datasheet for FOG HORN - WPA01 - IFA</t>
  </si>
  <si>
    <t>EE-1837</t>
  </si>
  <si>
    <t>Datasheet for FOG HORN - WPA01 - AFC</t>
  </si>
  <si>
    <t>EE-1840</t>
  </si>
  <si>
    <t>Datasheet for AC and DC Distribution Boards/Panels  - WPA02 - IFR</t>
  </si>
  <si>
    <t>EE-1850</t>
  </si>
  <si>
    <t>Datasheet for AC and DC Distribution Boards/Panels  - WPA02 - IFA</t>
  </si>
  <si>
    <t>EE-1860</t>
  </si>
  <si>
    <t>Datasheet for AC and DC Distribution Boards/Panels  - WPA02 - AFC</t>
  </si>
  <si>
    <t>EE-1870</t>
  </si>
  <si>
    <t>Datasheet for Solar power system  - WPA02 - IFR</t>
  </si>
  <si>
    <t>EE-1880</t>
  </si>
  <si>
    <t>Datasheet for Solar power system  - WPA02 - IFA</t>
  </si>
  <si>
    <t>EE-1890</t>
  </si>
  <si>
    <t>Datasheet for Solar power system  - WPA02 - AFC</t>
  </si>
  <si>
    <t>EE-1900</t>
  </si>
  <si>
    <t>Datasheet for Navigation Aid system  - WPA02 - IFR</t>
  </si>
  <si>
    <t>EE-1910</t>
  </si>
  <si>
    <t>Datasheet for Navigation Aid system  - WPA02 - IFA</t>
  </si>
  <si>
    <t>EE-1920</t>
  </si>
  <si>
    <t>Datasheet for Navigation Aid system  - WPA02 - AFC</t>
  </si>
  <si>
    <t>EE-1930</t>
  </si>
  <si>
    <t>Datasheet for External Battery Charger  - WPA02 - IFR</t>
  </si>
  <si>
    <t>EE-1940</t>
  </si>
  <si>
    <t>Datasheet for External Battery Charger  - WPA02 - IFA</t>
  </si>
  <si>
    <t>EE-1950</t>
  </si>
  <si>
    <t>Datasheet for External Battery Charger  - WPA02 - AFC</t>
  </si>
  <si>
    <t>EE-1960</t>
  </si>
  <si>
    <t>Datasheet for Electrical Cables  - WPA02 - IFR</t>
  </si>
  <si>
    <t>EE-1980</t>
  </si>
  <si>
    <t>Datasheet for Electrical Cables  - WPA02 - AFC</t>
  </si>
  <si>
    <t>EE-1990</t>
  </si>
  <si>
    <t>Datasheet for Electrical Bulk Materials  - WPA02 - IFR</t>
  </si>
  <si>
    <t>EE-2010</t>
  </si>
  <si>
    <t>Datasheet for Electrical Bulk Materials  - WPA02 - AFC</t>
  </si>
  <si>
    <t>EE-2020</t>
  </si>
  <si>
    <t>Datasheet for AC Generator  - WPA02 - IFR</t>
  </si>
  <si>
    <t>EE-2030</t>
  </si>
  <si>
    <t>Datasheet for AC Generator  - WPA02 - IFA</t>
  </si>
  <si>
    <t>EE-2040</t>
  </si>
  <si>
    <t>Datasheet for AC Generator  - WPA02 - AFC</t>
  </si>
  <si>
    <t>EE-2050</t>
  </si>
  <si>
    <t>Datasheet for Motor Control Center  - WPA02 - IFR</t>
  </si>
  <si>
    <t>EE-2060</t>
  </si>
  <si>
    <t>Datasheet for Motor Control Center  - WPA02 - IFA</t>
  </si>
  <si>
    <t>EE-2070</t>
  </si>
  <si>
    <t>Datasheet for Motor Control Center  - WPA02 - AFC</t>
  </si>
  <si>
    <t>EE-2080</t>
  </si>
  <si>
    <t>Datasheet for Induction Motor  - WPA02 - IFR</t>
  </si>
  <si>
    <t>EE-2090</t>
  </si>
  <si>
    <t>Datasheet for Induction Motor  - WPA02 - IFA</t>
  </si>
  <si>
    <t>EE-2100</t>
  </si>
  <si>
    <t>Datasheet for Induction Motor  - WPA02 - AFC</t>
  </si>
  <si>
    <t>EE-4042</t>
  </si>
  <si>
    <t>Datasheet for FOG HORN - WPA02 - IFR</t>
  </si>
  <si>
    <t>EE-4044</t>
  </si>
  <si>
    <t>Datasheet for FOG HORN - WPA02 - IFA</t>
  </si>
  <si>
    <t>EE-4046</t>
  </si>
  <si>
    <t>Datasheet for FOG HORN - WPA02 - AFC</t>
  </si>
  <si>
    <t>MR-Electrical</t>
  </si>
  <si>
    <t>EE-3550</t>
  </si>
  <si>
    <t>Material Requisition for AC &amp; DC Distribution Boards/Panels - WPA01 - IFR</t>
  </si>
  <si>
    <t>EE-3560</t>
  </si>
  <si>
    <t>Material Requisition for AC &amp; DC Distribution Boards/Panels - WPA01 - AFC</t>
  </si>
  <si>
    <t>EE-3570</t>
  </si>
  <si>
    <t>Material Requisition for Solar power system - WPA01 - IFR</t>
  </si>
  <si>
    <t>EE-3580</t>
  </si>
  <si>
    <t>Material Requisition for Solar power system - WPA01 - AFC</t>
  </si>
  <si>
    <t>EE-3590</t>
  </si>
  <si>
    <t>Material Requisition for Navigation Aid system - WPA01 - IFR</t>
  </si>
  <si>
    <t>EE-3600</t>
  </si>
  <si>
    <t>Material Requisition for Navigation Aid system - WPA01 - AFC</t>
  </si>
  <si>
    <t>EE-3610</t>
  </si>
  <si>
    <t>Material Requisition for External Battery Charger - WPA01 - IFR</t>
  </si>
  <si>
    <t>EE-3620</t>
  </si>
  <si>
    <t>Material Requisition for External Battery Charger - WPA01 - AFC</t>
  </si>
  <si>
    <t>EE-3630</t>
  </si>
  <si>
    <t>Material Requisition for Electrical Cables - WPA01 - IFR</t>
  </si>
  <si>
    <t>EE-3640</t>
  </si>
  <si>
    <t>Material Requisition for Electrical Cables - WPA01 - AFC</t>
  </si>
  <si>
    <t>EE-3650</t>
  </si>
  <si>
    <t>Material Requisition for Electrical Bulk Materials - WPA01 - IFR</t>
  </si>
  <si>
    <t>EE-3660</t>
  </si>
  <si>
    <t>Material Requisition for Electrical Bulk Materials - WPA01 - AFC</t>
  </si>
  <si>
    <t>EE-3661</t>
  </si>
  <si>
    <t>Material Requisition for FOG HORN - WPA01 - IFR</t>
  </si>
  <si>
    <t>EE-3665</t>
  </si>
  <si>
    <t>Material Requisition for FOG HORN - WPA01 - AFC</t>
  </si>
  <si>
    <t>EE-3670</t>
  </si>
  <si>
    <t>Material Requisition for AC &amp; DC Distribution Boards/Panels - WPA02 - IFR</t>
  </si>
  <si>
    <t>EE-3680</t>
  </si>
  <si>
    <t>Material Requisition for AC &amp; DC Distribution Boards/Panels - WPA02 - AFC</t>
  </si>
  <si>
    <t>EE-3690</t>
  </si>
  <si>
    <t>Material Requisition for Solar power system - WPA02 - IFR</t>
  </si>
  <si>
    <t>EE-3700</t>
  </si>
  <si>
    <t>Material Requisition for Solar power system - WPA02 - AFC</t>
  </si>
  <si>
    <t>EE-3710</t>
  </si>
  <si>
    <t>Material Requisition for Navigation Aid system - WPA02 - IFR</t>
  </si>
  <si>
    <t>EE-3720</t>
  </si>
  <si>
    <t>Material Requisition for Navigation Aid system - WPA02 - AFC</t>
  </si>
  <si>
    <t>EE-3730</t>
  </si>
  <si>
    <t>Material Requisition for External Battery Charger - WPA02 - IFR</t>
  </si>
  <si>
    <t>EE-3740</t>
  </si>
  <si>
    <t>Material Requisition for External Battery Charger - WPA02 - AFC</t>
  </si>
  <si>
    <t>EE-3750</t>
  </si>
  <si>
    <t>Material Requisition for Electrical Cables - WPA02 - IFR</t>
  </si>
  <si>
    <t>EE-3760</t>
  </si>
  <si>
    <t>Material Requisition for Electrical Cables - WPA02 - AFC</t>
  </si>
  <si>
    <t>EE-3770</t>
  </si>
  <si>
    <t>Material Requisition for Electrical Bulk Materials - WPA02 - IFR</t>
  </si>
  <si>
    <t>EE-3780</t>
  </si>
  <si>
    <t>Material Requisition for Electrical Bulk Materials - WPA02 - AFC</t>
  </si>
  <si>
    <t>EE-4048</t>
  </si>
  <si>
    <t>Material Requisition for FOG HORN - WPA02 - IFR</t>
  </si>
  <si>
    <t>EE-4050</t>
  </si>
  <si>
    <t>Material Requisition for FOG HORN - WPA02 - AFC</t>
  </si>
  <si>
    <t>EE-4056</t>
  </si>
  <si>
    <t>Material Requisition for Motor Control Center - WPA02 - IFR</t>
  </si>
  <si>
    <t>EE-4058</t>
  </si>
  <si>
    <t>Material Requisition for Motor Control Center - WPA02 - AFC</t>
  </si>
  <si>
    <t>TBE-Electrical</t>
  </si>
  <si>
    <t>EE-3790</t>
  </si>
  <si>
    <t>Technical Bid Evaluation for AC &amp; DC Distribution Boards/Panels - WPA01 - IFR</t>
  </si>
  <si>
    <t>EE-3800</t>
  </si>
  <si>
    <t>Technical Bid Evaluation for AC &amp; DC Distribution Boards/Panels - WPA01 - AFC</t>
  </si>
  <si>
    <t>EE-3810</t>
  </si>
  <si>
    <t>Technical Bid Evaluation for Solar power system - WPA01 - IFR</t>
  </si>
  <si>
    <t>EE-3820</t>
  </si>
  <si>
    <t>Technical Bid Evaluation for Solar power system - WPA01 - AFC</t>
  </si>
  <si>
    <t>EE-3830</t>
  </si>
  <si>
    <t>Technical Bid Evaluation for Navigation Aid system - WPA01 - IFR</t>
  </si>
  <si>
    <t>EE-3840</t>
  </si>
  <si>
    <t>Technical Bid Evaluation for Navigation Aid system - WPA01 - AFC</t>
  </si>
  <si>
    <t>EE-3850</t>
  </si>
  <si>
    <t>Technical Bid Evaluation for External Battery Charger - WPA01 - IFR</t>
  </si>
  <si>
    <t>EE-3860</t>
  </si>
  <si>
    <t>Technical Bid Evaluation for External Battery Charger - WPA01 - AFC</t>
  </si>
  <si>
    <t>EE-3870</t>
  </si>
  <si>
    <t>Technical Bid Evaluation for Electrical Cables - WPA01 - IFR</t>
  </si>
  <si>
    <t>EE-3880</t>
  </si>
  <si>
    <t>Technical Bid Evaluation for Electrical Cables - WPA01 - AFC</t>
  </si>
  <si>
    <t>EE-3890</t>
  </si>
  <si>
    <t>Technical Bid Evaluation for Electrical Bulk Materials - WPA01 - IFR</t>
  </si>
  <si>
    <t>EE-3900</t>
  </si>
  <si>
    <t>Technical Bid Evaluation for Electrical Bulk Materials - WPA01 - AFC</t>
  </si>
  <si>
    <t>EE-3905</t>
  </si>
  <si>
    <t>Technical Bid Evaluation for FOG HORN - WPA01- IFR</t>
  </si>
  <si>
    <t>EE-3908</t>
  </si>
  <si>
    <t>Technical Bid Evaluation for FOG HORN - WPA01 - AFC</t>
  </si>
  <si>
    <t>EE-3910</t>
  </si>
  <si>
    <t>Technical Bid Evaluation for AC &amp; DC Distribution Boards/Panels - WPA02 - IFR</t>
  </si>
  <si>
    <t>EE-3920</t>
  </si>
  <si>
    <t>Technical Bid Evaluation for AC &amp; DC Distribution Boards/Panels - WPA02 - AFC</t>
  </si>
  <si>
    <t>EE-3930</t>
  </si>
  <si>
    <t>Technical Bid Evaluation for Solar power system - WPA02 - IFR</t>
  </si>
  <si>
    <t>EE-3940</t>
  </si>
  <si>
    <t>Technical Bid Evaluation for Solar power system - WPA02 - AFC</t>
  </si>
  <si>
    <t>EE-3950</t>
  </si>
  <si>
    <t>Technical Bid Evaluation for Navigation Aid system - WPA02 - IFR</t>
  </si>
  <si>
    <t>EE-3960</t>
  </si>
  <si>
    <t>Technical Bid Evaluation for Navigation Aid system - WPA02 - AFC</t>
  </si>
  <si>
    <t>EE-3970</t>
  </si>
  <si>
    <t>Technical Bid Evaluation for External Battery Charger - WPA02 - IFR</t>
  </si>
  <si>
    <t>EE-3980</t>
  </si>
  <si>
    <t>Technical Bid Evaluation for External Battery Charger - WPA02 - AFC</t>
  </si>
  <si>
    <t>EE-3990</t>
  </si>
  <si>
    <t>Technical Bid Evaluation for Electrical Cables - WPA02 - IFR</t>
  </si>
  <si>
    <t>EE-4000</t>
  </si>
  <si>
    <t>Technical Bid Evaluation for Electrical Cables - WPA02 - AFC</t>
  </si>
  <si>
    <t>EE-4010</t>
  </si>
  <si>
    <t>Technical Bid Evaluation for Electrical Bulk Materials - WPA02 - IFR</t>
  </si>
  <si>
    <t>EE-4020</t>
  </si>
  <si>
    <t>Technical Bid Evaluation for Electrical Bulk Materials - WPA02 - AFC</t>
  </si>
  <si>
    <t>EE-4030</t>
  </si>
  <si>
    <t>Technical Bid Evaluation for Motor Control Center - IFR</t>
  </si>
  <si>
    <t>EE-4040</t>
  </si>
  <si>
    <t>Technical Bid Evaluation for Motor Control Center - AFC</t>
  </si>
  <si>
    <t>EE-4052</t>
  </si>
  <si>
    <t>Technical Bid Evaluation for FOG HORN - WPA02- IFR</t>
  </si>
  <si>
    <t>EE-4054</t>
  </si>
  <si>
    <t>Technical Bid Evaluation for FOG HORN - WPA02 - AFC</t>
  </si>
  <si>
    <t>INSTRUMENTANDCONTROLSYSTEMENGINEERING</t>
  </si>
  <si>
    <t>IN-1000</t>
  </si>
  <si>
    <t>Instrument Basis Of Design - IFR</t>
  </si>
  <si>
    <t>IN-1010</t>
  </si>
  <si>
    <t>Instrument Basis Of Design - AFC</t>
  </si>
  <si>
    <t>IN-1020</t>
  </si>
  <si>
    <t>Instrument / Control And Safety System Philosophy - IFR</t>
  </si>
  <si>
    <t>IN-1030</t>
  </si>
  <si>
    <t>Instrument / Control And Safety System Philosophy - IFA</t>
  </si>
  <si>
    <t>IN-1040</t>
  </si>
  <si>
    <t>Instrument / Control And Safety System Philosophy - AFC</t>
  </si>
  <si>
    <t>IN-1050</t>
  </si>
  <si>
    <t>Project Particular Specification For SCADA Systems and PLC Gateway - IFR</t>
  </si>
  <si>
    <t>IN-1060</t>
  </si>
  <si>
    <t>Project Particular Specification For SCADA Systems and PLC Gateway - AFC</t>
  </si>
  <si>
    <t>IN-1070</t>
  </si>
  <si>
    <t>Project Particular Specification For PLC Systems - IFR</t>
  </si>
  <si>
    <t>IN-1080</t>
  </si>
  <si>
    <t>Project Particular Specification For PLC Systems - AFC</t>
  </si>
  <si>
    <t>IN-1090</t>
  </si>
  <si>
    <t>Project Particular Specification For Wellhead Control Panel - IFR</t>
  </si>
  <si>
    <t>IN-1100</t>
  </si>
  <si>
    <t>Project Particular Specification For Wellhead Control Panel - AFC</t>
  </si>
  <si>
    <t>IN-1110</t>
  </si>
  <si>
    <t>Project Particular Specification For Instrument For Measurement - IFR</t>
  </si>
  <si>
    <t>IN-1120</t>
  </si>
  <si>
    <t>Project Particular Specification For Instrument For Measurement - AFC</t>
  </si>
  <si>
    <t>IN-1130</t>
  </si>
  <si>
    <t>Project Particular Specification For Instrument Cables - IFR</t>
  </si>
  <si>
    <t>IN-1140</t>
  </si>
  <si>
    <t>Project Particular Specification For Instrument Cables - AFC</t>
  </si>
  <si>
    <t>IN-1150</t>
  </si>
  <si>
    <t>Project Particular Specification For Instrument Bulk Material - IFR</t>
  </si>
  <si>
    <t>IN-1160</t>
  </si>
  <si>
    <t>Project Particular Specification For Instrument Bulk Material - AFC</t>
  </si>
  <si>
    <t>IN-1170</t>
  </si>
  <si>
    <t>Project Particular Specification For Actuated Choke Valves - IFR</t>
  </si>
  <si>
    <t>IN-1180</t>
  </si>
  <si>
    <t>Project Particular Specification For Actuated Choke Valves - AFC</t>
  </si>
  <si>
    <t>IN-1190</t>
  </si>
  <si>
    <t>Project Particular Specification For Actuated Ball Valves - IFR</t>
  </si>
  <si>
    <t>IN-1200</t>
  </si>
  <si>
    <t>Project Particular Specification For Actuated Ball Valves - AFC</t>
  </si>
  <si>
    <t>IN-1210</t>
  </si>
  <si>
    <t>Project Particular Specification For Acuated Compact Ball Valve - IFR</t>
  </si>
  <si>
    <t>IN-1220</t>
  </si>
  <si>
    <t>Project Particular Specification For Acuated Compact Ball Valve - AFC</t>
  </si>
  <si>
    <t>IN-1230</t>
  </si>
  <si>
    <t>Project Particular Specification For Control Valves And Self Actuated Pcv - IFR</t>
  </si>
  <si>
    <t>IN-1240</t>
  </si>
  <si>
    <t>Project Particular Specification For Control Valves And Self Actuated Pcv - AFC</t>
  </si>
  <si>
    <t>IN-1250</t>
  </si>
  <si>
    <t>Project Particular Specification For Relief Valves - IFR</t>
  </si>
  <si>
    <t>IN-1260</t>
  </si>
  <si>
    <t>Project Particular Specification For Relief Valves - AFC</t>
  </si>
  <si>
    <t>IN-1270</t>
  </si>
  <si>
    <t>Project Particular Specification For Coriolis Flow Meters - IFR</t>
  </si>
  <si>
    <t>IN-1280</t>
  </si>
  <si>
    <t>Project Particular Specification For Coriolis Flow Meters - AFC</t>
  </si>
  <si>
    <t>IN-1290</t>
  </si>
  <si>
    <t>Project Particular Specification For Vortex Flow Meters - IFR</t>
  </si>
  <si>
    <t>IN-1300</t>
  </si>
  <si>
    <t>Project Particular Specification For Vortex Flow Meters - AFC</t>
  </si>
  <si>
    <t>IN-1310</t>
  </si>
  <si>
    <t>Project Particular Specification For Fire &amp; Gas Detectors - IFR</t>
  </si>
  <si>
    <t>IN-1320</t>
  </si>
  <si>
    <t>Project Particular Specification For Fire &amp; Gas Detectors - AFC</t>
  </si>
  <si>
    <t>IN-1330</t>
  </si>
  <si>
    <t>Project Particular Specification For Installation Of Instrumentation And Control - IFR</t>
  </si>
  <si>
    <t>IN-1340</t>
  </si>
  <si>
    <t>Project Particular Specification For Installation Of  Instrumentation And Control - AFC</t>
  </si>
  <si>
    <t>IN-1380</t>
  </si>
  <si>
    <t>Instrument Cable Block Diagram For SCADA System - IFR</t>
  </si>
  <si>
    <t>IN-1390</t>
  </si>
  <si>
    <t>Instrument Cable Block Diagram For SCADA System - IFA</t>
  </si>
  <si>
    <t>IN-1400</t>
  </si>
  <si>
    <t>Instrument Cable Block Diagram For SCADA System - AFC</t>
  </si>
  <si>
    <t>IN-1410</t>
  </si>
  <si>
    <t>Overall Instrument Earthing Diagram - IFR</t>
  </si>
  <si>
    <t>IN-1420</t>
  </si>
  <si>
    <t>Overall Instrument Earthing Diagram - IFA</t>
  </si>
  <si>
    <t>IN-1430</t>
  </si>
  <si>
    <t>Overall Instrument Earthing Diagram - AFC</t>
  </si>
  <si>
    <t>IN-1440</t>
  </si>
  <si>
    <t>Instrument Typical Installation Details - IFR</t>
  </si>
  <si>
    <t>IN-1450</t>
  </si>
  <si>
    <t>Instrument Typical Installation Details - AFC</t>
  </si>
  <si>
    <t>IN-1480</t>
  </si>
  <si>
    <t>Instrument Drawing Index -Wp01 - IFR</t>
  </si>
  <si>
    <t>IN-1490</t>
  </si>
  <si>
    <t>Instrument Drawing Index -Wp01 - IFA</t>
  </si>
  <si>
    <t>IN-1500</t>
  </si>
  <si>
    <t>Instrument Drawing Index -Wp01 - AFC</t>
  </si>
  <si>
    <t>IN-1510</t>
  </si>
  <si>
    <t>Instrument Index-Wp01 - IFR</t>
  </si>
  <si>
    <t>IN-1520</t>
  </si>
  <si>
    <t>Instrument Index-Wp01 - IFA</t>
  </si>
  <si>
    <t>IN-1530</t>
  </si>
  <si>
    <t>Instrument Index-Wp01 - AFC</t>
  </si>
  <si>
    <t>IN-1540</t>
  </si>
  <si>
    <t>Plc Input/Output List-Wp01 - IFR</t>
  </si>
  <si>
    <t>IN-1550</t>
  </si>
  <si>
    <t>Plc Input/Output List-Wp01 - IFA</t>
  </si>
  <si>
    <t>IN-1560</t>
  </si>
  <si>
    <t>Plc Input/Output List-Wp01 - AFC</t>
  </si>
  <si>
    <t>IN-1570</t>
  </si>
  <si>
    <t>Control System Block Diagram For-Wp01 - IFR</t>
  </si>
  <si>
    <t>IN-1580</t>
  </si>
  <si>
    <t>Control System Block Diagram For-Wp01 - IFA</t>
  </si>
  <si>
    <t>IN-1590</t>
  </si>
  <si>
    <t>Control System Block Diagram For-Wp01 - AFC</t>
  </si>
  <si>
    <t>IN-1600</t>
  </si>
  <si>
    <t>Instrument Cable Block Diagram Pcs/Esd/Fgs-Wp01 - IFR</t>
  </si>
  <si>
    <t>IN-1610</t>
  </si>
  <si>
    <t>Instrument Cable Block Diagram Pcs/Esd/Fgs-Wp01 - IFA</t>
  </si>
  <si>
    <t>IN-1620</t>
  </si>
  <si>
    <t>Instrument Cable Block Diagram Pcs/Esd/Fgs-Wp01 - AFC</t>
  </si>
  <si>
    <t>IN-2210</t>
  </si>
  <si>
    <t>Instrument Loop Diagram- Wp01 - IFR</t>
  </si>
  <si>
    <t>IN-2220</t>
  </si>
  <si>
    <t>Instrument Loop Diagram- Wp01 - AFC</t>
  </si>
  <si>
    <t>IN-2230</t>
  </si>
  <si>
    <t>Instrument Cable Tray Layout- Wp01 - IFR</t>
  </si>
  <si>
    <t>IN-2240</t>
  </si>
  <si>
    <t>Instrument Cable Tray Layout- Wp01 - IFA</t>
  </si>
  <si>
    <t>IN-2250</t>
  </si>
  <si>
    <t>Instrument Cable Tray Layout- Wp01 - AFC</t>
  </si>
  <si>
    <t>IN-2260</t>
  </si>
  <si>
    <t>Instrument Cable Routing Plan And Junction Boxes Layout- Wp01 - IFR</t>
  </si>
  <si>
    <t>IN-2270</t>
  </si>
  <si>
    <t>Instrument Cable Routing Plan And Junction Boxes Layout- Wp01 - IFA</t>
  </si>
  <si>
    <t>IN-2280</t>
  </si>
  <si>
    <t>Instrument Cable Routing Plan And Junction Boxes Layout- Wp01 - AFC</t>
  </si>
  <si>
    <t>IN-2290</t>
  </si>
  <si>
    <t>Instrument Cable Schedule- Wp01 - IFR</t>
  </si>
  <si>
    <t>IN-2300</t>
  </si>
  <si>
    <t>Instrument Cable Schedule- Wp01 - IFA</t>
  </si>
  <si>
    <t>IN-2310</t>
  </si>
  <si>
    <t>Instrument Cable Schedule- Wp01 - AFC</t>
  </si>
  <si>
    <t>IN-2320</t>
  </si>
  <si>
    <t>Instrument Multi Cable Transit Schedule- Wp01 - IFR</t>
  </si>
  <si>
    <t>IN-2330</t>
  </si>
  <si>
    <t>Instrument Multi Cable Transit Schedule- Wp01 - IFA</t>
  </si>
  <si>
    <t>IN-2340</t>
  </si>
  <si>
    <t>Instrument Multi Cable Transit Schedule- Wp01 - AFC</t>
  </si>
  <si>
    <t>IN-2341</t>
  </si>
  <si>
    <t>Instrument Location Plan - WP01 - IFR</t>
  </si>
  <si>
    <t>IN-2342</t>
  </si>
  <si>
    <t>Instrument Location Plan - WP01 - IFA</t>
  </si>
  <si>
    <t>IN-2343</t>
  </si>
  <si>
    <t>Instrument Location Plan - WP01 - AFC</t>
  </si>
  <si>
    <t>IN-2344</t>
  </si>
  <si>
    <t>Instrument Tubing Tray Laout - WP01 - IFR</t>
  </si>
  <si>
    <t>IN-2345</t>
  </si>
  <si>
    <t>Instrument Tubing Tray Laout - WP01 - IFA</t>
  </si>
  <si>
    <t>IN-2346</t>
  </si>
  <si>
    <t>Instrument Tubing Tray Laout - WP01 - AFC</t>
  </si>
  <si>
    <t>IN-2347</t>
  </si>
  <si>
    <t>Instrument Tubing Schedule - WP01 - IFR</t>
  </si>
  <si>
    <t>IN-2348</t>
  </si>
  <si>
    <t>Instrument Tubing Schedule - WP01 - IFA</t>
  </si>
  <si>
    <t>IN-2349</t>
  </si>
  <si>
    <t>Instrument Tubing Schedule - WP01 - AFC</t>
  </si>
  <si>
    <t>IN-2350</t>
  </si>
  <si>
    <t>Instrument Hook-Up Drawing - WP01 - IFR</t>
  </si>
  <si>
    <t>IN-2351</t>
  </si>
  <si>
    <t>Instrument Hook-Up Drawing - WP01 - IFA</t>
  </si>
  <si>
    <t>IN-2352</t>
  </si>
  <si>
    <t>Instrument Hook-Up Drawing - WP01 - AFC</t>
  </si>
  <si>
    <t>IN-2353</t>
  </si>
  <si>
    <t>Instrument Wiring Diagram (PCS AND SIS/FGS SYSTEM) - WP01 - IFR</t>
  </si>
  <si>
    <t>IN-2354</t>
  </si>
  <si>
    <t>Instrument Wiring Diagram (PCS AND SIS/FGS SYSTEM) - WP01 - IFA</t>
  </si>
  <si>
    <t>IN-2355</t>
  </si>
  <si>
    <t>Instrument Wiring Diagram (PCS AND SIS/FGS SYSTEM) - WP01 - AFC</t>
  </si>
  <si>
    <t>IN-2356</t>
  </si>
  <si>
    <t>Instrument Equipment And Explosion Proof Equipment Schedule- Wp01 - IFR</t>
  </si>
  <si>
    <t>IN-2357</t>
  </si>
  <si>
    <t>Instrument Equipment And Explosion Proof Equipment Schedule- Wp01 - IFA</t>
  </si>
  <si>
    <t>IN-2358</t>
  </si>
  <si>
    <t>Instrument Equipment And Explosion Proof Equipment Schedule- Wp01 - AFC</t>
  </si>
  <si>
    <t>IN-2359</t>
  </si>
  <si>
    <t>Fusible Plug And F&amp;G Layout- Wp01 - IFR</t>
  </si>
  <si>
    <t>IN-2360</t>
  </si>
  <si>
    <t>Fusible Plug And F&amp;G Layout- Wp01 - AFC</t>
  </si>
  <si>
    <t>IN-2370</t>
  </si>
  <si>
    <t>Instrument Bulk Material Take Off- Wp01 - IFR</t>
  </si>
  <si>
    <t>IN-2380</t>
  </si>
  <si>
    <t>Instrument Bulk Material Take Off- Wp01 - IFA</t>
  </si>
  <si>
    <t>IN-2390</t>
  </si>
  <si>
    <t>Instrument Bulk Material Take Off- Wp01 - AFC</t>
  </si>
  <si>
    <t>IN-2420</t>
  </si>
  <si>
    <t>Instrument Shiploose List For Offshore Installation- Wp01 - IFR</t>
  </si>
  <si>
    <t>IN-2430</t>
  </si>
  <si>
    <t>Instrument Shiploose List For Offshore Installation- Wp01 - AFC</t>
  </si>
  <si>
    <t>IN-2440</t>
  </si>
  <si>
    <t>Instrument Shiploose List Handover To Company Operation Team- Wp01 - IFR</t>
  </si>
  <si>
    <t>IN-2450</t>
  </si>
  <si>
    <t>Instrument Shiploose List Handover To Company Operation Team- Wp01 - AFC</t>
  </si>
  <si>
    <t>IN-2460</t>
  </si>
  <si>
    <t>Instrument Drawing Index -Wp02 - IFR</t>
  </si>
  <si>
    <t>IN-2470</t>
  </si>
  <si>
    <t>Instrument Drawing Index -Wp02 - IFA</t>
  </si>
  <si>
    <t>IN-2480</t>
  </si>
  <si>
    <t>Instrument Drawing Index -Wp02 - AFC</t>
  </si>
  <si>
    <t>IN-2490</t>
  </si>
  <si>
    <t>Instrument Index-Wp02 - IFR</t>
  </si>
  <si>
    <t>IN-2500</t>
  </si>
  <si>
    <t>Instrument Index-Wp02 - IFA</t>
  </si>
  <si>
    <t>IN-2510</t>
  </si>
  <si>
    <t>Instrument Index-Wp02 - AFC</t>
  </si>
  <si>
    <t>IN-2520</t>
  </si>
  <si>
    <t>Plc Input/Output List-Wp02 - IFR</t>
  </si>
  <si>
    <t>IN-2530</t>
  </si>
  <si>
    <t>Plc Input/Output List-Wp02 - IFA</t>
  </si>
  <si>
    <t>IN-2540</t>
  </si>
  <si>
    <t>Plc Input/Output List-Wp02 - AFC</t>
  </si>
  <si>
    <t>IN-2541</t>
  </si>
  <si>
    <t>Control System Block Diagram For-Wp02 - IFR</t>
  </si>
  <si>
    <t>IN-2542</t>
  </si>
  <si>
    <t>Control System Block Diagram For-Wp02 - IFA</t>
  </si>
  <si>
    <t>IN-2543</t>
  </si>
  <si>
    <t>Control System Block Diagram For-Wp02 - AFC</t>
  </si>
  <si>
    <t>IN-2544</t>
  </si>
  <si>
    <t>Instrument Cable Block Diagram Pcs/Esd/Fgs-Wp02 - IFR</t>
  </si>
  <si>
    <t>IN-2545</t>
  </si>
  <si>
    <t>Instrument Cable Block Diagram Pcs/Esd/Fgs-Wp02 - IFA</t>
  </si>
  <si>
    <t>IN-2546</t>
  </si>
  <si>
    <t>Instrument Cable Block Diagram Pcs/Esd/Fgs-Wp02 - AFC</t>
  </si>
  <si>
    <t>IN-3170</t>
  </si>
  <si>
    <t>Instrument Loop Diagram- Wp02 - IFR</t>
  </si>
  <si>
    <t>IN-3180</t>
  </si>
  <si>
    <t>Instrument Loop Diagram- Wp02 - AFC</t>
  </si>
  <si>
    <t>IN-3190</t>
  </si>
  <si>
    <t>Instrument Cable Tray Layout- Wp02 - IFR</t>
  </si>
  <si>
    <t>IN-3195</t>
  </si>
  <si>
    <t>Instrument Cable Tray Layout- Wp02 - IFA</t>
  </si>
  <si>
    <t>IN-3200</t>
  </si>
  <si>
    <t>Instrument Cable Tray Layout- Wp02 - AFC</t>
  </si>
  <si>
    <t>IN-3210</t>
  </si>
  <si>
    <t>Instrument Cable Routing Plan And Junction Boxes Layout- Wp02 - IFR</t>
  </si>
  <si>
    <t>IN-3220</t>
  </si>
  <si>
    <t>Instrument Cable Routing Plan And Junction Boxes Layout- Wp02 - IFA</t>
  </si>
  <si>
    <t>IN-3230</t>
  </si>
  <si>
    <t>Instrument Cable Routing Plan And Junction Boxes Layout- Wp02 - AFC</t>
  </si>
  <si>
    <t>IN-3240</t>
  </si>
  <si>
    <t>Instrument Cable Schedule- Wp02 - IFR</t>
  </si>
  <si>
    <t>IN-3250</t>
  </si>
  <si>
    <t>Instrument Cable Schedule- Wp02 - IFA</t>
  </si>
  <si>
    <t>IN-3260</t>
  </si>
  <si>
    <t>Instrument Cable Schedule- Wp02 - AFC</t>
  </si>
  <si>
    <t>IN-3270</t>
  </si>
  <si>
    <t>Instrument Multi Cable Transit Schedule- Wp02 - IFR</t>
  </si>
  <si>
    <t>IN-3280</t>
  </si>
  <si>
    <t>Instrument Multi Cable Transit Schedule- Wp02 - IFA</t>
  </si>
  <si>
    <t>IN-3290</t>
  </si>
  <si>
    <t>Instrument Multi Cable Transit Schedule- Wp02 - AFC</t>
  </si>
  <si>
    <t>IN-3291</t>
  </si>
  <si>
    <t>Instrument Location Plan- Wp02 - IFR</t>
  </si>
  <si>
    <t>IN-3292</t>
  </si>
  <si>
    <t>Instrument Location Plan- Wp02 - IFA</t>
  </si>
  <si>
    <t>IN-3293</t>
  </si>
  <si>
    <t>Instrument Location Plan- Wp02 - AFC</t>
  </si>
  <si>
    <t>IN-3294</t>
  </si>
  <si>
    <t>Instrument Tubing Tray Layout - Wp02 - IFR</t>
  </si>
  <si>
    <t>IN-3295</t>
  </si>
  <si>
    <t>Instrument Tubing Tray Layout - Wp02 - IFA</t>
  </si>
  <si>
    <t>IN-3296</t>
  </si>
  <si>
    <t>Instrument Tubing Tray Layout - Wp02 - AFC</t>
  </si>
  <si>
    <t>IN-3320</t>
  </si>
  <si>
    <t>Instrument Tubing Schedule- Wp02 - IFR</t>
  </si>
  <si>
    <t>IN-3330</t>
  </si>
  <si>
    <t>Instrument Tubing Schedule- Wp02 - IFA</t>
  </si>
  <si>
    <t>IN-3340</t>
  </si>
  <si>
    <t>Instrument Tubing Schedule- Wp02 - AFC</t>
  </si>
  <si>
    <t>IN-3380</t>
  </si>
  <si>
    <t>Instrument Hook-Up Drawings- Wp02 - IFR</t>
  </si>
  <si>
    <t>IN-3390</t>
  </si>
  <si>
    <t>Instrument Hook-Up Drawings- Wp02 - IFA</t>
  </si>
  <si>
    <t>IN-3400</t>
  </si>
  <si>
    <t>Instrument Hook-Up Drawings- Wp02 - AFC</t>
  </si>
  <si>
    <t>IN-3440</t>
  </si>
  <si>
    <t>Instrument Wiring Diagrams (PCS AND SIS/FGS SYSTEM) - Wp02 - IFR</t>
  </si>
  <si>
    <t>IN-3450</t>
  </si>
  <si>
    <t>Instrument Wiring Diagrams (PCS AND SIS/FGS SYSTEM) - Wp02 - IFA</t>
  </si>
  <si>
    <t>IN-3460</t>
  </si>
  <si>
    <t>Instrument Wiring Diagrams (PCS AND SIS/FGS SYSTEM) - Wp02 - AFC</t>
  </si>
  <si>
    <t>IN-3470</t>
  </si>
  <si>
    <t>Instrument Equipment And Explosion Proof Equipment Schedule- Wp02 - IFR</t>
  </si>
  <si>
    <t>IN-3480</t>
  </si>
  <si>
    <t>Instrument Equipment And Explosion Proof Equipment Schedule- Wp02 - IFA</t>
  </si>
  <si>
    <t>IN-3490</t>
  </si>
  <si>
    <t>Instrument Equipment And Explosion Proof Equipment Schedule- Wp02 - AFC</t>
  </si>
  <si>
    <t>IN-3500</t>
  </si>
  <si>
    <t>Fusible Plug And F&amp;G Layout- Wp02 - IFR</t>
  </si>
  <si>
    <t>IN-3510</t>
  </si>
  <si>
    <t>Fusible Plug And F&amp;G Layout- Wp02 - AFC</t>
  </si>
  <si>
    <t>IN-3520</t>
  </si>
  <si>
    <t>Instrument Bulk Material Take Off- Wp02 - IFR</t>
  </si>
  <si>
    <t>IN-3530</t>
  </si>
  <si>
    <t>Instrument Bulk Material Take Off- Wp02 - IFA</t>
  </si>
  <si>
    <t>IN-3540</t>
  </si>
  <si>
    <t>Instrument Bulk Material Take Off- Wp02 - AFC</t>
  </si>
  <si>
    <t>IN-3570</t>
  </si>
  <si>
    <t>Instrument Shiploose List For Offshore Installation- Wp02 - IFR</t>
  </si>
  <si>
    <t>IN-3580</t>
  </si>
  <si>
    <t>Instrument Shiploose List For Offshore Installation- Wp02 - AFC</t>
  </si>
  <si>
    <t>IN-3590</t>
  </si>
  <si>
    <t>Instrument Shiploose List Handover To Company Operation Team- Wp02 - IFR</t>
  </si>
  <si>
    <t>IN-3600</t>
  </si>
  <si>
    <t>Instrument Shiploose List Handover To Company Operation Team- Wp02 - AFC</t>
  </si>
  <si>
    <t>Datasheets-Instrument</t>
  </si>
  <si>
    <t>IN-1350</t>
  </si>
  <si>
    <t>Data Sheets For Supervisory Control And Data Acquisition System (Scada) - IFR</t>
  </si>
  <si>
    <t>IN-1360</t>
  </si>
  <si>
    <t>Data Sheets For Supervisory Control And Data Acquisition System (Scada) - IFA</t>
  </si>
  <si>
    <t>IN-1370</t>
  </si>
  <si>
    <t>Data Sheets For Supervisory Control And Data Acquisition System (Scada) - AFC</t>
  </si>
  <si>
    <t>IN-1630</t>
  </si>
  <si>
    <t>Data Sheets For Whcp-Wp01 - IFR</t>
  </si>
  <si>
    <t>IN-1640</t>
  </si>
  <si>
    <t>Data Sheets For Whcp-Wp01 - IFA</t>
  </si>
  <si>
    <t>IN-1650</t>
  </si>
  <si>
    <t>Data Sheets For Whcp-Wp01 - AFC</t>
  </si>
  <si>
    <t>IN-1660</t>
  </si>
  <si>
    <t>Data Sheet For Control Valves-Wp01 - IFR</t>
  </si>
  <si>
    <t>IN-1670</t>
  </si>
  <si>
    <t>Data Sheet For Control Valves-Wp01 - IFA</t>
  </si>
  <si>
    <t>IN-1680</t>
  </si>
  <si>
    <t>Data Sheet For Control Valves-Wp01 - AFC</t>
  </si>
  <si>
    <t>IN-1690</t>
  </si>
  <si>
    <t>Data Sheet For Self Actuated Pcv-Wp01 - IFR</t>
  </si>
  <si>
    <t>IN-1700</t>
  </si>
  <si>
    <t>Data Sheet For Self Actuated Pcv-Wp01 - IFA</t>
  </si>
  <si>
    <t>IN-1710</t>
  </si>
  <si>
    <t>Data Sheet For Self Actuated Pcv-Wp01 - AFC</t>
  </si>
  <si>
    <t>IN-1720</t>
  </si>
  <si>
    <t>Data Sheet For Actuated Choke Valves-Wp01 - IFR</t>
  </si>
  <si>
    <t>IN-1730</t>
  </si>
  <si>
    <t>Data Sheet For Actuated Choke Valves-Wp01 - IFA</t>
  </si>
  <si>
    <t>IN-1740</t>
  </si>
  <si>
    <t>Data Sheet For Actuated Choke Valves-Wp01 - AFC</t>
  </si>
  <si>
    <t>IN-1750</t>
  </si>
  <si>
    <t>Data Sheets For Actuated Ball Valves-Wp01 - IFR</t>
  </si>
  <si>
    <t>IN-1760</t>
  </si>
  <si>
    <t>Data Sheets For Actuated Ball Valves-Wp01 - IFA</t>
  </si>
  <si>
    <t>IN-1770</t>
  </si>
  <si>
    <t>Data Sheets For Actuated Ball Valves-Wp01 - AFC</t>
  </si>
  <si>
    <t>IN-1780</t>
  </si>
  <si>
    <t>Data Sheet For Actuated Compact Ball Valves-Wp01 - IFR</t>
  </si>
  <si>
    <t>IN-1790</t>
  </si>
  <si>
    <t>Data Sheet For Actuated Compact Ball Valves-Wp01 - IFA</t>
  </si>
  <si>
    <t>IN-1800</t>
  </si>
  <si>
    <t>Data Sheet For Actuated Compact Ball Valves-Wp01 - AFC</t>
  </si>
  <si>
    <t>IN-1810</t>
  </si>
  <si>
    <t>Data Sheet For Safety Relief Valves-Wp01 - IFR</t>
  </si>
  <si>
    <t>IN-1820</t>
  </si>
  <si>
    <t>Data Sheet For Safety Relief Valves-Wp01 - IFA</t>
  </si>
  <si>
    <t>IN-1830</t>
  </si>
  <si>
    <t>Data Sheet For Safety Relief Valves-Wp01 - AFC</t>
  </si>
  <si>
    <t>IN-1840</t>
  </si>
  <si>
    <t>Data Sheet For Coriolis Flow Meters-Wp01 - IFR</t>
  </si>
  <si>
    <t>IN-1850</t>
  </si>
  <si>
    <t>Data Sheet For Coriolis Flow Meters-Wp01 - IFA</t>
  </si>
  <si>
    <t>IN-1860</t>
  </si>
  <si>
    <t>Data Sheet For Coriolis Flow Meters-Wp01 - AFC</t>
  </si>
  <si>
    <t>IN-1870</t>
  </si>
  <si>
    <t>Data Sheets For Vortex Flow Meters-Wp01 - IFR</t>
  </si>
  <si>
    <t>IN-1880</t>
  </si>
  <si>
    <t>Data Sheets For Vortex Flow Meters-Wp01 - IFA</t>
  </si>
  <si>
    <t>IN-1890</t>
  </si>
  <si>
    <t>Data Sheets For Vortex Flow Meters-Wp01 - AFC</t>
  </si>
  <si>
    <t>IN-1900</t>
  </si>
  <si>
    <t>Data Sheets For Flow Switch-Wp01 - IFR</t>
  </si>
  <si>
    <t>IN-1910</t>
  </si>
  <si>
    <t>Data Sheets For Flow Switch-Wp01 - AFC</t>
  </si>
  <si>
    <t>IN-1920</t>
  </si>
  <si>
    <t>Data Sheet For Pressure Gauges-Wp01 - IFR</t>
  </si>
  <si>
    <t>IN-1930</t>
  </si>
  <si>
    <t>Data Sheet For Pressure Gauges-Wp01 - AFC</t>
  </si>
  <si>
    <t>IN-1940</t>
  </si>
  <si>
    <t>Data Sheet For Pressure Transmitters-Wp01 - IFR</t>
  </si>
  <si>
    <t>IN-1950</t>
  </si>
  <si>
    <t>Data Sheet For Pressure Transmitters-Wp01 - AFC</t>
  </si>
  <si>
    <t>IN-1960</t>
  </si>
  <si>
    <t>Data Sheet For Temperature Gauge And Thermowell-Wp01 - IFR</t>
  </si>
  <si>
    <t>IN-1970</t>
  </si>
  <si>
    <t>Data Sheet For Temperature Gauge And Thermowell-Wp01 - AFC</t>
  </si>
  <si>
    <t>IN-1980</t>
  </si>
  <si>
    <t>Data Sheet For Temperature Transmitters And Thermowells-Wp01 - IFR</t>
  </si>
  <si>
    <t>IN-1990</t>
  </si>
  <si>
    <t>Data Sheet For Temperature Transmitters And Thermowells-Wp01 - AFC</t>
  </si>
  <si>
    <t>IN-2000</t>
  </si>
  <si>
    <t>Data Sheets For Magnetic Level Gauge And Transmitters-Wp01 - IFR</t>
  </si>
  <si>
    <t>IN-2010</t>
  </si>
  <si>
    <t>Data Sheets For Magnetic Level Gauge And Transmitters-Wp01 - IFA</t>
  </si>
  <si>
    <t>IN-2020</t>
  </si>
  <si>
    <t>Data Sheets For Magnetic Level Gauge And Transmitters-Wp01 - AFC</t>
  </si>
  <si>
    <t>IN-2030</t>
  </si>
  <si>
    <t>Data Sheet For Dip Tape Level Indicator-Wp01 - IFR</t>
  </si>
  <si>
    <t>IN-2040</t>
  </si>
  <si>
    <t>Data Sheet For Dip Tape Level Indicator-Wp01 - IFA</t>
  </si>
  <si>
    <t>IN-2050</t>
  </si>
  <si>
    <t>Data Sheet For Dip Tape Level Indicator-Wp01 - AFC</t>
  </si>
  <si>
    <t>IN-2060</t>
  </si>
  <si>
    <t>Data Sheets For Level Switch-Wp01 - IFR</t>
  </si>
  <si>
    <t>IN-2070</t>
  </si>
  <si>
    <t>Data Sheets For Level Switch-Wp01 - IFA</t>
  </si>
  <si>
    <t>IN-2080</t>
  </si>
  <si>
    <t>Data Sheets For Level Switch-Wp01 - AFC</t>
  </si>
  <si>
    <t>IN-2090</t>
  </si>
  <si>
    <t>Data Sheets For Dp Level Transmitters-Wp01 - IFR</t>
  </si>
  <si>
    <t>IN-2100</t>
  </si>
  <si>
    <t>Data Sheets For Dp Level Transmitters-Wp01 - AFC</t>
  </si>
  <si>
    <t>IN-2110</t>
  </si>
  <si>
    <t>Data Sheets For Restriction Orifice- Wp01 - IFR</t>
  </si>
  <si>
    <t>IN-2120</t>
  </si>
  <si>
    <t>Data Sheets For Restriction Orifice- Wp01 - AFC</t>
  </si>
  <si>
    <t>IN-2130</t>
  </si>
  <si>
    <t>Data Sheet For Fire &amp; Gas Detectors- Wp01 - IFR</t>
  </si>
  <si>
    <t>IN-2140</t>
  </si>
  <si>
    <t>Data Sheet For Fire &amp; Gas Detectors- Wp01 - IFA</t>
  </si>
  <si>
    <t>IN-2150</t>
  </si>
  <si>
    <t>Data Sheet For Fire &amp; Gas Detectors- Wp01 - AFC</t>
  </si>
  <si>
    <t>IN-2160</t>
  </si>
  <si>
    <t>Data Sheets For Position Limit Switches- Wp01 - IFR</t>
  </si>
  <si>
    <t>IN-2170</t>
  </si>
  <si>
    <t>Data Sheets For Position Limit Switches- Wp01 - IFA</t>
  </si>
  <si>
    <t>IN-2180</t>
  </si>
  <si>
    <t>Data Sheets For Position Limit Switches- Wp01 - AFC</t>
  </si>
  <si>
    <t>IN-2190</t>
  </si>
  <si>
    <t>Data Sheets For Pig Signaller - Wp01 - IFR</t>
  </si>
  <si>
    <t>IN-2200</t>
  </si>
  <si>
    <t>Data Sheets For Pig Signaller - Wp01 - AFC</t>
  </si>
  <si>
    <t>IN-2550</t>
  </si>
  <si>
    <t>Data Sheets For Whcp-Wp02 - IFR</t>
  </si>
  <si>
    <t>IN-2560</t>
  </si>
  <si>
    <t>Data Sheets For Whcp-Wp02 - IFA</t>
  </si>
  <si>
    <t>IN-2570</t>
  </si>
  <si>
    <t>Data Sheets For Whcp-Wp02 - AFC</t>
  </si>
  <si>
    <t>IN-2580</t>
  </si>
  <si>
    <t>Data Sheet For Control Valves-Wp02 - IFR</t>
  </si>
  <si>
    <t>IN-2590</t>
  </si>
  <si>
    <t>Data Sheet For Control Valves-Wp02 - IFA</t>
  </si>
  <si>
    <t>IN-2600</t>
  </si>
  <si>
    <t>Data Sheet For Control Valves-Wp02 - AFC</t>
  </si>
  <si>
    <t>IN-2610</t>
  </si>
  <si>
    <t>Data Sheet For Self Actuated Pcv-Wp02 - IFR</t>
  </si>
  <si>
    <t>IN-2620</t>
  </si>
  <si>
    <t>Data Sheet For Self Actuated Pcv-Wp02 - IFA</t>
  </si>
  <si>
    <t>IN-2630</t>
  </si>
  <si>
    <t>Data Sheet For Self Actuated Pcv-Wp02 - AFC</t>
  </si>
  <si>
    <t>IN-2640</t>
  </si>
  <si>
    <t>Data Sheet For Actuated Choke Valves-Wp02 - IFR</t>
  </si>
  <si>
    <t>IN-2650</t>
  </si>
  <si>
    <t>Data Sheet For Actuated Choke Valves-Wp02 - IFA</t>
  </si>
  <si>
    <t>IN-2660</t>
  </si>
  <si>
    <t>Data Sheet For Actuated Choke Valves-Wp02 - AFC</t>
  </si>
  <si>
    <t>IN-2670</t>
  </si>
  <si>
    <t>Data Sheets For Actuated Ball Valves-Wp02 - IFR</t>
  </si>
  <si>
    <t>IN-2680</t>
  </si>
  <si>
    <t>Data Sheets For Actuated Ball Valves-Wp02 - IFA</t>
  </si>
  <si>
    <t>IN-2690</t>
  </si>
  <si>
    <t>Data Sheets For Actuated Ball Valves-Wp02 - AFC</t>
  </si>
  <si>
    <t>IN-2700</t>
  </si>
  <si>
    <t>Data Sheet For Actuated Compact Ball Valves-Wp02 - IFR</t>
  </si>
  <si>
    <t>IN-2710</t>
  </si>
  <si>
    <t>Data Sheet For Actuated Compact Ball Valves-Wp02 - IFA</t>
  </si>
  <si>
    <t>IN-2720</t>
  </si>
  <si>
    <t>Data Sheet For Actuated Compact Ball Valves-Wp02 - AFC</t>
  </si>
  <si>
    <t>IN-2730</t>
  </si>
  <si>
    <t>Data Sheet For Safety Relief Valves-Wp02 - IFR</t>
  </si>
  <si>
    <t>IN-2740</t>
  </si>
  <si>
    <t>Data Sheet For Safety Relief Valves-Wp02 - IFA</t>
  </si>
  <si>
    <t>IN-2750</t>
  </si>
  <si>
    <t>Data Sheet For Safety Relief Valves-Wp02 - AFC</t>
  </si>
  <si>
    <t>IN-2760</t>
  </si>
  <si>
    <t>Data Sheet For Coriolis Flow Meters-Wp02 - IFR</t>
  </si>
  <si>
    <t>IN-2770</t>
  </si>
  <si>
    <t>Data Sheet For Coriolis Flow Meters-Wp02 - IFA</t>
  </si>
  <si>
    <t>IN-2780</t>
  </si>
  <si>
    <t>Data Sheet For Coriolis Flow Meters-Wp02 - AFC</t>
  </si>
  <si>
    <t>IN-2790</t>
  </si>
  <si>
    <t>Data Sheets For Vortex Flow Meters-Wp02 - IFR</t>
  </si>
  <si>
    <t>IN-2800</t>
  </si>
  <si>
    <t>Data Sheets For Vortex Flow Meters-Wp02 - IFA</t>
  </si>
  <si>
    <t>IN-2810</t>
  </si>
  <si>
    <t>Data Sheets For Vortex Flow Meters-Wp02 - AFC</t>
  </si>
  <si>
    <t>IN-2820</t>
  </si>
  <si>
    <t>Data Sheets For Flow Switch-Wp02 - IFR</t>
  </si>
  <si>
    <t>IN-2830</t>
  </si>
  <si>
    <t>Data Sheets For Flow Switch-Wp02 - AFC</t>
  </si>
  <si>
    <t>IN-2840</t>
  </si>
  <si>
    <t>Data Sheet For Pressure Gauges-Wp02 - IFR</t>
  </si>
  <si>
    <t>IN-2850</t>
  </si>
  <si>
    <t>Data Sheet For Pressure Gauges-Wp02 - AFC</t>
  </si>
  <si>
    <t>IN-2860</t>
  </si>
  <si>
    <t>Data Sheets For Pressure Transmitters-Wp02 - IFR</t>
  </si>
  <si>
    <t>IN-2870</t>
  </si>
  <si>
    <t>Data Sheets For Pressure Transmitters-Wp02 - AFC</t>
  </si>
  <si>
    <t>IN-2880</t>
  </si>
  <si>
    <t>Data Sheet For Temperature Gauge And Thermowell-Wp02 - IFR</t>
  </si>
  <si>
    <t>IN-2890</t>
  </si>
  <si>
    <t>Data Sheet For Temperature Gauge And Thermowell-Wp02 - AFC</t>
  </si>
  <si>
    <t>IN-2900</t>
  </si>
  <si>
    <t>Data Sheet For Temperature Transmitters And Thermowells-Wp02 - IFR</t>
  </si>
  <si>
    <t>IN-2910</t>
  </si>
  <si>
    <t>Data Sheet For Temperature Transmitters And Thermowells-Wp02 - AFC</t>
  </si>
  <si>
    <t>IN-2920</t>
  </si>
  <si>
    <t>Data Sheets For Magnetic Level Gauge And Transmitters-Wp02 - IFR</t>
  </si>
  <si>
    <t>IN-2930</t>
  </si>
  <si>
    <t>Data Sheets For Magnetic Level Gauge And Transmitters-Wp02 - IFA</t>
  </si>
  <si>
    <t>IN-2940</t>
  </si>
  <si>
    <t>Data Sheets For Magnetic Level Gauge And Transmitters-Wp02 - AFC</t>
  </si>
  <si>
    <t>IN-2950</t>
  </si>
  <si>
    <t>Data Sheet For Dip Tape Level Indicator-Wp02 - IFR</t>
  </si>
  <si>
    <t>IN-2960</t>
  </si>
  <si>
    <t>Data Sheet For Dip Tape Level Indicator-Wp02 - IFA</t>
  </si>
  <si>
    <t>IN-2970</t>
  </si>
  <si>
    <t>Data Sheet For Dip Tape Level Indicator-Wp02 - AFC</t>
  </si>
  <si>
    <t>IN-2980</t>
  </si>
  <si>
    <t>Data Sheets For Level Switch-Wp02 - IFR</t>
  </si>
  <si>
    <t>IN-2990</t>
  </si>
  <si>
    <t>Data Sheets For Level Switch-Wp02 - IFA</t>
  </si>
  <si>
    <t>IN-3000</t>
  </si>
  <si>
    <t>Data Sheets For Level Switch-Wp02 - AFC</t>
  </si>
  <si>
    <t>IN-3010</t>
  </si>
  <si>
    <t>Data Sheet For Guided Wave Radar Level Transmitter - Wp02 - IFR</t>
  </si>
  <si>
    <t>IN-3020</t>
  </si>
  <si>
    <t>Data Sheet For Guided Wave Radar Level Transmitter - Wp02 - IFA</t>
  </si>
  <si>
    <t>IN-3030</t>
  </si>
  <si>
    <t>Data Sheet For Guided Wave Radar Level Transmitter - Wp02 - AFC</t>
  </si>
  <si>
    <t>IN-3040</t>
  </si>
  <si>
    <t>Data Sheets For Dp Level Transmitters-Wp02 - IFR</t>
  </si>
  <si>
    <t>IN-3050</t>
  </si>
  <si>
    <t>Data Sheets For Dp Level Transmitters-Wp02 - AFC</t>
  </si>
  <si>
    <t>IN-3060</t>
  </si>
  <si>
    <t>Data Sheets For Restriction Orifice- Wp02 - IFR</t>
  </si>
  <si>
    <t>IN-3070</t>
  </si>
  <si>
    <t>Data Sheets For Restriction Orifice- Wp02 - AFC</t>
  </si>
  <si>
    <t>IN-3080</t>
  </si>
  <si>
    <t>Data Sheet For Fire &amp; Gas Detectors- Wp02 - IFR</t>
  </si>
  <si>
    <t>IN-3090</t>
  </si>
  <si>
    <t>Data Sheet For Fire &amp; Gas Detectors- Wp02 - IFA</t>
  </si>
  <si>
    <t>IN-3100</t>
  </si>
  <si>
    <t>Data Sheet For Fire &amp; Gas Detectors- Wp02 - AFC</t>
  </si>
  <si>
    <t>IN-3110</t>
  </si>
  <si>
    <t>Data Sheets For Position Limit Switches- Wp02 - IFR</t>
  </si>
  <si>
    <t>IN-3120</t>
  </si>
  <si>
    <t>Data Sheets For Position Limit Switches- Wp02 - IFA</t>
  </si>
  <si>
    <t>IN-3130</t>
  </si>
  <si>
    <t>Data Sheets For Position Limit Switches- Wp02 - AFC</t>
  </si>
  <si>
    <t>IN-3140</t>
  </si>
  <si>
    <t>Data Sheet For Oil In Water Analyzer - Wp02 - IFR</t>
  </si>
  <si>
    <t>IN-3150</t>
  </si>
  <si>
    <t>Data Sheet For Oil In Water Analyzer - Wp02 - IFA</t>
  </si>
  <si>
    <t>IN-3160</t>
  </si>
  <si>
    <t>Data Sheet For Oil In Water Analyzer - Wp02 - AFC</t>
  </si>
  <si>
    <t>MR-Instrument</t>
  </si>
  <si>
    <t>IN-3610</t>
  </si>
  <si>
    <t>Material Requisition For Wellhead Control Panel - IFR</t>
  </si>
  <si>
    <t>IN-3620</t>
  </si>
  <si>
    <t>Material Requisition For Wellhead Control Panel - AFC</t>
  </si>
  <si>
    <t>IN-3630</t>
  </si>
  <si>
    <t>Material Requisition For SCADA - IFR</t>
  </si>
  <si>
    <t>IN-3640</t>
  </si>
  <si>
    <t>Material Requisition For SCADA - AFC</t>
  </si>
  <si>
    <t>IN-3650</t>
  </si>
  <si>
    <t>Material Requisition For PLC And SCADA System - IFR</t>
  </si>
  <si>
    <t>IN-3660</t>
  </si>
  <si>
    <t>Material Requisition For PLC And SCADA System - AFC</t>
  </si>
  <si>
    <t>IN-3670</t>
  </si>
  <si>
    <t>Material Requisition For Control Valves - IFR</t>
  </si>
  <si>
    <t>IN-3680</t>
  </si>
  <si>
    <t>Material Requisition For Control Valves - AFC</t>
  </si>
  <si>
    <t>IN-3690</t>
  </si>
  <si>
    <t>Material Requisition For Self Regulator Valves - IFR</t>
  </si>
  <si>
    <t>IN-3700</t>
  </si>
  <si>
    <t>Material Requisition For Self Regulator Valves - AFC</t>
  </si>
  <si>
    <t>IN-3710</t>
  </si>
  <si>
    <t>Material Requisition For Actuated Choke Valves - IFR</t>
  </si>
  <si>
    <t>IN-3720</t>
  </si>
  <si>
    <t>Material Requisition For Actuated Choke Valves - AFC</t>
  </si>
  <si>
    <t>IN-3730</t>
  </si>
  <si>
    <t>Material Requisition For Actuated Ball Valves - IFR</t>
  </si>
  <si>
    <t>IN-3740</t>
  </si>
  <si>
    <t>Material Requisition For Actuated Ball Valves - AFC</t>
  </si>
  <si>
    <t>IN-3750</t>
  </si>
  <si>
    <t>Material Requisition For Actuated Compact Ball Valves - IFR</t>
  </si>
  <si>
    <t>IN-3760</t>
  </si>
  <si>
    <t>Material Requisition For Actuated Compact Ball Valves - AFC</t>
  </si>
  <si>
    <t>IN-3770</t>
  </si>
  <si>
    <t>Material Requisition For Safety Relief Valves - IFR</t>
  </si>
  <si>
    <t>IN-3780</t>
  </si>
  <si>
    <t>Material Requisition For Safety Relief Valves - AFC</t>
  </si>
  <si>
    <t>IN-3790</t>
  </si>
  <si>
    <t>Material Requisition For Coriolis Flow Meters - IFR</t>
  </si>
  <si>
    <t>IN-3800</t>
  </si>
  <si>
    <t>Material Requisition For Coriolis Flow Meters - AFC</t>
  </si>
  <si>
    <t>IN-3810</t>
  </si>
  <si>
    <t>Material Requisition For Vortex Flow Meters - IFR</t>
  </si>
  <si>
    <t>IN-3820</t>
  </si>
  <si>
    <t>Material Requisition For Vortex Flow Meters - AFC</t>
  </si>
  <si>
    <t>IN-3830</t>
  </si>
  <si>
    <t>Material Requisition For Flow Switch - IFR</t>
  </si>
  <si>
    <t>IN-3840</t>
  </si>
  <si>
    <t>Material Requisition For Flow Switch - AFC</t>
  </si>
  <si>
    <t>IN-3850</t>
  </si>
  <si>
    <t>Material Requisition For Pressure Gauges - IFR</t>
  </si>
  <si>
    <t>IN-3860</t>
  </si>
  <si>
    <t>Material Requisition For Pressure Gauges - AFC</t>
  </si>
  <si>
    <t>IN-3870</t>
  </si>
  <si>
    <t>Material Requisition For Pressure Transmitters - IFR</t>
  </si>
  <si>
    <t>IN-3880</t>
  </si>
  <si>
    <t>Material Requisition For Pressure Transmitters - AFC</t>
  </si>
  <si>
    <t>IN-3890</t>
  </si>
  <si>
    <t>Material Requisition For Temperature Gauges - IFR</t>
  </si>
  <si>
    <t>IN-3900</t>
  </si>
  <si>
    <t>Material Requisition For Temperature Gauges - AFC</t>
  </si>
  <si>
    <t>IN-3910</t>
  </si>
  <si>
    <t>Material Requisition For Temperature Transmitters - IFR</t>
  </si>
  <si>
    <t>IN-3920</t>
  </si>
  <si>
    <t>Material Requisition For Temperature Transmitters - AFC</t>
  </si>
  <si>
    <t>IN-3930</t>
  </si>
  <si>
    <t>Material Requisition For Level Gauge And Transmitters - IFR</t>
  </si>
  <si>
    <t>IN-3940</t>
  </si>
  <si>
    <t>Material Requisition For Level Gauge And Transmitters - AFC</t>
  </si>
  <si>
    <t>IN-3950</t>
  </si>
  <si>
    <t>Material Requisition For Dip Tape Level Indicator - IFR</t>
  </si>
  <si>
    <t>IN-3960</t>
  </si>
  <si>
    <t>Material Requisition For Dip Tape Level Indicator - AFC</t>
  </si>
  <si>
    <t>IN-3970</t>
  </si>
  <si>
    <t>Material Requisition For Level Switch - IFR</t>
  </si>
  <si>
    <t>IN-3980</t>
  </si>
  <si>
    <t>Material Requisition For Level Switch - AFC</t>
  </si>
  <si>
    <t>IN-3990</t>
  </si>
  <si>
    <t>Material Requisition For Guided Wave Radar Level Transmitter - IFR</t>
  </si>
  <si>
    <t>IN-4000</t>
  </si>
  <si>
    <t>Material Requisition For Guided Wave Radar Level Transmitter - AFC</t>
  </si>
  <si>
    <t>IN-4010</t>
  </si>
  <si>
    <t>Material Requisition For Dp Level Transmitters - IFR</t>
  </si>
  <si>
    <t>IN-4020</t>
  </si>
  <si>
    <t>Material Requisition For Dp Level Transmitters - AFC</t>
  </si>
  <si>
    <t>IN-4030</t>
  </si>
  <si>
    <t>Material Requisition For Instrument Cables - IFR</t>
  </si>
  <si>
    <t>IN-4040</t>
  </si>
  <si>
    <t>Material Requisition For Instrument Cables - AFC</t>
  </si>
  <si>
    <t>IN-4050</t>
  </si>
  <si>
    <t>Material Requisition For Restriction Orifice - IFR</t>
  </si>
  <si>
    <t>IN-4060</t>
  </si>
  <si>
    <t>Material Requisition For Restriction Orifice - AFC</t>
  </si>
  <si>
    <t>IN-4070</t>
  </si>
  <si>
    <t>Material Requisition For Fire &amp; Gas Detectors - IFR</t>
  </si>
  <si>
    <t>IN-4080</t>
  </si>
  <si>
    <t>Material Requisition For Fire &amp; Gas Detectors - AFC</t>
  </si>
  <si>
    <t>IN-4090</t>
  </si>
  <si>
    <t>Material Requisition For Position Limit Switches - IFR</t>
  </si>
  <si>
    <t>IN-4100</t>
  </si>
  <si>
    <t>Material Requisition For Position Limit Switches - AFC</t>
  </si>
  <si>
    <t>IN-4110</t>
  </si>
  <si>
    <t>Material Requisition For Oil In Water Analyzer - Wp02 - IFR</t>
  </si>
  <si>
    <t>IN-4120</t>
  </si>
  <si>
    <t>Material Requisition For Oil In Water Analyzer - Wp02 - AFC</t>
  </si>
  <si>
    <t>IN-4130</t>
  </si>
  <si>
    <t>Material Requisition For Pig Signaller - IFR</t>
  </si>
  <si>
    <t>IN-4140</t>
  </si>
  <si>
    <t>Material Requisition For Pig Signaller - AFC</t>
  </si>
  <si>
    <t>IN-4150</t>
  </si>
  <si>
    <t>Material Requisition For Instrument Bulk Materials - IFR</t>
  </si>
  <si>
    <t>IN-4160</t>
  </si>
  <si>
    <t>Material Requisition For Instrument Bulk Materials - AFC</t>
  </si>
  <si>
    <t>TBE-Instrument</t>
  </si>
  <si>
    <t>IN-4170</t>
  </si>
  <si>
    <t>Technical Bid Evaluation For SCADA - IFR</t>
  </si>
  <si>
    <t>IN-4180</t>
  </si>
  <si>
    <t>Technical Bid Evaluation For SCADA - AFC</t>
  </si>
  <si>
    <t>IN-4190</t>
  </si>
  <si>
    <t>Technical Bid Evaluation For Wellhead Control Panel - IFR</t>
  </si>
  <si>
    <t>IN-4200</t>
  </si>
  <si>
    <t>Technical Bid Evaluation For Wellhead Control Panel - AFC</t>
  </si>
  <si>
    <t>IN-4210</t>
  </si>
  <si>
    <t>Technical Bid Evaluation For PLC And SCADA System - IFR</t>
  </si>
  <si>
    <t>IN-4220</t>
  </si>
  <si>
    <t>Technical Bid Evaluation For PLC And SCADA System - AFC</t>
  </si>
  <si>
    <t>IN-4230</t>
  </si>
  <si>
    <t>Technical Bid Evaluation For Control Valves - IFR</t>
  </si>
  <si>
    <t>IN-4240</t>
  </si>
  <si>
    <t>Technical Bid Evaluation For Control Valves - AFC</t>
  </si>
  <si>
    <t>IN-4250</t>
  </si>
  <si>
    <t>Technical Bid Evaluation For Self Regulator Valves - IFR</t>
  </si>
  <si>
    <t>IN-4260</t>
  </si>
  <si>
    <t>Technical Bid Evaluation For Self Regulator Valves - AFC</t>
  </si>
  <si>
    <t>IN-4270</t>
  </si>
  <si>
    <t>Technical Bid Evaluation For Actuated Choke Valves - IFR</t>
  </si>
  <si>
    <t>IN-4280</t>
  </si>
  <si>
    <t>Technical Bid Evaluation For Actuated Choke Valves - AFC</t>
  </si>
  <si>
    <t>IN-4290</t>
  </si>
  <si>
    <t>Technical Bid Evaluation For Actuated Ball Valves - IFR</t>
  </si>
  <si>
    <t>IN-4300</t>
  </si>
  <si>
    <t>Technical Bid Evaluation For Actuated Ball Valves - AFC</t>
  </si>
  <si>
    <t>IN-4310</t>
  </si>
  <si>
    <t>Technical Bid Evaluation For Actuated Compact Ball Valves - IFR</t>
  </si>
  <si>
    <t>IN-4320</t>
  </si>
  <si>
    <t>Technical Bid Evaluation For Actuated Compact Ball Valves - AFC</t>
  </si>
  <si>
    <t>IN-4330</t>
  </si>
  <si>
    <t>Technical Bid Evaluation For Safety Relief Valves - IFR</t>
  </si>
  <si>
    <t>IN-4340</t>
  </si>
  <si>
    <t>Technical Bid Evaluation For Safety Relief Valves - AFC</t>
  </si>
  <si>
    <t>IN-4350</t>
  </si>
  <si>
    <t>Technical Bid Evaluation For Coriolis Flow Meters - IFR</t>
  </si>
  <si>
    <t>IN-4360</t>
  </si>
  <si>
    <t>Technical Bid Evaluation For Coriolis Flow Meters - AFC</t>
  </si>
  <si>
    <t>IN-4370</t>
  </si>
  <si>
    <t>Technical Bid Evaluation For Vortex Flow Meters - IFR</t>
  </si>
  <si>
    <t>IN-4380</t>
  </si>
  <si>
    <t>Technical Bid Evaluation For Vortex Flow Meters - AFC</t>
  </si>
  <si>
    <t>IN-4390</t>
  </si>
  <si>
    <t>Technical Bid Evaluation For Flow Switch - IFR</t>
  </si>
  <si>
    <t>IN-4400</t>
  </si>
  <si>
    <t>Technical Bid Evaluation For Flow Switch - AFC</t>
  </si>
  <si>
    <t>IN-4410</t>
  </si>
  <si>
    <t>Technical Bid Evaluation For Pressure Gauges - IFR</t>
  </si>
  <si>
    <t>IN-4420</t>
  </si>
  <si>
    <t>Technical Bid Evaluation For Pressure Gauges - AFC</t>
  </si>
  <si>
    <t>IN-4430</t>
  </si>
  <si>
    <t>Technical Bid Evaluation For Pressure Transmitters - IFR</t>
  </si>
  <si>
    <t>IN-4440</t>
  </si>
  <si>
    <t>Technical Bid Evaluation For Pressure Transmitters - AFC</t>
  </si>
  <si>
    <t>IN-4450</t>
  </si>
  <si>
    <t>Technical Bid Evaluation For Temperature Gauges - IFR</t>
  </si>
  <si>
    <t>IN-4460</t>
  </si>
  <si>
    <t>Technical Bid Evaluation For Temperature Gauges - AFC</t>
  </si>
  <si>
    <t>IN-4470</t>
  </si>
  <si>
    <t>Technical Bid Evaluation For Temperature Transmitters - IFR</t>
  </si>
  <si>
    <t>IN-4480</t>
  </si>
  <si>
    <t>Technical Bid Evaluation For Temperature Transmitters - AFC</t>
  </si>
  <si>
    <t>IN-4490</t>
  </si>
  <si>
    <t>Technical Bid Evaluation For Level Gauge And Transmitters - IFR</t>
  </si>
  <si>
    <t>IN-4500</t>
  </si>
  <si>
    <t>Technical Bid Evaluation For Level Gauge And Transmitters - AFC</t>
  </si>
  <si>
    <t>IN-4510</t>
  </si>
  <si>
    <t>Technical Bid Evaluation For Dip Tape Level Indicator - IFR</t>
  </si>
  <si>
    <t>IN-4520</t>
  </si>
  <si>
    <t>Technical Bid Evaluation For Dip Tape Level Indicator - AFC</t>
  </si>
  <si>
    <t>IN-4530</t>
  </si>
  <si>
    <t>Technical Bid Evaluation For Level Switch - IFR</t>
  </si>
  <si>
    <t>IN-4540</t>
  </si>
  <si>
    <t>Technical Bid Evaluation For Level Switch - AFC</t>
  </si>
  <si>
    <t>IN-4550</t>
  </si>
  <si>
    <t>Technical Bid Evaluation For Guided Wave Radar Level Transmitter - IFR</t>
  </si>
  <si>
    <t>IN-4560</t>
  </si>
  <si>
    <t>Technical Bid Evaluation For Guided Wave Radar Level Transmitter - AFC</t>
  </si>
  <si>
    <t>IN-4570</t>
  </si>
  <si>
    <t>Technical Bid Evaluation For Dp Level Transmitters - IFR</t>
  </si>
  <si>
    <t>IN-4580</t>
  </si>
  <si>
    <t>Technical Bid Evaluation For Dp Level Transmitters - AFC</t>
  </si>
  <si>
    <t>IN-4590</t>
  </si>
  <si>
    <t>Technical Bid Evaluation For Instrument Cables - IFR</t>
  </si>
  <si>
    <t>IN-4600</t>
  </si>
  <si>
    <t>Technical Bid Evaluation For Instrument Cables - AFC</t>
  </si>
  <si>
    <t>IN-4610</t>
  </si>
  <si>
    <t>Technical Bid Evaluation For Restriction Orifice - IFR</t>
  </si>
  <si>
    <t>IN-4620</t>
  </si>
  <si>
    <t>Technical Bid Evaluation For Restriction Orifice - AFC</t>
  </si>
  <si>
    <t>IN-4630</t>
  </si>
  <si>
    <t>Technical Bid Evaluation For Fire &amp; Gas Detectors - IFR</t>
  </si>
  <si>
    <t>IN-4640</t>
  </si>
  <si>
    <t>Technical Bid Evaluation For Fire &amp; Gas Detectors - AFC</t>
  </si>
  <si>
    <t>IN-4650</t>
  </si>
  <si>
    <t>Technical Bid Evaluation For Position Limit Switches - IFR</t>
  </si>
  <si>
    <t>IN-4660</t>
  </si>
  <si>
    <t>Technical Bid Evaluation For Position Limit Switches - AFC</t>
  </si>
  <si>
    <t>IN-4670</t>
  </si>
  <si>
    <t>Technical Bid Evaluation For Oil In Water Analyzer - IFR</t>
  </si>
  <si>
    <t>IN-4680</t>
  </si>
  <si>
    <t>Technical Bid Evaluation For Oil In Water Analyzer - AFC</t>
  </si>
  <si>
    <t>IN-4690</t>
  </si>
  <si>
    <t>Technical Bid Evaluation For Pig Signaller - IFR</t>
  </si>
  <si>
    <t>IN-4700</t>
  </si>
  <si>
    <t>Technical Bid Evaluation For Pig Signaller - AFC</t>
  </si>
  <si>
    <t>IN-4710</t>
  </si>
  <si>
    <t>Technical Bid Evaluation For Instrument Bulk Materials - IFR</t>
  </si>
  <si>
    <t>IN-4720</t>
  </si>
  <si>
    <t>Technical Bid Evaluation For Instrument Bulk Materials - AFC</t>
  </si>
  <si>
    <t>TELECOMMUNICATIONENGINEERING</t>
  </si>
  <si>
    <t>TE-1000</t>
  </si>
  <si>
    <t>Telecommunication Basis Of Design - IFR</t>
  </si>
  <si>
    <t>TE-1010</t>
  </si>
  <si>
    <t>Telecommunication Basis Of Design - IFA</t>
  </si>
  <si>
    <t>TE-1020</t>
  </si>
  <si>
    <t>Telecommunication Basis Of Design - AFC</t>
  </si>
  <si>
    <t>TE-1030</t>
  </si>
  <si>
    <t>Whp Telecommunication System Philosophy - IFR</t>
  </si>
  <si>
    <t>TE-1040</t>
  </si>
  <si>
    <t>Whp Telecommunication System Philosophy - IFA</t>
  </si>
  <si>
    <t>TE-1050</t>
  </si>
  <si>
    <t>Whp Telecommunication System Philosophy - AFC</t>
  </si>
  <si>
    <t>TE-1060</t>
  </si>
  <si>
    <t>Project Specification For Telecommunication Package - IFR</t>
  </si>
  <si>
    <t>TE-1070</t>
  </si>
  <si>
    <t>Project Specification For Telecommunication Package - AFC</t>
  </si>
  <si>
    <t>TE-1080</t>
  </si>
  <si>
    <t>Project  Specification For Marine Racon - IFR</t>
  </si>
  <si>
    <t>TE-1090</t>
  </si>
  <si>
    <t>Project  Specification For Marine Racon - AFC</t>
  </si>
  <si>
    <t>TE-1100</t>
  </si>
  <si>
    <t>Vsat Location Options And Selection Report - IFR</t>
  </si>
  <si>
    <t>TE-1110</t>
  </si>
  <si>
    <t>Vsat Location Options And Selection Report - IFA</t>
  </si>
  <si>
    <t>TE-1120</t>
  </si>
  <si>
    <t>Vsat Location Options And Selection Report - AFC</t>
  </si>
  <si>
    <t>TE-1130</t>
  </si>
  <si>
    <t>Design Report For Communication Links - IFR</t>
  </si>
  <si>
    <t>TE-1140</t>
  </si>
  <si>
    <t>Design Report For Communication Links - IFA</t>
  </si>
  <si>
    <t>TE-1150</t>
  </si>
  <si>
    <t>Design Report For Communication Links - AFC</t>
  </si>
  <si>
    <t>TE-1160</t>
  </si>
  <si>
    <t>Design Report For Overall Transmission Media Requirements - IFR</t>
  </si>
  <si>
    <t>TE-1170</t>
  </si>
  <si>
    <t>Design Report For Overall Transmission Media Requirements - IFA</t>
  </si>
  <si>
    <t>TE-1180</t>
  </si>
  <si>
    <t>Design Report For Overall Transmission Media Requirements - AFC</t>
  </si>
  <si>
    <t>TE-1190</t>
  </si>
  <si>
    <t>Design Report For Telecommunication  Equipment On Whp'S Safety Zone With Fire And Explosion Risk Analysis - IFR</t>
  </si>
  <si>
    <t>TE-1200</t>
  </si>
  <si>
    <t>Design Report For Telecommunication  Equipment On Whp'S Safety Zone With Fire And Explosion Risk Analysis - IFA</t>
  </si>
  <si>
    <t>TE-1210</t>
  </si>
  <si>
    <t>Design Report For Telecommunication  Equipment On Whp'S Safety Zone With Fire And Explosion Risk Analysis - AFC</t>
  </si>
  <si>
    <t>TE-1220</t>
  </si>
  <si>
    <t>Telecommuniction Equipment And Ex-Certificates List - IFR</t>
  </si>
  <si>
    <t>TE-1230</t>
  </si>
  <si>
    <t>Telecommuniction Equipment And Ex-Certificates List - IFA</t>
  </si>
  <si>
    <t>TE-1240</t>
  </si>
  <si>
    <t>Telecommuniction Equipment And Ex-Certificates List - AFC</t>
  </si>
  <si>
    <t>TE-1250</t>
  </si>
  <si>
    <t>Overall Telecommunication System Block Diagram - IFR</t>
  </si>
  <si>
    <t>TE-1260</t>
  </si>
  <si>
    <t>Overall Telecommunication System Block Diagram - IFA</t>
  </si>
  <si>
    <t>TE-1270</t>
  </si>
  <si>
    <t>Overall Telecommunication System Block Diagram - AFC</t>
  </si>
  <si>
    <t>TE-1490</t>
  </si>
  <si>
    <t>Telecommuniction Document Index - Wp01 - IFR</t>
  </si>
  <si>
    <t>TE-1500</t>
  </si>
  <si>
    <t>Telecommuniction Document Index - Wp01 - IFA</t>
  </si>
  <si>
    <t>TE-1510</t>
  </si>
  <si>
    <t>Telecommuniction Document Index - Wp01 - AFC</t>
  </si>
  <si>
    <t>TE-1520</t>
  </si>
  <si>
    <t>Telecommuniction Equipment List - Wp01 - IFR</t>
  </si>
  <si>
    <t>TE-1530</t>
  </si>
  <si>
    <t>Telecommuniction Equipment List - Wp01 - IFA</t>
  </si>
  <si>
    <t>TE-1540</t>
  </si>
  <si>
    <t>Telecommuniction Equipment List - Wp01 - AFC</t>
  </si>
  <si>
    <t>TE-1550</t>
  </si>
  <si>
    <t>Telecommuniction Cable Schedule - Wp01 - IFR</t>
  </si>
  <si>
    <t>TE-1560</t>
  </si>
  <si>
    <t>Telecommuniction Cable Schedule - Wp01 - IFA</t>
  </si>
  <si>
    <t>TE-1570</t>
  </si>
  <si>
    <t>Telecommuniction Cable Schedule - Wp01 - AFC</t>
  </si>
  <si>
    <t>TE-1580</t>
  </si>
  <si>
    <t>Telecommuniction Power Cpnstruction And Heat Dissipation List - Wp01 - IFR</t>
  </si>
  <si>
    <t>TE-1590</t>
  </si>
  <si>
    <t>Telecommuniction Power Cpnstruction And Heat Dissipation List - Wp01 - IFA</t>
  </si>
  <si>
    <t>TE-1600</t>
  </si>
  <si>
    <t>Telecommuniction Power Cpnstruction And Heat Dissipation List - Wp01 - AFC</t>
  </si>
  <si>
    <t>TE-1610</t>
  </si>
  <si>
    <t>Telecommuniction Bulk Material Take -Off - Wp01 - IFR</t>
  </si>
  <si>
    <t>TE-1620</t>
  </si>
  <si>
    <t>Telecommuniction Bulk Material Take -Off - Wp01 - IFA</t>
  </si>
  <si>
    <t>TE-1630</t>
  </si>
  <si>
    <t>Telecommuniction Bulk Material Take -Off - Wp01 - AFC</t>
  </si>
  <si>
    <t>TE-1850</t>
  </si>
  <si>
    <t>Telecommuniction Document Index - Wp02 - IFR</t>
  </si>
  <si>
    <t>TE-1860</t>
  </si>
  <si>
    <t>Telecommuniction Document Index - Wp02 - IFA</t>
  </si>
  <si>
    <t>TE-1870</t>
  </si>
  <si>
    <t>Telecommuniction Document Index - Wp02 - AFC</t>
  </si>
  <si>
    <t>TE-1880</t>
  </si>
  <si>
    <t>Telecommuniction Equipment List - Wp02 - IFR</t>
  </si>
  <si>
    <t>TE-1890</t>
  </si>
  <si>
    <t>Telecommuniction Equipment List - Wp02 - IFA</t>
  </si>
  <si>
    <t>TE-1900</t>
  </si>
  <si>
    <t>Telecommuniction Equipment List - Wp02 - AFC</t>
  </si>
  <si>
    <t>TE-1910</t>
  </si>
  <si>
    <t>Telecommuniction Cable Schedule - Wp02 - IFR</t>
  </si>
  <si>
    <t>TE-1920</t>
  </si>
  <si>
    <t>Telecommuniction Cable Schedule - Wp02 - IFA</t>
  </si>
  <si>
    <t>TE-1930</t>
  </si>
  <si>
    <t>Telecommuniction Cable Schedule - Wp02 - AFC</t>
  </si>
  <si>
    <t>TE-1940</t>
  </si>
  <si>
    <t>Telecommuniction Power Cpnstruction And Heat Dissipation List - Wp02 - IFR</t>
  </si>
  <si>
    <t>TE-1950</t>
  </si>
  <si>
    <t>Telecommuniction Power Cpnstruction And Heat Dissipation List - Wp02 - IFA</t>
  </si>
  <si>
    <t>TE-1960</t>
  </si>
  <si>
    <t>Telecommuniction Power Cpnstruction And Heat Dissipation List - Wp02 - AFC</t>
  </si>
  <si>
    <t>TE-1970</t>
  </si>
  <si>
    <t>Telecommuniction Bulk Material Take -Off - Wp02 - IFR</t>
  </si>
  <si>
    <t>TE-1980</t>
  </si>
  <si>
    <t>Telecommuniction Bulk Material Take -Off - Wp02 - IFA</t>
  </si>
  <si>
    <t>TE-1990</t>
  </si>
  <si>
    <t>Telecommuniction Bulk Material Take -Off - Wp02 - AFC</t>
  </si>
  <si>
    <t>TE-2000</t>
  </si>
  <si>
    <t>Telecommuniction Drawing Index - Wp01 - IFR</t>
  </si>
  <si>
    <t>TE-2010</t>
  </si>
  <si>
    <t>Telecommuniction Drawing Index - Wp01 - IFA</t>
  </si>
  <si>
    <t>TE-2020</t>
  </si>
  <si>
    <t>Telecommuniction Drawing Index - Wp01 - AFC</t>
  </si>
  <si>
    <t>TE-2030</t>
  </si>
  <si>
    <t>Telecommuniction System Block Diagram - Wp01 - IFR</t>
  </si>
  <si>
    <t>TE-2040</t>
  </si>
  <si>
    <t>Telecommuniction System Block Diagram - Wp01 - IFA</t>
  </si>
  <si>
    <t>TE-2050</t>
  </si>
  <si>
    <t>Telecommuniction System Block Diagram - Wp01 - AFC</t>
  </si>
  <si>
    <t>TE-2060</t>
  </si>
  <si>
    <t>Telecommuniction Equipment Layout - Wp01 - IFR</t>
  </si>
  <si>
    <t>TE-2070</t>
  </si>
  <si>
    <t>Telecommuniction Equipment Layout - Wp01 - IFA</t>
  </si>
  <si>
    <t>TE-2080</t>
  </si>
  <si>
    <t>Telecommuniction Equipment Layout - Wp01 - AFC</t>
  </si>
  <si>
    <t>TE-2090</t>
  </si>
  <si>
    <t>Telecommuniction Cable  Routing Plan - Wp01 - IFR</t>
  </si>
  <si>
    <t>TE-2100</t>
  </si>
  <si>
    <t>Telecommuniction Cable  Routing Plan - Wp01 - IFA</t>
  </si>
  <si>
    <t>TE-2110</t>
  </si>
  <si>
    <t>Telecommuniction Cable  Routing Plan - Wp01 - AFC</t>
  </si>
  <si>
    <t>TE-2120</t>
  </si>
  <si>
    <t>Telecommuniction Schematic Diagram - Wp01 - IFR</t>
  </si>
  <si>
    <t>TE-2130</t>
  </si>
  <si>
    <t>Telecommuniction Schematic Diagram - Wp01 - IFA</t>
  </si>
  <si>
    <t>TE-2140</t>
  </si>
  <si>
    <t>Telecommuniction Schematic Diagram - Wp01 - AFC</t>
  </si>
  <si>
    <t>TE-2150</t>
  </si>
  <si>
    <t>Telecommuniction System Wiring Diagram - Wp01 - IFR</t>
  </si>
  <si>
    <t>TE-2160</t>
  </si>
  <si>
    <t>Telecommuniction System Wiring Diagram - Wp01 - IFA</t>
  </si>
  <si>
    <t>TE-2170</t>
  </si>
  <si>
    <t>Telecommuniction System Wiring Diagram - Wp01 - AFC</t>
  </si>
  <si>
    <t>TE-2180</t>
  </si>
  <si>
    <t>Telecommuniction Installation And Mounting Detail - Wp01 - IFR</t>
  </si>
  <si>
    <t>TE-2190</t>
  </si>
  <si>
    <t>Telecommuniction Installation And Mounting Detail - Wp01 - IFA</t>
  </si>
  <si>
    <t>TE-2200</t>
  </si>
  <si>
    <t>Telecommuniction Installation And Mounting Detail - Wp01 - AFC</t>
  </si>
  <si>
    <t>TE-2210</t>
  </si>
  <si>
    <t>Telecommuniction Drawing Index - Wp02 - IFR</t>
  </si>
  <si>
    <t>TE-2220</t>
  </si>
  <si>
    <t>Telecommuniction Drawing Index - Wp02 - IFA</t>
  </si>
  <si>
    <t>TE-2230</t>
  </si>
  <si>
    <t>Telecommuniction Drawing Index - Wp02 - AFC</t>
  </si>
  <si>
    <t>TE-2240</t>
  </si>
  <si>
    <t>Telecommuniction System Block Diagram - Wp02 - IFR</t>
  </si>
  <si>
    <t>TE-2250</t>
  </si>
  <si>
    <t>Telecommuniction System Block Diagram - Wp02 - IFA</t>
  </si>
  <si>
    <t>TE-2260</t>
  </si>
  <si>
    <t>Telecommuniction System Block Diagram - Wp02 - AFC</t>
  </si>
  <si>
    <t>TE-2270</t>
  </si>
  <si>
    <t>Telecommuniction Equipment Layout - Wp02 - IFR</t>
  </si>
  <si>
    <t>TE-2280</t>
  </si>
  <si>
    <t>Telecommuniction Equipment Layout - Wp02 - IFA</t>
  </si>
  <si>
    <t>TE-2290</t>
  </si>
  <si>
    <t>Telecommuniction Equipment Layout - Wp02 - AFC</t>
  </si>
  <si>
    <t>TE-2300</t>
  </si>
  <si>
    <t>Telecommuniction Cable  Routing Plan - Wp02 - IFR</t>
  </si>
  <si>
    <t>TE-2310</t>
  </si>
  <si>
    <t>Telecommuniction Cable  Routing Plan - Wp02 - IFA</t>
  </si>
  <si>
    <t>TE-2320</t>
  </si>
  <si>
    <t>Telecommuniction Cable  Routing Plan - Wp02 - AFC</t>
  </si>
  <si>
    <t>TE-2330</t>
  </si>
  <si>
    <t>Telecommuniction Schematic Diagram - Wp02 - IFR</t>
  </si>
  <si>
    <t>TE-2340</t>
  </si>
  <si>
    <t>Telecommuniction Schematic Diagram - Wp02 - IFA</t>
  </si>
  <si>
    <t>TE-2350</t>
  </si>
  <si>
    <t>Telecommuniction Schematic Diagram - Wp02 - AFC</t>
  </si>
  <si>
    <t>TE-2360</t>
  </si>
  <si>
    <t>Telecommuniction System Wiring Diagram - Wp02 - IFR</t>
  </si>
  <si>
    <t>TE-2370</t>
  </si>
  <si>
    <t>Telecommuniction System Wiring Diagram - Wp02 - IFA</t>
  </si>
  <si>
    <t>TE-2380</t>
  </si>
  <si>
    <t>Telecommuniction System Wiring Diagram - Wp02 - AFC</t>
  </si>
  <si>
    <t>TE-2390</t>
  </si>
  <si>
    <t>Telecommuniction Installation And Mounting Detail - Wp02 - IFR</t>
  </si>
  <si>
    <t>TE-2400</t>
  </si>
  <si>
    <t>Telecommuniction Installation And Mounting Detail - Wp02 - IFA</t>
  </si>
  <si>
    <t>TE-2410</t>
  </si>
  <si>
    <t>Telecommuniction Installation And Mounting Detail - Wp02 - AFC</t>
  </si>
  <si>
    <t>TE-2550</t>
  </si>
  <si>
    <t>Telecommunication Shiploose List For Offshore Installation - IFR</t>
  </si>
  <si>
    <t>TE-2560</t>
  </si>
  <si>
    <t>Telecommunication Shiploose List For Offshore Installation - AFC</t>
  </si>
  <si>
    <t>TE-2570</t>
  </si>
  <si>
    <t>Telecommunication Shiploose List Handover To Company Operation Team - IFR</t>
  </si>
  <si>
    <t>TE-2580</t>
  </si>
  <si>
    <t>Telecommunication Shiploose List Handover To Company Operation Team - AFC</t>
  </si>
  <si>
    <t>Datasheets-Telecommunication</t>
  </si>
  <si>
    <t>TE-1280</t>
  </si>
  <si>
    <t>Data Sheet For Wimax Radio - Wp01 - IFR</t>
  </si>
  <si>
    <t>TE-1290</t>
  </si>
  <si>
    <t>Data Sheet For Wimax Radio - Wp01 - IFA</t>
  </si>
  <si>
    <t>TE-1300</t>
  </si>
  <si>
    <t>Data Sheet For Wimax Radio - Wp01 - AFC</t>
  </si>
  <si>
    <t>TE-1310</t>
  </si>
  <si>
    <t>Data Sheet For  Radar  Beacon - Wp01 - IFR</t>
  </si>
  <si>
    <t>TE-1320</t>
  </si>
  <si>
    <t>Data Sheet For  Radar  Beacon - Wp01 - IFA</t>
  </si>
  <si>
    <t>TE-1330</t>
  </si>
  <si>
    <t>Data Sheet For  Radar  Beacon - Wp01 - AFC</t>
  </si>
  <si>
    <t>TE-1340</t>
  </si>
  <si>
    <t>Data Sheet For  Automatic Identification System - Wp01 - IFR</t>
  </si>
  <si>
    <t>TE-1350</t>
  </si>
  <si>
    <t>Data Sheet For  Automatic Identification System - Wp01 - IFA</t>
  </si>
  <si>
    <t>TE-1360</t>
  </si>
  <si>
    <t>Data Sheet For  Automatic Identification System - Wp01 - AFC</t>
  </si>
  <si>
    <t>TE-1370</t>
  </si>
  <si>
    <t>Data Sheet For  Vhf-Dmr - Wp01 - IFR</t>
  </si>
  <si>
    <t>TE-1380</t>
  </si>
  <si>
    <t>Data Sheet For  Vhf-Dmr - Wp01 - IFA</t>
  </si>
  <si>
    <t>TE-1390</t>
  </si>
  <si>
    <t>Data Sheet For  Vhf-Dmr - Wp01 - AFC</t>
  </si>
  <si>
    <t>TE-1400</t>
  </si>
  <si>
    <t>Data Sheet For  Vhf-Fm - Wp01 - IFR</t>
  </si>
  <si>
    <t>TE-1410</t>
  </si>
  <si>
    <t>Data Sheet For  Vhf-Fm - Wp01 - IFA</t>
  </si>
  <si>
    <t>TE-1420</t>
  </si>
  <si>
    <t>Data Sheet For  Vhf-Fm - Wp01 - AFC</t>
  </si>
  <si>
    <t>TE-1430</t>
  </si>
  <si>
    <t>Data Sheet For  Telephone - Wp01 - IFR</t>
  </si>
  <si>
    <t>TE-1440</t>
  </si>
  <si>
    <t>Data Sheet For  Telephone - Wp01 - IFA</t>
  </si>
  <si>
    <t>TE-1450</t>
  </si>
  <si>
    <t>Data Sheet For  Telephone - Wp01 - AFC</t>
  </si>
  <si>
    <t>TE-1460</t>
  </si>
  <si>
    <t>Data Sheet For  Bulk Material - Wp01 - IFR</t>
  </si>
  <si>
    <t>TE-1470</t>
  </si>
  <si>
    <t>Data Sheet For  Bulk Material - Wp01 - IFA</t>
  </si>
  <si>
    <t>TE-1480</t>
  </si>
  <si>
    <t>Data Sheet For  Bulk Material - Wp01 - AFC</t>
  </si>
  <si>
    <t>TE-1640</t>
  </si>
  <si>
    <t>Data Sheet For Wimax Radio - Wp02 - IFR</t>
  </si>
  <si>
    <t>TE-1650</t>
  </si>
  <si>
    <t>Data Sheet For Wimax Radio - Wp02 - IFA</t>
  </si>
  <si>
    <t>TE-1660</t>
  </si>
  <si>
    <t>Data Sheet For Wimax Radio - Wp02 - AFC</t>
  </si>
  <si>
    <t>TE-1670</t>
  </si>
  <si>
    <t>Data Sheet For  Radar  Beacon - Wp02 - IFR</t>
  </si>
  <si>
    <t>TE-1680</t>
  </si>
  <si>
    <t>Data Sheet For  Radar  Beacon - Wp02 - IFA</t>
  </si>
  <si>
    <t>TE-1690</t>
  </si>
  <si>
    <t>Data Sheet For  Radar  Beacon - Wp02 - AFC</t>
  </si>
  <si>
    <t>TE-1700</t>
  </si>
  <si>
    <t>Data Sheet For  Automatic Identification System - Wp02 - IFR</t>
  </si>
  <si>
    <t>TE-1710</t>
  </si>
  <si>
    <t>Data Sheet For  Automatic Identification System - Wp02 - IFA</t>
  </si>
  <si>
    <t>TE-1720</t>
  </si>
  <si>
    <t>Data Sheet For  Automatic Identification System - Wp02 - AFC</t>
  </si>
  <si>
    <t>TE-1730</t>
  </si>
  <si>
    <t>Data Sheet For  Vhf-Dmr - Wp02 - IFR</t>
  </si>
  <si>
    <t>TE-1740</t>
  </si>
  <si>
    <t>Data Sheet For  Vhf-Dmr - Wp02 - IFA</t>
  </si>
  <si>
    <t>TE-1750</t>
  </si>
  <si>
    <t>Data Sheet For  Vhf-Dmr - Wp02 - AFC</t>
  </si>
  <si>
    <t>TE-1760</t>
  </si>
  <si>
    <t>Data Sheet For  Vhf-Fm - Wp02 - IFR</t>
  </si>
  <si>
    <t>TE-1770</t>
  </si>
  <si>
    <t>Data Sheet For  Vhf-Fm - Wp02 - IFA</t>
  </si>
  <si>
    <t>TE-1780</t>
  </si>
  <si>
    <t>Data Sheet For  Vhf-Fm - Wp02 - AFC</t>
  </si>
  <si>
    <t>TE-1790</t>
  </si>
  <si>
    <t>Data Sheet For  Telephone - Wp02 - IFR</t>
  </si>
  <si>
    <t>TE-1800</t>
  </si>
  <si>
    <t>Data Sheet For  Telephone - Wp02 - IFA</t>
  </si>
  <si>
    <t>TE-1810</t>
  </si>
  <si>
    <t>Data Sheet For  Telephone - Wp02 - AFC</t>
  </si>
  <si>
    <t>TE-1820</t>
  </si>
  <si>
    <t>Data Sheet For  Bulk Material - Wp02 - IFR</t>
  </si>
  <si>
    <t>TE-1830</t>
  </si>
  <si>
    <t>Data Sheet For  Bulk Material - Wp02 - IFA</t>
  </si>
  <si>
    <t>TE-1840</t>
  </si>
  <si>
    <t>Data Sheet For  Bulk Material - Wp02 - AFC</t>
  </si>
  <si>
    <t>MR-Telecommunication</t>
  </si>
  <si>
    <t>TE-2420</t>
  </si>
  <si>
    <t>Material Requisition For Telecommunication System - IFR</t>
  </si>
  <si>
    <t>TE-2430</t>
  </si>
  <si>
    <t>Material Requisition For Telecommunication System - IFA</t>
  </si>
  <si>
    <t>TE-2440</t>
  </si>
  <si>
    <t>Material Requisition For Telecommunication System - AFC</t>
  </si>
  <si>
    <t>TE-2450</t>
  </si>
  <si>
    <t>Material Requisition For Marine Racon (Racon) - IFR</t>
  </si>
  <si>
    <t>TE-2460</t>
  </si>
  <si>
    <t>Material Requisition For Marine Racon (Racon) - AFC</t>
  </si>
  <si>
    <t>TE-2470</t>
  </si>
  <si>
    <t>Material Requisition For For Telecommunication Bulk Material - IFR</t>
  </si>
  <si>
    <t>TE-2480</t>
  </si>
  <si>
    <t>Material Requisition For For Telecommunication Bulk Material - AFC</t>
  </si>
  <si>
    <t>TBE-Telecommunication</t>
  </si>
  <si>
    <t>TE-2490</t>
  </si>
  <si>
    <t>Technical Bid Evaluation For Telecommunication System - IFR</t>
  </si>
  <si>
    <t>TE-2500</t>
  </si>
  <si>
    <t>Technical Bid Evaluation For Telecommunication System - AFC</t>
  </si>
  <si>
    <t>TE-2510</t>
  </si>
  <si>
    <t>Technical Bid Evaluation For Marine Racon (Racon) - IFR</t>
  </si>
  <si>
    <t>TE-2520</t>
  </si>
  <si>
    <t>Technical Bid Evaluation For Marine Racon (Racon) - AFC</t>
  </si>
  <si>
    <t>TE-2530</t>
  </si>
  <si>
    <t>Technical Bid Evaluation For Telecommunication Bulk Material - IFR</t>
  </si>
  <si>
    <t>TE-2540</t>
  </si>
  <si>
    <t>Technical Bid Evaluation For Telecommunication Bulk Material - AFC</t>
  </si>
  <si>
    <t>SAFETY</t>
  </si>
  <si>
    <t>SF-1000</t>
  </si>
  <si>
    <t>Safety Security Health and Environment Concept (SSHE) (Offshore) - IFR</t>
  </si>
  <si>
    <t>SF-1010</t>
  </si>
  <si>
    <t>Safety Security Health and Environment Concept (SSHE) (Offshore) - IFA</t>
  </si>
  <si>
    <t>SF-1020</t>
  </si>
  <si>
    <t>Safety Security Health and Environment Concept (SSHE) (Offshore) - AFC</t>
  </si>
  <si>
    <t>SF-1030</t>
  </si>
  <si>
    <t>FERA and QRA Assumption Register - IFR</t>
  </si>
  <si>
    <t>SF-1040</t>
  </si>
  <si>
    <t>FERA and QRA Assumption Register - AFC</t>
  </si>
  <si>
    <t>SF-1050</t>
  </si>
  <si>
    <t>Reliability, Availability and Maintainability (RAM) Study Assumption Register - IFR</t>
  </si>
  <si>
    <t>SF-1060</t>
  </si>
  <si>
    <t>Reliability, Availability and Maintainability (RAM) Study Assumption Register - AFC</t>
  </si>
  <si>
    <t>SF-1070</t>
  </si>
  <si>
    <t>Reliability, Availability and Maintainability (RAM) Study Report (for WHP) - IFR</t>
  </si>
  <si>
    <t>SF-1080</t>
  </si>
  <si>
    <t>Reliability, Availability and Maintainability (RAM) Study Report (for WHP) - AFC</t>
  </si>
  <si>
    <t>SF-1090</t>
  </si>
  <si>
    <t>HAZID TOR (Offshore) - IFR</t>
  </si>
  <si>
    <t>SF-1100</t>
  </si>
  <si>
    <t>HAZID TOR (Offshore) - AFC</t>
  </si>
  <si>
    <t>SF-1110</t>
  </si>
  <si>
    <t>HAZID Report (Offshore) - IFR</t>
  </si>
  <si>
    <t>SF-1120</t>
  </si>
  <si>
    <t>HAZID Report (Offshore) - AFC</t>
  </si>
  <si>
    <t>SF-1121</t>
  </si>
  <si>
    <t>HAZID Closed Out Report - IFI</t>
  </si>
  <si>
    <t>SF-1130</t>
  </si>
  <si>
    <t>HAZOP TOR (Offshore) - IFR</t>
  </si>
  <si>
    <t>SF-1140</t>
  </si>
  <si>
    <t>HAZOP TOR (Offshore) - AFC</t>
  </si>
  <si>
    <t>SF-1150</t>
  </si>
  <si>
    <t>HAZOP Report (Offshore) - IFR</t>
  </si>
  <si>
    <t>SF-1160</t>
  </si>
  <si>
    <t>HAZOP Report (Offshore) - AFC</t>
  </si>
  <si>
    <t>SF-1161</t>
  </si>
  <si>
    <t>HAZOP Closed Out Report - IFI</t>
  </si>
  <si>
    <t>SF-1170</t>
  </si>
  <si>
    <t>SIL TOR (Offshore) - IFR</t>
  </si>
  <si>
    <t>SF-1180</t>
  </si>
  <si>
    <t>SIL TOR (Offshore) - AFC</t>
  </si>
  <si>
    <t>SF-1190</t>
  </si>
  <si>
    <t>SIL Classification Report (Offshore) - IFR</t>
  </si>
  <si>
    <t>SF-1200</t>
  </si>
  <si>
    <t>SIL Classification Report (Offshore) - AFC</t>
  </si>
  <si>
    <t>SF-1210</t>
  </si>
  <si>
    <t>SIL Verification (Offshore) - IFR</t>
  </si>
  <si>
    <t>SF-1220</t>
  </si>
  <si>
    <t>SIL Verification (Offshore) - IFA</t>
  </si>
  <si>
    <t>SF-1230</t>
  </si>
  <si>
    <t>SIL Verification (Offshore) - AFC</t>
  </si>
  <si>
    <t>SF-1231</t>
  </si>
  <si>
    <t>SIL Closed Out Report - IFI</t>
  </si>
  <si>
    <t>SF-1240</t>
  </si>
  <si>
    <t>ALARP Study TOR (Offshore) - IFR</t>
  </si>
  <si>
    <t>SF-1250</t>
  </si>
  <si>
    <t>ALARP Study TOR (Offshore) - AFC</t>
  </si>
  <si>
    <t>SF-1260</t>
  </si>
  <si>
    <t>ALARP Study Report (Offshore) - IFR</t>
  </si>
  <si>
    <t>SF-1270</t>
  </si>
  <si>
    <t>ALARP Study Report (Offshore) - AFC</t>
  </si>
  <si>
    <t>SF-1280</t>
  </si>
  <si>
    <t>Vent Dispersion &amp; Thermal Radiation Study - IFR</t>
  </si>
  <si>
    <t>SF-1290</t>
  </si>
  <si>
    <t>Vent Dispersion &amp; Thermal Radiation Study - IFA</t>
  </si>
  <si>
    <t>SF-1300</t>
  </si>
  <si>
    <t>Vent Dispersion &amp; Thermal Radiation Study - AFC</t>
  </si>
  <si>
    <t>SF-1310</t>
  </si>
  <si>
    <t>Dropped Object Study (DOS) (Topside &amp; associate Pipelines) - IFR</t>
  </si>
  <si>
    <t>SF-1320</t>
  </si>
  <si>
    <t>Dropped Object Study (DOS) (Topside &amp; associate Pipelines) - IFA</t>
  </si>
  <si>
    <t>SF-1330</t>
  </si>
  <si>
    <t>Dropped Object Study (DOS) (Topside &amp; associate Pipelines) - AFC</t>
  </si>
  <si>
    <t>SF-1340</t>
  </si>
  <si>
    <t>Fire and Explosion Risk Analysis Report (FERA) - IFR</t>
  </si>
  <si>
    <t>SF-1350</t>
  </si>
  <si>
    <t>Fire and Explosion Risk Analysis Report (FERA) - IFA</t>
  </si>
  <si>
    <t>SF-1360</t>
  </si>
  <si>
    <t>Fire and Explosion Risk Analysis Report (FERA) - AFC</t>
  </si>
  <si>
    <t>SF-1370</t>
  </si>
  <si>
    <t>Qualitative Risk Assessment (QRA) - IFR</t>
  </si>
  <si>
    <t>SF-1380</t>
  </si>
  <si>
    <t>Qualitative Risk Assessment (QRA) - IFA</t>
  </si>
  <si>
    <t>SF-1390</t>
  </si>
  <si>
    <t>Qualitative Risk Assessment (QRA) - AFC</t>
  </si>
  <si>
    <t>SF-1400</t>
  </si>
  <si>
    <t>Escape, Evacuation and Rescue Analysis (EERA) - IFR</t>
  </si>
  <si>
    <t>SF-1410</t>
  </si>
  <si>
    <t>Escape, Evacuation and Rescue Analysis (EERA) - IFA</t>
  </si>
  <si>
    <t>SF-1420</t>
  </si>
  <si>
    <t>Escape, Evacuation and Rescue Analysis (EERA) - AFC</t>
  </si>
  <si>
    <t>SF-1430</t>
  </si>
  <si>
    <t>Design Safety Critical Element and Performance Standard (SCE PS) - IFR</t>
  </si>
  <si>
    <t>SF-1440</t>
  </si>
  <si>
    <t>Design Safety Critical Element and Performance Standard (SCE PS) - IFA</t>
  </si>
  <si>
    <t>SF-1450</t>
  </si>
  <si>
    <t>Design Safety Critical Element and Performance Standard (SCE PS) - AFC</t>
  </si>
  <si>
    <t>SF-1460</t>
  </si>
  <si>
    <t>Safety Engineering Action Tracking Monitoring System (SEAMS) Report (monthly report) - IFR</t>
  </si>
  <si>
    <t>SF-1470</t>
  </si>
  <si>
    <t>Safety Engineering Action Tracking Monitoring System (SEAMS) Report (monthly report) - IFA</t>
  </si>
  <si>
    <t>SF-1480</t>
  </si>
  <si>
    <t>Safety Engineering Action Tracking Monitoring System (SEAMS) Report (monthly report) - AFC</t>
  </si>
  <si>
    <t>SF-1490</t>
  </si>
  <si>
    <t>Bow-Tie Diagrams for MAE/high risk hazards Analysis - IFR</t>
  </si>
  <si>
    <t>SF-1500</t>
  </si>
  <si>
    <t>Bow-Tie Diagrams for MAE/high risk hazards Analysis - IFA</t>
  </si>
  <si>
    <t>SF-1510</t>
  </si>
  <si>
    <t>Bow-Tie Diagrams for MAE/high risk hazards Analysis - AFC</t>
  </si>
  <si>
    <t>SF-1520</t>
  </si>
  <si>
    <t>Design Safety Case - IFR</t>
  </si>
  <si>
    <t>SF-1530</t>
  </si>
  <si>
    <t>Design Safety Case - AFC</t>
  </si>
  <si>
    <t>SF-1531</t>
  </si>
  <si>
    <t>Exhaust Plume Study Report - IFR</t>
  </si>
  <si>
    <t>SF-1532</t>
  </si>
  <si>
    <t>Exhaust Plume Study Report  - AFC</t>
  </si>
  <si>
    <t>SF-1540</t>
  </si>
  <si>
    <t>Specification for Firefighting Equipment - IFR</t>
  </si>
  <si>
    <t>SF-1550</t>
  </si>
  <si>
    <t>Specification for Firefighting Equipment - IFA</t>
  </si>
  <si>
    <t>SF-1560</t>
  </si>
  <si>
    <t>Specification for Firefighting Equipment - AFC</t>
  </si>
  <si>
    <t>SF-1570</t>
  </si>
  <si>
    <t>Specification for Lifesaving Equipment and Safety Equipment - IFR</t>
  </si>
  <si>
    <t>SF-1580</t>
  </si>
  <si>
    <t>Specification for Lifesaving Equipment and Safety Equipment - AFC</t>
  </si>
  <si>
    <t>SF-1590</t>
  </si>
  <si>
    <t>Specification for Safety Signs - IFR</t>
  </si>
  <si>
    <t>SF-1600</t>
  </si>
  <si>
    <t>Specification for Safety Signs - AFC</t>
  </si>
  <si>
    <t>SF-1670</t>
  </si>
  <si>
    <t>Firefighting, Lifesaving Equipment and Safety Equipment List - IFR</t>
  </si>
  <si>
    <t>SF-1680</t>
  </si>
  <si>
    <t>Firefighting, Lifesaving Equipment and Safety Equipment List - IFA</t>
  </si>
  <si>
    <t>SF-1690</t>
  </si>
  <si>
    <t>Firefighting, Lifesaving Equipment and Safety Equipment List - AFC</t>
  </si>
  <si>
    <t>SF-1700</t>
  </si>
  <si>
    <t>Hazardous Equipment Schedule (Normal operations, SIMOPS) - IFR</t>
  </si>
  <si>
    <t>SF-1710</t>
  </si>
  <si>
    <t>Hazardous Equipment Schedule (Normal operations, SIMOPS) - IFA</t>
  </si>
  <si>
    <t>SF-1720</t>
  </si>
  <si>
    <t>Hazardous Equipment Schedule (Normal operations, SIMOPS) - AFC</t>
  </si>
  <si>
    <t>SF-1730</t>
  </si>
  <si>
    <t>Hazardous Area Classification Drawing (Normal operations) WP01 (10Sheets) - IFR</t>
  </si>
  <si>
    <t>SF-1740</t>
  </si>
  <si>
    <t>Hazardous Area Classification Drawing (Normal operations) WP01 (10Sheets) - IFA</t>
  </si>
  <si>
    <t>SF-1750</t>
  </si>
  <si>
    <t>Hazardous Area Classification Drawing (Normal operations) WP01 (10Sheets) - AFC</t>
  </si>
  <si>
    <t>SF-1760</t>
  </si>
  <si>
    <t>Hazardous Area Classification Drawing (SIMOPS) Index WP01 (10Sheets) - IFR</t>
  </si>
  <si>
    <t>SF-1770</t>
  </si>
  <si>
    <t>Hazardous Area Classification Drawing (SIMOPS) Index WP01 (10Sheets) - IFA</t>
  </si>
  <si>
    <t>SF-1780</t>
  </si>
  <si>
    <t>Hazardous Area Classification Drawing (SIMOPS) Index WP01 (10Sheets) - AFC</t>
  </si>
  <si>
    <t>SF-1790</t>
  </si>
  <si>
    <t>Hazardous Area Classification Drawing (Normal operations) WP02 (10Sheets) - IFR</t>
  </si>
  <si>
    <t>SF-1800</t>
  </si>
  <si>
    <t>Hazardous Area Classification Drawing (Normal operations) WP02 (10Sheets) - IFA</t>
  </si>
  <si>
    <t>SF-1810</t>
  </si>
  <si>
    <t>Hazardous Area Classification Drawing (Normal operations) WP02 (10Sheets) - AFC</t>
  </si>
  <si>
    <t>SF-1820</t>
  </si>
  <si>
    <t>Hazardous Area Classification Drawing (SIMOPS) Index WP02 (10Sheets) - IFR</t>
  </si>
  <si>
    <t>SF-1830</t>
  </si>
  <si>
    <t>Hazardous Area Classification Drawing (SIMOPS) Index WP02 (10Sheets) - IFA</t>
  </si>
  <si>
    <t>SF-1840</t>
  </si>
  <si>
    <t>Hazardous Area Classification Drawing (SIMOPS) Index WP02 (10Sheets) - AFC</t>
  </si>
  <si>
    <t>SF-1850</t>
  </si>
  <si>
    <t>Escape Routes,  Lifesaving Equipment &amp; Safety Equipment Layout Drawing WP01 (6 Sheets) - IFR</t>
  </si>
  <si>
    <t>SF-1860</t>
  </si>
  <si>
    <t>Escape Routes,  Lifesaving Equipment &amp; Safety Equipment Layout Drawing WP01 (6 Sheets) - IFA</t>
  </si>
  <si>
    <t>SF-1870</t>
  </si>
  <si>
    <t>Escape Routes,  Lifesaving Equipment &amp; Safety Equipment Layout Drawing WP01 (6 Sheets) - AFC</t>
  </si>
  <si>
    <t>SF-1880</t>
  </si>
  <si>
    <t>Escape Routes,  Lifesaving Equipment &amp; Safety Equipment Layout Drawing WP02 (6 Sheets) - IFR</t>
  </si>
  <si>
    <t>SF-1890</t>
  </si>
  <si>
    <t>Escape Routes,  Lifesaving Equipment &amp; Safety Equipment Layout Drawing WP02 (6 Sheets) - IFA</t>
  </si>
  <si>
    <t>SF-1900</t>
  </si>
  <si>
    <t>Escape Routes,  Lifesaving Equipment &amp; Safety Equipment Layout Drawing WP02 (6 Sheets) - AFC</t>
  </si>
  <si>
    <t>SF-1910</t>
  </si>
  <si>
    <t>Firefighting Equipment Layout Drawing WP01 (6 Sheets) - IFR</t>
  </si>
  <si>
    <t>SF-1920</t>
  </si>
  <si>
    <t>Firefighting Equipment Layout Drawing WP01 (6 Sheets) - IFA</t>
  </si>
  <si>
    <t>SF-1930</t>
  </si>
  <si>
    <t>Firefighting Equipment Layout Drawing WP01 (6 Sheets) - AFC</t>
  </si>
  <si>
    <t>SF-1940</t>
  </si>
  <si>
    <t>Firefighting Equipment Layout Drawing WP02 (6 Sheets) - IFR</t>
  </si>
  <si>
    <t>SF-1950</t>
  </si>
  <si>
    <t>Firefighting Equipment Layout Drawing WP02 (6 Sheets) - IFA</t>
  </si>
  <si>
    <t>SF-1960</t>
  </si>
  <si>
    <t>Firefighting Equipment Layout Drawing WP02 (6 Sheets) - AFC</t>
  </si>
  <si>
    <t>SF-1970</t>
  </si>
  <si>
    <t>Safety Signs Layout Drawing WP01 (6 Sheets) - IFR</t>
  </si>
  <si>
    <t>SF-1980</t>
  </si>
  <si>
    <t>Safety Signs Layout Drawing WP01 (6 Sheets) - IFA</t>
  </si>
  <si>
    <t>SF-1990</t>
  </si>
  <si>
    <t>Safety Signs Layout Drawing WP01 (6 Sheets) - AFC</t>
  </si>
  <si>
    <t>SF-2000</t>
  </si>
  <si>
    <t>Safety Signs Layout Drawing WP02 (6 Sheets) - IFR</t>
  </si>
  <si>
    <t>SF-2010</t>
  </si>
  <si>
    <t>Safety Signs Layout Drawing WP02 (6 Sheets) - IFA</t>
  </si>
  <si>
    <t>SF-2020</t>
  </si>
  <si>
    <t>Safety Signs Layout Drawing WP02 (6 Sheets) - AFC</t>
  </si>
  <si>
    <t>SF-2030</t>
  </si>
  <si>
    <t>Fire and Gas Detector Layout Drawing WP01 (6 Sheets) - IFR</t>
  </si>
  <si>
    <t>SF-2040</t>
  </si>
  <si>
    <t>Fire and Gas Detector Layout Drawing WP01 (6 Sheets) - IFA</t>
  </si>
  <si>
    <t>SF-2050</t>
  </si>
  <si>
    <t>Fire and Gas Detector Layout Drawing WP01 (6 Sheets) - AFC</t>
  </si>
  <si>
    <t>SF-2060</t>
  </si>
  <si>
    <t>Fire and Gas Detector Layout Drawing WP02 (6 Sheets) - IFR</t>
  </si>
  <si>
    <t>SF-2070</t>
  </si>
  <si>
    <t>Fire and Gas Detector Layout Drawing WP02 (6 Sheets) - IFA</t>
  </si>
  <si>
    <t>SF-2080</t>
  </si>
  <si>
    <t>Fire and Gas Detector Layout Drawing WP02 (6 Sheets) - AFC</t>
  </si>
  <si>
    <t>Datasheets-Safety</t>
  </si>
  <si>
    <t>SF-1610</t>
  </si>
  <si>
    <t>Datasheet for Firefighting Equipment - IFR</t>
  </si>
  <si>
    <t>SF-1620</t>
  </si>
  <si>
    <t>Datasheet for Firefighting Equipment - AFC</t>
  </si>
  <si>
    <t>SF-1630</t>
  </si>
  <si>
    <t>Datasheet for Lifesaving Equipment and Safety Equipment - IFR</t>
  </si>
  <si>
    <t>SF-1640</t>
  </si>
  <si>
    <t>Datasheet for Lifesaving Equipment and Safety Equipment - AFC</t>
  </si>
  <si>
    <t>SF-1650</t>
  </si>
  <si>
    <t>Datasheet for Safety Signs - IFR</t>
  </si>
  <si>
    <t>SF-1660</t>
  </si>
  <si>
    <t>Datasheet for Safety Signs - AFC</t>
  </si>
  <si>
    <t>MR-Safety</t>
  </si>
  <si>
    <t>SF-2090</t>
  </si>
  <si>
    <t>Material Requisition for Firefighting Equipment - IFR</t>
  </si>
  <si>
    <t>SF-2100</t>
  </si>
  <si>
    <t>Material Requisition for Firefighting Equipment - AFC</t>
  </si>
  <si>
    <t>SF-2110</t>
  </si>
  <si>
    <t>Material Requisition for Lifesaving Equipment and Safety Equipment - IFR</t>
  </si>
  <si>
    <t>SF-2120</t>
  </si>
  <si>
    <t>Material Requisition for Lifesaving Equipment and Safety Equipment - AFC</t>
  </si>
  <si>
    <t>SF-2130</t>
  </si>
  <si>
    <t>Material Requisition for Safety Signs - IFR</t>
  </si>
  <si>
    <t>SF-2140</t>
  </si>
  <si>
    <t>Material Requisition for Safety Signs - AFC</t>
  </si>
  <si>
    <t>TBE-Safety</t>
  </si>
  <si>
    <t>SF-2150</t>
  </si>
  <si>
    <t>Technical Bid Evaluation For Firefighting Equipment - IFR</t>
  </si>
  <si>
    <t>SF-2160</t>
  </si>
  <si>
    <t>Technical Bid Evaluation For Firefighting Equipment - IFA</t>
  </si>
  <si>
    <t>SF-2170</t>
  </si>
  <si>
    <t>Technical Bid Evaluation For Firefighting Equipment - AFC</t>
  </si>
  <si>
    <t>SF-2180</t>
  </si>
  <si>
    <t>Technical Bid Evaluation For Lifesaving Equipment and Safety Equipment - IFR</t>
  </si>
  <si>
    <t>SF-2190</t>
  </si>
  <si>
    <t>Technical Bid Evaluation For Lifesaving Equipment and Safety Equipment - IFA</t>
  </si>
  <si>
    <t>SF-2200</t>
  </si>
  <si>
    <t>Technical Bid Evaluation For Lifesaving Equipment and Safety Equipment - AFC</t>
  </si>
  <si>
    <t>SF-2210</t>
  </si>
  <si>
    <t>Technical Bid Evaluation For Safety Signs - IFR</t>
  </si>
  <si>
    <t>SF-2220</t>
  </si>
  <si>
    <t>Technical Bid Evaluation For Safety Signs - IFA</t>
  </si>
  <si>
    <t>SF-2230</t>
  </si>
  <si>
    <t>Technical Bid Evaluation For Safety Signs - AFC</t>
  </si>
  <si>
    <t>ME-1510_X_</t>
  </si>
  <si>
    <t>Mechanical Datasheet for Material Handling Equipment - IFR_X_</t>
  </si>
  <si>
    <t>ZM167 PTTEPI ASK Procurement Plan - Before Award</t>
  </si>
  <si>
    <t xml:space="preserve">    </t>
  </si>
  <si>
    <t>MR.No</t>
  </si>
  <si>
    <t>PO NO.</t>
  </si>
  <si>
    <t>MR Issued</t>
  </si>
  <si>
    <t>Bidding Duration</t>
  </si>
  <si>
    <t>Delivery Date</t>
  </si>
  <si>
    <t>Lead Time
(Days)</t>
  </si>
  <si>
    <t>Earlier ROS date</t>
  </si>
  <si>
    <t>Float (Day)</t>
  </si>
  <si>
    <t>Final&amp;Best Proposal Submission</t>
  </si>
  <si>
    <t>TJE CBE approval (LOI Issue)</t>
  </si>
  <si>
    <t>MRP</t>
  </si>
  <si>
    <t>Transportation time</t>
  </si>
  <si>
    <t>RFQ-001</t>
  </si>
  <si>
    <t>RFQ-002</t>
  </si>
  <si>
    <t>RFQ-003</t>
  </si>
  <si>
    <t>RFQ-004</t>
  </si>
  <si>
    <t>RFQ-005</t>
  </si>
  <si>
    <t>Pig Launcher and Receiver</t>
  </si>
  <si>
    <t>RFQ-006</t>
  </si>
  <si>
    <t>Corrosion Inhibitor Injection Pump</t>
  </si>
  <si>
    <t>RFQ-007</t>
  </si>
  <si>
    <t>Demulsifier/Water Clarifier Injection Pump</t>
  </si>
  <si>
    <t>RFQ-008</t>
  </si>
  <si>
    <t xml:space="preserve">  </t>
  </si>
  <si>
    <t>RFQ-009</t>
  </si>
  <si>
    <t>RFQ-010</t>
  </si>
  <si>
    <t>RFQ-011</t>
  </si>
  <si>
    <t>RFQ-012</t>
  </si>
  <si>
    <t>RFQ-013</t>
  </si>
  <si>
    <t>RFQ-014</t>
  </si>
  <si>
    <t>RFQ-015</t>
  </si>
  <si>
    <t>RFQ-016</t>
  </si>
  <si>
    <t>RFQ-017</t>
  </si>
  <si>
    <t>DC Distribution Board</t>
  </si>
  <si>
    <t>RFQ-018</t>
  </si>
  <si>
    <t>RFQ-019</t>
  </si>
  <si>
    <t>RFQ-020</t>
  </si>
  <si>
    <t>RFQ-021</t>
  </si>
  <si>
    <t>RFQ-022</t>
  </si>
  <si>
    <t>RFQ-023</t>
  </si>
  <si>
    <t>RFQ-024</t>
  </si>
  <si>
    <t>RFQ-025</t>
  </si>
  <si>
    <t>RFQ-026</t>
  </si>
  <si>
    <t>RFQ-027</t>
  </si>
  <si>
    <t>RFQ-028</t>
  </si>
  <si>
    <t>RFQ-029</t>
  </si>
  <si>
    <t>RFQ-030</t>
  </si>
  <si>
    <t>RFQ-031</t>
  </si>
  <si>
    <t>RFQ-032</t>
  </si>
  <si>
    <t>RFQ-033</t>
  </si>
  <si>
    <t>RFQ-034</t>
  </si>
  <si>
    <t>RFQ-035</t>
  </si>
  <si>
    <t>RFQ-036</t>
  </si>
  <si>
    <t>RFQ-037</t>
  </si>
  <si>
    <t>RFQ-038</t>
  </si>
  <si>
    <t>RFQ-039</t>
  </si>
  <si>
    <t>RFQ-040</t>
  </si>
  <si>
    <t>RFQ-041</t>
  </si>
  <si>
    <t>RFQ-042</t>
  </si>
  <si>
    <t>RFQ-043</t>
  </si>
  <si>
    <t>RFQ-044</t>
  </si>
  <si>
    <t>RFQ-045</t>
  </si>
  <si>
    <t>RFQ-046</t>
  </si>
  <si>
    <t>Telecommunication System (WiMAX, Telephone, Marine Radio)</t>
  </si>
  <si>
    <t>RFQ-047</t>
  </si>
  <si>
    <t>RFQ-048</t>
  </si>
  <si>
    <t>RFQ-049</t>
  </si>
  <si>
    <t>RFQ-050</t>
  </si>
  <si>
    <t>RFQ-051</t>
  </si>
  <si>
    <t>RFQ-052</t>
  </si>
  <si>
    <t>RFQ-053</t>
  </si>
  <si>
    <t>Primary Steel - Plate</t>
  </si>
  <si>
    <t>Primary Steel -  Joint Connection for Topside</t>
  </si>
  <si>
    <t>Primary Steel - Beam for topside (Standard)</t>
  </si>
  <si>
    <t>Primary Steel - Beam</t>
  </si>
  <si>
    <t>Primary Steel - Beam for topside (non-standard)</t>
  </si>
  <si>
    <t>Primary Steel - Seamless Pipe for topside</t>
  </si>
  <si>
    <t>Primary Steel - Seamless Pipe</t>
  </si>
  <si>
    <t xml:space="preserve">Primary Steel -Beam for jacket </t>
  </si>
  <si>
    <t>Primary Steel -Tubular for jacket (column)</t>
  </si>
  <si>
    <t>SPECIAL PIPE SUPPORT</t>
  </si>
  <si>
    <t>ZM167 PTTEPI ASK Procurement Status Report (PSR) - After Award</t>
  </si>
  <si>
    <t>Most complexity RFQ</t>
  </si>
  <si>
    <t>date</t>
  </si>
  <si>
    <t xml:space="preserve"> - Forecast later than Plan</t>
  </si>
  <si>
    <t>High complexity RFQ</t>
  </si>
  <si>
    <t xml:space="preserve"> - Two weeks forecasted activities</t>
  </si>
  <si>
    <t>Normal complexity  RFQ</t>
  </si>
  <si>
    <t xml:space="preserve"> - Overdue activities</t>
  </si>
  <si>
    <t>Low complexity  RFQ</t>
  </si>
  <si>
    <t>PIC</t>
  </si>
  <si>
    <t>DIS</t>
  </si>
  <si>
    <t>LLI</t>
  </si>
  <si>
    <t>Vendors</t>
  </si>
  <si>
    <t xml:space="preserve">Description </t>
  </si>
  <si>
    <t xml:space="preserve">MRQ No.  </t>
  </si>
  <si>
    <t>weight</t>
  </si>
  <si>
    <t>P/F/A</t>
  </si>
  <si>
    <t>VDR Submission</t>
  </si>
  <si>
    <t>Approval of Final Documentation</t>
  </si>
  <si>
    <t>Delivery Condition</t>
  </si>
  <si>
    <t>ETA Date</t>
  </si>
  <si>
    <t>ROS date (input)</t>
  </si>
  <si>
    <t>Improved time for ROS date</t>
  </si>
  <si>
    <t xml:space="preserve">PO No.  </t>
  </si>
  <si>
    <t>Awarded Supplier</t>
  </si>
  <si>
    <t>Y/N</t>
  </si>
  <si>
    <t>TJE QA/QC</t>
  </si>
  <si>
    <t>PTTEPI</t>
  </si>
  <si>
    <t>TJE PRC</t>
  </si>
  <si>
    <t>Bidder</t>
  </si>
  <si>
    <t>TJE ENG</t>
  </si>
  <si>
    <t>Vendor</t>
  </si>
  <si>
    <t>Progress</t>
  </si>
  <si>
    <t>Use FEED deliverables</t>
  </si>
  <si>
    <t>TBA</t>
  </si>
  <si>
    <t>MEC</t>
  </si>
  <si>
    <t>FAVELLE FAVCO
OIL STATES
SCM</t>
  </si>
  <si>
    <t>P</t>
  </si>
  <si>
    <t>DDP ZHJT Yard</t>
  </si>
  <si>
    <t>F</t>
  </si>
  <si>
    <t>A</t>
  </si>
  <si>
    <t>Yale
Excellift
Crosby
KITO</t>
  </si>
  <si>
    <t>AVL Approval for ZHJT Yard and lead time is TBC</t>
  </si>
  <si>
    <t xml:space="preserve"> Pall
Crest
ZHJT</t>
  </si>
  <si>
    <t>AVL Approval for ZHJT Yard to reduce by 2 months
To study installation sequence</t>
  </si>
  <si>
    <t>AMC
ALPHA ECC 
Zhuhai Jutal</t>
  </si>
  <si>
    <t>PIP</t>
  </si>
  <si>
    <t xml:space="preserve">AMC
ALPHA ECC 
APPLIED ENGINEERING
Zhuhai Jutal
</t>
  </si>
  <si>
    <t>AVL Approval for WASCO and lead time is 28 weeks 
Early issuance of Datasheet</t>
  </si>
  <si>
    <r>
      <rPr>
        <sz val="9"/>
        <rFont val="Arial Narrow"/>
        <charset val="134"/>
      </rPr>
      <t xml:space="preserve">WILLIAM (under MILTON ROY) </t>
    </r>
    <r>
      <rPr>
        <sz val="9"/>
        <rFont val="微软雅黑"/>
        <charset val="134"/>
      </rPr>
      <t>（</t>
    </r>
    <r>
      <rPr>
        <sz val="9"/>
        <rFont val="Arial Narrow"/>
        <charset val="134"/>
      </rPr>
      <t xml:space="preserve">Packager: Multiphase)
WILLIAM (under MILTON ROY) </t>
    </r>
    <r>
      <rPr>
        <sz val="9"/>
        <rFont val="微软雅黑"/>
        <charset val="134"/>
      </rPr>
      <t>（</t>
    </r>
    <r>
      <rPr>
        <sz val="9"/>
        <rFont val="Arial Narrow"/>
        <charset val="134"/>
      </rPr>
      <t>Packager: Ashburn International Trade (Tianjin) Co., Ltd)
TEXSTEAM (under Dresser)</t>
    </r>
  </si>
  <si>
    <t>Mitigation required, ZJHT approval required to reduce the lead time by 40 days
To study installation sequence</t>
  </si>
  <si>
    <t>Sulzer
Zhuhai Jutal  (FMC internal)
Burgess Manning (under CECO)
ALPHA ECC   (FMC internal)</t>
  </si>
  <si>
    <t>Mitigation requied, ZJHT approval required to reduce the lead time by 40 days
To study installation sequence</t>
  </si>
  <si>
    <t>Mitigation requied, ZJHT approval required to reduce the lead time by 2 months
To study installation sequence</t>
  </si>
  <si>
    <t>Mitigation requied, ZJHT approval required to reduce the lead time by 1 months</t>
  </si>
  <si>
    <t>Diesel Storage Tote Tank</t>
  </si>
  <si>
    <t>Corrosion Inhibitor Storage Tank</t>
  </si>
  <si>
    <t>AVL approval for WASCO (20 weeks lead time)
To study installation sequence</t>
  </si>
  <si>
    <t>Mc FARLAND
HASKEL (Package: Ashburn International Trade (Tianjin) Co., Ltd)</t>
  </si>
  <si>
    <r>
      <rPr>
        <sz val="9"/>
        <rFont val="Arial Narrow"/>
        <charset val="134"/>
      </rPr>
      <t xml:space="preserve">WILDEN  </t>
    </r>
    <r>
      <rPr>
        <sz val="9"/>
        <rFont val="微软雅黑"/>
        <charset val="134"/>
      </rPr>
      <t>（</t>
    </r>
    <r>
      <rPr>
        <sz val="9"/>
        <rFont val="Arial"/>
        <charset val="134"/>
      </rPr>
      <t>C/O Multiphase)
ARO (Under INGERSOLL RAND</t>
    </r>
    <r>
      <rPr>
        <sz val="9"/>
        <rFont val="微软雅黑"/>
        <charset val="134"/>
      </rPr>
      <t>）</t>
    </r>
    <r>
      <rPr>
        <sz val="9"/>
        <rFont val="Arial"/>
        <charset val="134"/>
      </rPr>
      <t>(C/O Shanghai Shuyi Machine Engineering &amp; Equipment Co.,Ltd</t>
    </r>
    <r>
      <rPr>
        <sz val="9"/>
        <rFont val="微软雅黑"/>
        <charset val="134"/>
      </rPr>
      <t>）</t>
    </r>
    <r>
      <rPr>
        <sz val="9"/>
        <rFont val="Arial"/>
        <charset val="134"/>
      </rPr>
      <t xml:space="preserve">
SANDPIPER (C/O SHANGHAI YIZHI FLOW CONTROL EQUIPMENT CO., LTD )</t>
    </r>
  </si>
  <si>
    <r>
      <rPr>
        <sz val="9"/>
        <rFont val="Arial Narrow"/>
        <charset val="134"/>
      </rPr>
      <t>ARO (Under INGERSOLL RAND</t>
    </r>
    <r>
      <rPr>
        <sz val="9"/>
        <rFont val="微软雅黑"/>
        <charset val="134"/>
      </rPr>
      <t>）</t>
    </r>
    <r>
      <rPr>
        <sz val="9"/>
        <rFont val="Arial"/>
        <charset val="134"/>
      </rPr>
      <t>(C/O Shanghai Shuyi Machine Engineering &amp; Equipment Co.,Ltd</t>
    </r>
    <r>
      <rPr>
        <sz val="9"/>
        <rFont val="微软雅黑"/>
        <charset val="134"/>
      </rPr>
      <t>）</t>
    </r>
    <r>
      <rPr>
        <sz val="9"/>
        <rFont val="Arial"/>
        <charset val="134"/>
      </rPr>
      <t xml:space="preserve">
SANDPIPER (C/O SHANGHAI YIZHI FLOW CONTROL EQUIPMENT CO., LTD )</t>
    </r>
  </si>
  <si>
    <t>ELE</t>
  </si>
  <si>
    <t>STAHL
Swift Energy
Beijing Talented Electrical Sets Co., Ltd.
Anhui Schutten Solar Energy Co.,ltd
Semitech Control &amp; Engineering PTE Ltd</t>
  </si>
  <si>
    <t>PVL approval for Beijing Talented / Warom to reduce the lead time (60 days)
To study installation sequence</t>
  </si>
  <si>
    <t>Swift Energy
Beijing Talented Electrical Sets Co., Ltd.
Anhui Schutten Solar Energy Co.,ltd
Semitech Control &amp; Engineering PTE Ltd
MDS (Orga)</t>
  </si>
  <si>
    <t>Swift Energy
MDS (Orga)</t>
  </si>
  <si>
    <t>INS</t>
  </si>
  <si>
    <t>FISHER
CCI
FLOWSERVE</t>
  </si>
  <si>
    <t>CCI
CAMERON(SLB)
MASTER FLO
MOKVELD</t>
  </si>
  <si>
    <t>COMBET
Flowserve</t>
  </si>
  <si>
    <t>TechnipFMC
COMBET
Flowserve</t>
  </si>
  <si>
    <t>CROSBY 
DRESSER / CONSOLIDATED
IMI
FARRIS</t>
  </si>
  <si>
    <t>Yokogawa
MICRO MOTIONS (EMERSON)</t>
  </si>
  <si>
    <t>MitigationTBC 
Consider FEED Doc.</t>
  </si>
  <si>
    <t>wilmax
FST
IVS
Matorly</t>
  </si>
  <si>
    <t>ASHCROFT 
BOUDON HASEM
WIKA</t>
  </si>
  <si>
    <t xml:space="preserve">Yokogawa
EMERSON
E+H </t>
  </si>
  <si>
    <t>ASCHROFT
WIKA
EMERSON</t>
  </si>
  <si>
    <t>EMERSON
YOKOGAWA
HONEYWELL</t>
  </si>
  <si>
    <t>Yokogawa
EMERSON</t>
  </si>
  <si>
    <t>Magnetrol
WIKA</t>
  </si>
  <si>
    <t xml:space="preserve">EMERSON
Shenyang Yongye
T.D. Williamson </t>
  </si>
  <si>
    <t>EMERSON
WIKA</t>
  </si>
  <si>
    <t>Rockwell China
Rockwell Thailand</t>
  </si>
  <si>
    <t>Draeger
Honeywell</t>
  </si>
  <si>
    <t>MAC 
Yokogawa</t>
  </si>
  <si>
    <t>TOPWORX-GO SWITCH
WESTLOCK (MAGNUM SERIES)</t>
  </si>
  <si>
    <t>VEGA
Krohne
EMERSON</t>
  </si>
  <si>
    <t>E+H 
EMERSON</t>
  </si>
  <si>
    <t>MAGNETROL
EMERSON
VEGA</t>
  </si>
  <si>
    <t xml:space="preserve"> E+H 
VEGA</t>
  </si>
  <si>
    <t>Excel
OMEGA
Fusion</t>
  </si>
  <si>
    <t>MDS</t>
  </si>
  <si>
    <t>YDF
Neway
VALVITALIA</t>
  </si>
  <si>
    <t xml:space="preserve">Place Order 70% preliminary FEED MTO
</t>
  </si>
  <si>
    <t>STR</t>
  </si>
  <si>
    <t>RFQ-054</t>
  </si>
  <si>
    <t>Primary Steel - Seamless</t>
  </si>
  <si>
    <t>Primary Steel - Welding</t>
  </si>
  <si>
    <t>TBC with Yard</t>
  </si>
  <si>
    <t>JUNCTION BOX AND RECEPTACLES</t>
  </si>
  <si>
    <t>CABLE GLAND</t>
  </si>
  <si>
    <t>ELECTRICAL CABLE LADDER / TRAY</t>
  </si>
  <si>
    <t>EARTHING SYSTEM</t>
  </si>
  <si>
    <t>MULTI-CABLE TRANSIT (MCT)</t>
  </si>
  <si>
    <t>ELECTRICAL CABLE</t>
  </si>
  <si>
    <t>NAVIGATIONAL AIDS LANTERN AND FOG HORN</t>
  </si>
  <si>
    <t>FLASHING BEACON AND WARNING SIREN</t>
  </si>
  <si>
    <t>PRESERVATION AND SEA-FASTENING MATERIAL</t>
  </si>
  <si>
    <t>PIPING SURPPORT</t>
  </si>
  <si>
    <t>Strainer</t>
  </si>
  <si>
    <t>BOLT &amp; NUTS</t>
  </si>
  <si>
    <t>CS FITTING</t>
  </si>
  <si>
    <t>SS &amp; DSS FITTING</t>
  </si>
  <si>
    <t>Welding Electrode</t>
  </si>
  <si>
    <t>Cable Ladder/Tray-GRP</t>
  </si>
  <si>
    <t xml:space="preserve">Flameproof Enclosure (Ex'd)            </t>
  </si>
  <si>
    <t>Pushbutton</t>
  </si>
  <si>
    <t>INT</t>
  </si>
  <si>
    <t>ESD Button / Station</t>
  </si>
  <si>
    <t>Tube Clamp (Anti Corrosion Type)</t>
  </si>
  <si>
    <t>TUBE</t>
  </si>
  <si>
    <t>Instrument Cable Glands</t>
  </si>
  <si>
    <t>Instrument cables</t>
  </si>
  <si>
    <t>AC Distribution Pane</t>
  </si>
  <si>
    <t>CS FLANGES</t>
  </si>
  <si>
    <t>DSS &amp; SS FLANGES</t>
  </si>
  <si>
    <t>GASKETS</t>
  </si>
  <si>
    <t>SEAMLESS CS PIPE</t>
  </si>
  <si>
    <t>SEAMLESS SS &amp; DSS STEEL</t>
  </si>
  <si>
    <t>CLAMP Type Connectors</t>
  </si>
  <si>
    <t>Painting</t>
  </si>
  <si>
    <t>Fire fighting</t>
  </si>
  <si>
    <t>Life saving</t>
  </si>
  <si>
    <t>Jacket Anode</t>
  </si>
  <si>
    <t>Steel Grating</t>
  </si>
  <si>
    <t>MIS</t>
  </si>
  <si>
    <t>`</t>
  </si>
  <si>
    <t>Date</t>
  </si>
  <si>
    <t>Holiday Name</t>
  </si>
  <si>
    <t>Father's Day</t>
  </si>
  <si>
    <t>Constitution Day</t>
  </si>
  <si>
    <t>New Year's Day</t>
  </si>
  <si>
    <t>The Buddha Day</t>
  </si>
  <si>
    <t>Kutkuri Dynasty Memorial Day</t>
  </si>
  <si>
    <t>Songkran Festival</t>
  </si>
  <si>
    <t>International Workers' Day</t>
  </si>
  <si>
    <t xml:space="preserve">The anniversary of the King's accession to the throne </t>
  </si>
  <si>
    <t>Mother's Day</t>
  </si>
  <si>
    <t>The anniversary of the death of the 9th King</t>
  </si>
  <si>
    <t>The anniversary of the death of the 5th King Father's Day</t>
  </si>
  <si>
    <t>佛历节日，日期为预测</t>
  </si>
  <si>
    <t>Vesak Festival</t>
  </si>
  <si>
    <t>The Birthday Anniversary of the Queen</t>
  </si>
  <si>
    <r>
      <rPr>
        <sz val="11.5"/>
        <color rgb="FF0F1115"/>
        <rFont val="宋体"/>
        <charset val="134"/>
      </rPr>
      <t>母亲节</t>
    </r>
  </si>
  <si>
    <r>
      <rPr>
        <sz val="11.5"/>
        <color rgb="FF0F1115"/>
        <rFont val="宋体"/>
        <charset val="134"/>
      </rPr>
      <t>九世王逝世纪念日</t>
    </r>
  </si>
  <si>
    <r>
      <rPr>
        <sz val="11.5"/>
        <color rgb="FF0F1115"/>
        <rFont val="宋体"/>
        <charset val="134"/>
      </rPr>
      <t>五世王逝世纪念日</t>
    </r>
  </si>
  <si>
    <r>
      <rPr>
        <sz val="11.5"/>
        <color rgb="FF0F1115"/>
        <rFont val="宋体"/>
        <charset val="134"/>
      </rPr>
      <t>父亲节</t>
    </r>
  </si>
  <si>
    <r>
      <rPr>
        <sz val="11.5"/>
        <color rgb="FF0F1115"/>
        <rFont val="宋体"/>
        <charset val="134"/>
      </rPr>
      <t>宪法纪念日</t>
    </r>
  </si>
  <si>
    <r>
      <rPr>
        <sz val="11.5"/>
        <color rgb="FF0F1115"/>
        <rFont val="宋体"/>
        <charset val="134"/>
      </rPr>
      <t>新年前夜</t>
    </r>
  </si>
  <si>
    <r>
      <rPr>
        <sz val="11.5"/>
        <color rgb="FF0F1115"/>
        <rFont val="宋体"/>
        <charset val="134"/>
      </rPr>
      <t>新年元旦</t>
    </r>
  </si>
  <si>
    <r>
      <rPr>
        <sz val="11.5"/>
        <color rgb="FF0F1115"/>
        <rFont val="宋体"/>
        <charset val="134"/>
      </rPr>
      <t>万佛节</t>
    </r>
  </si>
  <si>
    <r>
      <rPr>
        <sz val="11.5"/>
        <color rgb="FF0F1115"/>
        <rFont val="宋体"/>
        <charset val="134"/>
      </rPr>
      <t>却克里王朝纪念日</t>
    </r>
  </si>
  <si>
    <r>
      <rPr>
        <sz val="11.5"/>
        <color rgb="FF0F1115"/>
        <rFont val="宋体"/>
        <charset val="134"/>
      </rPr>
      <t>宋干节</t>
    </r>
  </si>
  <si>
    <r>
      <rPr>
        <sz val="11.5"/>
        <color rgb="FF0F1115"/>
        <rFont val="宋体"/>
        <charset val="134"/>
      </rPr>
      <t>劳动节</t>
    </r>
  </si>
  <si>
    <r>
      <rPr>
        <sz val="11.5"/>
        <color rgb="FF0F1115"/>
        <rFont val="宋体"/>
        <charset val="134"/>
      </rPr>
      <t>泰王登基纪念日</t>
    </r>
  </si>
  <si>
    <r>
      <rPr>
        <sz val="11.5"/>
        <color rgb="FF0F1115"/>
        <rFont val="宋体"/>
        <charset val="134"/>
      </rPr>
      <t>卫塞节</t>
    </r>
  </si>
  <si>
    <r>
      <rPr>
        <sz val="11.5"/>
        <color rgb="FF0F1115"/>
        <rFont val="宋体"/>
        <charset val="134"/>
      </rPr>
      <t>王后诞辰纪念日</t>
    </r>
  </si>
  <si>
    <r>
      <rPr>
        <sz val="11.5"/>
        <color rgb="FF0F1115"/>
        <rFont val="宋体"/>
        <charset val="134"/>
      </rPr>
      <t>守夏节</t>
    </r>
  </si>
  <si>
    <r>
      <rPr>
        <sz val="11.25"/>
        <color rgb="FF0F1115"/>
        <rFont val="Segoe UI"/>
        <charset val="134"/>
      </rPr>
      <t xml:space="preserve">Spring Festival
</t>
    </r>
    <r>
      <rPr>
        <sz val="11.25"/>
        <color rgb="FF0F1115"/>
        <rFont val="微软雅黑"/>
        <charset val="134"/>
      </rPr>
      <t>元旦</t>
    </r>
    <r>
      <rPr>
        <sz val="11.25"/>
        <color rgb="FF0F1115"/>
        <rFont val="Segoe UI"/>
        <charset val="134"/>
      </rPr>
      <t xml:space="preserve">
</t>
    </r>
    <r>
      <rPr>
        <sz val="11.25"/>
        <color rgb="FF0F1115"/>
        <rFont val="微软雅黑"/>
        <charset val="134"/>
      </rPr>
      <t>元旦</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端午节</t>
    </r>
    <r>
      <rPr>
        <sz val="11.25"/>
        <color rgb="FF0F1115"/>
        <rFont val="Segoe UI"/>
        <charset val="134"/>
      </rPr>
      <t xml:space="preserve">
</t>
    </r>
    <r>
      <rPr>
        <sz val="11.25"/>
        <color rgb="FF0F1115"/>
        <rFont val="微软雅黑"/>
        <charset val="134"/>
      </rPr>
      <t>端午节</t>
    </r>
    <r>
      <rPr>
        <sz val="11.25"/>
        <color rgb="FF0F1115"/>
        <rFont val="Segoe UI"/>
        <charset val="134"/>
      </rPr>
      <t xml:space="preserve">
</t>
    </r>
    <r>
      <rPr>
        <sz val="11.25"/>
        <color rgb="FF0F1115"/>
        <rFont val="微软雅黑"/>
        <charset val="134"/>
      </rPr>
      <t>端午节</t>
    </r>
  </si>
  <si>
    <t>Qingming Festival</t>
  </si>
  <si>
    <t>Dragon Boat Festival</t>
  </si>
  <si>
    <t>National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</si>
</sst>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87" formatCode="yyyy/m/d;@"/>
    <numFmt numFmtId="188" formatCode="yy\.mm\.dd"/>
    <numFmt numFmtId="189" formatCode="0_);[Red]\(0\)"/>
    <numFmt numFmtId="190" formatCode="0.0%"/>
    <numFmt numFmtId="191" formatCode="0.000%"/>
    <numFmt numFmtId="192" formatCode="yy/m/d;@"/>
    <numFmt numFmtId="193" formatCode="yyyy/mm/dd;@"/>
    <numFmt numFmtId="194" formatCode="[$-409]d\-mmm\-yy;@"/>
    <numFmt numFmtId="195" formatCode="0.00_ "/>
    <numFmt numFmtId="196" formatCode="[$-409]dd\-mmm\-yy;@"/>
    <numFmt numFmtId="197" formatCode="0.00_);[Red]\(0.00\)"/>
  </numFmts>
  <fonts count="59">
    <font>
      <sz val="11"/>
      <color theme="1"/>
      <name val="Tahoma"/>
      <charset val="134"/>
      <scheme val="minor"/>
    </font>
    <font>
      <sz val="10"/>
      <color rgb="FF000000"/>
      <name val="Arial"/>
      <charset val="134"/>
    </font>
    <font>
      <sz val="10"/>
      <name val="Arial"/>
      <charset val="134"/>
    </font>
    <font>
      <sz val="10"/>
      <color rgb="FF000000"/>
      <name val="Times New Roman"/>
      <charset val="134"/>
    </font>
    <font>
      <sz val="11.25"/>
      <color rgb="FF0F1115"/>
      <name val="Segoe UI"/>
      <charset val="134"/>
    </font>
    <font>
      <sz val="11.25"/>
      <color rgb="FF0F1115"/>
      <name val="微软雅黑"/>
      <charset val="134"/>
    </font>
    <font>
      <sz val="11.25"/>
      <color rgb="FF0F1115"/>
      <name val="Arial"/>
      <charset val="134"/>
    </font>
    <font>
      <sz val="11.5"/>
      <color rgb="FF0F1115"/>
      <name val="Arial"/>
      <charset val="134"/>
    </font>
    <font>
      <sz val="11.5"/>
      <color rgb="FF0F1115"/>
      <name val="宋体"/>
      <charset val="134"/>
    </font>
    <font>
      <b/>
      <sz val="16"/>
      <name val="Times New Roman"/>
      <charset val="134"/>
    </font>
    <font>
      <b/>
      <sz val="10"/>
      <name val="Times New Roman"/>
      <charset val="134"/>
    </font>
    <font>
      <b/>
      <sz val="8"/>
      <name val="Times New Roman"/>
      <charset val="134"/>
    </font>
    <font>
      <sz val="10"/>
      <name val="Times New Roman"/>
      <charset val="134"/>
    </font>
    <font>
      <sz val="14"/>
      <name val="宋体"/>
      <charset val="134"/>
    </font>
    <font>
      <sz val="12"/>
      <name val="Arial"/>
      <charset val="134"/>
    </font>
    <font>
      <sz val="9"/>
      <name val="Arial"/>
      <charset val="134"/>
    </font>
    <font>
      <sz val="12"/>
      <name val="Times New Roman"/>
      <charset val="134"/>
    </font>
    <font>
      <b/>
      <sz val="12"/>
      <name val="Arial"/>
      <charset val="134"/>
    </font>
    <font>
      <b/>
      <sz val="20"/>
      <name val="Arial"/>
      <charset val="134"/>
    </font>
    <font>
      <sz val="20"/>
      <name val="Arial"/>
      <charset val="134"/>
    </font>
    <font>
      <b/>
      <u/>
      <sz val="10"/>
      <name val="Times New Roman"/>
      <charset val="134"/>
    </font>
    <font>
      <u/>
      <sz val="10"/>
      <name val="Times New Roman"/>
      <charset val="134"/>
    </font>
    <font>
      <b/>
      <sz val="9"/>
      <name val="Arial"/>
      <charset val="134"/>
    </font>
    <font>
      <sz val="8"/>
      <name val="Arial"/>
      <charset val="134"/>
    </font>
    <font>
      <b/>
      <sz val="8"/>
      <name val="Arial"/>
      <charset val="134"/>
    </font>
    <font>
      <sz val="10"/>
      <name val="Arial Narrow"/>
      <charset val="134"/>
    </font>
    <font>
      <sz val="9"/>
      <name val="Arial Narrow"/>
      <charset val="134"/>
    </font>
    <font>
      <sz val="9"/>
      <color rgb="FFFF0000"/>
      <name val="Arial"/>
      <charset val="134"/>
    </font>
    <font>
      <u/>
      <sz val="9"/>
      <name val="Arial"/>
      <charset val="134"/>
    </font>
    <font>
      <sz val="9"/>
      <color indexed="8"/>
      <name val="Arial"/>
      <charset val="134"/>
    </font>
    <font>
      <sz val="10"/>
      <color rgb="FFFF0000"/>
      <name val="Times New Roman"/>
      <charset val="134"/>
    </font>
    <font>
      <b/>
      <sz val="11"/>
      <color theme="1"/>
      <name val="Tahoma"/>
      <charset val="134"/>
      <scheme val="minor"/>
    </font>
    <font>
      <b/>
      <sz val="11"/>
      <name val="Tahoma"/>
      <charset val="134"/>
      <scheme val="minor"/>
    </font>
    <font>
      <sz val="11"/>
      <name val="Tahoma"/>
      <charset val="134"/>
      <scheme val="minor"/>
    </font>
    <font>
      <sz val="11"/>
      <color rgb="FFFF0000"/>
      <name val="Tahoma"/>
      <charset val="134"/>
      <scheme val="minor"/>
    </font>
    <font>
      <sz val="10"/>
      <color rgb="FFFF0000"/>
      <name val="Arial Narrow"/>
      <charset val="134"/>
    </font>
    <font>
      <sz val="11"/>
      <name val="Arial"/>
      <charset val="134"/>
    </font>
    <font>
      <strike/>
      <sz val="10"/>
      <name val="Arial"/>
      <charset val="134"/>
    </font>
    <font>
      <sz val="10"/>
      <color rgb="FFFF0000"/>
      <name val="Arial"/>
      <charset val="134"/>
    </font>
    <font>
      <strike/>
      <sz val="11"/>
      <name val="Arial"/>
      <charset val="134"/>
    </font>
    <font>
      <sz val="11"/>
      <color theme="1"/>
      <name val="Arial"/>
      <charset val="134"/>
    </font>
    <font>
      <sz val="11"/>
      <color rgb="FFFF0000"/>
      <name val="Arial"/>
      <charset val="134"/>
    </font>
    <font>
      <b/>
      <sz val="11"/>
      <color theme="1"/>
      <name val="Arial"/>
      <charset val="134"/>
    </font>
    <font>
      <b/>
      <sz val="12"/>
      <color theme="1"/>
      <name val="Arial"/>
      <charset val="134"/>
    </font>
    <font>
      <b/>
      <sz val="16"/>
      <name val="Arial"/>
      <charset val="134"/>
    </font>
    <font>
      <b/>
      <sz val="11"/>
      <name val="Arial"/>
      <charset val="134"/>
    </font>
    <font>
      <b/>
      <sz val="11"/>
      <color rgb="FF000000"/>
      <name val="Arial"/>
      <charset val="134"/>
    </font>
    <font>
      <sz val="11"/>
      <color rgb="FF000000"/>
      <name val="Arial"/>
      <charset val="134"/>
    </font>
    <font>
      <b/>
      <sz val="10"/>
      <name val="Arial"/>
      <charset val="134"/>
    </font>
    <font>
      <b/>
      <sz val="10"/>
      <color rgb="FFFF0000"/>
      <name val="Arial"/>
      <charset val="134"/>
    </font>
    <font>
      <b/>
      <sz val="10"/>
      <color rgb="FF00B050"/>
      <name val="Arial"/>
      <charset val="134"/>
    </font>
    <font>
      <b/>
      <strike/>
      <sz val="10"/>
      <name val="Arial"/>
      <charset val="134"/>
    </font>
    <font>
      <strike/>
      <sz val="10"/>
      <color rgb="FF000000"/>
      <name val="Arial"/>
      <charset val="134"/>
    </font>
    <font>
      <sz val="10"/>
      <color rgb="FFED7D31"/>
      <name val="Arial"/>
      <charset val="134"/>
    </font>
    <font>
      <u/>
      <sz val="14.4"/>
      <color indexed="12"/>
      <name val="Arial"/>
      <charset val="134"/>
    </font>
    <font>
      <sz val="9"/>
      <name val="微软雅黑"/>
      <charset val="134"/>
    </font>
    <font>
      <sz val="9"/>
      <name val="SimSun"/>
      <charset val="134"/>
    </font>
    <font>
      <b/>
      <sz val="9"/>
      <name val="SimSun"/>
      <charset val="134"/>
    </font>
    <font>
      <sz val="11"/>
      <color theme="1"/>
      <name val="Tahoma"/>
      <charset val="134"/>
      <scheme val="minor"/>
    </font>
  </fonts>
  <fills count="24">
    <fill>
      <patternFill patternType="none"/>
    </fill>
    <fill>
      <patternFill patternType="gray125"/>
    </fill>
    <fill>
      <patternFill patternType="solid">
        <fgColor rgb="FFFFFFFF"/>
        <bgColor rgb="FF000000"/>
      </patternFill>
    </fill>
    <fill>
      <patternFill patternType="solid">
        <fgColor indexed="9"/>
        <bgColor indexed="64"/>
      </patternFill>
    </fill>
    <fill>
      <patternFill patternType="solid">
        <fgColor theme="4" tint="0.79985961485641044"/>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0000"/>
        <bgColor indexed="64"/>
      </patternFill>
    </fill>
    <fill>
      <patternFill patternType="solid">
        <fgColor indexed="41"/>
        <bgColor indexed="64"/>
      </patternFill>
    </fill>
    <fill>
      <patternFill patternType="solid">
        <fgColor indexed="42"/>
        <bgColor indexed="64"/>
      </patternFill>
    </fill>
    <fill>
      <patternFill patternType="solid">
        <fgColor theme="5" tint="0.39985351115451523"/>
        <bgColor indexed="64"/>
      </patternFill>
    </fill>
    <fill>
      <patternFill patternType="solid">
        <fgColor indexed="43"/>
        <bgColor indexed="64"/>
      </patternFill>
    </fill>
    <fill>
      <patternFill patternType="solid">
        <fgColor theme="7" tint="0.39985351115451523"/>
        <bgColor indexed="64"/>
      </patternFill>
    </fill>
    <fill>
      <patternFill patternType="solid">
        <fgColor theme="7"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bgColor indexed="64"/>
      </patternFill>
    </fill>
    <fill>
      <patternFill patternType="solid">
        <fgColor theme="5" tint="0.79995117038483843"/>
        <bgColor indexed="64"/>
      </patternFill>
    </fill>
    <fill>
      <patternFill patternType="solid">
        <fgColor rgb="FFFFF2CC"/>
        <bgColor indexed="64"/>
      </patternFill>
    </fill>
    <fill>
      <patternFill patternType="solid">
        <fgColor theme="5" tint="0.59999389629810485"/>
        <bgColor indexed="64"/>
      </patternFill>
    </fill>
    <fill>
      <patternFill patternType="solid">
        <fgColor rgb="FFA6A6A6"/>
        <bgColor indexed="64"/>
      </patternFill>
    </fill>
  </fills>
  <borders count="5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hair">
        <color auto="1"/>
      </bottom>
      <diagonal/>
    </border>
    <border>
      <left style="double">
        <color auto="1"/>
      </left>
      <right style="thin">
        <color auto="1"/>
      </right>
      <top style="double">
        <color auto="1"/>
      </top>
      <bottom/>
      <diagonal/>
    </border>
    <border>
      <left style="thin">
        <color auto="1"/>
      </left>
      <right style="medium">
        <color auto="1"/>
      </right>
      <top style="double">
        <color auto="1"/>
      </top>
      <bottom style="hair">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style="thin">
        <color auto="1"/>
      </right>
      <top/>
      <bottom/>
      <diagonal/>
    </border>
    <border>
      <left style="thin">
        <color auto="1"/>
      </left>
      <right style="medium">
        <color auto="1"/>
      </right>
      <top style="hair">
        <color auto="1"/>
      </top>
      <bottom style="hair">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hair">
        <color auto="1"/>
      </top>
      <bottom style="double">
        <color auto="1"/>
      </bottom>
      <diagonal/>
    </border>
    <border>
      <left style="double">
        <color auto="1"/>
      </left>
      <right style="thin">
        <color auto="1"/>
      </right>
      <top/>
      <bottom style="double">
        <color auto="1"/>
      </bottom>
      <diagonal/>
    </border>
    <border>
      <left style="thin">
        <color auto="1"/>
      </left>
      <right style="medium">
        <color auto="1"/>
      </right>
      <top style="hair">
        <color auto="1"/>
      </top>
      <bottom style="double">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thin">
        <color auto="1"/>
      </left>
      <right style="double">
        <color auto="1"/>
      </right>
      <top/>
      <bottom style="double">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hair">
        <color rgb="FF000000"/>
      </top>
      <bottom/>
      <diagonal/>
    </border>
    <border>
      <left style="thin">
        <color rgb="FF000000"/>
      </left>
      <right style="thin">
        <color rgb="FF000000"/>
      </right>
      <top style="double">
        <color auto="1"/>
      </top>
      <bottom/>
      <diagonal/>
    </border>
    <border>
      <left style="thin">
        <color rgb="FF000000"/>
      </left>
      <right style="thin">
        <color auto="1"/>
      </right>
      <top style="hair">
        <color rgb="FF000000"/>
      </top>
      <bottom/>
      <diagonal/>
    </border>
    <border>
      <left style="thin">
        <color auto="1"/>
      </left>
      <right style="thin">
        <color auto="1"/>
      </right>
      <top style="hair">
        <color auto="1"/>
      </top>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style="thin">
        <color auto="1"/>
      </right>
      <top/>
      <bottom style="hair">
        <color auto="1"/>
      </bottom>
      <diagonal/>
    </border>
    <border>
      <left style="thin">
        <color rgb="FF000000"/>
      </left>
      <right style="thin">
        <color rgb="FF000000"/>
      </right>
      <top/>
      <bottom style="double">
        <color rgb="FF000000"/>
      </bottom>
      <diagonal/>
    </border>
    <border>
      <left style="thin">
        <color rgb="FF000000"/>
      </left>
      <right style="thin">
        <color rgb="FF000000"/>
      </right>
      <top/>
      <bottom style="double">
        <color auto="1"/>
      </bottom>
      <diagonal/>
    </border>
    <border>
      <left style="thin">
        <color rgb="FF000000"/>
      </left>
      <right style="thin">
        <color auto="1"/>
      </right>
      <top/>
      <bottom style="double">
        <color rgb="FF000000"/>
      </bottom>
      <diagonal/>
    </border>
    <border>
      <left style="thin">
        <color rgb="FF000000"/>
      </left>
      <right style="thin">
        <color rgb="FF000000"/>
      </right>
      <top style="double">
        <color rgb="FF000000"/>
      </top>
      <bottom/>
      <diagonal/>
    </border>
    <border>
      <left style="thin">
        <color rgb="FF000000"/>
      </left>
      <right style="thin">
        <color auto="1"/>
      </right>
      <top style="double">
        <color rgb="FF000000"/>
      </top>
      <bottom/>
      <diagonal/>
    </border>
    <border>
      <left style="thin">
        <color auto="1"/>
      </left>
      <right style="thin">
        <color auto="1"/>
      </right>
      <top style="double">
        <color rgb="FF000000"/>
      </top>
      <bottom/>
      <diagonal/>
    </border>
    <border>
      <left style="thin">
        <color auto="1"/>
      </left>
      <right style="thin">
        <color auto="1"/>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s>
  <cellStyleXfs count="8">
    <xf numFmtId="0" fontId="0" fillId="0" borderId="0"/>
    <xf numFmtId="43" fontId="58" fillId="0" borderId="0" applyFont="0" applyFill="0" applyBorder="0" applyAlignment="0" applyProtection="0"/>
    <xf numFmtId="9" fontId="58" fillId="0" borderId="0" applyFont="0" applyFill="0" applyBorder="0" applyAlignment="0" applyProtection="0"/>
    <xf numFmtId="0" fontId="54" fillId="0" borderId="0" applyNumberFormat="0" applyFill="0" applyBorder="0" applyAlignment="0" applyProtection="0">
      <alignment vertical="top"/>
      <protection locked="0"/>
    </xf>
    <xf numFmtId="0" fontId="58" fillId="0" borderId="0"/>
    <xf numFmtId="0" fontId="14" fillId="0" borderId="0"/>
    <xf numFmtId="0" fontId="3" fillId="0" borderId="0"/>
    <xf numFmtId="0" fontId="3" fillId="0" borderId="0"/>
  </cellStyleXfs>
  <cellXfs count="675">
    <xf numFmtId="0" fontId="0" fillId="0" borderId="0" xfId="0"/>
    <xf numFmtId="0" fontId="1" fillId="0" borderId="0" xfId="7" applyFont="1" applyAlignment="1">
      <alignment horizontal="left" vertical="top"/>
    </xf>
    <xf numFmtId="0" fontId="2" fillId="0" borderId="0" xfId="6" applyFont="1" applyAlignment="1">
      <alignment horizontal="center" vertical="center"/>
    </xf>
    <xf numFmtId="187" fontId="3" fillId="0" borderId="0" xfId="7" applyNumberFormat="1" applyAlignment="1">
      <alignment horizontal="center" vertical="top"/>
    </xf>
    <xf numFmtId="0" fontId="3" fillId="0" borderId="0" xfId="7" applyAlignment="1">
      <alignment horizontal="left" vertical="top"/>
    </xf>
    <xf numFmtId="187" fontId="4" fillId="2" borderId="1" xfId="5" applyNumberFormat="1" applyFont="1" applyFill="1" applyBorder="1" applyAlignment="1">
      <alignment horizontal="center" wrapText="1"/>
    </xf>
    <xf numFmtId="0" fontId="4" fillId="2" borderId="2" xfId="5" applyFont="1" applyFill="1" applyBorder="1" applyAlignment="1">
      <alignment horizontal="left" wrapText="1"/>
    </xf>
    <xf numFmtId="187" fontId="4" fillId="2" borderId="3" xfId="5" applyNumberFormat="1" applyFont="1" applyFill="1" applyBorder="1" applyAlignment="1">
      <alignment horizontal="center" wrapText="1"/>
    </xf>
    <xf numFmtId="0" fontId="4" fillId="2" borderId="4" xfId="5" applyFont="1" applyFill="1" applyBorder="1" applyAlignment="1">
      <alignment wrapText="1"/>
    </xf>
    <xf numFmtId="0" fontId="1" fillId="0" borderId="0" xfId="6" applyFont="1" applyAlignment="1">
      <alignment vertical="center"/>
    </xf>
    <xf numFmtId="0" fontId="5" fillId="2" borderId="4" xfId="5" applyFont="1" applyFill="1" applyBorder="1" applyAlignment="1">
      <alignment wrapText="1"/>
    </xf>
    <xf numFmtId="187" fontId="1" fillId="0" borderId="0" xfId="7" applyNumberFormat="1" applyFont="1" applyAlignment="1">
      <alignment horizontal="center" vertical="top"/>
    </xf>
    <xf numFmtId="187" fontId="6" fillId="2" borderId="1" xfId="5" applyNumberFormat="1" applyFont="1" applyFill="1" applyBorder="1" applyAlignment="1">
      <alignment horizontal="center" wrapText="1"/>
    </xf>
    <xf numFmtId="0" fontId="6" fillId="2" borderId="2" xfId="5" applyFont="1" applyFill="1" applyBorder="1" applyAlignment="1">
      <alignment horizontal="left" wrapText="1"/>
    </xf>
    <xf numFmtId="187" fontId="6" fillId="2" borderId="3" xfId="5" applyNumberFormat="1" applyFont="1" applyFill="1" applyBorder="1" applyAlignment="1">
      <alignment horizontal="center" wrapText="1"/>
    </xf>
    <xf numFmtId="0" fontId="7" fillId="2" borderId="4" xfId="5" applyFont="1" applyFill="1" applyBorder="1" applyAlignment="1">
      <alignment wrapText="1"/>
    </xf>
    <xf numFmtId="0" fontId="8" fillId="2" borderId="4" xfId="5" applyFont="1" applyFill="1" applyBorder="1" applyAlignment="1">
      <alignment wrapText="1"/>
    </xf>
    <xf numFmtId="0" fontId="9" fillId="3" borderId="0" xfId="0" applyFont="1" applyFill="1"/>
    <xf numFmtId="0" fontId="10" fillId="3"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2" fillId="3" borderId="0" xfId="0" applyFont="1" applyFill="1" applyAlignment="1">
      <alignment horizontal="left" vertical="center"/>
    </xf>
    <xf numFmtId="0" fontId="13" fillId="3" borderId="0" xfId="0" applyFont="1" applyFill="1"/>
    <xf numFmtId="0" fontId="13" fillId="3" borderId="0" xfId="0" applyFont="1" applyFill="1" applyAlignment="1">
      <alignment vertical="center"/>
    </xf>
    <xf numFmtId="0" fontId="14" fillId="0" borderId="0" xfId="0" applyFont="1" applyAlignment="1">
      <alignment horizontal="center"/>
    </xf>
    <xf numFmtId="0" fontId="14" fillId="0" borderId="0" xfId="0" applyFont="1"/>
    <xf numFmtId="0" fontId="2" fillId="3" borderId="0" xfId="0" applyFont="1" applyFill="1" applyAlignment="1">
      <alignment horizontal="left" wrapText="1"/>
    </xf>
    <xf numFmtId="0" fontId="15" fillId="3" borderId="0" xfId="0" applyFont="1" applyFill="1" applyAlignment="1">
      <alignment horizontal="left" vertical="top" wrapText="1"/>
    </xf>
    <xf numFmtId="0" fontId="16" fillId="3" borderId="0" xfId="0" applyFont="1" applyFill="1" applyAlignment="1">
      <alignment horizontal="center" vertical="center"/>
    </xf>
    <xf numFmtId="0" fontId="16" fillId="3" borderId="0" xfId="0" applyFont="1" applyFill="1"/>
    <xf numFmtId="188" fontId="16" fillId="0" borderId="0" xfId="0" applyNumberFormat="1" applyFont="1"/>
    <xf numFmtId="188" fontId="16" fillId="3" borderId="0" xfId="0" applyNumberFormat="1" applyFont="1" applyFill="1"/>
    <xf numFmtId="188" fontId="16" fillId="4" borderId="0" xfId="0" applyNumberFormat="1" applyFont="1" applyFill="1"/>
    <xf numFmtId="1" fontId="16" fillId="4" borderId="0" xfId="0" applyNumberFormat="1" applyFont="1" applyFill="1"/>
    <xf numFmtId="14" fontId="16" fillId="3" borderId="0" xfId="1" applyNumberFormat="1" applyFont="1" applyFill="1"/>
    <xf numFmtId="0" fontId="17" fillId="0" borderId="0" xfId="0" applyFont="1" applyAlignment="1">
      <alignment vertical="center"/>
    </xf>
    <xf numFmtId="0" fontId="15" fillId="0" borderId="0" xfId="0" applyFont="1" applyAlignment="1">
      <alignment horizontal="left" vertical="top"/>
    </xf>
    <xf numFmtId="0" fontId="14"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vertical="center"/>
    </xf>
    <xf numFmtId="14" fontId="14" fillId="0" borderId="0" xfId="0" applyNumberFormat="1" applyFont="1"/>
    <xf numFmtId="14" fontId="14" fillId="0" borderId="0" xfId="1" applyNumberFormat="1" applyFont="1"/>
    <xf numFmtId="0" fontId="14" fillId="4" borderId="0" xfId="0" applyFont="1" applyFill="1"/>
    <xf numFmtId="1" fontId="14" fillId="4" borderId="0" xfId="0" applyNumberFormat="1" applyFont="1" applyFill="1"/>
    <xf numFmtId="0" fontId="14"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189" fontId="20" fillId="0" borderId="0" xfId="0" applyNumberFormat="1" applyFont="1" applyAlignment="1">
      <alignment horizontal="right" vertical="center"/>
    </xf>
    <xf numFmtId="0" fontId="15" fillId="5" borderId="0" xfId="0" applyFont="1" applyFill="1" applyAlignment="1">
      <alignment vertical="center"/>
    </xf>
    <xf numFmtId="14" fontId="14" fillId="0" borderId="0" xfId="0" applyNumberFormat="1" applyFont="1" applyAlignment="1">
      <alignment horizontal="center" vertical="center"/>
    </xf>
    <xf numFmtId="0" fontId="15" fillId="6" borderId="0" xfId="0" applyFont="1" applyFill="1" applyAlignment="1">
      <alignment vertical="center"/>
    </xf>
    <xf numFmtId="0" fontId="15" fillId="7" borderId="0" xfId="0" applyFont="1" applyFill="1" applyAlignment="1">
      <alignment vertical="center"/>
    </xf>
    <xf numFmtId="190" fontId="10" fillId="3" borderId="0" xfId="1" applyNumberFormat="1" applyFont="1" applyFill="1" applyBorder="1" applyAlignment="1"/>
    <xf numFmtId="191" fontId="10" fillId="3" borderId="0" xfId="1" applyNumberFormat="1" applyFont="1" applyFill="1" applyBorder="1" applyAlignment="1"/>
    <xf numFmtId="189" fontId="21" fillId="3" borderId="0" xfId="0" applyNumberFormat="1" applyFont="1" applyFill="1" applyAlignment="1">
      <alignment horizontal="right" vertical="center"/>
    </xf>
    <xf numFmtId="189" fontId="21" fillId="4" borderId="0" xfId="0" applyNumberFormat="1" applyFont="1" applyFill="1" applyAlignment="1">
      <alignment horizontal="right" vertical="center"/>
    </xf>
    <xf numFmtId="1" fontId="21" fillId="4" borderId="0" xfId="0" applyNumberFormat="1" applyFont="1" applyFill="1" applyAlignment="1">
      <alignment horizontal="right" vertical="center"/>
    </xf>
    <xf numFmtId="187" fontId="10" fillId="3" borderId="0" xfId="0" applyNumberFormat="1" applyFont="1" applyFill="1" applyAlignment="1">
      <alignment horizontal="right" vertical="center"/>
    </xf>
    <xf numFmtId="187" fontId="10" fillId="3" borderId="0" xfId="0" applyNumberFormat="1" applyFont="1" applyFill="1" applyAlignment="1">
      <alignment horizontal="center" vertical="center"/>
    </xf>
    <xf numFmtId="14" fontId="9" fillId="3" borderId="0" xfId="1" applyNumberFormat="1" applyFont="1" applyFill="1"/>
    <xf numFmtId="0" fontId="22" fillId="8" borderId="1" xfId="0" applyFont="1" applyFill="1" applyBorder="1" applyAlignment="1">
      <alignment horizontal="center" vertical="center" wrapText="1"/>
    </xf>
    <xf numFmtId="192" fontId="23" fillId="9" borderId="2" xfId="0" applyNumberFormat="1" applyFont="1" applyFill="1" applyBorder="1" applyAlignment="1">
      <alignment horizontal="center"/>
    </xf>
    <xf numFmtId="192" fontId="23" fillId="9" borderId="1" xfId="0" applyNumberFormat="1" applyFont="1" applyFill="1" applyBorder="1" applyAlignment="1">
      <alignment horizontal="center"/>
    </xf>
    <xf numFmtId="14" fontId="10" fillId="3" borderId="0" xfId="1" applyNumberFormat="1" applyFont="1" applyFill="1" applyAlignment="1">
      <alignment vertical="center"/>
    </xf>
    <xf numFmtId="0" fontId="24"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22" fillId="8" borderId="1" xfId="0" applyFont="1" applyFill="1" applyBorder="1" applyAlignment="1">
      <alignment horizontal="left" vertical="top"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1" fontId="24" fillId="4" borderId="1" xfId="0" applyNumberFormat="1" applyFont="1" applyFill="1" applyBorder="1" applyAlignment="1">
      <alignment horizontal="center" vertical="center" wrapText="1"/>
    </xf>
    <xf numFmtId="14" fontId="11" fillId="3" borderId="0" xfId="1" applyNumberFormat="1" applyFont="1" applyFill="1" applyAlignment="1">
      <alignment vertical="center"/>
    </xf>
    <xf numFmtId="9" fontId="24" fillId="8" borderId="1" xfId="2" applyFont="1" applyFill="1" applyBorder="1" applyAlignment="1">
      <alignment horizontal="center" vertical="center" wrapText="1"/>
    </xf>
    <xf numFmtId="9" fontId="24" fillId="8" borderId="6" xfId="2" applyFont="1" applyFill="1" applyBorder="1" applyAlignment="1">
      <alignment horizontal="center" vertical="center" wrapText="1"/>
    </xf>
    <xf numFmtId="9" fontId="24" fillId="8" borderId="7" xfId="2" applyFont="1" applyFill="1" applyBorder="1" applyAlignment="1">
      <alignment horizontal="center" vertical="center" wrapText="1"/>
    </xf>
    <xf numFmtId="9" fontId="24" fillId="8" borderId="2" xfId="2" applyFont="1" applyFill="1" applyBorder="1" applyAlignment="1">
      <alignment horizontal="center" vertical="center" wrapText="1"/>
    </xf>
    <xf numFmtId="9" fontId="24" fillId="4" borderId="1" xfId="2" applyFont="1" applyFill="1" applyBorder="1" applyAlignment="1">
      <alignment horizontal="center" vertical="center" wrapText="1"/>
    </xf>
    <xf numFmtId="1" fontId="24" fillId="4" borderId="1" xfId="2" applyNumberFormat="1" applyFont="1" applyFill="1" applyBorder="1" applyAlignment="1">
      <alignment horizontal="center" vertical="center" wrapText="1"/>
    </xf>
    <xf numFmtId="0" fontId="25" fillId="3" borderId="9"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0" borderId="10" xfId="0" applyFont="1" applyBorder="1" applyAlignment="1">
      <alignment horizontal="center" vertical="center" wrapText="1"/>
    </xf>
    <xf numFmtId="0" fontId="15" fillId="10" borderId="10" xfId="0" applyFont="1" applyFill="1" applyBorder="1" applyAlignment="1">
      <alignment horizontal="center" vertical="center" wrapText="1"/>
    </xf>
    <xf numFmtId="10" fontId="15" fillId="3" borderId="10" xfId="0" applyNumberFormat="1" applyFont="1" applyFill="1" applyBorder="1" applyAlignment="1">
      <alignment horizontal="center" vertical="center" wrapText="1"/>
    </xf>
    <xf numFmtId="0" fontId="15" fillId="11" borderId="10" xfId="0" applyFont="1" applyFill="1" applyBorder="1" applyAlignment="1">
      <alignment horizontal="center" vertical="center"/>
    </xf>
    <xf numFmtId="187" fontId="15" fillId="11" borderId="10" xfId="0" applyNumberFormat="1" applyFont="1" applyFill="1" applyBorder="1" applyAlignment="1">
      <alignment horizontal="center" vertical="center"/>
    </xf>
    <xf numFmtId="0" fontId="15" fillId="9" borderId="9" xfId="0" applyFont="1" applyFill="1" applyBorder="1" applyAlignment="1">
      <alignment horizontal="center" vertical="center" wrapText="1"/>
    </xf>
    <xf numFmtId="14" fontId="15" fillId="12" borderId="9" xfId="0" applyNumberFormat="1" applyFont="1" applyFill="1" applyBorder="1" applyAlignment="1">
      <alignment horizontal="center" vertical="center" wrapText="1"/>
    </xf>
    <xf numFmtId="1" fontId="15" fillId="12" borderId="9" xfId="0" applyNumberFormat="1" applyFont="1" applyFill="1" applyBorder="1" applyAlignment="1">
      <alignment horizontal="center" vertical="center" wrapText="1"/>
    </xf>
    <xf numFmtId="189" fontId="15" fillId="11" borderId="10" xfId="0" applyNumberFormat="1" applyFont="1" applyFill="1" applyBorder="1" applyAlignment="1">
      <alignment horizontal="center" vertical="center"/>
    </xf>
    <xf numFmtId="0" fontId="28" fillId="11" borderId="12" xfId="3" applyNumberFormat="1" applyFont="1" applyFill="1" applyBorder="1" applyAlignment="1" applyProtection="1">
      <alignment horizontal="center" vertical="center"/>
    </xf>
    <xf numFmtId="10" fontId="25" fillId="3" borderId="13" xfId="0" applyNumberFormat="1" applyFont="1" applyFill="1" applyBorder="1" applyAlignment="1">
      <alignment horizontal="center" vertical="center"/>
    </xf>
    <xf numFmtId="10" fontId="25" fillId="3" borderId="14" xfId="0" applyNumberFormat="1" applyFont="1" applyFill="1" applyBorder="1" applyAlignment="1">
      <alignment horizontal="center" vertical="center"/>
    </xf>
    <xf numFmtId="14" fontId="12" fillId="3" borderId="0" xfId="1" applyNumberFormat="1" applyFont="1" applyFill="1" applyAlignment="1">
      <alignment vertical="center"/>
    </xf>
    <xf numFmtId="0" fontId="25" fillId="3"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0" borderId="17" xfId="0" applyFont="1" applyBorder="1" applyAlignment="1">
      <alignment horizontal="center" vertical="center"/>
    </xf>
    <xf numFmtId="0" fontId="15" fillId="10" borderId="17" xfId="0" applyFont="1" applyFill="1" applyBorder="1" applyAlignment="1">
      <alignment horizontal="center" vertical="center"/>
    </xf>
    <xf numFmtId="10" fontId="15" fillId="3" borderId="17" xfId="0" applyNumberFormat="1" applyFont="1" applyFill="1" applyBorder="1" applyAlignment="1">
      <alignment horizontal="center" vertical="center" wrapText="1"/>
    </xf>
    <xf numFmtId="0" fontId="15" fillId="9" borderId="17" xfId="0" applyFont="1" applyFill="1" applyBorder="1" applyAlignment="1">
      <alignment horizontal="center" vertical="center"/>
    </xf>
    <xf numFmtId="187" fontId="15" fillId="9" borderId="17" xfId="0" applyNumberFormat="1" applyFont="1" applyFill="1" applyBorder="1" applyAlignment="1">
      <alignment horizontal="center" vertical="center"/>
    </xf>
    <xf numFmtId="187" fontId="15" fillId="9" borderId="17" xfId="0" applyNumberFormat="1" applyFont="1" applyFill="1" applyBorder="1" applyAlignment="1">
      <alignment horizontal="center" vertical="center" wrapText="1"/>
    </xf>
    <xf numFmtId="187" fontId="15" fillId="9" borderId="18" xfId="0" applyNumberFormat="1" applyFont="1" applyFill="1" applyBorder="1" applyAlignment="1">
      <alignment horizontal="center" vertical="center"/>
    </xf>
    <xf numFmtId="0" fontId="15" fillId="9" borderId="16" xfId="0" applyFont="1" applyFill="1" applyBorder="1" applyAlignment="1">
      <alignment horizontal="center" vertical="center" wrapText="1"/>
    </xf>
    <xf numFmtId="14" fontId="15" fillId="12" borderId="16" xfId="0" applyNumberFormat="1" applyFont="1" applyFill="1" applyBorder="1" applyAlignment="1">
      <alignment horizontal="center" vertical="center" wrapText="1"/>
    </xf>
    <xf numFmtId="1" fontId="15" fillId="12" borderId="16" xfId="0" applyNumberFormat="1" applyFont="1" applyFill="1" applyBorder="1" applyAlignment="1">
      <alignment horizontal="center" vertical="center" wrapText="1"/>
    </xf>
    <xf numFmtId="189" fontId="15" fillId="9" borderId="17" xfId="0" applyNumberFormat="1" applyFont="1" applyFill="1" applyBorder="1" applyAlignment="1">
      <alignment horizontal="center" vertical="center"/>
    </xf>
    <xf numFmtId="0" fontId="15" fillId="9" borderId="20" xfId="0" applyFont="1" applyFill="1" applyBorder="1" applyAlignment="1">
      <alignment horizontal="center" vertical="center"/>
    </xf>
    <xf numFmtId="0" fontId="25" fillId="3" borderId="22" xfId="0" applyFont="1" applyFill="1" applyBorder="1" applyAlignment="1">
      <alignment horizontal="center" vertical="center" wrapText="1"/>
    </xf>
    <xf numFmtId="0" fontId="15" fillId="9" borderId="23"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0" borderId="23" xfId="0" applyFont="1" applyBorder="1" applyAlignment="1">
      <alignment horizontal="center" vertical="center" wrapText="1"/>
    </xf>
    <xf numFmtId="10" fontId="15" fillId="3" borderId="23" xfId="0" applyNumberFormat="1" applyFont="1" applyFill="1" applyBorder="1" applyAlignment="1">
      <alignment horizontal="center" vertical="center" wrapText="1"/>
    </xf>
    <xf numFmtId="0" fontId="15" fillId="8" borderId="23" xfId="0" applyFont="1" applyFill="1" applyBorder="1" applyAlignment="1">
      <alignment horizontal="center" vertical="center"/>
    </xf>
    <xf numFmtId="0" fontId="15" fillId="9" borderId="22" xfId="0" applyFont="1" applyFill="1" applyBorder="1" applyAlignment="1">
      <alignment horizontal="center" vertical="center" wrapText="1"/>
    </xf>
    <xf numFmtId="14" fontId="15" fillId="4" borderId="22" xfId="0" applyNumberFormat="1" applyFont="1" applyFill="1" applyBorder="1" applyAlignment="1">
      <alignment horizontal="center" vertical="center" wrapText="1"/>
    </xf>
    <xf numFmtId="1" fontId="15" fillId="12" borderId="22" xfId="0" applyNumberFormat="1" applyFont="1" applyFill="1" applyBorder="1" applyAlignment="1">
      <alignment horizontal="center" vertical="center" wrapText="1"/>
    </xf>
    <xf numFmtId="189" fontId="15" fillId="8" borderId="23" xfId="0" applyNumberFormat="1" applyFont="1" applyFill="1" applyBorder="1" applyAlignment="1">
      <alignment horizontal="center" vertical="center"/>
    </xf>
    <xf numFmtId="0" fontId="15" fillId="8" borderId="25" xfId="0" applyFont="1" applyFill="1" applyBorder="1" applyAlignment="1">
      <alignment horizontal="center" vertical="center"/>
    </xf>
    <xf numFmtId="10" fontId="25" fillId="3" borderId="26" xfId="0" applyNumberFormat="1" applyFont="1" applyFill="1" applyBorder="1" applyAlignment="1">
      <alignment horizontal="center" vertical="center"/>
    </xf>
    <xf numFmtId="10" fontId="25" fillId="3" borderId="27" xfId="0" applyNumberFormat="1" applyFont="1" applyFill="1" applyBorder="1" applyAlignment="1">
      <alignment horizontal="center" vertical="center"/>
    </xf>
    <xf numFmtId="0" fontId="15" fillId="14" borderId="10" xfId="0" applyFont="1" applyFill="1" applyBorder="1" applyAlignment="1">
      <alignment horizontal="center" vertical="center" wrapText="1"/>
    </xf>
    <xf numFmtId="0" fontId="15" fillId="14" borderId="17" xfId="0" applyFont="1" applyFill="1" applyBorder="1" applyAlignment="1">
      <alignment horizontal="center" vertical="center"/>
    </xf>
    <xf numFmtId="193" fontId="15" fillId="9" borderId="17" xfId="0" applyNumberFormat="1" applyFont="1" applyFill="1" applyBorder="1" applyAlignment="1">
      <alignment horizontal="center" vertical="center" wrapText="1"/>
    </xf>
    <xf numFmtId="187" fontId="15" fillId="8" borderId="23" xfId="0" applyNumberFormat="1" applyFont="1" applyFill="1" applyBorder="1" applyAlignment="1">
      <alignment horizontal="center" vertical="center"/>
    </xf>
    <xf numFmtId="0" fontId="15" fillId="3" borderId="10" xfId="0" applyFont="1" applyFill="1" applyBorder="1" applyAlignment="1">
      <alignment horizontal="left" vertical="center" wrapText="1"/>
    </xf>
    <xf numFmtId="0" fontId="15" fillId="0" borderId="10" xfId="0" applyFont="1" applyBorder="1" applyAlignment="1">
      <alignment horizontal="left" vertical="center" wrapText="1"/>
    </xf>
    <xf numFmtId="10" fontId="15" fillId="3" borderId="10" xfId="0" applyNumberFormat="1" applyFont="1" applyFill="1" applyBorder="1" applyAlignment="1">
      <alignment horizontal="left" vertical="center" wrapText="1"/>
    </xf>
    <xf numFmtId="0" fontId="15" fillId="11" borderId="10" xfId="0" applyFont="1" applyFill="1" applyBorder="1" applyAlignment="1">
      <alignment horizontal="left" vertical="center"/>
    </xf>
    <xf numFmtId="189" fontId="15" fillId="11" borderId="10" xfId="0" applyNumberFormat="1" applyFont="1" applyFill="1" applyBorder="1" applyAlignment="1">
      <alignment horizontal="left" vertical="center"/>
    </xf>
    <xf numFmtId="0" fontId="28" fillId="11" borderId="12" xfId="3" applyNumberFormat="1" applyFont="1" applyFill="1" applyBorder="1" applyAlignment="1" applyProtection="1">
      <alignment horizontal="left" vertical="center"/>
    </xf>
    <xf numFmtId="10" fontId="25" fillId="3" borderId="13" xfId="0" applyNumberFormat="1" applyFont="1" applyFill="1" applyBorder="1" applyAlignment="1">
      <alignment horizontal="left" vertical="center"/>
    </xf>
    <xf numFmtId="10" fontId="25" fillId="3" borderId="14" xfId="0" applyNumberFormat="1" applyFont="1" applyFill="1" applyBorder="1" applyAlignment="1">
      <alignment horizontal="left" vertical="center"/>
    </xf>
    <xf numFmtId="14" fontId="12" fillId="3" borderId="0" xfId="1" applyNumberFormat="1" applyFont="1" applyFill="1" applyAlignment="1">
      <alignment horizontal="left" vertical="center"/>
    </xf>
    <xf numFmtId="0" fontId="15" fillId="3" borderId="17" xfId="0" applyFont="1" applyFill="1" applyBorder="1" applyAlignment="1">
      <alignment horizontal="left" vertical="center" wrapText="1"/>
    </xf>
    <xf numFmtId="0" fontId="15" fillId="0" borderId="17" xfId="0" applyFont="1" applyBorder="1" applyAlignment="1">
      <alignment horizontal="left" vertical="center"/>
    </xf>
    <xf numFmtId="10" fontId="15" fillId="3" borderId="17" xfId="0" applyNumberFormat="1" applyFont="1" applyFill="1" applyBorder="1" applyAlignment="1">
      <alignment horizontal="left" vertical="center" wrapText="1"/>
    </xf>
    <xf numFmtId="0" fontId="15" fillId="9" borderId="17" xfId="0" applyFont="1" applyFill="1" applyBorder="1" applyAlignment="1">
      <alignment horizontal="left" vertical="center"/>
    </xf>
    <xf numFmtId="187" fontId="15" fillId="9" borderId="17" xfId="0" applyNumberFormat="1" applyFont="1" applyFill="1" applyBorder="1" applyAlignment="1">
      <alignment horizontal="left" vertical="center"/>
    </xf>
    <xf numFmtId="187" fontId="15" fillId="9" borderId="17" xfId="0" applyNumberFormat="1" applyFont="1" applyFill="1" applyBorder="1" applyAlignment="1">
      <alignment horizontal="left" vertical="center" wrapText="1"/>
    </xf>
    <xf numFmtId="187" fontId="15" fillId="9" borderId="18" xfId="0" applyNumberFormat="1" applyFont="1" applyFill="1" applyBorder="1" applyAlignment="1">
      <alignment horizontal="left" vertical="center"/>
    </xf>
    <xf numFmtId="189" fontId="15" fillId="9" borderId="17" xfId="0" applyNumberFormat="1" applyFont="1" applyFill="1" applyBorder="1" applyAlignment="1">
      <alignment horizontal="left" vertical="center"/>
    </xf>
    <xf numFmtId="0" fontId="15" fillId="9" borderId="20" xfId="0" applyFont="1" applyFill="1" applyBorder="1" applyAlignment="1">
      <alignment horizontal="left" vertical="center"/>
    </xf>
    <xf numFmtId="0" fontId="15" fillId="3" borderId="23" xfId="0" applyFont="1" applyFill="1" applyBorder="1" applyAlignment="1">
      <alignment horizontal="left" vertical="center" wrapText="1"/>
    </xf>
    <xf numFmtId="0" fontId="15" fillId="0" borderId="23" xfId="0" applyFont="1" applyBorder="1" applyAlignment="1">
      <alignment horizontal="left" vertical="center" wrapText="1"/>
    </xf>
    <xf numFmtId="10" fontId="15" fillId="3" borderId="23" xfId="0" applyNumberFormat="1" applyFont="1" applyFill="1" applyBorder="1" applyAlignment="1">
      <alignment horizontal="left" vertical="center" wrapText="1"/>
    </xf>
    <xf numFmtId="0" fontId="15" fillId="8" borderId="23" xfId="0" applyFont="1" applyFill="1" applyBorder="1" applyAlignment="1">
      <alignment horizontal="left" vertical="center"/>
    </xf>
    <xf numFmtId="187" fontId="15" fillId="8" borderId="23" xfId="0" applyNumberFormat="1" applyFont="1" applyFill="1" applyBorder="1" applyAlignment="1">
      <alignment horizontal="left" vertical="center"/>
    </xf>
    <xf numFmtId="189" fontId="15" fillId="8" borderId="23" xfId="0" applyNumberFormat="1" applyFont="1" applyFill="1" applyBorder="1" applyAlignment="1">
      <alignment horizontal="left" vertical="center"/>
    </xf>
    <xf numFmtId="0" fontId="15" fillId="8" borderId="25" xfId="0" applyFont="1" applyFill="1" applyBorder="1" applyAlignment="1">
      <alignment horizontal="left" vertical="center"/>
    </xf>
    <xf numFmtId="10" fontId="25" fillId="3" borderId="26" xfId="0" applyNumberFormat="1" applyFont="1" applyFill="1" applyBorder="1" applyAlignment="1">
      <alignment horizontal="left" vertical="center"/>
    </xf>
    <xf numFmtId="10" fontId="25" fillId="3" borderId="27" xfId="0" applyNumberFormat="1" applyFont="1" applyFill="1" applyBorder="1" applyAlignment="1">
      <alignment horizontal="left" vertical="center"/>
    </xf>
    <xf numFmtId="0" fontId="25" fillId="3" borderId="9" xfId="0" applyFont="1" applyFill="1" applyBorder="1" applyAlignment="1">
      <alignment horizontal="left" vertical="center" wrapText="1"/>
    </xf>
    <xf numFmtId="187" fontId="15" fillId="11" borderId="10" xfId="0" applyNumberFormat="1" applyFont="1" applyFill="1" applyBorder="1" applyAlignment="1">
      <alignment horizontal="left" vertical="center"/>
    </xf>
    <xf numFmtId="0" fontId="25" fillId="3" borderId="16" xfId="0" applyFont="1" applyFill="1" applyBorder="1" applyAlignment="1">
      <alignment horizontal="left" vertical="center" wrapText="1"/>
    </xf>
    <xf numFmtId="0" fontId="25" fillId="3" borderId="22" xfId="0" applyFont="1" applyFill="1" applyBorder="1" applyAlignment="1">
      <alignment horizontal="left" vertical="center" wrapText="1"/>
    </xf>
    <xf numFmtId="0" fontId="15" fillId="0" borderId="10" xfId="0" applyFont="1" applyBorder="1" applyAlignment="1">
      <alignment horizontal="left" vertical="top" wrapText="1"/>
    </xf>
    <xf numFmtId="0" fontId="15" fillId="0" borderId="17" xfId="0" applyFont="1" applyBorder="1" applyAlignment="1">
      <alignment horizontal="left" vertical="top"/>
    </xf>
    <xf numFmtId="0" fontId="15" fillId="0" borderId="23" xfId="0" applyFont="1" applyBorder="1" applyAlignment="1">
      <alignment horizontal="left" vertical="top" wrapText="1"/>
    </xf>
    <xf numFmtId="0" fontId="15" fillId="15" borderId="10" xfId="0" applyFont="1" applyFill="1" applyBorder="1" applyAlignment="1">
      <alignment horizontal="center" vertical="center" wrapText="1"/>
    </xf>
    <xf numFmtId="0" fontId="15" fillId="15" borderId="17" xfId="0" applyFont="1" applyFill="1" applyBorder="1" applyAlignment="1">
      <alignment horizontal="center" vertical="center"/>
    </xf>
    <xf numFmtId="0" fontId="29" fillId="15" borderId="23" xfId="0" applyFont="1" applyFill="1" applyBorder="1" applyAlignment="1">
      <alignment horizontal="center" vertical="center" wrapText="1"/>
    </xf>
    <xf numFmtId="0" fontId="9" fillId="0" borderId="0" xfId="0" applyFont="1"/>
    <xf numFmtId="0" fontId="10" fillId="0" borderId="0" xfId="0" applyFont="1" applyAlignment="1">
      <alignment horizontal="center" vertical="center"/>
    </xf>
    <xf numFmtId="0" fontId="12" fillId="15" borderId="0" xfId="0" applyFont="1" applyFill="1" applyAlignment="1">
      <alignment vertical="center"/>
    </xf>
    <xf numFmtId="0" fontId="12" fillId="0" borderId="0" xfId="0" applyFont="1" applyAlignment="1">
      <alignment vertical="center"/>
    </xf>
    <xf numFmtId="0" fontId="30" fillId="12" borderId="0" xfId="0" applyFont="1" applyFill="1" applyAlignment="1">
      <alignment vertical="center"/>
    </xf>
    <xf numFmtId="0" fontId="30" fillId="15" borderId="0" xfId="0" applyFont="1" applyFill="1" applyAlignment="1">
      <alignment vertical="center"/>
    </xf>
    <xf numFmtId="0" fontId="13" fillId="0" borderId="0" xfId="0" applyFont="1"/>
    <xf numFmtId="0" fontId="2" fillId="0" borderId="0" xfId="0" applyFont="1" applyAlignment="1">
      <alignment horizontal="left" wrapText="1"/>
    </xf>
    <xf numFmtId="0" fontId="16" fillId="0" borderId="0" xfId="0" applyFont="1"/>
    <xf numFmtId="188" fontId="16" fillId="15" borderId="0" xfId="0" applyNumberFormat="1" applyFont="1" applyFill="1"/>
    <xf numFmtId="2" fontId="16" fillId="14" borderId="0" xfId="0" applyNumberFormat="1" applyFont="1" applyFill="1"/>
    <xf numFmtId="2" fontId="16" fillId="15" borderId="0" xfId="0" applyNumberFormat="1" applyFont="1" applyFill="1"/>
    <xf numFmtId="2" fontId="16" fillId="15" borderId="0" xfId="1" applyNumberFormat="1" applyFont="1" applyFill="1" applyAlignment="1">
      <alignment horizontal="center"/>
    </xf>
    <xf numFmtId="194" fontId="16" fillId="15" borderId="0" xfId="0" applyNumberFormat="1" applyFont="1" applyFill="1"/>
    <xf numFmtId="1" fontId="16" fillId="15" borderId="0" xfId="0" applyNumberFormat="1" applyFont="1" applyFill="1"/>
    <xf numFmtId="188" fontId="16" fillId="14" borderId="0" xfId="0" applyNumberFormat="1" applyFont="1" applyFill="1"/>
    <xf numFmtId="14" fontId="16" fillId="0" borderId="0" xfId="1" applyNumberFormat="1" applyFont="1" applyFill="1"/>
    <xf numFmtId="0" fontId="19" fillId="15" borderId="0" xfId="0" applyFont="1" applyFill="1" applyAlignment="1">
      <alignment vertical="center"/>
    </xf>
    <xf numFmtId="2" fontId="19" fillId="14" borderId="0" xfId="0" applyNumberFormat="1" applyFont="1" applyFill="1" applyAlignment="1">
      <alignment vertical="center"/>
    </xf>
    <xf numFmtId="2" fontId="19" fillId="15" borderId="0" xfId="0" applyNumberFormat="1" applyFont="1" applyFill="1" applyAlignment="1">
      <alignment vertical="center"/>
    </xf>
    <xf numFmtId="2" fontId="19" fillId="15" borderId="0" xfId="1" applyNumberFormat="1" applyFont="1" applyFill="1" applyAlignment="1">
      <alignment horizontal="center" vertical="center"/>
    </xf>
    <xf numFmtId="14" fontId="14" fillId="15" borderId="0" xfId="0" applyNumberFormat="1" applyFont="1" applyFill="1"/>
    <xf numFmtId="0" fontId="14" fillId="15" borderId="0" xfId="0" applyFont="1" applyFill="1"/>
    <xf numFmtId="194" fontId="14" fillId="15" borderId="0" xfId="0" applyNumberFormat="1" applyFont="1" applyFill="1"/>
    <xf numFmtId="1" fontId="14" fillId="15" borderId="0" xfId="0" applyNumberFormat="1" applyFont="1" applyFill="1"/>
    <xf numFmtId="0" fontId="14" fillId="14" borderId="0" xfId="0" applyFont="1" applyFill="1"/>
    <xf numFmtId="0" fontId="15" fillId="0" borderId="0" xfId="0" applyFont="1" applyAlignment="1">
      <alignment horizontal="center" vertical="center" wrapText="1"/>
    </xf>
    <xf numFmtId="189" fontId="20" fillId="15" borderId="0" xfId="0" applyNumberFormat="1" applyFont="1" applyFill="1" applyAlignment="1">
      <alignment horizontal="right" vertical="center"/>
    </xf>
    <xf numFmtId="189" fontId="21" fillId="15" borderId="0" xfId="0" applyNumberFormat="1" applyFont="1" applyFill="1" applyAlignment="1">
      <alignment horizontal="right" vertical="center"/>
    </xf>
    <xf numFmtId="2" fontId="21" fillId="14" borderId="0" xfId="0" applyNumberFormat="1" applyFont="1" applyFill="1" applyAlignment="1">
      <alignment horizontal="right" vertical="center"/>
    </xf>
    <xf numFmtId="2" fontId="21" fillId="15" borderId="0" xfId="0" applyNumberFormat="1" applyFont="1" applyFill="1" applyAlignment="1">
      <alignment horizontal="right" vertical="center"/>
    </xf>
    <xf numFmtId="2" fontId="21" fillId="15" borderId="0" xfId="1" applyNumberFormat="1" applyFont="1" applyFill="1" applyAlignment="1">
      <alignment horizontal="center" vertical="center"/>
    </xf>
    <xf numFmtId="191" fontId="10" fillId="0" borderId="0" xfId="1" applyNumberFormat="1" applyFont="1" applyFill="1" applyBorder="1" applyAlignment="1"/>
    <xf numFmtId="194" fontId="21" fillId="15" borderId="0" xfId="0" applyNumberFormat="1" applyFont="1" applyFill="1" applyAlignment="1">
      <alignment horizontal="right" vertical="center"/>
    </xf>
    <xf numFmtId="1" fontId="21" fillId="15" borderId="0" xfId="0" applyNumberFormat="1" applyFont="1" applyFill="1" applyAlignment="1">
      <alignment horizontal="right" vertical="center"/>
    </xf>
    <xf numFmtId="189" fontId="21" fillId="14" borderId="0" xfId="0" applyNumberFormat="1" applyFont="1" applyFill="1" applyAlignment="1">
      <alignment horizontal="right" vertical="center"/>
    </xf>
    <xf numFmtId="14" fontId="9" fillId="0" borderId="0" xfId="1" applyNumberFormat="1" applyFont="1" applyFill="1"/>
    <xf numFmtId="0" fontId="22"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15" borderId="1" xfId="0" applyFont="1" applyFill="1" applyBorder="1" applyAlignment="1">
      <alignment horizontal="center" vertical="center" wrapText="1"/>
    </xf>
    <xf numFmtId="2" fontId="32" fillId="14" borderId="1" xfId="0" applyNumberFormat="1" applyFont="1" applyFill="1" applyBorder="1" applyAlignment="1">
      <alignment horizontal="center" vertical="center" wrapText="1"/>
    </xf>
    <xf numFmtId="2" fontId="32" fillId="15" borderId="1" xfId="0" applyNumberFormat="1" applyFont="1" applyFill="1" applyBorder="1" applyAlignment="1">
      <alignment horizontal="center" vertical="center" wrapText="1"/>
    </xf>
    <xf numFmtId="2" fontId="32" fillId="15" borderId="1" xfId="1"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92" fontId="23" fillId="0" borderId="2" xfId="0" applyNumberFormat="1" applyFont="1" applyBorder="1" applyAlignment="1">
      <alignment horizontal="center"/>
    </xf>
    <xf numFmtId="192" fontId="23" fillId="0" borderId="1" xfId="0" applyNumberFormat="1" applyFont="1" applyBorder="1" applyAlignment="1">
      <alignment horizontal="center"/>
    </xf>
    <xf numFmtId="0" fontId="22" fillId="14" borderId="1" xfId="0" applyFont="1" applyFill="1" applyBorder="1" applyAlignment="1">
      <alignment horizontal="center" vertical="center" wrapText="1"/>
    </xf>
    <xf numFmtId="14" fontId="10" fillId="0" borderId="0" xfId="1" applyNumberFormat="1" applyFont="1" applyFill="1" applyAlignment="1">
      <alignment horizontal="center" vertical="center"/>
    </xf>
    <xf numFmtId="0" fontId="15" fillId="15"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33" fillId="15" borderId="1" xfId="0" applyFont="1" applyFill="1" applyBorder="1"/>
    <xf numFmtId="194" fontId="15" fillId="15" borderId="1" xfId="0" applyNumberFormat="1"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15" borderId="1" xfId="0" applyNumberFormat="1" applyFont="1" applyFill="1" applyBorder="1" applyAlignment="1">
      <alignment horizontal="center" vertical="center"/>
    </xf>
    <xf numFmtId="2" fontId="15" fillId="15" borderId="1" xfId="1" applyNumberFormat="1" applyFont="1" applyFill="1" applyBorder="1" applyAlignment="1">
      <alignment horizontal="center" vertical="center"/>
    </xf>
    <xf numFmtId="194" fontId="15" fillId="15" borderId="1" xfId="0" applyNumberFormat="1" applyFont="1" applyFill="1" applyBorder="1" applyAlignment="1">
      <alignment horizontal="center" vertical="center" wrapText="1"/>
    </xf>
    <xf numFmtId="10" fontId="25" fillId="15" borderId="13" xfId="0" applyNumberFormat="1" applyFont="1" applyFill="1" applyBorder="1" applyAlignment="1">
      <alignment horizontal="center" vertical="center"/>
    </xf>
    <xf numFmtId="10" fontId="25" fillId="15" borderId="14" xfId="0" applyNumberFormat="1" applyFont="1" applyFill="1" applyBorder="1" applyAlignment="1">
      <alignment horizontal="center" vertical="center"/>
    </xf>
    <xf numFmtId="189" fontId="15" fillId="14" borderId="1" xfId="0" applyNumberFormat="1" applyFont="1" applyFill="1" applyBorder="1" applyAlignment="1">
      <alignment horizontal="center" vertical="center" wrapText="1"/>
    </xf>
    <xf numFmtId="14" fontId="12" fillId="15" borderId="0" xfId="1" applyNumberFormat="1" applyFont="1" applyFill="1" applyAlignment="1">
      <alignment vertical="center"/>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2" fontId="15" fillId="14" borderId="1" xfId="0" applyNumberFormat="1" applyFont="1" applyFill="1" applyBorder="1" applyAlignment="1">
      <alignment horizontal="center" vertical="center" wrapText="1"/>
    </xf>
    <xf numFmtId="2" fontId="15" fillId="15" borderId="1" xfId="0" applyNumberFormat="1" applyFont="1" applyFill="1" applyBorder="1" applyAlignment="1">
      <alignment horizontal="center" vertical="center" wrapText="1"/>
    </xf>
    <xf numFmtId="2" fontId="15" fillId="15" borderId="1" xfId="1" applyNumberFormat="1" applyFont="1" applyFill="1" applyBorder="1" applyAlignment="1">
      <alignment horizontal="center" vertical="center" wrapText="1"/>
    </xf>
    <xf numFmtId="10" fontId="25" fillId="15" borderId="26" xfId="0" applyNumberFormat="1" applyFont="1" applyFill="1" applyBorder="1" applyAlignment="1">
      <alignment horizontal="center" vertical="center"/>
    </xf>
    <xf numFmtId="10" fontId="25" fillId="15" borderId="27" xfId="0" applyNumberFormat="1" applyFont="1" applyFill="1" applyBorder="1" applyAlignment="1">
      <alignment horizontal="center" vertical="center"/>
    </xf>
    <xf numFmtId="0" fontId="15" fillId="0" borderId="1" xfId="0" applyFont="1" applyBorder="1" applyAlignment="1">
      <alignment horizontal="center" vertical="center" wrapText="1"/>
    </xf>
    <xf numFmtId="0" fontId="15" fillId="0" borderId="5" xfId="0" applyFont="1" applyBorder="1" applyAlignment="1">
      <alignment horizontal="center" vertical="center" wrapText="1"/>
    </xf>
    <xf numFmtId="0" fontId="0" fillId="0" borderId="1" xfId="0" applyBorder="1"/>
    <xf numFmtId="10" fontId="25" fillId="0" borderId="13" xfId="0" applyNumberFormat="1" applyFont="1" applyBorder="1" applyAlignment="1">
      <alignment horizontal="center" vertical="center"/>
    </xf>
    <xf numFmtId="10" fontId="25" fillId="0" borderId="14" xfId="0" applyNumberFormat="1" applyFont="1" applyBorder="1" applyAlignment="1">
      <alignment horizontal="center" vertical="center"/>
    </xf>
    <xf numFmtId="14" fontId="12" fillId="0" borderId="0" xfId="1" applyNumberFormat="1" applyFont="1" applyFill="1" applyAlignment="1">
      <alignment vertical="center"/>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0" fontId="25" fillId="0" borderId="26" xfId="0" applyNumberFormat="1" applyFont="1" applyBorder="1" applyAlignment="1">
      <alignment horizontal="center" vertical="center"/>
    </xf>
    <xf numFmtId="10" fontId="25" fillId="0" borderId="27" xfId="0" applyNumberFormat="1" applyFont="1" applyBorder="1" applyAlignment="1">
      <alignment horizontal="center" vertical="center"/>
    </xf>
    <xf numFmtId="0" fontId="35" fillId="10" borderId="1" xfId="0" applyFont="1" applyFill="1" applyBorder="1" applyAlignment="1">
      <alignment horizontal="center" vertical="center" wrapText="1"/>
    </xf>
    <xf numFmtId="10" fontId="35" fillId="12" borderId="13" xfId="0" applyNumberFormat="1" applyFont="1" applyFill="1" applyBorder="1" applyAlignment="1">
      <alignment horizontal="center" vertical="center"/>
    </xf>
    <xf numFmtId="10" fontId="35" fillId="12" borderId="14" xfId="0" applyNumberFormat="1" applyFont="1" applyFill="1" applyBorder="1" applyAlignment="1">
      <alignment horizontal="center" vertical="center"/>
    </xf>
    <xf numFmtId="14" fontId="30" fillId="12" borderId="0" xfId="1" applyNumberFormat="1" applyFont="1" applyFill="1" applyAlignment="1">
      <alignment vertical="center"/>
    </xf>
    <xf numFmtId="0" fontId="35" fillId="12" borderId="1" xfId="0" applyFont="1" applyFill="1" applyBorder="1" applyAlignment="1">
      <alignment horizontal="center" vertical="center" wrapText="1"/>
    </xf>
    <xf numFmtId="10" fontId="35" fillId="12" borderId="26" xfId="0" applyNumberFormat="1" applyFont="1" applyFill="1" applyBorder="1" applyAlignment="1">
      <alignment horizontal="center" vertical="center"/>
    </xf>
    <xf numFmtId="10" fontId="35" fillId="12" borderId="27" xfId="0" applyNumberFormat="1" applyFont="1" applyFill="1" applyBorder="1" applyAlignment="1">
      <alignment horizontal="center" vertical="center"/>
    </xf>
    <xf numFmtId="187" fontId="15" fillId="15" borderId="1" xfId="0" applyNumberFormat="1" applyFont="1" applyFill="1" applyBorder="1" applyAlignment="1">
      <alignment horizontal="center" vertical="center"/>
    </xf>
    <xf numFmtId="0" fontId="0" fillId="15" borderId="1" xfId="0" applyFill="1" applyBorder="1"/>
    <xf numFmtId="10" fontId="35" fillId="15" borderId="13" xfId="0" applyNumberFormat="1" applyFont="1" applyFill="1" applyBorder="1" applyAlignment="1">
      <alignment horizontal="center" vertical="center"/>
    </xf>
    <xf numFmtId="10" fontId="35" fillId="15" borderId="14" xfId="0" applyNumberFormat="1" applyFont="1" applyFill="1" applyBorder="1" applyAlignment="1">
      <alignment horizontal="center" vertical="center"/>
    </xf>
    <xf numFmtId="14" fontId="30" fillId="15" borderId="0" xfId="1" applyNumberFormat="1" applyFont="1" applyFill="1" applyAlignment="1">
      <alignment vertical="center"/>
    </xf>
    <xf numFmtId="0" fontId="0" fillId="15" borderId="1" xfId="0" applyFill="1" applyBorder="1" applyAlignment="1">
      <alignment vertical="center"/>
    </xf>
    <xf numFmtId="10" fontId="35" fillId="15" borderId="26" xfId="0" applyNumberFormat="1" applyFont="1" applyFill="1" applyBorder="1" applyAlignment="1">
      <alignment horizontal="center" vertical="center"/>
    </xf>
    <xf numFmtId="10" fontId="35" fillId="15" borderId="27" xfId="0" applyNumberFormat="1" applyFont="1" applyFill="1" applyBorder="1" applyAlignment="1">
      <alignment horizontal="center" vertical="center"/>
    </xf>
    <xf numFmtId="0" fontId="27" fillId="12" borderId="5" xfId="0" applyFont="1" applyFill="1" applyBorder="1" applyAlignment="1">
      <alignment horizontal="center" vertical="center" wrapText="1"/>
    </xf>
    <xf numFmtId="0" fontId="27" fillId="12" borderId="16" xfId="0" applyFont="1" applyFill="1" applyBorder="1" applyAlignment="1">
      <alignment horizontal="center" vertical="center" wrapText="1"/>
    </xf>
    <xf numFmtId="0" fontId="27" fillId="12" borderId="3" xfId="0" applyFont="1" applyFill="1" applyBorder="1" applyAlignment="1">
      <alignment horizontal="center" vertical="center" wrapText="1"/>
    </xf>
    <xf numFmtId="16" fontId="30" fillId="12" borderId="0" xfId="0" applyNumberFormat="1" applyFont="1" applyFill="1" applyAlignment="1">
      <alignment vertical="center"/>
    </xf>
    <xf numFmtId="15" fontId="0" fillId="0" borderId="0" xfId="0" applyNumberFormat="1"/>
    <xf numFmtId="14" fontId="0" fillId="0" borderId="0" xfId="0" applyNumberFormat="1"/>
    <xf numFmtId="0" fontId="36" fillId="0" borderId="0" xfId="0" applyFont="1"/>
    <xf numFmtId="0" fontId="36" fillId="0" borderId="0" xfId="0" applyFont="1" applyAlignment="1">
      <alignment horizontal="center"/>
    </xf>
    <xf numFmtId="0" fontId="2" fillId="0" borderId="0" xfId="0" applyFont="1" applyAlignment="1">
      <alignment vertical="center"/>
    </xf>
    <xf numFmtId="0" fontId="2" fillId="15" borderId="0" xfId="0" applyFont="1" applyFill="1" applyAlignment="1">
      <alignment vertical="center"/>
    </xf>
    <xf numFmtId="0" fontId="37" fillId="17" borderId="0" xfId="0" applyFont="1" applyFill="1" applyAlignment="1">
      <alignment vertical="center" wrapText="1"/>
    </xf>
    <xf numFmtId="0" fontId="37" fillId="17" borderId="0" xfId="0" applyFont="1" applyFill="1" applyAlignment="1">
      <alignment vertical="center"/>
    </xf>
    <xf numFmtId="0" fontId="38" fillId="0" borderId="0" xfId="0" applyFont="1" applyAlignment="1">
      <alignment vertical="center"/>
    </xf>
    <xf numFmtId="0" fontId="2" fillId="17" borderId="0" xfId="0" applyFont="1" applyFill="1" applyAlignment="1">
      <alignment vertical="center"/>
    </xf>
    <xf numFmtId="195" fontId="39" fillId="17" borderId="0" xfId="0" applyNumberFormat="1" applyFont="1" applyFill="1"/>
    <xf numFmtId="0" fontId="40" fillId="0" borderId="0" xfId="0" applyFont="1"/>
    <xf numFmtId="0" fontId="40" fillId="0" borderId="0" xfId="0" applyFont="1" applyAlignment="1">
      <alignment horizontal="center" vertical="center"/>
    </xf>
    <xf numFmtId="0" fontId="40" fillId="15" borderId="0" xfId="0" applyFont="1" applyFill="1"/>
    <xf numFmtId="0" fontId="40" fillId="0" borderId="0" xfId="0" applyFont="1" applyAlignment="1">
      <alignment wrapText="1"/>
    </xf>
    <xf numFmtId="0" fontId="40" fillId="0" borderId="0" xfId="0" applyFont="1" applyAlignment="1">
      <alignment horizontal="center"/>
    </xf>
    <xf numFmtId="0" fontId="40" fillId="15" borderId="0" xfId="0" applyFont="1" applyFill="1" applyAlignment="1">
      <alignment horizontal="center"/>
    </xf>
    <xf numFmtId="0" fontId="41" fillId="15" borderId="0" xfId="0" applyFont="1" applyFill="1"/>
    <xf numFmtId="0" fontId="42" fillId="0" borderId="0" xfId="0" applyFont="1"/>
    <xf numFmtId="0" fontId="42" fillId="0" borderId="0" xfId="0" applyFont="1" applyAlignment="1">
      <alignment horizontal="center" vertical="center"/>
    </xf>
    <xf numFmtId="0" fontId="43" fillId="0" borderId="0" xfId="0" applyFont="1" applyAlignment="1">
      <alignment horizontal="right"/>
    </xf>
    <xf numFmtId="0" fontId="36" fillId="15" borderId="0" xfId="0" applyFont="1" applyFill="1"/>
    <xf numFmtId="0" fontId="15" fillId="16" borderId="0" xfId="0" applyFont="1" applyFill="1" applyAlignment="1">
      <alignment horizontal="left" vertical="center"/>
    </xf>
    <xf numFmtId="0" fontId="36" fillId="16" borderId="0" xfId="0" applyFont="1" applyFill="1" applyAlignment="1">
      <alignment wrapText="1"/>
    </xf>
    <xf numFmtId="0" fontId="36" fillId="16" borderId="0" xfId="0" applyFont="1" applyFill="1"/>
    <xf numFmtId="0" fontId="36" fillId="0" borderId="0" xfId="0" applyFont="1" applyAlignment="1">
      <alignment horizontal="center" vertical="center"/>
    </xf>
    <xf numFmtId="0" fontId="36" fillId="15" borderId="0" xfId="0" applyFont="1" applyFill="1" applyAlignment="1">
      <alignment horizontal="center"/>
    </xf>
    <xf numFmtId="0" fontId="44" fillId="0" borderId="0" xfId="0" applyFont="1" applyAlignment="1">
      <alignment vertical="center"/>
    </xf>
    <xf numFmtId="0" fontId="15" fillId="0" borderId="0" xfId="0" applyFont="1" applyAlignment="1">
      <alignment horizontal="left" vertical="center"/>
    </xf>
    <xf numFmtId="0" fontId="36" fillId="0" borderId="0" xfId="0" applyFont="1" applyAlignment="1">
      <alignment wrapText="1"/>
    </xf>
    <xf numFmtId="189" fontId="21" fillId="0" borderId="0" xfId="0" applyNumberFormat="1" applyFont="1" applyAlignment="1">
      <alignment horizontal="right" vertical="center"/>
    </xf>
    <xf numFmtId="0" fontId="36" fillId="15" borderId="0" xfId="0" applyFont="1" applyFill="1" applyAlignment="1">
      <alignment horizontal="center" vertical="center"/>
    </xf>
    <xf numFmtId="189" fontId="20" fillId="0" borderId="0" xfId="0" applyNumberFormat="1" applyFont="1" applyAlignment="1">
      <alignment horizontal="center" vertical="center"/>
    </xf>
    <xf numFmtId="189" fontId="20" fillId="19" borderId="0" xfId="0" applyNumberFormat="1" applyFont="1" applyFill="1" applyAlignment="1">
      <alignment horizontal="right" vertical="center"/>
    </xf>
    <xf numFmtId="189" fontId="20" fillId="20" borderId="0" xfId="0" applyNumberFormat="1" applyFont="1" applyFill="1" applyAlignment="1">
      <alignment horizontal="right" vertical="center"/>
    </xf>
    <xf numFmtId="0" fontId="45" fillId="8" borderId="1" xfId="0" applyFont="1" applyFill="1" applyBorder="1" applyAlignment="1">
      <alignment horizontal="center" vertical="center" wrapText="1"/>
    </xf>
    <xf numFmtId="0" fontId="46" fillId="21" borderId="31" xfId="0" applyFont="1" applyFill="1" applyBorder="1" applyAlignment="1">
      <alignment horizontal="center" vertical="center" wrapText="1"/>
    </xf>
    <xf numFmtId="0" fontId="45" fillId="6" borderId="1" xfId="0" applyFont="1" applyFill="1" applyBorder="1" applyAlignment="1">
      <alignment horizontal="center" vertical="center" wrapText="1"/>
    </xf>
    <xf numFmtId="0" fontId="45" fillId="20" borderId="1" xfId="0" applyFont="1" applyFill="1" applyBorder="1" applyAlignment="1">
      <alignment horizontal="center" vertical="center" wrapText="1"/>
    </xf>
    <xf numFmtId="0" fontId="45" fillId="18" borderId="1" xfId="0" applyFont="1" applyFill="1" applyBorder="1" applyAlignment="1">
      <alignment horizontal="center" vertical="center" wrapText="1"/>
    </xf>
    <xf numFmtId="0" fontId="36" fillId="4" borderId="1" xfId="0" applyFont="1" applyFill="1" applyBorder="1"/>
    <xf numFmtId="0" fontId="47" fillId="21" borderId="31" xfId="0" applyFont="1" applyFill="1" applyBorder="1" applyAlignment="1">
      <alignment horizontal="center" vertical="center"/>
    </xf>
    <xf numFmtId="0" fontId="45" fillId="4" borderId="1" xfId="0" applyFont="1" applyFill="1" applyBorder="1" applyAlignment="1">
      <alignment horizontal="center" vertical="center" wrapText="1"/>
    </xf>
    <xf numFmtId="0" fontId="36" fillId="4" borderId="5" xfId="0" applyFont="1" applyFill="1" applyBorder="1" applyAlignment="1">
      <alignment horizontal="center"/>
    </xf>
    <xf numFmtId="0" fontId="47" fillId="21" borderId="32" xfId="0" applyFont="1" applyFill="1" applyBorder="1" applyAlignment="1">
      <alignment horizontal="center" vertical="center"/>
    </xf>
    <xf numFmtId="0" fontId="45" fillId="4" borderId="5" xfId="0" applyFont="1" applyFill="1" applyBorder="1" applyAlignment="1">
      <alignment horizontal="center" vertical="center" wrapText="1"/>
    </xf>
    <xf numFmtId="0" fontId="24" fillId="8" borderId="16" xfId="0" applyFont="1" applyFill="1" applyBorder="1" applyAlignment="1">
      <alignment horizontal="center" vertical="center" wrapText="1"/>
    </xf>
    <xf numFmtId="0" fontId="36" fillId="4" borderId="5" xfId="0" applyFont="1" applyFill="1" applyBorder="1" applyAlignment="1">
      <alignment horizontal="center" vertical="center"/>
    </xf>
    <xf numFmtId="0" fontId="2" fillId="0" borderId="17" xfId="0" applyFont="1" applyBorder="1" applyAlignment="1">
      <alignment horizontal="center" vertical="center" wrapText="1"/>
    </xf>
    <xf numFmtId="0" fontId="2" fillId="15" borderId="17" xfId="0" applyFont="1" applyFill="1" applyBorder="1" applyAlignment="1">
      <alignment horizontal="center" vertical="center"/>
    </xf>
    <xf numFmtId="0" fontId="2" fillId="0" borderId="16" xfId="0" applyFont="1" applyBorder="1" applyAlignment="1">
      <alignment horizontal="center" vertical="center" wrapText="1"/>
    </xf>
    <xf numFmtId="0" fontId="2" fillId="0" borderId="17" xfId="0" applyFont="1" applyBorder="1" applyAlignment="1">
      <alignment horizontal="center" vertical="center"/>
    </xf>
    <xf numFmtId="0" fontId="2" fillId="0" borderId="10" xfId="0" applyFont="1" applyBorder="1" applyAlignment="1">
      <alignment horizontal="center" vertical="center" wrapText="1"/>
    </xf>
    <xf numFmtId="0" fontId="2" fillId="0" borderId="17" xfId="0" applyFont="1" applyBorder="1" applyAlignment="1">
      <alignment horizontal="left" vertical="center" wrapText="1"/>
    </xf>
    <xf numFmtId="194" fontId="2" fillId="15" borderId="10" xfId="0" applyNumberFormat="1" applyFont="1" applyFill="1" applyBorder="1" applyAlignment="1">
      <alignment horizontal="center" vertical="center"/>
    </xf>
    <xf numFmtId="194" fontId="2" fillId="15" borderId="17" xfId="0" applyNumberFormat="1" applyFont="1" applyFill="1" applyBorder="1" applyAlignment="1">
      <alignment horizontal="center" vertical="center"/>
    </xf>
    <xf numFmtId="2" fontId="2" fillId="0" borderId="17" xfId="1" applyNumberFormat="1" applyFont="1" applyFill="1" applyBorder="1" applyAlignment="1">
      <alignment horizontal="center" vertical="center"/>
    </xf>
    <xf numFmtId="189" fontId="2" fillId="15" borderId="16" xfId="0" applyNumberFormat="1" applyFont="1" applyFill="1" applyBorder="1" applyAlignment="1">
      <alignment horizontal="center" vertical="center" wrapText="1"/>
    </xf>
    <xf numFmtId="194" fontId="2" fillId="15" borderId="16" xfId="0" applyNumberFormat="1" applyFont="1" applyFill="1" applyBorder="1" applyAlignment="1">
      <alignment horizontal="center" vertical="center"/>
    </xf>
    <xf numFmtId="0" fontId="2" fillId="15" borderId="16" xfId="0" applyFont="1" applyFill="1" applyBorder="1" applyAlignment="1">
      <alignment horizontal="center" vertical="center"/>
    </xf>
    <xf numFmtId="0" fontId="2" fillId="15" borderId="16" xfId="0" applyFont="1" applyFill="1" applyBorder="1" applyAlignment="1">
      <alignment vertical="center"/>
    </xf>
    <xf numFmtId="196" fontId="2" fillId="15" borderId="36" xfId="0" applyNumberFormat="1" applyFont="1" applyFill="1" applyBorder="1" applyAlignment="1">
      <alignment horizontal="left" vertical="center" wrapText="1"/>
    </xf>
    <xf numFmtId="0" fontId="2" fillId="0" borderId="39" xfId="0" applyFont="1" applyBorder="1" applyAlignment="1">
      <alignment horizontal="center" vertical="center" wrapText="1"/>
    </xf>
    <xf numFmtId="0" fontId="2" fillId="22" borderId="17" xfId="0" applyFont="1" applyFill="1" applyBorder="1" applyAlignment="1">
      <alignment horizontal="left" vertical="center" wrapText="1"/>
    </xf>
    <xf numFmtId="194" fontId="2" fillId="22" borderId="39" xfId="0" applyNumberFormat="1" applyFont="1" applyFill="1" applyBorder="1" applyAlignment="1">
      <alignment horizontal="center" vertical="center"/>
    </xf>
    <xf numFmtId="194" fontId="2" fillId="22" borderId="17" xfId="0" applyNumberFormat="1" applyFont="1" applyFill="1" applyBorder="1" applyAlignment="1">
      <alignment horizontal="center" vertical="center"/>
    </xf>
    <xf numFmtId="189" fontId="2" fillId="0" borderId="16" xfId="0" applyNumberFormat="1" applyFont="1" applyBorder="1" applyAlignment="1">
      <alignment horizontal="center" vertical="center" wrapText="1"/>
    </xf>
    <xf numFmtId="194" fontId="2" fillId="0" borderId="16" xfId="0" applyNumberFormat="1" applyFont="1" applyBorder="1" applyAlignment="1">
      <alignment horizontal="center" vertical="center"/>
    </xf>
    <xf numFmtId="0" fontId="2" fillId="22" borderId="17" xfId="0" applyFont="1" applyFill="1" applyBorder="1" applyAlignment="1">
      <alignment horizontal="center" vertical="center"/>
    </xf>
    <xf numFmtId="0" fontId="2" fillId="0" borderId="16" xfId="0" applyFont="1" applyBorder="1" applyAlignment="1">
      <alignment horizontal="center" vertical="center"/>
    </xf>
    <xf numFmtId="0" fontId="2" fillId="0" borderId="16" xfId="0" applyFont="1" applyBorder="1" applyAlignment="1">
      <alignment vertical="center"/>
    </xf>
    <xf numFmtId="196" fontId="2" fillId="0" borderId="36" xfId="0" applyNumberFormat="1" applyFont="1" applyBorder="1" applyAlignment="1">
      <alignment horizontal="left" vertical="center" wrapText="1"/>
    </xf>
    <xf numFmtId="0" fontId="2" fillId="15" borderId="16" xfId="0" applyFont="1" applyFill="1" applyBorder="1" applyAlignment="1">
      <alignment horizontal="center" vertical="center" wrapText="1"/>
    </xf>
    <xf numFmtId="0" fontId="2" fillId="15" borderId="17" xfId="0" applyFont="1" applyFill="1" applyBorder="1" applyAlignment="1">
      <alignment horizontal="center" vertical="center" wrapText="1"/>
    </xf>
    <xf numFmtId="0" fontId="2" fillId="15" borderId="17" xfId="0" applyFont="1" applyFill="1" applyBorder="1" applyAlignment="1">
      <alignment horizontal="left" vertical="center" wrapText="1"/>
    </xf>
    <xf numFmtId="2" fontId="2" fillId="15" borderId="17" xfId="1" applyNumberFormat="1" applyFont="1" applyFill="1" applyBorder="1" applyAlignment="1">
      <alignment horizontal="center" vertical="center"/>
    </xf>
    <xf numFmtId="194" fontId="38" fillId="15" borderId="16" xfId="0" applyNumberFormat="1" applyFont="1" applyFill="1" applyBorder="1" applyAlignment="1">
      <alignment horizontal="center" vertical="center"/>
    </xf>
    <xf numFmtId="0" fontId="2" fillId="0" borderId="23" xfId="0" applyFont="1" applyBorder="1" applyAlignment="1">
      <alignment horizontal="center" vertical="center" wrapText="1"/>
    </xf>
    <xf numFmtId="0" fontId="2" fillId="15" borderId="23" xfId="0" applyFont="1" applyFill="1" applyBorder="1" applyAlignment="1">
      <alignment horizontal="center" vertical="center"/>
    </xf>
    <xf numFmtId="0" fontId="2" fillId="0" borderId="22" xfId="0" applyFont="1" applyBorder="1" applyAlignment="1">
      <alignment horizontal="center" vertical="center" wrapText="1"/>
    </xf>
    <xf numFmtId="0" fontId="2" fillId="0" borderId="23" xfId="0" applyFont="1" applyBorder="1" applyAlignment="1">
      <alignment horizontal="center" vertical="center"/>
    </xf>
    <xf numFmtId="0" fontId="2" fillId="0" borderId="23" xfId="0" applyFont="1" applyBorder="1" applyAlignment="1">
      <alignment horizontal="left" vertical="center" wrapText="1"/>
    </xf>
    <xf numFmtId="194" fontId="2" fillId="15" borderId="23" xfId="0" applyNumberFormat="1" applyFont="1" applyFill="1" applyBorder="1" applyAlignment="1">
      <alignment horizontal="center" vertical="center"/>
    </xf>
    <xf numFmtId="194" fontId="2" fillId="0" borderId="23" xfId="0" applyNumberFormat="1" applyFont="1" applyBorder="1" applyAlignment="1">
      <alignment horizontal="center" vertical="center"/>
    </xf>
    <xf numFmtId="2" fontId="2" fillId="15" borderId="23" xfId="1" applyNumberFormat="1" applyFont="1" applyFill="1" applyBorder="1" applyAlignment="1">
      <alignment horizontal="center" vertical="center" wrapText="1"/>
    </xf>
    <xf numFmtId="189" fontId="2" fillId="15" borderId="22" xfId="0" applyNumberFormat="1" applyFont="1" applyFill="1" applyBorder="1" applyAlignment="1">
      <alignment horizontal="center" vertical="center" wrapText="1"/>
    </xf>
    <xf numFmtId="194" fontId="2" fillId="15" borderId="22" xfId="0" applyNumberFormat="1" applyFont="1" applyFill="1" applyBorder="1" applyAlignment="1">
      <alignment horizontal="center" vertical="center"/>
    </xf>
    <xf numFmtId="0" fontId="2" fillId="15" borderId="22" xfId="0" applyFont="1" applyFill="1" applyBorder="1" applyAlignment="1">
      <alignment horizontal="center" vertical="center"/>
    </xf>
    <xf numFmtId="0" fontId="2" fillId="15" borderId="22" xfId="0" applyFont="1" applyFill="1" applyBorder="1" applyAlignment="1">
      <alignment vertical="center"/>
    </xf>
    <xf numFmtId="0" fontId="2" fillId="15" borderId="22" xfId="0" applyFont="1" applyFill="1" applyBorder="1" applyAlignment="1">
      <alignment vertical="center" wrapText="1"/>
    </xf>
    <xf numFmtId="194" fontId="2" fillId="0" borderId="17" xfId="0" applyNumberFormat="1" applyFont="1" applyBorder="1" applyAlignment="1">
      <alignment horizontal="center" vertical="center"/>
    </xf>
    <xf numFmtId="189" fontId="2" fillId="0" borderId="9" xfId="0" applyNumberFormat="1" applyFont="1" applyBorder="1" applyAlignment="1">
      <alignment horizontal="center" vertical="center" wrapText="1"/>
    </xf>
    <xf numFmtId="2" fontId="2" fillId="15" borderId="17" xfId="1" applyNumberFormat="1" applyFont="1" applyFill="1" applyBorder="1" applyAlignment="1">
      <alignment horizontal="center" vertical="center" wrapText="1"/>
    </xf>
    <xf numFmtId="2" fontId="2" fillId="0" borderId="23" xfId="1" applyNumberFormat="1" applyFont="1" applyFill="1" applyBorder="1" applyAlignment="1">
      <alignment horizontal="center" vertical="center" wrapText="1"/>
    </xf>
    <xf numFmtId="189" fontId="2" fillId="0" borderId="22" xfId="0" applyNumberFormat="1" applyFont="1" applyBorder="1" applyAlignment="1">
      <alignment horizontal="center" vertical="center" wrapText="1"/>
    </xf>
    <xf numFmtId="194" fontId="2" fillId="0" borderId="22"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189" fontId="2" fillId="15" borderId="9" xfId="0" applyNumberFormat="1" applyFont="1" applyFill="1" applyBorder="1" applyAlignment="1">
      <alignment horizontal="center" vertical="center" wrapText="1"/>
    </xf>
    <xf numFmtId="0" fontId="1" fillId="21" borderId="37" xfId="0" applyFont="1" applyFill="1" applyBorder="1" applyAlignment="1">
      <alignment horizontal="center" vertical="center"/>
    </xf>
    <xf numFmtId="0" fontId="1" fillId="0" borderId="37" xfId="0" applyFont="1" applyBorder="1" applyAlignment="1">
      <alignment horizontal="center" vertical="center"/>
    </xf>
    <xf numFmtId="2" fontId="50" fillId="0" borderId="38" xfId="0" applyNumberFormat="1" applyFont="1" applyBorder="1" applyAlignment="1">
      <alignment horizontal="center" vertical="center" wrapText="1"/>
    </xf>
    <xf numFmtId="2" fontId="2" fillId="0" borderId="17" xfId="1" applyNumberFormat="1" applyFont="1" applyFill="1" applyBorder="1" applyAlignment="1">
      <alignment horizontal="center" vertical="center" wrapText="1"/>
    </xf>
    <xf numFmtId="0" fontId="1" fillId="21" borderId="40" xfId="0" applyFont="1" applyFill="1" applyBorder="1" applyAlignment="1">
      <alignment horizontal="center" vertical="center"/>
    </xf>
    <xf numFmtId="194" fontId="2" fillId="0" borderId="10" xfId="0" applyNumberFormat="1" applyFont="1" applyBorder="1" applyAlignment="1">
      <alignment horizontal="center" vertical="center"/>
    </xf>
    <xf numFmtId="2" fontId="38" fillId="0" borderId="17" xfId="1" applyNumberFormat="1" applyFont="1" applyFill="1" applyBorder="1" applyAlignment="1">
      <alignment horizontal="center" vertical="center"/>
    </xf>
    <xf numFmtId="194" fontId="2" fillId="0" borderId="17" xfId="0" applyNumberFormat="1" applyFont="1" applyBorder="1" applyAlignment="1">
      <alignment horizontal="center" vertical="center" wrapText="1"/>
    </xf>
    <xf numFmtId="194" fontId="2" fillId="0" borderId="39" xfId="0" applyNumberFormat="1" applyFont="1" applyBorder="1" applyAlignment="1">
      <alignment horizontal="center" vertical="center"/>
    </xf>
    <xf numFmtId="0" fontId="38" fillId="0" borderId="37" xfId="0" applyFont="1" applyBorder="1" applyAlignment="1">
      <alignment horizontal="center" vertical="center" wrapText="1"/>
    </xf>
    <xf numFmtId="194" fontId="2" fillId="0" borderId="10" xfId="0" applyNumberFormat="1" applyFont="1" applyBorder="1" applyAlignment="1">
      <alignment horizontal="center" vertical="center" wrapText="1"/>
    </xf>
    <xf numFmtId="194" fontId="2" fillId="0" borderId="16" xfId="0" applyNumberFormat="1" applyFont="1" applyBorder="1" applyAlignment="1">
      <alignment horizontal="center" vertical="center" wrapText="1"/>
    </xf>
    <xf numFmtId="194" fontId="2" fillId="0" borderId="23" xfId="0" applyNumberFormat="1" applyFont="1" applyBorder="1" applyAlignment="1">
      <alignment horizontal="center" vertical="center" wrapText="1"/>
    </xf>
    <xf numFmtId="194" fontId="2" fillId="0" borderId="22" xfId="0" applyNumberFormat="1" applyFont="1" applyBorder="1" applyAlignment="1">
      <alignment horizontal="center" vertical="center" wrapText="1"/>
    </xf>
    <xf numFmtId="0" fontId="2" fillId="0" borderId="22" xfId="0" applyFont="1" applyBorder="1" applyAlignment="1">
      <alignment vertical="center" wrapText="1"/>
    </xf>
    <xf numFmtId="0" fontId="37" fillId="17" borderId="17" xfId="0" applyFont="1" applyFill="1" applyBorder="1" applyAlignment="1">
      <alignment horizontal="center" vertical="center" wrapText="1"/>
    </xf>
    <xf numFmtId="2" fontId="37" fillId="17" borderId="17" xfId="1" applyNumberFormat="1" applyFont="1" applyFill="1" applyBorder="1" applyAlignment="1">
      <alignment horizontal="center" vertical="center" wrapText="1"/>
    </xf>
    <xf numFmtId="0" fontId="37" fillId="17" borderId="16" xfId="0" applyFont="1" applyFill="1" applyBorder="1" applyAlignment="1">
      <alignment horizontal="center" vertical="center" wrapText="1"/>
    </xf>
    <xf numFmtId="0" fontId="37" fillId="17" borderId="10" xfId="0" applyFont="1" applyFill="1" applyBorder="1" applyAlignment="1">
      <alignment horizontal="center" vertical="center" wrapText="1"/>
    </xf>
    <xf numFmtId="0" fontId="37" fillId="17" borderId="17" xfId="0" applyFont="1" applyFill="1" applyBorder="1" applyAlignment="1">
      <alignment horizontal="left" vertical="center" wrapText="1"/>
    </xf>
    <xf numFmtId="194" fontId="37" fillId="17" borderId="10" xfId="0" applyNumberFormat="1" applyFont="1" applyFill="1" applyBorder="1" applyAlignment="1">
      <alignment horizontal="center" vertical="center" wrapText="1"/>
    </xf>
    <xf numFmtId="194" fontId="37" fillId="17" borderId="17" xfId="0" applyNumberFormat="1" applyFont="1" applyFill="1" applyBorder="1" applyAlignment="1">
      <alignment horizontal="center" vertical="center" wrapText="1"/>
    </xf>
    <xf numFmtId="189" fontId="37" fillId="17" borderId="9" xfId="0" applyNumberFormat="1" applyFont="1" applyFill="1" applyBorder="1" applyAlignment="1">
      <alignment horizontal="center" vertical="center" wrapText="1"/>
    </xf>
    <xf numFmtId="194" fontId="37" fillId="17" borderId="16" xfId="0" applyNumberFormat="1" applyFont="1" applyFill="1" applyBorder="1" applyAlignment="1">
      <alignment horizontal="center" vertical="center" wrapText="1"/>
    </xf>
    <xf numFmtId="0" fontId="2" fillId="17" borderId="16" xfId="0" applyFont="1" applyFill="1" applyBorder="1" applyAlignment="1">
      <alignment vertical="center"/>
    </xf>
    <xf numFmtId="189" fontId="37" fillId="17" borderId="16" xfId="0" applyNumberFormat="1" applyFont="1" applyFill="1" applyBorder="1" applyAlignment="1">
      <alignment horizontal="center" vertical="center" wrapText="1"/>
    </xf>
    <xf numFmtId="0" fontId="37" fillId="17" borderId="23" xfId="0" applyFont="1" applyFill="1" applyBorder="1" applyAlignment="1">
      <alignment horizontal="center" vertical="center" wrapText="1"/>
    </xf>
    <xf numFmtId="2" fontId="37" fillId="17" borderId="23" xfId="1" applyNumberFormat="1" applyFont="1" applyFill="1" applyBorder="1" applyAlignment="1">
      <alignment horizontal="center" vertical="center" wrapText="1"/>
    </xf>
    <xf numFmtId="0" fontId="37" fillId="17" borderId="23" xfId="0" applyFont="1" applyFill="1" applyBorder="1" applyAlignment="1">
      <alignment horizontal="center" vertical="center"/>
    </xf>
    <xf numFmtId="0" fontId="37" fillId="17" borderId="22" xfId="0" applyFont="1" applyFill="1" applyBorder="1" applyAlignment="1">
      <alignment horizontal="center" vertical="center" wrapText="1"/>
    </xf>
    <xf numFmtId="0" fontId="37" fillId="17" borderId="23" xfId="0" applyFont="1" applyFill="1" applyBorder="1" applyAlignment="1">
      <alignment horizontal="left" vertical="center" wrapText="1"/>
    </xf>
    <xf numFmtId="194" fontId="37" fillId="17" borderId="23" xfId="0" applyNumberFormat="1" applyFont="1" applyFill="1" applyBorder="1" applyAlignment="1">
      <alignment horizontal="center" vertical="center"/>
    </xf>
    <xf numFmtId="189" fontId="37" fillId="17" borderId="22" xfId="0" applyNumberFormat="1" applyFont="1" applyFill="1" applyBorder="1" applyAlignment="1">
      <alignment horizontal="center" vertical="center" wrapText="1"/>
    </xf>
    <xf numFmtId="194" fontId="37" fillId="17" borderId="22" xfId="0" applyNumberFormat="1" applyFont="1" applyFill="1" applyBorder="1" applyAlignment="1">
      <alignment horizontal="center" vertical="center"/>
    </xf>
    <xf numFmtId="0" fontId="37" fillId="17" borderId="22" xfId="0" applyFont="1" applyFill="1" applyBorder="1" applyAlignment="1">
      <alignment horizontal="center" vertical="center"/>
    </xf>
    <xf numFmtId="0" fontId="37" fillId="17" borderId="22" xfId="0" applyFont="1" applyFill="1" applyBorder="1" applyAlignment="1">
      <alignment vertical="center"/>
    </xf>
    <xf numFmtId="0" fontId="1" fillId="0" borderId="40" xfId="0" applyFont="1" applyBorder="1" applyAlignment="1">
      <alignment horizontal="center" vertical="center"/>
    </xf>
    <xf numFmtId="0" fontId="2" fillId="15" borderId="22" xfId="0" applyFont="1" applyFill="1" applyBorder="1" applyAlignment="1">
      <alignment horizontal="center" vertical="center" wrapText="1"/>
    </xf>
    <xf numFmtId="0" fontId="2" fillId="15" borderId="23" xfId="0" applyFont="1" applyFill="1" applyBorder="1" applyAlignment="1">
      <alignment horizontal="center" vertical="center" wrapText="1"/>
    </xf>
    <xf numFmtId="0" fontId="2" fillId="15" borderId="23" xfId="0" applyFont="1" applyFill="1" applyBorder="1" applyAlignment="1">
      <alignment horizontal="left" vertical="center" wrapText="1"/>
    </xf>
    <xf numFmtId="0" fontId="2" fillId="21" borderId="37" xfId="0" applyFont="1" applyFill="1" applyBorder="1" applyAlignment="1">
      <alignment horizontal="center" vertical="center"/>
    </xf>
    <xf numFmtId="0" fontId="2" fillId="21" borderId="40" xfId="0" applyFont="1" applyFill="1" applyBorder="1" applyAlignment="1">
      <alignment horizontal="center" vertical="center"/>
    </xf>
    <xf numFmtId="2" fontId="37" fillId="17" borderId="17" xfId="1" applyNumberFormat="1" applyFont="1" applyFill="1" applyBorder="1" applyAlignment="1">
      <alignment horizontal="center" vertical="center"/>
    </xf>
    <xf numFmtId="0" fontId="37" fillId="17" borderId="17" xfId="0" applyFont="1" applyFill="1" applyBorder="1" applyAlignment="1">
      <alignment horizontal="center" vertical="center"/>
    </xf>
    <xf numFmtId="194" fontId="37" fillId="17" borderId="10" xfId="0" applyNumberFormat="1" applyFont="1" applyFill="1" applyBorder="1" applyAlignment="1">
      <alignment horizontal="center" vertical="center"/>
    </xf>
    <xf numFmtId="194" fontId="37" fillId="17" borderId="17" xfId="0" applyNumberFormat="1" applyFont="1" applyFill="1" applyBorder="1" applyAlignment="1">
      <alignment horizontal="center" vertical="center"/>
    </xf>
    <xf numFmtId="194" fontId="37" fillId="17" borderId="16" xfId="0" applyNumberFormat="1" applyFont="1" applyFill="1" applyBorder="1" applyAlignment="1">
      <alignment horizontal="center" vertical="center"/>
    </xf>
    <xf numFmtId="0" fontId="37" fillId="17" borderId="16" xfId="0" applyFont="1" applyFill="1" applyBorder="1" applyAlignment="1">
      <alignment horizontal="center" vertical="center"/>
    </xf>
    <xf numFmtId="0" fontId="37" fillId="17" borderId="16" xfId="0" applyFont="1" applyFill="1" applyBorder="1" applyAlignment="1">
      <alignment vertical="center"/>
    </xf>
    <xf numFmtId="2" fontId="49" fillId="0" borderId="38" xfId="0" applyNumberFormat="1" applyFont="1" applyBorder="1" applyAlignment="1">
      <alignment horizontal="center" vertical="center" wrapText="1"/>
    </xf>
    <xf numFmtId="0" fontId="2" fillId="0" borderId="36" xfId="0" applyFont="1" applyBorder="1" applyAlignment="1">
      <alignment horizontal="center" vertical="center" wrapText="1"/>
    </xf>
    <xf numFmtId="194" fontId="38" fillId="0" borderId="17" xfId="0" applyNumberFormat="1" applyFont="1" applyBorder="1" applyAlignment="1">
      <alignment horizontal="center" vertical="center"/>
    </xf>
    <xf numFmtId="0" fontId="2" fillId="0" borderId="22" xfId="0" applyFont="1" applyBorder="1" applyAlignment="1">
      <alignment vertical="top" wrapText="1"/>
    </xf>
    <xf numFmtId="197" fontId="2" fillId="0" borderId="23" xfId="0" applyNumberFormat="1" applyFont="1" applyBorder="1" applyAlignment="1">
      <alignment horizontal="center" vertical="center"/>
    </xf>
    <xf numFmtId="194" fontId="38" fillId="18" borderId="16" xfId="0" applyNumberFormat="1" applyFont="1" applyFill="1" applyBorder="1" applyAlignment="1">
      <alignment horizontal="center" vertical="center"/>
    </xf>
    <xf numFmtId="0" fontId="2" fillId="0" borderId="37" xfId="0" applyFont="1" applyBorder="1" applyAlignment="1">
      <alignment horizontal="center" vertical="center" wrapText="1"/>
    </xf>
    <xf numFmtId="0" fontId="2" fillId="0" borderId="33" xfId="0" applyFont="1" applyBorder="1" applyAlignment="1">
      <alignment horizontal="center" vertical="center"/>
    </xf>
    <xf numFmtId="2" fontId="48" fillId="0" borderId="38" xfId="0" applyNumberFormat="1" applyFont="1" applyBorder="1" applyAlignment="1">
      <alignment horizontal="center" vertical="center" wrapText="1"/>
    </xf>
    <xf numFmtId="0" fontId="2" fillId="0" borderId="37" xfId="0" applyFont="1" applyBorder="1" applyAlignment="1">
      <alignment horizontal="center" vertical="center"/>
    </xf>
    <xf numFmtId="0" fontId="2" fillId="0" borderId="40" xfId="0" applyFont="1" applyBorder="1" applyAlignment="1">
      <alignment horizontal="center" vertical="center"/>
    </xf>
    <xf numFmtId="0" fontId="1" fillId="0" borderId="33" xfId="0" applyFont="1" applyBorder="1" applyAlignment="1">
      <alignment horizontal="center" vertical="center"/>
    </xf>
    <xf numFmtId="0" fontId="1" fillId="21" borderId="33" xfId="0" applyFont="1" applyFill="1" applyBorder="1" applyAlignment="1">
      <alignment horizontal="center" vertical="center"/>
    </xf>
    <xf numFmtId="194" fontId="38" fillId="22" borderId="17" xfId="0" applyNumberFormat="1" applyFont="1" applyFill="1" applyBorder="1" applyAlignment="1">
      <alignment horizontal="center" vertical="center"/>
    </xf>
    <xf numFmtId="0" fontId="38" fillId="0" borderId="17" xfId="0" applyFont="1" applyBorder="1" applyAlignment="1">
      <alignment horizontal="center" vertical="center"/>
    </xf>
    <xf numFmtId="0" fontId="38" fillId="22" borderId="17" xfId="0" applyFont="1" applyFill="1" applyBorder="1" applyAlignment="1">
      <alignment horizontal="left" vertical="center" wrapText="1"/>
    </xf>
    <xf numFmtId="189" fontId="38" fillId="0" borderId="16" xfId="0" applyNumberFormat="1" applyFont="1" applyBorder="1" applyAlignment="1">
      <alignment horizontal="center" vertical="center" wrapText="1"/>
    </xf>
    <xf numFmtId="194" fontId="38" fillId="0" borderId="16" xfId="0" applyNumberFormat="1" applyFont="1" applyBorder="1" applyAlignment="1">
      <alignment horizontal="center" vertical="center"/>
    </xf>
    <xf numFmtId="0" fontId="38" fillId="22" borderId="17" xfId="0" applyFont="1" applyFill="1" applyBorder="1" applyAlignment="1">
      <alignment horizontal="center" vertical="center"/>
    </xf>
    <xf numFmtId="0" fontId="38" fillId="0" borderId="16" xfId="0" applyFont="1" applyBorder="1" applyAlignment="1">
      <alignment horizontal="center" vertical="center"/>
    </xf>
    <xf numFmtId="0" fontId="38" fillId="0" borderId="16" xfId="0" applyFont="1" applyBorder="1" applyAlignment="1">
      <alignment vertical="center"/>
    </xf>
    <xf numFmtId="196" fontId="38" fillId="0" borderId="36" xfId="0" applyNumberFormat="1" applyFont="1" applyBorder="1" applyAlignment="1">
      <alignment horizontal="left" vertical="center" wrapText="1"/>
    </xf>
    <xf numFmtId="2" fontId="2" fillId="18" borderId="17" xfId="1" applyNumberFormat="1" applyFont="1" applyFill="1" applyBorder="1" applyAlignment="1">
      <alignment horizontal="center" vertical="center"/>
    </xf>
    <xf numFmtId="189" fontId="2" fillId="18" borderId="9" xfId="0" applyNumberFormat="1" applyFont="1" applyFill="1" applyBorder="1" applyAlignment="1">
      <alignment horizontal="center" vertical="center" wrapText="1"/>
    </xf>
    <xf numFmtId="194" fontId="38" fillId="0" borderId="23" xfId="0" applyNumberFormat="1" applyFont="1" applyBorder="1" applyAlignment="1">
      <alignment horizontal="center" vertical="center"/>
    </xf>
    <xf numFmtId="0" fontId="2" fillId="21" borderId="33" xfId="0" applyFont="1" applyFill="1" applyBorder="1" applyAlignment="1">
      <alignment horizontal="center" vertical="center"/>
    </xf>
    <xf numFmtId="0" fontId="2" fillId="16" borderId="17" xfId="0" applyFont="1" applyFill="1" applyBorder="1" applyAlignment="1">
      <alignment horizontal="center" vertical="center" wrapText="1"/>
    </xf>
    <xf numFmtId="194" fontId="37" fillId="23" borderId="48" xfId="0" applyNumberFormat="1" applyFont="1" applyFill="1" applyBorder="1" applyAlignment="1">
      <alignment horizontal="center" vertical="center"/>
    </xf>
    <xf numFmtId="0" fontId="37" fillId="15" borderId="17" xfId="0" applyFont="1" applyFill="1" applyBorder="1" applyAlignment="1">
      <alignment horizontal="center" vertical="center"/>
    </xf>
    <xf numFmtId="0" fontId="37" fillId="15" borderId="36" xfId="0" applyFont="1" applyFill="1" applyBorder="1" applyAlignment="1">
      <alignment horizontal="center" vertical="center"/>
    </xf>
    <xf numFmtId="0" fontId="37" fillId="15" borderId="36" xfId="0" applyFont="1" applyFill="1" applyBorder="1" applyAlignment="1">
      <alignment vertical="center"/>
    </xf>
    <xf numFmtId="0" fontId="2" fillId="15" borderId="36" xfId="0" applyFont="1" applyFill="1" applyBorder="1" applyAlignment="1">
      <alignment horizontal="center" vertical="center"/>
    </xf>
    <xf numFmtId="194" fontId="2" fillId="23" borderId="48" xfId="0" applyNumberFormat="1" applyFont="1" applyFill="1" applyBorder="1" applyAlignment="1">
      <alignment horizontal="center" vertical="center"/>
    </xf>
    <xf numFmtId="0" fontId="37" fillId="15" borderId="16" xfId="0" applyFont="1" applyFill="1" applyBorder="1" applyAlignment="1">
      <alignment horizontal="center" vertical="center"/>
    </xf>
    <xf numFmtId="0" fontId="37" fillId="15" borderId="16" xfId="0" applyFont="1" applyFill="1" applyBorder="1" applyAlignment="1">
      <alignment vertical="center"/>
    </xf>
    <xf numFmtId="0" fontId="2" fillId="15" borderId="16" xfId="0" applyFont="1" applyFill="1" applyBorder="1" applyAlignment="1">
      <alignment horizontal="left" vertical="center"/>
    </xf>
    <xf numFmtId="194" fontId="37" fillId="23" borderId="49" xfId="0" applyNumberFormat="1" applyFont="1" applyFill="1" applyBorder="1" applyAlignment="1">
      <alignment horizontal="center" vertical="center"/>
    </xf>
    <xf numFmtId="0" fontId="37" fillId="15" borderId="23" xfId="0" applyFont="1" applyFill="1" applyBorder="1" applyAlignment="1">
      <alignment horizontal="center" vertical="center"/>
    </xf>
    <xf numFmtId="0" fontId="37" fillId="15" borderId="22" xfId="0" applyFont="1" applyFill="1" applyBorder="1" applyAlignment="1">
      <alignment horizontal="center" vertical="center"/>
    </xf>
    <xf numFmtId="0" fontId="37" fillId="15" borderId="22" xfId="0" applyFont="1" applyFill="1" applyBorder="1" applyAlignment="1">
      <alignment vertical="center"/>
    </xf>
    <xf numFmtId="194" fontId="52" fillId="23" borderId="48" xfId="0" applyNumberFormat="1" applyFont="1" applyFill="1" applyBorder="1" applyAlignment="1">
      <alignment horizontal="center" vertical="center"/>
    </xf>
    <xf numFmtId="194" fontId="1" fillId="23" borderId="48" xfId="0" applyNumberFormat="1" applyFont="1" applyFill="1" applyBorder="1" applyAlignment="1">
      <alignment horizontal="center" vertical="center"/>
    </xf>
    <xf numFmtId="194" fontId="2" fillId="17" borderId="17" xfId="0" applyNumberFormat="1" applyFont="1" applyFill="1" applyBorder="1" applyAlignment="1">
      <alignment horizontal="center" vertical="center"/>
    </xf>
    <xf numFmtId="194" fontId="52" fillId="23" borderId="49" xfId="0" applyNumberFormat="1" applyFont="1" applyFill="1" applyBorder="1" applyAlignment="1">
      <alignment horizontal="center" vertical="center"/>
    </xf>
    <xf numFmtId="0" fontId="2" fillId="17" borderId="23" xfId="0" applyFont="1" applyFill="1" applyBorder="1" applyAlignment="1">
      <alignment horizontal="center" vertical="center"/>
    </xf>
    <xf numFmtId="194" fontId="52" fillId="0" borderId="48" xfId="0" applyNumberFormat="1" applyFont="1" applyBorder="1" applyAlignment="1">
      <alignment horizontal="center" vertical="center"/>
    </xf>
    <xf numFmtId="49" fontId="2" fillId="0" borderId="16" xfId="0" applyNumberFormat="1" applyFont="1" applyBorder="1" applyAlignment="1">
      <alignment horizontal="center" vertical="center" wrapText="1"/>
    </xf>
    <xf numFmtId="49" fontId="2" fillId="0" borderId="22" xfId="0" applyNumberFormat="1" applyFont="1" applyBorder="1" applyAlignment="1">
      <alignment horizontal="center" vertical="center" wrapText="1"/>
    </xf>
    <xf numFmtId="194" fontId="2" fillId="0" borderId="10" xfId="0" applyNumberFormat="1" applyFont="1" applyBorder="1" applyAlignment="1">
      <alignment vertical="center" wrapText="1"/>
    </xf>
    <xf numFmtId="194" fontId="2" fillId="0" borderId="39" xfId="0" applyNumberFormat="1" applyFont="1" applyBorder="1" applyAlignment="1">
      <alignment vertical="center" wrapText="1"/>
    </xf>
    <xf numFmtId="194" fontId="48" fillId="0" borderId="17" xfId="0" applyNumberFormat="1" applyFont="1" applyBorder="1" applyAlignment="1">
      <alignment horizontal="center" vertical="center"/>
    </xf>
    <xf numFmtId="0" fontId="2" fillId="0" borderId="23" xfId="0" applyFont="1" applyBorder="1" applyAlignment="1">
      <alignment vertical="center"/>
    </xf>
    <xf numFmtId="189" fontId="2" fillId="0" borderId="23" xfId="0" applyNumberFormat="1" applyFont="1" applyBorder="1" applyAlignment="1">
      <alignment vertical="center"/>
    </xf>
    <xf numFmtId="194" fontId="2" fillId="0" borderId="23" xfId="0" applyNumberFormat="1" applyFont="1" applyBorder="1" applyAlignment="1">
      <alignment vertical="center" wrapText="1"/>
    </xf>
    <xf numFmtId="195" fontId="37" fillId="17" borderId="10" xfId="0" applyNumberFormat="1" applyFont="1" applyFill="1" applyBorder="1" applyAlignment="1">
      <alignment horizontal="center" vertical="center" wrapText="1"/>
    </xf>
    <xf numFmtId="195" fontId="37" fillId="17" borderId="17" xfId="0" applyNumberFormat="1" applyFont="1" applyFill="1" applyBorder="1" applyAlignment="1">
      <alignment horizontal="center" vertical="center"/>
    </xf>
    <xf numFmtId="195" fontId="37" fillId="17" borderId="9" xfId="0" applyNumberFormat="1" applyFont="1" applyFill="1" applyBorder="1" applyAlignment="1">
      <alignment horizontal="center" vertical="center" wrapText="1"/>
    </xf>
    <xf numFmtId="195" fontId="37" fillId="17" borderId="10" xfId="0" applyNumberFormat="1" applyFont="1" applyFill="1" applyBorder="1" applyAlignment="1">
      <alignment horizontal="center" vertical="center"/>
    </xf>
    <xf numFmtId="195" fontId="37" fillId="17" borderId="17" xfId="0" applyNumberFormat="1" applyFont="1" applyFill="1" applyBorder="1" applyAlignment="1">
      <alignment horizontal="center" vertical="center" wrapText="1"/>
    </xf>
    <xf numFmtId="195" fontId="37" fillId="17" borderId="17" xfId="0" applyNumberFormat="1" applyFont="1" applyFill="1" applyBorder="1" applyAlignment="1">
      <alignment horizontal="left" vertical="center" wrapText="1"/>
    </xf>
    <xf numFmtId="195" fontId="37" fillId="17" borderId="17" xfId="1" applyNumberFormat="1" applyFont="1" applyFill="1" applyBorder="1" applyAlignment="1">
      <alignment horizontal="center" vertical="center"/>
    </xf>
    <xf numFmtId="195" fontId="37" fillId="17" borderId="9" xfId="0" applyNumberFormat="1" applyFont="1" applyFill="1" applyBorder="1" applyAlignment="1">
      <alignment vertical="center" wrapText="1"/>
    </xf>
    <xf numFmtId="195" fontId="37" fillId="17" borderId="16" xfId="0" applyNumberFormat="1" applyFont="1" applyFill="1" applyBorder="1" applyAlignment="1">
      <alignment vertical="center" wrapText="1"/>
    </xf>
    <xf numFmtId="195" fontId="37" fillId="17" borderId="36" xfId="0" applyNumberFormat="1" applyFont="1" applyFill="1" applyBorder="1" applyAlignment="1">
      <alignment horizontal="center" vertical="center"/>
    </xf>
    <xf numFmtId="195" fontId="37" fillId="17" borderId="36" xfId="0" applyNumberFormat="1" applyFont="1" applyFill="1" applyBorder="1" applyAlignment="1">
      <alignment vertical="center"/>
    </xf>
    <xf numFmtId="195" fontId="37" fillId="17" borderId="16" xfId="0" applyNumberFormat="1" applyFont="1" applyFill="1" applyBorder="1" applyAlignment="1">
      <alignment horizontal="center" vertical="center" wrapText="1"/>
    </xf>
    <xf numFmtId="195" fontId="37" fillId="17" borderId="17" xfId="1" applyNumberFormat="1" applyFont="1" applyFill="1" applyBorder="1" applyAlignment="1">
      <alignment horizontal="center" vertical="center" wrapText="1"/>
    </xf>
    <xf numFmtId="195" fontId="37" fillId="17" borderId="16" xfId="0" applyNumberFormat="1" applyFont="1" applyFill="1" applyBorder="1" applyAlignment="1">
      <alignment horizontal="center" vertical="center"/>
    </xf>
    <xf numFmtId="195" fontId="37" fillId="17" borderId="16" xfId="0" applyNumberFormat="1" applyFont="1" applyFill="1" applyBorder="1" applyAlignment="1">
      <alignment vertical="center"/>
    </xf>
    <xf numFmtId="195" fontId="37" fillId="17" borderId="23" xfId="0" applyNumberFormat="1" applyFont="1" applyFill="1" applyBorder="1" applyAlignment="1">
      <alignment horizontal="center" vertical="center" wrapText="1"/>
    </xf>
    <xf numFmtId="195" fontId="37" fillId="17" borderId="23" xfId="0" applyNumberFormat="1" applyFont="1" applyFill="1" applyBorder="1" applyAlignment="1">
      <alignment horizontal="center" vertical="center"/>
    </xf>
    <xf numFmtId="195" fontId="37" fillId="17" borderId="22" xfId="0" applyNumberFormat="1" applyFont="1" applyFill="1" applyBorder="1" applyAlignment="1">
      <alignment horizontal="center" vertical="center" wrapText="1"/>
    </xf>
    <xf numFmtId="195" fontId="37" fillId="17" borderId="23" xfId="0" applyNumberFormat="1" applyFont="1" applyFill="1" applyBorder="1" applyAlignment="1">
      <alignment horizontal="left" vertical="center" wrapText="1"/>
    </xf>
    <xf numFmtId="195" fontId="37" fillId="17" borderId="23" xfId="1" applyNumberFormat="1" applyFont="1" applyFill="1" applyBorder="1" applyAlignment="1">
      <alignment horizontal="center" vertical="center" wrapText="1"/>
    </xf>
    <xf numFmtId="195" fontId="37" fillId="17" borderId="22" xfId="0" applyNumberFormat="1" applyFont="1" applyFill="1" applyBorder="1" applyAlignment="1">
      <alignment vertical="center" wrapText="1"/>
    </xf>
    <xf numFmtId="195" fontId="37" fillId="17" borderId="22" xfId="0" applyNumberFormat="1" applyFont="1" applyFill="1" applyBorder="1" applyAlignment="1">
      <alignment horizontal="center" vertical="center"/>
    </xf>
    <xf numFmtId="195" fontId="37" fillId="17" borderId="22" xfId="0" applyNumberFormat="1" applyFont="1" applyFill="1" applyBorder="1" applyAlignment="1">
      <alignment vertical="center"/>
    </xf>
    <xf numFmtId="194" fontId="2" fillId="18" borderId="16" xfId="0" applyNumberFormat="1" applyFont="1" applyFill="1" applyBorder="1" applyAlignment="1">
      <alignment horizontal="center" vertical="center"/>
    </xf>
    <xf numFmtId="49" fontId="2" fillId="0" borderId="9" xfId="0" applyNumberFormat="1" applyFont="1" applyBorder="1" applyAlignment="1">
      <alignment horizontal="center" vertical="center" wrapText="1"/>
    </xf>
    <xf numFmtId="194" fontId="2" fillId="0" borderId="9" xfId="0" applyNumberFormat="1" applyFont="1" applyBorder="1" applyAlignment="1">
      <alignment vertical="center" wrapText="1"/>
    </xf>
    <xf numFmtId="194" fontId="2" fillId="0" borderId="16" xfId="0" applyNumberFormat="1" applyFont="1" applyBorder="1" applyAlignment="1">
      <alignment vertical="center" wrapText="1"/>
    </xf>
    <xf numFmtId="194" fontId="2" fillId="0" borderId="22" xfId="0" applyNumberFormat="1" applyFont="1" applyBorder="1" applyAlignment="1">
      <alignment vertical="center" wrapText="1"/>
    </xf>
    <xf numFmtId="0" fontId="2" fillId="0" borderId="23" xfId="0" quotePrefix="1" applyFont="1" applyBorder="1" applyAlignment="1">
      <alignment horizontal="center" vertical="center" wrapText="1"/>
    </xf>
    <xf numFmtId="0" fontId="48" fillId="0" borderId="16" xfId="0" applyFont="1" applyBorder="1" applyAlignment="1">
      <alignment horizontal="center" vertical="center" wrapText="1"/>
    </xf>
    <xf numFmtId="0" fontId="48" fillId="0" borderId="22" xfId="0" applyFont="1" applyBorder="1" applyAlignment="1">
      <alignment horizontal="center" vertical="center" wrapText="1"/>
    </xf>
    <xf numFmtId="0" fontId="48" fillId="0" borderId="9" xfId="0" applyFont="1" applyBorder="1" applyAlignment="1">
      <alignment horizontal="center" vertical="center" wrapText="1"/>
    </xf>
    <xf numFmtId="0" fontId="51" fillId="17" borderId="9" xfId="0" applyFont="1" applyFill="1" applyBorder="1" applyAlignment="1">
      <alignment horizontal="center" vertical="center" wrapText="1"/>
    </xf>
    <xf numFmtId="0" fontId="51" fillId="17" borderId="16" xfId="0" applyFont="1" applyFill="1" applyBorder="1" applyAlignment="1">
      <alignment horizontal="center" vertical="center" wrapText="1"/>
    </xf>
    <xf numFmtId="0" fontId="51" fillId="17" borderId="22" xfId="0" applyFont="1" applyFill="1" applyBorder="1" applyAlignment="1">
      <alignment horizontal="center" vertical="center" wrapText="1"/>
    </xf>
    <xf numFmtId="0" fontId="49" fillId="0" borderId="16" xfId="0" applyFont="1" applyBorder="1" applyAlignment="1">
      <alignment horizontal="center" vertical="center" wrapText="1"/>
    </xf>
    <xf numFmtId="0" fontId="48" fillId="16" borderId="9" xfId="0" applyFont="1" applyFill="1" applyBorder="1" applyAlignment="1">
      <alignment horizontal="center" vertical="center" wrapText="1"/>
    </xf>
    <xf numFmtId="0" fontId="48" fillId="16" borderId="16" xfId="0" applyFont="1" applyFill="1" applyBorder="1" applyAlignment="1">
      <alignment horizontal="center" vertical="center" wrapText="1"/>
    </xf>
    <xf numFmtId="0" fontId="48" fillId="16" borderId="22" xfId="0" applyFont="1" applyFill="1" applyBorder="1" applyAlignment="1">
      <alignment horizontal="center" vertical="center" wrapText="1"/>
    </xf>
    <xf numFmtId="0" fontId="48" fillId="0" borderId="10" xfId="0" applyFont="1" applyBorder="1" applyAlignment="1">
      <alignment horizontal="center" vertical="center" wrapText="1"/>
    </xf>
    <xf numFmtId="0" fontId="48" fillId="0" borderId="17" xfId="0" applyFont="1" applyBorder="1" applyAlignment="1">
      <alignment horizontal="center" vertical="center" wrapText="1"/>
    </xf>
    <xf numFmtId="0" fontId="48" fillId="0" borderId="23" xfId="0" applyFont="1" applyBorder="1" applyAlignment="1">
      <alignment horizontal="center" vertical="center" wrapText="1"/>
    </xf>
    <xf numFmtId="0" fontId="1" fillId="21" borderId="33" xfId="0" applyFont="1" applyFill="1" applyBorder="1" applyAlignment="1">
      <alignment horizontal="center" vertical="center" wrapText="1"/>
    </xf>
    <xf numFmtId="0" fontId="1" fillId="21" borderId="37" xfId="0" applyFont="1" applyFill="1" applyBorder="1" applyAlignment="1">
      <alignment horizontal="center" vertical="center" wrapText="1"/>
    </xf>
    <xf numFmtId="0" fontId="1" fillId="15" borderId="37" xfId="0" applyFont="1" applyFill="1" applyBorder="1" applyAlignment="1">
      <alignment horizontal="center" vertical="center" wrapText="1"/>
    </xf>
    <xf numFmtId="0" fontId="1" fillId="21" borderId="40" xfId="0" applyFont="1" applyFill="1" applyBorder="1" applyAlignment="1">
      <alignment horizontal="center" vertical="center" wrapText="1"/>
    </xf>
    <xf numFmtId="0" fontId="1" fillId="21" borderId="43" xfId="0" applyFont="1" applyFill="1" applyBorder="1" applyAlignment="1">
      <alignment horizontal="center" vertical="center" wrapText="1"/>
    </xf>
    <xf numFmtId="0" fontId="1" fillId="21" borderId="43" xfId="0" applyFont="1" applyFill="1" applyBorder="1" applyAlignment="1">
      <alignment horizontal="center" vertical="center"/>
    </xf>
    <xf numFmtId="0" fontId="1" fillId="21" borderId="37" xfId="0" applyFont="1" applyFill="1" applyBorder="1" applyAlignment="1">
      <alignment horizontal="center" vertical="center"/>
    </xf>
    <xf numFmtId="0" fontId="1" fillId="0" borderId="37" xfId="0" applyFont="1" applyBorder="1" applyAlignment="1">
      <alignment horizontal="center" vertical="center"/>
    </xf>
    <xf numFmtId="0" fontId="1" fillId="21" borderId="40" xfId="0" applyFont="1" applyFill="1" applyBorder="1" applyAlignment="1">
      <alignment horizontal="center" vertical="center"/>
    </xf>
    <xf numFmtId="0" fontId="38" fillId="0" borderId="43" xfId="0" applyFont="1" applyBorder="1" applyAlignment="1">
      <alignment horizontal="center" vertical="center" wrapText="1"/>
    </xf>
    <xf numFmtId="0" fontId="38" fillId="21" borderId="37" xfId="0" applyFont="1" applyFill="1" applyBorder="1" applyAlignment="1">
      <alignment horizontal="center" vertical="center" wrapText="1"/>
    </xf>
    <xf numFmtId="0" fontId="38" fillId="0" borderId="37" xfId="0" applyFont="1" applyBorder="1" applyAlignment="1">
      <alignment horizontal="center" vertical="center" wrapText="1"/>
    </xf>
    <xf numFmtId="0" fontId="38" fillId="0" borderId="40" xfId="0" applyFont="1" applyBorder="1" applyAlignment="1">
      <alignment horizontal="center" vertical="center" wrapText="1"/>
    </xf>
    <xf numFmtId="0" fontId="1" fillId="0" borderId="43" xfId="0" applyFont="1" applyBorder="1" applyAlignment="1">
      <alignment horizontal="center" vertical="center" wrapText="1"/>
    </xf>
    <xf numFmtId="0" fontId="1" fillId="21" borderId="44" xfId="0" applyFont="1" applyFill="1" applyBorder="1" applyAlignment="1">
      <alignment horizontal="center" vertical="center" wrapText="1"/>
    </xf>
    <xf numFmtId="0" fontId="1" fillId="21" borderId="38" xfId="0" applyFont="1" applyFill="1" applyBorder="1" applyAlignment="1">
      <alignment horizontal="center" vertical="center" wrapText="1"/>
    </xf>
    <xf numFmtId="0" fontId="1" fillId="21" borderId="42" xfId="0" applyFont="1" applyFill="1" applyBorder="1" applyAlignment="1">
      <alignment horizontal="center" vertical="center" wrapText="1"/>
    </xf>
    <xf numFmtId="0" fontId="1" fillId="0" borderId="43" xfId="0" applyFont="1" applyBorder="1" applyAlignment="1">
      <alignment horizontal="center" vertical="center"/>
    </xf>
    <xf numFmtId="0" fontId="1" fillId="18" borderId="37" xfId="0" applyFont="1" applyFill="1" applyBorder="1" applyAlignment="1">
      <alignment horizontal="center" vertical="center"/>
    </xf>
    <xf numFmtId="0" fontId="1" fillId="18" borderId="40" xfId="0" applyFont="1" applyFill="1" applyBorder="1" applyAlignment="1">
      <alignment horizontal="center" vertical="center"/>
    </xf>
    <xf numFmtId="0" fontId="1" fillId="0" borderId="40" xfId="0" applyFont="1" applyBorder="1" applyAlignment="1">
      <alignment horizontal="center" vertical="center"/>
    </xf>
    <xf numFmtId="0" fontId="2" fillId="21" borderId="43" xfId="0" applyFont="1" applyFill="1" applyBorder="1" applyAlignment="1">
      <alignment horizontal="center" vertical="center"/>
    </xf>
    <xf numFmtId="0" fontId="2" fillId="21" borderId="37" xfId="0" applyFont="1" applyFill="1" applyBorder="1" applyAlignment="1">
      <alignment horizontal="center" vertical="center"/>
    </xf>
    <xf numFmtId="0" fontId="2" fillId="21" borderId="40" xfId="0" applyFont="1" applyFill="1" applyBorder="1" applyAlignment="1">
      <alignment horizontal="center" vertical="center"/>
    </xf>
    <xf numFmtId="0" fontId="52" fillId="21" borderId="44" xfId="0" applyFont="1" applyFill="1" applyBorder="1" applyAlignment="1">
      <alignment horizontal="center" vertical="center"/>
    </xf>
    <xf numFmtId="0" fontId="52" fillId="21" borderId="38" xfId="0" applyFont="1" applyFill="1" applyBorder="1" applyAlignment="1">
      <alignment horizontal="center" vertical="center"/>
    </xf>
    <xf numFmtId="0" fontId="52" fillId="21" borderId="42" xfId="0" applyFont="1" applyFill="1" applyBorder="1" applyAlignment="1">
      <alignment horizontal="center" vertical="center"/>
    </xf>
    <xf numFmtId="0" fontId="1" fillId="0" borderId="37"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47" xfId="0" applyFont="1" applyBorder="1" applyAlignment="1">
      <alignment horizontal="center" vertical="center" wrapText="1"/>
    </xf>
    <xf numFmtId="0" fontId="53" fillId="0" borderId="32" xfId="0" applyFont="1" applyBorder="1" applyAlignment="1">
      <alignment horizontal="center" vertical="center" wrapText="1"/>
    </xf>
    <xf numFmtId="0" fontId="53" fillId="0" borderId="37" xfId="0" applyFont="1" applyBorder="1" applyAlignment="1">
      <alignment horizontal="center" vertical="center" wrapText="1"/>
    </xf>
    <xf numFmtId="0" fontId="53" fillId="0" borderId="47" xfId="0" applyFont="1" applyBorder="1" applyAlignment="1">
      <alignment horizontal="center" vertical="center" wrapText="1"/>
    </xf>
    <xf numFmtId="0" fontId="38" fillId="0" borderId="32"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40" xfId="0" applyFont="1" applyBorder="1" applyAlignment="1">
      <alignment horizontal="center" vertical="center" wrapText="1"/>
    </xf>
    <xf numFmtId="2" fontId="2" fillId="0" borderId="34" xfId="1" applyNumberFormat="1" applyFont="1" applyFill="1" applyBorder="1" applyAlignment="1">
      <alignment horizontal="center" vertical="center"/>
    </xf>
    <xf numFmtId="2" fontId="2" fillId="0" borderId="37" xfId="1" applyNumberFormat="1" applyFont="1" applyFill="1" applyBorder="1" applyAlignment="1">
      <alignment horizontal="center" vertical="center"/>
    </xf>
    <xf numFmtId="2" fontId="2" fillId="15" borderId="37" xfId="1" applyNumberFormat="1" applyFont="1" applyFill="1" applyBorder="1" applyAlignment="1">
      <alignment horizontal="center" vertical="center"/>
    </xf>
    <xf numFmtId="2" fontId="2" fillId="0" borderId="41" xfId="1" applyNumberFormat="1" applyFont="1" applyFill="1" applyBorder="1" applyAlignment="1">
      <alignment horizontal="center" vertical="center"/>
    </xf>
    <xf numFmtId="2" fontId="2" fillId="15" borderId="34" xfId="1" applyNumberFormat="1" applyFont="1" applyFill="1" applyBorder="1" applyAlignment="1">
      <alignment horizontal="center" vertical="center"/>
    </xf>
    <xf numFmtId="2" fontId="2" fillId="15" borderId="41" xfId="1" applyNumberFormat="1" applyFont="1" applyFill="1" applyBorder="1" applyAlignment="1">
      <alignment horizontal="center" vertical="center"/>
    </xf>
    <xf numFmtId="2" fontId="38" fillId="0" borderId="37" xfId="1" applyNumberFormat="1" applyFont="1" applyFill="1" applyBorder="1" applyAlignment="1">
      <alignment horizontal="center" vertical="center"/>
    </xf>
    <xf numFmtId="2" fontId="49" fillId="21" borderId="35" xfId="0" applyNumberFormat="1" applyFont="1" applyFill="1" applyBorder="1" applyAlignment="1">
      <alignment horizontal="center" vertical="center" wrapText="1"/>
    </xf>
    <xf numFmtId="2" fontId="49" fillId="21" borderId="38" xfId="0" applyNumberFormat="1" applyFont="1" applyFill="1" applyBorder="1" applyAlignment="1">
      <alignment horizontal="center" vertical="center" wrapText="1"/>
    </xf>
    <xf numFmtId="2" fontId="49" fillId="15" borderId="38" xfId="0" applyNumberFormat="1" applyFont="1" applyFill="1" applyBorder="1" applyAlignment="1">
      <alignment horizontal="center" vertical="center" wrapText="1"/>
    </xf>
    <xf numFmtId="2" fontId="49" fillId="21" borderId="42" xfId="0" applyNumberFormat="1" applyFont="1" applyFill="1" applyBorder="1" applyAlignment="1">
      <alignment horizontal="center" vertical="center" wrapText="1"/>
    </xf>
    <xf numFmtId="0" fontId="1" fillId="15" borderId="38" xfId="0" applyFont="1" applyFill="1" applyBorder="1" applyAlignment="1">
      <alignment horizontal="center" vertical="center" wrapText="1"/>
    </xf>
    <xf numFmtId="2" fontId="50" fillId="21" borderId="44" xfId="0" applyNumberFormat="1" applyFont="1" applyFill="1" applyBorder="1" applyAlignment="1">
      <alignment horizontal="center" vertical="center" wrapText="1"/>
    </xf>
    <xf numFmtId="2" fontId="50" fillId="21" borderId="38" xfId="0" applyNumberFormat="1" applyFont="1" applyFill="1" applyBorder="1" applyAlignment="1">
      <alignment horizontal="center" vertical="center" wrapText="1"/>
    </xf>
    <xf numFmtId="2" fontId="50" fillId="0" borderId="38" xfId="0" applyNumberFormat="1" applyFont="1" applyBorder="1" applyAlignment="1">
      <alignment horizontal="center" vertical="center" wrapText="1"/>
    </xf>
    <xf numFmtId="2" fontId="50" fillId="21" borderId="42" xfId="0" applyNumberFormat="1" applyFont="1" applyFill="1" applyBorder="1" applyAlignment="1">
      <alignment horizontal="center" vertical="center" wrapText="1"/>
    </xf>
    <xf numFmtId="2" fontId="50" fillId="0" borderId="44" xfId="0" applyNumberFormat="1" applyFont="1" applyBorder="1" applyAlignment="1">
      <alignment horizontal="center" vertical="center" wrapText="1"/>
    </xf>
    <xf numFmtId="2" fontId="50" fillId="0" borderId="42" xfId="0" applyNumberFormat="1" applyFont="1" applyBorder="1" applyAlignment="1">
      <alignment horizontal="center" vertical="center" wrapText="1"/>
    </xf>
    <xf numFmtId="2" fontId="1" fillId="21" borderId="44" xfId="0" applyNumberFormat="1" applyFont="1" applyFill="1" applyBorder="1" applyAlignment="1">
      <alignment horizontal="center" vertical="center" wrapText="1"/>
    </xf>
    <xf numFmtId="2" fontId="1" fillId="21" borderId="38" xfId="0" applyNumberFormat="1" applyFont="1" applyFill="1" applyBorder="1" applyAlignment="1">
      <alignment horizontal="center" vertical="center" wrapText="1"/>
    </xf>
    <xf numFmtId="2" fontId="1" fillId="21" borderId="42" xfId="0" applyNumberFormat="1" applyFont="1" applyFill="1" applyBorder="1" applyAlignment="1">
      <alignment horizontal="center" vertical="center" wrapText="1"/>
    </xf>
    <xf numFmtId="2" fontId="49" fillId="0" borderId="44" xfId="0" applyNumberFormat="1" applyFont="1" applyBorder="1" applyAlignment="1">
      <alignment horizontal="center" vertical="center" wrapText="1"/>
    </xf>
    <xf numFmtId="0" fontId="1" fillId="21" borderId="45" xfId="0" applyFont="1" applyFill="1" applyBorder="1" applyAlignment="1">
      <alignment horizontal="center" vertical="center" wrapText="1"/>
    </xf>
    <xf numFmtId="0" fontId="1" fillId="21" borderId="16" xfId="0" applyFont="1" applyFill="1" applyBorder="1" applyAlignment="1">
      <alignment horizontal="center" vertical="center" wrapText="1"/>
    </xf>
    <xf numFmtId="0" fontId="1" fillId="21" borderId="46" xfId="0" applyFont="1" applyFill="1" applyBorder="1" applyAlignment="1">
      <alignment horizontal="center" vertical="center" wrapText="1"/>
    </xf>
    <xf numFmtId="0" fontId="52" fillId="21" borderId="45" xfId="0" applyFont="1" applyFill="1" applyBorder="1" applyAlignment="1">
      <alignment horizontal="center" vertical="center"/>
    </xf>
    <xf numFmtId="0" fontId="52" fillId="21" borderId="16" xfId="0" applyFont="1" applyFill="1" applyBorder="1" applyAlignment="1">
      <alignment horizontal="center" vertical="center"/>
    </xf>
    <xf numFmtId="0" fontId="52" fillId="21" borderId="46" xfId="0" applyFont="1" applyFill="1" applyBorder="1" applyAlignment="1">
      <alignment horizontal="center" vertical="center"/>
    </xf>
    <xf numFmtId="2" fontId="49" fillId="0" borderId="38" xfId="0" applyNumberFormat="1" applyFont="1" applyBorder="1" applyAlignment="1">
      <alignment horizontal="center" vertical="center" wrapText="1"/>
    </xf>
    <xf numFmtId="2" fontId="49" fillId="0" borderId="42" xfId="0" applyNumberFormat="1" applyFont="1" applyBorder="1" applyAlignment="1">
      <alignment horizontal="center" vertical="center" wrapText="1"/>
    </xf>
    <xf numFmtId="2" fontId="49" fillId="21" borderId="44" xfId="0" applyNumberFormat="1" applyFont="1" applyFill="1" applyBorder="1" applyAlignment="1">
      <alignment horizontal="center" vertical="center" wrapText="1"/>
    </xf>
    <xf numFmtId="0" fontId="38" fillId="0" borderId="44" xfId="0" applyFont="1" applyBorder="1" applyAlignment="1">
      <alignment horizontal="center" vertical="center" wrapText="1"/>
    </xf>
    <xf numFmtId="0" fontId="38" fillId="0" borderId="38" xfId="0" applyFont="1" applyBorder="1" applyAlignment="1">
      <alignment horizontal="center" vertical="center" wrapText="1"/>
    </xf>
    <xf numFmtId="0" fontId="38" fillId="0" borderId="42" xfId="0" applyFont="1" applyBorder="1" applyAlignment="1">
      <alignment horizontal="center" vertical="center" wrapText="1"/>
    </xf>
    <xf numFmtId="0" fontId="36" fillId="18" borderId="0" xfId="0" applyFont="1" applyFill="1" applyAlignment="1">
      <alignment horizontal="center" vertical="center"/>
    </xf>
    <xf numFmtId="0" fontId="1" fillId="0" borderId="44" xfId="0" applyFont="1" applyBorder="1" applyAlignment="1">
      <alignment horizontal="center" vertical="center" wrapText="1"/>
    </xf>
    <xf numFmtId="2" fontId="48" fillId="0" borderId="38" xfId="0" applyNumberFormat="1" applyFont="1" applyBorder="1" applyAlignment="1">
      <alignment horizontal="center" vertical="center" wrapText="1"/>
    </xf>
    <xf numFmtId="0" fontId="1" fillId="0" borderId="38"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xf>
    <xf numFmtId="0" fontId="1" fillId="0" borderId="38" xfId="0" applyFont="1" applyBorder="1" applyAlignment="1">
      <alignment horizontal="center" vertical="center"/>
    </xf>
    <xf numFmtId="0" fontId="1" fillId="0" borderId="42" xfId="0" applyFont="1" applyBorder="1" applyAlignment="1">
      <alignment horizontal="center" vertical="center"/>
    </xf>
    <xf numFmtId="0" fontId="2" fillId="0" borderId="9" xfId="0" applyFont="1" applyBorder="1" applyAlignment="1">
      <alignment horizontal="center" vertical="center" wrapText="1"/>
    </xf>
    <xf numFmtId="0" fontId="2" fillId="0" borderId="16"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22" xfId="0" applyFont="1" applyBorder="1" applyAlignment="1">
      <alignment horizontal="center" vertical="center" wrapText="1"/>
    </xf>
    <xf numFmtId="196" fontId="2" fillId="17" borderId="9" xfId="0" applyNumberFormat="1" applyFont="1" applyFill="1" applyBorder="1" applyAlignment="1">
      <alignment horizontal="left" vertical="center" wrapText="1"/>
    </xf>
    <xf numFmtId="196" fontId="2" fillId="17" borderId="16" xfId="0" applyNumberFormat="1" applyFont="1" applyFill="1" applyBorder="1" applyAlignment="1">
      <alignment horizontal="left" vertical="center" wrapText="1"/>
    </xf>
    <xf numFmtId="196" fontId="2" fillId="17" borderId="22" xfId="0" applyNumberFormat="1" applyFont="1" applyFill="1" applyBorder="1" applyAlignment="1">
      <alignment horizontal="left" vertical="center" wrapText="1"/>
    </xf>
    <xf numFmtId="0" fontId="51" fillId="17" borderId="9" xfId="0" applyFont="1" applyFill="1" applyBorder="1" applyAlignment="1">
      <alignment horizontal="left" vertical="top" wrapText="1"/>
    </xf>
    <xf numFmtId="0" fontId="51" fillId="17" borderId="16" xfId="0" applyFont="1" applyFill="1" applyBorder="1" applyAlignment="1">
      <alignment horizontal="left" vertical="top" wrapText="1"/>
    </xf>
    <xf numFmtId="0" fontId="51" fillId="17" borderId="22" xfId="0" applyFont="1" applyFill="1" applyBorder="1" applyAlignment="1">
      <alignment horizontal="left" vertical="top" wrapText="1"/>
    </xf>
    <xf numFmtId="0" fontId="53" fillId="0" borderId="44" xfId="0" applyFont="1" applyBorder="1" applyAlignment="1">
      <alignment horizontal="center" vertical="center" wrapText="1"/>
    </xf>
    <xf numFmtId="0" fontId="53" fillId="0" borderId="38" xfId="0" applyFont="1" applyBorder="1" applyAlignment="1">
      <alignment horizontal="center" vertical="center" wrapText="1"/>
    </xf>
    <xf numFmtId="0" fontId="53" fillId="0" borderId="42" xfId="0" applyFont="1" applyBorder="1" applyAlignment="1">
      <alignment horizontal="center" vertical="center" wrapText="1"/>
    </xf>
    <xf numFmtId="0" fontId="25" fillId="15"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5" fillId="15" borderId="5" xfId="0" applyFont="1" applyFill="1" applyBorder="1" applyAlignment="1">
      <alignment horizontal="center" vertical="center" wrapText="1"/>
    </xf>
    <xf numFmtId="0" fontId="25" fillId="15" borderId="16" xfId="0" applyFont="1" applyFill="1" applyBorder="1" applyAlignment="1">
      <alignment horizontal="center" vertical="center" wrapText="1"/>
    </xf>
    <xf numFmtId="0" fontId="25" fillId="15" borderId="3"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27" fillId="10" borderId="1" xfId="0" applyFont="1" applyFill="1" applyBorder="1" applyAlignment="1">
      <alignment horizontal="center" vertical="center" wrapText="1"/>
    </xf>
    <xf numFmtId="0" fontId="35" fillId="10" borderId="1" xfId="0" applyFont="1" applyFill="1" applyBorder="1" applyAlignment="1">
      <alignment horizontal="center" vertical="center" wrapText="1"/>
    </xf>
    <xf numFmtId="0" fontId="35" fillId="12"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0" fontId="27" fillId="12" borderId="1" xfId="0" applyFont="1" applyFill="1" applyBorder="1" applyAlignment="1">
      <alignment horizontal="center" vertical="center" wrapText="1"/>
    </xf>
    <xf numFmtId="0" fontId="33" fillId="15" borderId="5" xfId="0" applyFont="1" applyFill="1" applyBorder="1" applyAlignment="1">
      <alignment horizontal="center" vertical="center"/>
    </xf>
    <xf numFmtId="0" fontId="33" fillId="15" borderId="16" xfId="0" applyFont="1" applyFill="1" applyBorder="1" applyAlignment="1">
      <alignment horizontal="center" vertical="center"/>
    </xf>
    <xf numFmtId="0" fontId="33" fillId="15" borderId="3" xfId="0" applyFont="1" applyFill="1"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3" xfId="0" applyBorder="1" applyAlignment="1">
      <alignment horizontal="center" vertical="center"/>
    </xf>
    <xf numFmtId="0" fontId="34" fillId="10" borderId="5" xfId="0" applyFont="1" applyFill="1" applyBorder="1" applyAlignment="1">
      <alignment horizontal="center" vertical="center"/>
    </xf>
    <xf numFmtId="0" fontId="34" fillId="10" borderId="16" xfId="0" applyFont="1" applyFill="1" applyBorder="1" applyAlignment="1">
      <alignment horizontal="center" vertical="center"/>
    </xf>
    <xf numFmtId="0" fontId="34" fillId="10" borderId="3" xfId="0" applyFont="1" applyFill="1" applyBorder="1" applyAlignment="1">
      <alignment horizontal="center" vertical="center"/>
    </xf>
    <xf numFmtId="0" fontId="0" fillId="15" borderId="5" xfId="0" applyFill="1" applyBorder="1" applyAlignment="1">
      <alignment horizontal="center" vertical="center"/>
    </xf>
    <xf numFmtId="0" fontId="0" fillId="15" borderId="16" xfId="0" applyFill="1" applyBorder="1" applyAlignment="1">
      <alignment horizontal="center" vertical="center"/>
    </xf>
    <xf numFmtId="0" fontId="0" fillId="15" borderId="3" xfId="0" applyFill="1" applyBorder="1" applyAlignment="1">
      <alignment horizontal="center" vertical="center"/>
    </xf>
    <xf numFmtId="0" fontId="34" fillId="12" borderId="5" xfId="0" applyFont="1" applyFill="1" applyBorder="1" applyAlignment="1">
      <alignment horizontal="center" vertical="center"/>
    </xf>
    <xf numFmtId="0" fontId="34" fillId="12" borderId="16" xfId="0" applyFont="1" applyFill="1" applyBorder="1" applyAlignment="1">
      <alignment horizontal="center" vertical="center"/>
    </xf>
    <xf numFmtId="0" fontId="34" fillId="12" borderId="3" xfId="0" applyFont="1" applyFill="1" applyBorder="1" applyAlignment="1">
      <alignment horizontal="center" vertical="center"/>
    </xf>
    <xf numFmtId="0" fontId="15" fillId="0" borderId="5"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89" fontId="15" fillId="15" borderId="1" xfId="0" applyNumberFormat="1" applyFont="1" applyFill="1" applyBorder="1" applyAlignment="1">
      <alignment horizontal="center" vertical="center" wrapText="1"/>
    </xf>
    <xf numFmtId="189" fontId="15" fillId="15" borderId="5" xfId="0" applyNumberFormat="1" applyFont="1" applyFill="1" applyBorder="1" applyAlignment="1">
      <alignment horizontal="center" vertical="center" wrapText="1"/>
    </xf>
    <xf numFmtId="189" fontId="15" fillId="15" borderId="16" xfId="0" applyNumberFormat="1" applyFont="1" applyFill="1" applyBorder="1" applyAlignment="1">
      <alignment horizontal="center" vertical="center" wrapText="1"/>
    </xf>
    <xf numFmtId="189" fontId="15" fillId="15" borderId="3" xfId="0" applyNumberFormat="1" applyFont="1" applyFill="1" applyBorder="1" applyAlignment="1">
      <alignment horizontal="center" vertical="center" wrapText="1"/>
    </xf>
    <xf numFmtId="194" fontId="15" fillId="16" borderId="1" xfId="0" applyNumberFormat="1" applyFont="1" applyFill="1" applyBorder="1" applyAlignment="1">
      <alignment horizontal="center" vertical="center" wrapText="1"/>
    </xf>
    <xf numFmtId="194" fontId="15" fillId="15" borderId="1" xfId="0" applyNumberFormat="1" applyFont="1" applyFill="1" applyBorder="1" applyAlignment="1">
      <alignment horizontal="center" vertical="center" wrapText="1"/>
    </xf>
    <xf numFmtId="194" fontId="15" fillId="15" borderId="5" xfId="0" applyNumberFormat="1" applyFont="1" applyFill="1" applyBorder="1" applyAlignment="1">
      <alignment horizontal="center" vertical="center" wrapText="1"/>
    </xf>
    <xf numFmtId="194" fontId="15" fillId="15" borderId="16" xfId="0" applyNumberFormat="1" applyFont="1" applyFill="1" applyBorder="1" applyAlignment="1">
      <alignment horizontal="center" vertical="center" wrapText="1"/>
    </xf>
    <xf numFmtId="194" fontId="15" fillId="15" borderId="3" xfId="0" applyNumberFormat="1" applyFont="1" applyFill="1" applyBorder="1" applyAlignment="1">
      <alignment horizontal="center" vertical="center" wrapText="1"/>
    </xf>
    <xf numFmtId="1" fontId="15" fillId="15" borderId="1" xfId="0" applyNumberFormat="1" applyFont="1" applyFill="1" applyBorder="1" applyAlignment="1">
      <alignment horizontal="center" vertical="center" wrapText="1"/>
    </xf>
    <xf numFmtId="189" fontId="15" fillId="14" borderId="1" xfId="0" applyNumberFormat="1" applyFont="1" applyFill="1" applyBorder="1" applyAlignment="1">
      <alignment horizontal="center" vertical="center" wrapText="1"/>
    </xf>
    <xf numFmtId="16" fontId="30" fillId="12" borderId="0" xfId="0" applyNumberFormat="1" applyFont="1" applyFill="1" applyAlignment="1">
      <alignment horizontal="center" vertical="center"/>
    </xf>
    <xf numFmtId="0" fontId="22" fillId="8" borderId="5"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25" fillId="3" borderId="21"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10" borderId="22" xfId="0" applyFont="1" applyFill="1" applyBorder="1" applyAlignment="1">
      <alignment horizontal="center" vertical="center" wrapText="1"/>
    </xf>
    <xf numFmtId="0" fontId="25" fillId="14" borderId="9" xfId="0" applyFont="1" applyFill="1" applyBorder="1" applyAlignment="1">
      <alignment horizontal="center" vertical="center" wrapText="1"/>
    </xf>
    <xf numFmtId="0" fontId="25" fillId="14" borderId="16" xfId="0" applyFont="1" applyFill="1" applyBorder="1" applyAlignment="1">
      <alignment horizontal="center" vertical="center" wrapText="1"/>
    </xf>
    <xf numFmtId="0" fontId="25" fillId="14" borderId="22" xfId="0" applyFont="1" applyFill="1" applyBorder="1" applyAlignment="1">
      <alignment horizontal="center" vertical="center" wrapText="1"/>
    </xf>
    <xf numFmtId="0" fontId="25" fillId="3" borderId="9"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26" fillId="3" borderId="9" xfId="0" applyFont="1" applyFill="1" applyBorder="1" applyAlignment="1">
      <alignment horizontal="left" vertical="top" wrapText="1"/>
    </xf>
    <xf numFmtId="0" fontId="26" fillId="3" borderId="16" xfId="0" applyFont="1" applyFill="1" applyBorder="1" applyAlignment="1">
      <alignment horizontal="left" vertical="top" wrapText="1"/>
    </xf>
    <xf numFmtId="0" fontId="26" fillId="3" borderId="22" xfId="0" applyFont="1" applyFill="1" applyBorder="1" applyAlignment="1">
      <alignment horizontal="left" vertical="top" wrapText="1"/>
    </xf>
    <xf numFmtId="0" fontId="15" fillId="9" borderId="11"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15" fillId="9" borderId="24" xfId="0" applyFont="1" applyFill="1" applyBorder="1" applyAlignment="1">
      <alignment horizontal="center" vertical="center" wrapText="1"/>
    </xf>
    <xf numFmtId="189" fontId="27" fillId="12" borderId="1" xfId="0" applyNumberFormat="1" applyFont="1" applyFill="1" applyBorder="1" applyAlignment="1">
      <alignment horizontal="center" vertical="center" wrapText="1"/>
    </xf>
    <xf numFmtId="189" fontId="15" fillId="13" borderId="1" xfId="0" applyNumberFormat="1" applyFont="1" applyFill="1" applyBorder="1" applyAlignment="1">
      <alignment horizontal="center" vertical="center" wrapText="1"/>
    </xf>
    <xf numFmtId="189" fontId="27" fillId="13" borderId="1" xfId="0" applyNumberFormat="1" applyFont="1" applyFill="1" applyBorder="1" applyAlignment="1">
      <alignment horizontal="center" vertical="center" wrapText="1"/>
    </xf>
    <xf numFmtId="189" fontId="15" fillId="9" borderId="28" xfId="0" applyNumberFormat="1" applyFont="1" applyFill="1" applyBorder="1" applyAlignment="1">
      <alignment horizontal="center" vertical="center" wrapText="1"/>
    </xf>
    <xf numFmtId="189" fontId="15" fillId="9" borderId="29" xfId="0" applyNumberFormat="1" applyFont="1" applyFill="1" applyBorder="1" applyAlignment="1">
      <alignment horizontal="center" vertical="center" wrapText="1"/>
    </xf>
    <xf numFmtId="189" fontId="15" fillId="9" borderId="30" xfId="0" applyNumberFormat="1" applyFont="1" applyFill="1" applyBorder="1" applyAlignment="1">
      <alignment horizontal="center" vertical="center" wrapText="1"/>
    </xf>
    <xf numFmtId="14" fontId="15" fillId="9" borderId="11" xfId="0" applyNumberFormat="1" applyFont="1" applyFill="1" applyBorder="1" applyAlignment="1">
      <alignment horizontal="center" vertical="center" wrapText="1"/>
    </xf>
    <xf numFmtId="14" fontId="15" fillId="9" borderId="19" xfId="0" applyNumberFormat="1" applyFont="1" applyFill="1" applyBorder="1" applyAlignment="1">
      <alignment horizontal="center" vertical="center" wrapText="1"/>
    </xf>
    <xf numFmtId="14" fontId="15" fillId="9" borderId="24" xfId="0" applyNumberFormat="1" applyFont="1" applyFill="1" applyBorder="1" applyAlignment="1">
      <alignment horizontal="center" vertical="center" wrapText="1"/>
    </xf>
    <xf numFmtId="14" fontId="15" fillId="9" borderId="9" xfId="0" applyNumberFormat="1" applyFont="1" applyFill="1" applyBorder="1" applyAlignment="1">
      <alignment horizontal="center" vertical="center" wrapText="1"/>
    </xf>
    <xf numFmtId="14" fontId="15" fillId="9" borderId="16" xfId="0" applyNumberFormat="1" applyFont="1" applyFill="1" applyBorder="1" applyAlignment="1">
      <alignment horizontal="center" vertical="center" wrapText="1"/>
    </xf>
    <xf numFmtId="14" fontId="15" fillId="9" borderId="22" xfId="0" applyNumberFormat="1" applyFont="1" applyFill="1" applyBorder="1" applyAlignment="1">
      <alignment horizontal="center" vertical="center" wrapText="1"/>
    </xf>
    <xf numFmtId="0" fontId="15" fillId="9" borderId="9"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22" xfId="0" applyFont="1" applyFill="1" applyBorder="1" applyAlignment="1">
      <alignment horizontal="center" vertical="center" wrapText="1"/>
    </xf>
  </cellXfs>
  <cellStyles count="8">
    <cellStyle name="Comma" xfId="1" builtinId="3"/>
    <cellStyle name="Hyperlink" xfId="3" builtinId="8"/>
    <cellStyle name="Normal" xfId="0" builtinId="0"/>
    <cellStyle name="Normal 2" xfId="4" xr:uid="{00000000-0005-0000-0000-000031000000}"/>
    <cellStyle name="Percent" xfId="2" builtinId="5"/>
    <cellStyle name="常规 2" xfId="5" xr:uid="{00000000-0005-0000-0000-000032000000}"/>
    <cellStyle name="常规 2 2" xfId="6" xr:uid="{00000000-0005-0000-0000-000033000000}"/>
    <cellStyle name="常规 3" xfId="7" xr:uid="{00000000-0005-0000-0000-000034000000}"/>
  </cellStyles>
  <dxfs count="100">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b/>
        <i val="0"/>
        <color rgb="FF9C0006"/>
      </font>
      <fill>
        <patternFill patternType="none"/>
      </fill>
    </dxf>
    <dxf>
      <font>
        <color rgb="FF9C0006"/>
      </font>
      <fill>
        <patternFill patternType="solid">
          <bgColor theme="9" tint="0.79982909634693444"/>
        </patternFill>
      </fill>
    </dxf>
    <dxf>
      <fill>
        <patternFill patternType="solid">
          <bgColor theme="5" tint="0.79982909634693444"/>
        </patternFill>
      </fill>
    </dxf>
    <dxf>
      <fill>
        <patternFill patternType="solid">
          <bgColor theme="5" tint="0.79982909634693444"/>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theme="5" tint="0.79982909634693444"/>
        </patternFill>
      </fill>
    </dxf>
    <dxf>
      <fill>
        <patternFill patternType="solid">
          <bgColor theme="5" tint="0.79982909634693444"/>
        </patternFill>
      </fill>
    </dxf>
    <dxf>
      <fill>
        <patternFill patternType="solid">
          <bgColor theme="5" tint="0.79982909634693444"/>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s>
  <tableStyles count="0" defaultTableStyle="TableStyleMedium2" defaultPivotStyle="PivotStyleLight16"/>
  <colors>
    <mruColors>
      <color rgb="FFFF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externalLink" Target="externalLinks/externalLink32.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42" Type="http://schemas.openxmlformats.org/officeDocument/2006/relationships/externalLink" Target="externalLinks/externalLink35.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9.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40" Type="http://schemas.openxmlformats.org/officeDocument/2006/relationships/externalLink" Target="externalLinks/externalLink33.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theme" Target="theme/theme1.xml"/><Relationship Id="rId48" Type="http://schemas.openxmlformats.org/officeDocument/2006/relationships/customXml" Target="../customXml/item1.xml"/><Relationship Id="rId8"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sheetMetadata" Target="metadata.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MAR1\RIS\2268\LISTER\2268P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M_Projects\2695%20Moss%20LNGC%20Conversion\Load%20Balance\2695%20Load%20Balance%20Intercross%202+%202%20STEAM%20TURBINES_05_05_2003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85.0.252\ATOE-Project\Prosjekt\3106\EIT\Electrical%20Documents\El.%20Consumerlist%20and%20LoadBalance\ConsumerList%20and%20Load%20Balance%20Golar%20Spirit%2018.05.2006%20Rev.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psgrwfn46\cvlong1$\DATA\NIGERIA\ECON\BONGA6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85.0.252\ATOE-Project\sites\MISC-OBUPRM\NP\NP144-BRC\Bid%20Phase\02%20MISC-OCYAN%20Working%20Folder\00%20Technical\04%20Cost%20Estimation\Bill%20of%20Quantities%20(BOQ)\Topside%20BOQ\Planning&amp;report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D01\!EUDC\DATA\NIGERIA\ECON\1997\NIG97MD6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basf.sharepoint.com\Users\SONGHT\Desktop\Prefeed%20TDS%20Template\E-P-MC%20010%20TDS\Internals-tray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201.55\toyo\Data\ThdInd\Thd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4221\ba442pgfs\QATAR\CALCFILE\LINE\QATAR_M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KFP-FIL01\PROARC\Estimation\BU%20Felles\06_Procurement\Projects\1001%20SMART%2001%20RELIANCE%20MA%20FIELD%20DEVELOPMENT\Procurement\PMP%20-%20MEL\20072301%20PMP_AFP%20RELIANC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02_Engineering(Working)\01_Process\01%20Owner%20input%20and%20MOM\FORMAT\STATIC\BIG_AA-V061-V1X-MC-100-C1XXX-R2_0-D-01-TDS%20for%20C1XXX%20C2XXX%20Towers.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GPP5-6\EXCEL\UTY-CNS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QATAR\OPE_M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00%20Deliverable\1.5%20Fluid%20List\ED-C00-PRS-LST-0002%20Fluid%20List%20%20R0-15010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6%20Equipment%20List\PRS-IDI-001-Equipment%20list-0A-141208.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ec035\d\Calgon\loaddt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LISTELEC1"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Material_balance_100kT_11.5_Rev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85.0.252\ATOE-Project\Documents%20and%20Settings\hnss\Local%20Settings\Temporary%20Internet%20Files\OLK3A4\valve%20list%20m%20layout%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odfs\data\Documents%20and%20Settings\user\Desktop\GTC%20TECHNIP\GTC%20TECHNIP%20PS%20170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EVERYONE\QTP\INST\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CDB4DF4\Expander%20Suction%20Drum%20datasheet%20Rev%20D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ppfil014\ho_n3os\225_Process\Work085\Berenice\YDS-20A_B\YDS-20A_B%20HP_MP%20Steam%20Desuperheater%20Calc%20Coversheet%20Rev%20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QILIN_Calcul_dimensionnement_Rev%2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ec-server11\toyo\My%20Documents\Line%20(DeC3%20OVH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201.55\toyo\Documentum\JLU\Protection\LIST030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WORKING%20FILE\INTERNATIONAL\technip-coflexip\moho%20bilondo\revised%20format\disk%201%20rev.%20format\TEPC%202197-SC002-EXB-Mech-BOQ-rev0%20(submis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www1.mwk.com\machinery\forms\datashts\Revised%20l551aeds%20New%20Log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Retour%20WPC\PR\List%20of%20utility-\TO%20ARKEMA\9-9\Power%20Balanc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EVERYONE\QTP\INST\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85.0.252\ATOE-Project\WORKING%20FILE\INTERNATIONAL\technip-coflexip\moho%20bilondo\revised%20format\disk%201%20rev.%20format\TEPC%202197-SC002-EXB-Mech-BOQ-rev0%20(submissio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03049D\Pcm\Cost\Subcon%20ITB\My%20Documents\CIVIL\&#53664;&#47785;&#44204;&#51201;\#2CDU&#49892;&#5466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Users\Administrator\Desktop\Procurement%20Plan\Procurement%20Plan-ROS-19%20Mar-%20LL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Legend"/>
      <sheetName val="Sheet1"/>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695 Intercross STEAM TURBINE"/>
      <sheetName val="2695 Intercross Fuel Cost Calc."/>
      <sheetName val="2695 Intercross STEAM Load Bal."/>
      <sheetName val="WIP"/>
    </sheetNames>
    <sheetDataSet>
      <sheetData sheetId="0" refreshError="1"/>
      <sheetData sheetId="1" refreshError="1"/>
      <sheetData sheetId="2"/>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Description"/>
      <sheetName val="Summary"/>
      <sheetName val="Consumer List and Load B"/>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nomic setup"/>
      <sheetName val="Summary Results"/>
      <sheetName val="P&amp;B Summary"/>
      <sheetName val="Sensitivities"/>
      <sheetName val="Cashflow Analysis"/>
      <sheetName val="Data 1 "/>
      <sheetName val="Details"/>
      <sheetName val="Summary"/>
      <sheetName val="FA1A1 Ground"/>
      <sheetName val="FA1A0 Concrete Pad"/>
      <sheetName val="FA1A3 Teflon"/>
      <sheetName val="FA1B0 PACA"/>
      <sheetName val="QAQC"/>
      <sheetName val="SC140 Loadout Weighing Ballast"/>
      <sheetName val="SC160 Ext Cleaning PIP"/>
      <sheetName val="SC140 Port Dues"/>
      <sheetName val="SC220 GRE Subc"/>
      <sheetName val="SC230 Galv"/>
      <sheetName val="SC251 High Voltage Cable"/>
      <sheetName val="SC260 RT Estructural "/>
      <sheetName val="SC400 Rolling &amp; Machining"/>
      <sheetName val="SC260 RT Piping"/>
      <sheetName val="SC270 Elevator"/>
      <sheetName val="SC450 UVIE"/>
      <sheetName val="SC480 Calibration"/>
      <sheetName val="SC490 Launch Cradle"/>
      <sheetName val="SC510 Leak-Test ER"/>
      <sheetName val="Rental Equipment"/>
      <sheetName val="FA5BE NDE cons STR"/>
      <sheetName val="  FA5BB E&amp;I Consumables"/>
      <sheetName val="FA5AB Building"/>
      <sheetName val="FA5AB Seafastening"/>
      <sheetName val="FA5AB Const Aids"/>
      <sheetName val="FA5AC Grillage L. Bridge"/>
      <sheetName val="SC500 TIMBER"/>
      <sheetName val="FA5AD  DSF"/>
      <sheetName val="FA5D Barge Skidways"/>
      <sheetName val="FA5BA Hydro Test"/>
      <sheetName val="FA5BA Hydro Test (Inertized)"/>
      <sheetName val="FA5BD Consumables"/>
      <sheetName val="FA5BD GRE Consumables"/>
      <sheetName val="FA5BF Blasting"/>
      <sheetName val="FA5BG (PWHT)"/>
      <sheetName val="FA8B1 DownTime "/>
      <sheetName val="Toilet"/>
      <sheetName val="Yard Office"/>
      <sheetName val="MDR Office"/>
      <sheetName val="Client Office PEM"/>
      <sheetName val="Client Office GE"/>
      <sheetName val="Rate Forecasts"/>
      <sheetName val="SC220 GRE Trainning"/>
      <sheetName val="PopLists"/>
      <sheetName val="Sensitivity classification"/>
      <sheetName val="Impact"/>
      <sheetName val="Book Earnings and ROCE"/>
      <sheetName val="Cashflow and Earnings Profile"/>
      <sheetName val="Inflation"/>
      <sheetName val="Prices"/>
      <sheetName val="Block 316  12-2-96"/>
      <sheetName val="Block 212  8-22-96"/>
      <sheetName val="Govt Take"/>
      <sheetName val="Drilling"/>
      <sheetName val="Transportation"/>
      <sheetName val="Exxon Cashflow"/>
      <sheetName val="Social Cashflow"/>
      <sheetName val="PPT graphic"/>
      <sheetName val="Schedules"/>
      <sheetName val="Data initialization"/>
      <sheetName val="Book calculations"/>
      <sheetName val="Block 212  5-15-96"/>
      <sheetName val="Module1"/>
      <sheetName val="FOREX Table"/>
      <sheetName val="EAGLE LOUISIANA VOs"/>
      <sheetName val="EAGLE TEXAS VOs"/>
      <sheetName val="Overview"/>
      <sheetName val="Sum DRAFT"/>
      <sheetName val="Allowance"/>
      <sheetName val="Actuals"/>
      <sheetName val="Expend"/>
      <sheetName val="PMT11"/>
      <sheetName val="PMT10"/>
      <sheetName val="CA11"/>
      <sheetName val="CA10"/>
      <sheetName val="3P"/>
      <sheetName val="NCA MP"/>
      <sheetName val="ConRD"/>
      <sheetName val="PMT Bdgt"/>
      <sheetName val="CA Bdgt"/>
      <sheetName val="3P Bdgt"/>
      <sheetName val="BD Bdgt DRAFT"/>
      <sheetName val="RATES P&amp;B10"/>
      <sheetName val="RATES P&amp;B11"/>
      <sheetName val="XE"/>
      <sheetName val="Input"/>
      <sheetName val="FTE G2 to G3"/>
      <sheetName val="Economic_setup"/>
      <sheetName val="SummaryTable"/>
      <sheetName val="Summary_Results"/>
      <sheetName val="P&amp;B_Summary"/>
      <sheetName val="Cashflow_Analysis"/>
      <sheetName val="Sheet1"/>
      <sheetName val="Economic_setup1"/>
      <sheetName val="Summary_Results1"/>
      <sheetName val="P&amp;B_Summary1"/>
      <sheetName val="Cashflow_Analysis1"/>
      <sheetName val="Sensitivity_classification"/>
      <sheetName val="Fechas, costes lab y coef"/>
      <sheetName val="Sched-Sum"/>
      <sheetName val="FitOutConfCentre"/>
      <sheetName val="Change Order Categorization"/>
      <sheetName val="Cost Centre"/>
      <sheetName val="PHST"/>
      <sheetName val="Sheet3"/>
      <sheetName val="PC - E,P.C&amp;I"/>
      <sheetName val="Opex_Data_Base_New"/>
      <sheetName val="Book_Earnings_and_ROCE"/>
      <sheetName val="Cashflow_and_Earnings_Profile"/>
      <sheetName val="Block_316__12-2-96"/>
      <sheetName val="Block_212__8-22-96"/>
      <sheetName val="Govt_Take"/>
      <sheetName val="Exxon_Cashflow"/>
      <sheetName val="Social_Cashflow"/>
      <sheetName val="PPT_graphic"/>
      <sheetName val="Data_initialization"/>
      <sheetName val="Book_calculations"/>
      <sheetName val="Block_212__5-15-96"/>
      <sheetName val="Sum_DRAFT"/>
      <sheetName val="NCA_MP"/>
      <sheetName val="PMT_Bdgt"/>
      <sheetName val="CA_Bdgt"/>
      <sheetName val="3P_Bdgt"/>
      <sheetName val="BD_Bdgt_DRAFT"/>
      <sheetName val="RATES_P&amp;B10"/>
      <sheetName val="RATES_P&amp;B11"/>
      <sheetName val="FOREX_Table"/>
      <sheetName val="Change_Order_Categorization"/>
      <sheetName val="Cost_Centre"/>
      <sheetName val="Exchange Rates"/>
      <sheetName val="Staffing"/>
      <sheetName val="Code Mob Chart"/>
      <sheetName val="Spares LB"/>
      <sheetName val="Spares RL"/>
      <sheetName val="Code_Mob_Chart"/>
      <sheetName val=""/>
      <sheetName val="Sheet2"/>
      <sheetName val="LU"/>
      <sheetName val="4 x 5 MTA 2018 start up"/>
      <sheetName val="List2"/>
      <sheetName val="Simplified Escalation"/>
      <sheetName val="Dropdown Lists"/>
      <sheetName val="Lists"/>
      <sheetName val="DO NO DELETE"/>
      <sheetName val="Case Names"/>
      <sheetName val="Cash Flow Engine"/>
      <sheetName val="Inputs Outputs"/>
      <sheetName val="Look Ups"/>
      <sheetName val="Foreign Currency Exposure"/>
      <sheetName val="Economic_setup2"/>
      <sheetName val="Summary_Results2"/>
      <sheetName val="P&amp;B_Summary2"/>
      <sheetName val="Cashflow_Analysis2"/>
      <sheetName val="Data_1_"/>
      <sheetName val="FA1A1_Ground"/>
      <sheetName val="FA1A0_Concrete_Pad"/>
      <sheetName val="FA1A3_Teflon"/>
      <sheetName val="FA1B0_PACA"/>
      <sheetName val="SC140_Loadout_Weighing_Ballast"/>
      <sheetName val="SC160_Ext_Cleaning_PIP"/>
      <sheetName val="SC140_Port_Dues"/>
      <sheetName val="SC220_GRE_Subc"/>
      <sheetName val="SC230_Galv"/>
      <sheetName val="SC251_High_Voltage_Cable"/>
      <sheetName val="SC260_RT_Estructural_"/>
      <sheetName val="SC400_Rolling_&amp;_Machining"/>
      <sheetName val="SC260_RT_Piping"/>
      <sheetName val="SC270_Elevator"/>
      <sheetName val="SC450_UVIE"/>
      <sheetName val="SC480_Calibration"/>
      <sheetName val="SC490_Launch_Cradle"/>
      <sheetName val="SC510_Leak-Test_ER"/>
      <sheetName val="Rental_Equipment"/>
      <sheetName val="FA5BE_NDE_cons_STR"/>
      <sheetName val="__FA5BB_E&amp;I_Consumables"/>
      <sheetName val="FA5AB_Building"/>
      <sheetName val="FA5AB_Seafastening"/>
      <sheetName val="FA5AB_Const_Aids"/>
      <sheetName val="FA5AC_Grillage_L__Bridge"/>
      <sheetName val="SC500_TIMBER"/>
      <sheetName val="FA5AD__DSF"/>
      <sheetName val="FA5D_Barge_Skidways"/>
      <sheetName val="FA5BA_Hydro_Test"/>
      <sheetName val="FA5BA_Hydro_Test_(Inertized)"/>
      <sheetName val="FA5BD_Consumables"/>
      <sheetName val="FA5BD_GRE_Consumables"/>
      <sheetName val="FA5BF_Blasting"/>
      <sheetName val="FA5BG_(PWHT)"/>
      <sheetName val="FA8B1_DownTime_"/>
      <sheetName val="Yard_Office"/>
      <sheetName val="MDR_Office"/>
      <sheetName val="Client_Office_PEM"/>
      <sheetName val="Client_Office_GE"/>
      <sheetName val="Rate_Forecasts"/>
      <sheetName val="SC220_GRE_Trainning"/>
      <sheetName val="Sensitivity_classification1"/>
      <sheetName val="Fechas,_costes_lab_y_coef"/>
      <sheetName val="Book_Earnings_and_ROCE1"/>
      <sheetName val="Cashflow_and_Earnings_Profile1"/>
      <sheetName val="Block_316__12-2-961"/>
      <sheetName val="Block_212__8-22-961"/>
      <sheetName val="Govt_Take1"/>
      <sheetName val="Exxon_Cashflow1"/>
      <sheetName val="Social_Cashflow1"/>
      <sheetName val="PPT_graphic1"/>
      <sheetName val="Data_initialization1"/>
      <sheetName val="Book_calculations1"/>
      <sheetName val="Block_212__5-15-961"/>
      <sheetName val="Sum_DRAFT1"/>
      <sheetName val="NCA_MP1"/>
      <sheetName val="PMT_Bdgt1"/>
      <sheetName val="CA_Bdgt1"/>
      <sheetName val="3P_Bdgt1"/>
      <sheetName val="BD_Bdgt_DRAFT1"/>
      <sheetName val="RATES_P&amp;B101"/>
      <sheetName val="RATES_P&amp;B111"/>
      <sheetName val="FOREX_Table1"/>
      <sheetName val="Change_Order_Categorization1"/>
      <sheetName val="Cost_Centre1"/>
      <sheetName val="PC_-_E,P_C&amp;I"/>
      <sheetName val="Spares_LB"/>
      <sheetName val="Spares_RL"/>
      <sheetName val="EAGLE_LOUISIANA_VOs"/>
      <sheetName val="EAGLE_TEXAS_VOs"/>
      <sheetName val="FTE_G2_to_G3"/>
      <sheetName val="Exchange_Rates"/>
      <sheetName val="Foreign_Currency_Exposure"/>
      <sheetName val="Economic_setup3"/>
      <sheetName val="Summary_Results3"/>
      <sheetName val="P&amp;B_Summary3"/>
      <sheetName val="Cashflow_Analysis3"/>
      <sheetName val="Data_1_1"/>
      <sheetName val="FA1A1_Ground1"/>
      <sheetName val="FA1A0_Concrete_Pad1"/>
      <sheetName val="FA1A3_Teflon1"/>
      <sheetName val="FA1B0_PACA1"/>
      <sheetName val="SC140_Loadout_Weighing_Ballast1"/>
      <sheetName val="SC160_Ext_Cleaning_PIP1"/>
      <sheetName val="SC140_Port_Dues1"/>
      <sheetName val="SC220_GRE_Subc1"/>
      <sheetName val="SC230_Galv1"/>
      <sheetName val="SC251_High_Voltage_Cable1"/>
      <sheetName val="SC260_RT_Estructural_1"/>
      <sheetName val="SC400_Rolling_&amp;_Machining1"/>
      <sheetName val="SC260_RT_Piping1"/>
      <sheetName val="SC270_Elevator1"/>
      <sheetName val="SC450_UVIE1"/>
      <sheetName val="SC480_Calibration1"/>
      <sheetName val="SC490_Launch_Cradle1"/>
      <sheetName val="SC510_Leak-Test_ER1"/>
      <sheetName val="Rental_Equipment1"/>
      <sheetName val="FA5BE_NDE_cons_STR1"/>
      <sheetName val="__FA5BB_E&amp;I_Consumables1"/>
      <sheetName val="FA5AB_Building1"/>
      <sheetName val="FA5AB_Seafastening1"/>
      <sheetName val="FA5AB_Const_Aids1"/>
      <sheetName val="FA5AC_Grillage_L__Bridge1"/>
      <sheetName val="SC500_TIMBER1"/>
      <sheetName val="FA5AD__DSF1"/>
      <sheetName val="FA5D_Barge_Skidways1"/>
      <sheetName val="FA5BA_Hydro_Test1"/>
      <sheetName val="FA5BA_Hydro_Test_(Inertized)1"/>
      <sheetName val="FA5BD_Consumables1"/>
      <sheetName val="FA5BD_GRE_Consumables1"/>
      <sheetName val="FA5BF_Blasting1"/>
      <sheetName val="FA5BG_(PWHT)1"/>
      <sheetName val="FA8B1_DownTime_1"/>
      <sheetName val="Yard_Office1"/>
      <sheetName val="MDR_Office1"/>
      <sheetName val="Client_Office_PEM1"/>
      <sheetName val="Client_Office_GE1"/>
      <sheetName val="Rate_Forecasts1"/>
      <sheetName val="SC220_GRE_Trainning1"/>
      <sheetName val="Sensitivity_classification2"/>
      <sheetName val="Fechas,_costes_lab_y_coef1"/>
      <sheetName val="Book_Earnings_and_ROCE2"/>
      <sheetName val="Cashflow_and_Earnings_Profile2"/>
      <sheetName val="Block_316__12-2-962"/>
      <sheetName val="Block_212__8-22-962"/>
      <sheetName val="Govt_Take2"/>
      <sheetName val="Exxon_Cashflow2"/>
      <sheetName val="Social_Cashflow2"/>
      <sheetName val="PPT_graphic2"/>
      <sheetName val="Data_initialization2"/>
      <sheetName val="Book_calculations2"/>
      <sheetName val="Block_212__5-15-962"/>
      <sheetName val="Sum_DRAFT2"/>
      <sheetName val="NCA_MP2"/>
      <sheetName val="PMT_Bdgt2"/>
      <sheetName val="CA_Bdgt2"/>
      <sheetName val="3P_Bdgt2"/>
      <sheetName val="BD_Bdgt_DRAFT2"/>
      <sheetName val="RATES_P&amp;B102"/>
      <sheetName val="RATES_P&amp;B112"/>
      <sheetName val="FOREX_Table2"/>
      <sheetName val="Change_Order_Categorization2"/>
      <sheetName val="Cost_Centre2"/>
      <sheetName val="PC_-_E,P_C&amp;I1"/>
      <sheetName val="Spares_LB1"/>
      <sheetName val="Spares_RL1"/>
      <sheetName val="EAGLE_LOUISIANA_VOs1"/>
      <sheetName val="EAGLE_TEXAS_VOs1"/>
      <sheetName val="FTE_G2_to_G31"/>
      <sheetName val="Notes"/>
      <sheetName val="Cashflow"/>
      <sheetName val="AR"/>
      <sheetName val="AR May"/>
      <sheetName val="AR LIVE"/>
      <sheetName val="Rec"/>
      <sheetName val="Taxes"/>
      <sheetName val="AR 0307 - July"/>
      <sheetName val="AR 3006 - July"/>
      <sheetName val="Ithaca"/>
      <sheetName val="Arctic repayments"/>
      <sheetName val="Kestrel repayments"/>
      <sheetName val="Other PMTs"/>
      <sheetName val="Phoenix"/>
      <sheetName val="Seagreen"/>
      <sheetName val="Vega"/>
      <sheetName val="Brazil"/>
      <sheetName val="Forward FX Rates"/>
      <sheetName val="Calendar"/>
      <sheetName val="Instruction"/>
      <sheetName val="Budget Percentage"/>
      <sheetName val="Budget Summary"/>
      <sheetName val="Budget Summary by Month"/>
      <sheetName val="OOK PMT AS SOLD"/>
      <sheetName val="OOK ENG AS SOLD"/>
      <sheetName val="IK PMT AS SOLD "/>
      <sheetName val="OOK PMT FORECAST"/>
      <sheetName val="ZCL DATA run on 18012021"/>
      <sheetName val="OOK ENG FORECAST"/>
      <sheetName val="Variance"/>
      <sheetName val="IK PMTENG FORECAST"/>
      <sheetName val="IK - Saudi Interns"/>
      <sheetName val="WBR 2020"/>
      <sheetName val="ZCL DATA TRANSFERRED"/>
      <sheetName val="Escalation"/>
      <sheetName val="WBR2019"/>
      <sheetName val="Project Exchange"/>
      <sheetName val="OOK PMT MANPOWER AS SOLD"/>
      <sheetName val="OOK ENG MANPOWER AS SOLD"/>
      <sheetName val="IK PMT MANPOWER AS SOLD"/>
      <sheetName val="Staffing - 47"/>
      <sheetName val="Staffing - 48"/>
      <sheetName val="Staffing - 49"/>
      <sheetName val="Accruals file"/>
      <sheetName val="PMSR"/>
      <sheetName val="PMSR ACWP"/>
      <sheetName val="SAP"/>
      <sheetName val="SAP PT"/>
      <sheetName val="RCE"/>
      <sheetName val="Packs"/>
      <sheetName val="SAP for check"/>
      <sheetName val="SAP for check PT"/>
      <sheetName val="REVENUE REC"/>
      <sheetName val="Procurement"/>
      <sheetName val="SAP check PT"/>
      <sheetName val="First Sheet"/>
      <sheetName val="CURRENCY"/>
      <sheetName val="PC_-_E,P_C&amp;I2"/>
      <sheetName val="Exchange_Rates1"/>
      <sheetName val="data"/>
      <sheetName val="MTO"/>
      <sheetName val="A. TUBULARS &amp; CONES_R01_200511"/>
      <sheetName val="B. SEAMLESS PIPES_R01_200511"/>
      <sheetName val="D. PLATES_R01_200511"/>
      <sheetName val="C. ROLLED SHAPES_R01_200511"/>
      <sheetName val="F. FASTENES_R01_200511"/>
      <sheetName val="G. GRATING &amp; TREAD_R01_200511"/>
      <sheetName val="MEC R01"/>
      <sheetName val="M. MISCELLANEOUS_R01_200511"/>
      <sheetName val="JAN 2019"/>
      <sheetName val="FEB 2019"/>
      <sheetName val="MAR 2019"/>
      <sheetName val="APR 2019"/>
      <sheetName val="MAY 2019"/>
      <sheetName val="JUN 2019"/>
      <sheetName val="JUL 2019"/>
      <sheetName val="AUG 2019"/>
      <sheetName val="SEP 2019"/>
      <sheetName val="OCT 2019"/>
      <sheetName val="NOV 2019"/>
      <sheetName val="DEC 2019"/>
      <sheetName val="Input Data"/>
      <sheetName val="2. Price Sheet"/>
      <sheetName val="Data painting"/>
      <sheetName val="A"/>
      <sheetName val="WIP"/>
      <sheetName val="BQMPALOC"/>
      <sheetName val="CutOffDates"/>
      <sheetName val="TIPO 1"/>
      <sheetName val="BQMP"/>
      <sheetName val="Data_painting"/>
      <sheetName val="4_x_5_MTA_2018_start_up"/>
      <sheetName val="Data_painting1"/>
      <sheetName val="Code_Mob_Chart1"/>
      <sheetName val="4_x_5_MTA_2018_start_up1"/>
      <sheetName val="갑지"/>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BM"/>
      <sheetName val="Wellhrs"/>
      <sheetName val="LISTE DEROULANTE"/>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sheetData sheetId="62"/>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SUMMARY"/>
      <sheetName val="3000-A"/>
      <sheetName val="5000-A"/>
      <sheetName val="6000-A"/>
      <sheetName val="9000-A"/>
      <sheetName val="管道资料"/>
      <sheetName val="9DATA"/>
      <sheetName val="A000-A"/>
      <sheetName val="0DATA"/>
      <sheetName val="9管道资料"/>
      <sheetName val="TYPE-A"/>
      <sheetName val="Final(1)summary"/>
      <sheetName val="12CGOU"/>
      <sheetName val="B"/>
      <sheetName val="Chart"/>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ash2"/>
      <sheetName val="Z"/>
      <sheetName val="A"/>
      <sheetName val="INVOICE_CERT EIV'S"/>
      <sheetName val="산근"/>
      <sheetName val="Planning&amp;reporting"/>
      <sheetName val="DRUM"/>
      <sheetName val="집계표"/>
      <sheetName val="EE-PROP"/>
      <sheetName val="PNTEXT"/>
      <sheetName val="Basic"/>
      <sheetName val="Building BD"/>
      <sheetName val="Onerous Terms"/>
      <sheetName val="0000"/>
      <sheetName val="EQUIPMENT"/>
      <sheetName val="실제 도면출도"/>
      <sheetName val="자금운영"/>
      <sheetName val="도"/>
      <sheetName val="jobhist"/>
      <sheetName val=" Sum"/>
      <sheetName val="INSTR"/>
      <sheetName val="嗔5喸5"/>
      <sheetName val="표지"/>
      <sheetName val="D-623D"/>
      <sheetName val="TTL"/>
      <sheetName val="MTP"/>
      <sheetName val="SOHAR(2nd)"/>
      <sheetName val="공사비 내역 (가)"/>
      <sheetName val="33628-Rev. A"/>
      <sheetName val="ENE-CAL"/>
      <sheetName val="plan&amp;section of foundation"/>
      <sheetName val="design criteria"/>
      <sheetName val="CAL"/>
      <sheetName val="대비표"/>
      <sheetName val="#REF"/>
      <sheetName val="w't table"/>
      <sheetName val="BQMP"/>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CASH"/>
      <sheetName val="PRO_DCI"/>
      <sheetName val="INST_DCI"/>
      <sheetName val="HVAC_DCI"/>
      <sheetName val="PIPE_DCI"/>
      <sheetName val="DESCRIPTION"/>
      <sheetName val="BM DATA SHEET"/>
      <sheetName val="Eq. Mobilization"/>
      <sheetName val="당초"/>
      <sheetName val="Progress Tab"/>
      <sheetName val="BATCH"/>
      <sheetName val="具志川H社"/>
      <sheetName val="ORIGINAL"/>
      <sheetName val="공사비SUM"/>
      <sheetName val=""/>
      <sheetName val="입찰내역 발주처 양식"/>
      <sheetName val="BM"/>
      <sheetName val="집계표(OPTION)"/>
      <sheetName val="Sheet1"/>
      <sheetName val="기계내역서"/>
      <sheetName val="合成単価作成表-BLDG"/>
      <sheetName val="WIP"/>
      <sheetName val="REINF."/>
      <sheetName val="SKETCH"/>
      <sheetName val="기성내역"/>
      <sheetName val="INVOICE_CERT_EIV'S"/>
      <sheetName val="LinerWt"/>
      <sheetName val="Sheet4"/>
      <sheetName val="M 11"/>
      <sheetName val="PIPING"/>
      <sheetName val="Sheet13"/>
      <sheetName val="Sheet14"/>
      <sheetName val="PC CATCH PIT 1X1X1.2M"/>
      <sheetName val="PC CATCH PIT .6X.6X1.0M"/>
      <sheetName val="PC COVER 100MM THK .95x.3"/>
      <sheetName val="PC COVER 250MM THK 2.2x.3"/>
      <sheetName val="Chiet tinh dz35"/>
      <sheetName val="Kuan&amp;Har(PT)"/>
      <sheetName val="Alat"/>
      <sheetName val="AC"/>
      <sheetName val="7102"/>
      <sheetName val="member design"/>
      <sheetName val="working load at the btm ft."/>
      <sheetName val="soil bearing check"/>
      <sheetName val="기둥(원형)"/>
      <sheetName val="목표세부명세"/>
      <sheetName val="Running compatibility check A"/>
      <sheetName val="상반기손익차2총괄"/>
      <sheetName val="3. GROUNDING SYSTEM"/>
      <sheetName val="Adjusted Bids"/>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Running_compatibility_check_A"/>
      <sheetName val="3__GROUNDING_SYSTEM"/>
      <sheetName val="Running compatibility check "/>
      <sheetName val="Hoja1"/>
      <sheetName val="뜃맟뭁돽띿맟?-BLDG"/>
      <sheetName val="Auxi"/>
      <sheetName val="Building_BD1"/>
      <sheetName val="Onerous_Terms1"/>
      <sheetName val="_Sum1"/>
      <sheetName val="A(Rev.3)"/>
      <sheetName val="Breakdown-1"/>
      <sheetName val="Pipe"/>
      <sheetName val="Add"/>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Running compatibility check _x0"/>
      <sheetName val="基数"/>
      <sheetName val="[Planning&amp;reporting.xlsM9000-A"/>
      <sheetName val="설비"/>
      <sheetName val="공문"/>
      <sheetName val="FitOutConfCentre"/>
      <sheetName val="RFP002"/>
      <sheetName val="코드"/>
      <sheetName val="자바라1"/>
      <sheetName val="C,E"/>
      <sheetName val="산출내역서"/>
      <sheetName val="Proposal"/>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A (2)"/>
      <sheetName val="1100"/>
      <sheetName val="datasheet"/>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Structural Comp"/>
      <sheetName val="뜃맟뭁돽띿맟_-BLDG"/>
      <sheetName val="Running compatibility check ?A?"/>
      <sheetName val="Running compatibility check _A_"/>
      <sheetName val="Cashflow Analysis"/>
      <sheetName val="Direct Prices"/>
      <sheetName val="Лист1"/>
      <sheetName val="Structural_Comp"/>
      <sheetName val="salary"/>
      <sheetName val="Backup"/>
      <sheetName val="MTO"/>
      <sheetName val="Sheet"/>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Petty"/>
      <sheetName val="J"/>
      <sheetName val="DATOS"/>
      <sheetName val="WORKSHEET CS"/>
      <sheetName val="DATA"/>
      <sheetName val="CODE"/>
      <sheetName val="_Planning&amp;reporting.xlsM9000-A"/>
      <sheetName val="[Planning&amp;reporting_xlsM9000-A"/>
      <sheetName val="Cashflow_Analysis"/>
      <sheetName val="00-Summary Information-ABB"/>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DO NOT DELETE"/>
      <sheetName val="Lists"/>
      <sheetName val="Time Rates "/>
      <sheetName val="Running_compatibility_check__x0"/>
      <sheetName val="Running_compatibility_check_?A?"/>
      <sheetName val="Running_compatibility_check__A_"/>
      <sheetName val="List_of_WorkPacks"/>
      <sheetName val="List_of_Dates"/>
      <sheetName val="A_(2)"/>
      <sheetName val="BID"/>
      <sheetName val="page 6"/>
      <sheetName val="P-Ins &amp; Bonds"/>
      <sheetName val="P-Site fac"/>
      <sheetName val="P-Clients fac"/>
      <sheetName val="P Staff fac"/>
      <sheetName val="factor "/>
      <sheetName val="CASHFLOWS"/>
      <sheetName val="vlookup - do not print"/>
      <sheetName val="BAG-2"/>
      <sheetName val="Rate Analysis"/>
      <sheetName val="차액보증"/>
      <sheetName val="19.05.2010"/>
      <sheetName val="Earthworks ERP"/>
      <sheetName val="24.06.2010"/>
      <sheetName val="Small Structures ERP"/>
      <sheetName val="Large Structures ERP"/>
      <sheetName val="Tunnelling ERP"/>
      <sheetName val="0124"/>
      <sheetName val="Notes"/>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List_of_WorkPacks1"/>
      <sheetName val="List_of_Dates1"/>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Running_compatibility_check__x1"/>
      <sheetName val="Cashflow_Analysis2"/>
      <sheetName val="Running_compatibility_check_?A1"/>
      <sheetName val="Running_compatibility_check__A1"/>
      <sheetName val="A_(2)1"/>
      <sheetName val="Direct_Prices1"/>
      <sheetName val="WORKSHEET_CS1"/>
      <sheetName val="_Planning&amp;reporting_xlsM9000-A1"/>
      <sheetName val="00-Summary_Information-ABB1"/>
      <sheetName val="DO_NOT_DELETE1"/>
      <sheetName val="Time_Rates_1"/>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실제_도면출도6"/>
      <sheetName val="INVOICE_CERT_EIV'S7"/>
      <sheetName val="Building_BD7"/>
      <sheetName val="Onerous_Terms7"/>
      <sheetName val="_Sum7"/>
      <sheetName val="plan&amp;section_of_foundation6"/>
      <sheetName val="design_criteria6"/>
      <sheetName val="공사비_내역_(가)6"/>
      <sheetName val="33628-Rev__A6"/>
      <sheetName val="w't_table6"/>
      <sheetName val="BM_DATA_SHEET6"/>
      <sheetName val="Progress_Tab6"/>
      <sheetName val="Eq__Mobilization6"/>
      <sheetName val="입찰내역_발주처_양식6"/>
      <sheetName val="REINF_6"/>
      <sheetName val="M_116"/>
      <sheetName val="PC_CATCH_PIT_1X1X1_2M5"/>
      <sheetName val="PC_CATCH_PIT__6X_6X1_0M5"/>
      <sheetName val="PC_COVER_100MM_THK__95x_35"/>
      <sheetName val="PC_COVER_250MM_THK_2_2x_35"/>
      <sheetName val="Chiet_tinh_dz355"/>
      <sheetName val="member_design5"/>
      <sheetName val="working_load_at_the_btm_ft_5"/>
      <sheetName val="soil_bearing_check5"/>
      <sheetName val="3__GROUNDING_SYSTEM6"/>
      <sheetName val="Structural_Comp1"/>
      <sheetName val="Adjusted_Bids5"/>
      <sheetName val="Concept_Offshore5"/>
      <sheetName val="Running_compatibility_check_5"/>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A(Rev_3)5"/>
      <sheetName val="[Planning&amp;reporting_xlsM9000-A1"/>
      <sheetName val="Cashflow_Analysis1"/>
      <sheetName val="Direct_Prices"/>
      <sheetName val="WORKSHEET_CS"/>
      <sheetName val="_Planning&amp;reporting_xlsM9000-A"/>
      <sheetName val="00-Summary_Information-ABB"/>
      <sheetName val="DO_NOT_DELETE"/>
      <sheetName val="Time_Rates_"/>
      <sheetName val="Depreciation"/>
      <sheetName val="EmpList"/>
      <sheetName val="Personnel"/>
      <sheetName val="Calendar"/>
      <sheetName val="Orçamento"/>
      <sheetName val="COMPLEXALL"/>
      <sheetName val="ITB COST"/>
      <sheetName val="Civil Weekly"/>
      <sheetName val="0.0 Cover"/>
      <sheetName val="Hoja 3"/>
      <sheetName val="Cutoff"/>
      <sheetName val=" N Finansal Eğri"/>
      <sheetName val="1"/>
      <sheetName val="손익차9월2"/>
      <sheetName val="MOS"/>
      <sheetName val="Pricing Summary"/>
      <sheetName val="Net Cost - Final Base"/>
      <sheetName val="7.6Net Cost Agreed on Dec-04 R1"/>
      <sheetName val="Net Cost Agreed on Dec-04 Rev1"/>
      <sheetName val="7.6 Net Cost Agreed on Dec-04"/>
      <sheetName val="Net Cost Agreed on Dec-04"/>
      <sheetName val="Total for Check"/>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page_6"/>
      <sheetName val="inter"/>
      <sheetName val="sum"/>
      <sheetName val="예산M11A"/>
      <sheetName val="유림콘도"/>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총괄"/>
      <sheetName val="견적서표지0204-2 (2)"/>
      <sheetName val="Piping Spool"/>
      <sheetName val="Cost Definition"/>
      <sheetName val="견적 원가 "/>
      <sheetName val="부산제일극장"/>
      <sheetName val="Sand"/>
      <sheetName val="Geotextile for geotube"/>
      <sheetName val="Geotube"/>
      <sheetName val="Hohlquader"/>
      <sheetName val="RD01"/>
      <sheetName val="Settings"/>
      <sheetName val="유림골조"/>
      <sheetName val="FAB별"/>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Inert Balls"/>
      <sheetName val="Menu"/>
      <sheetName val="Drop Down"/>
      <sheetName val="Source Data"/>
      <sheetName val="CAPEX Categories"/>
      <sheetName val="RFP003_Building - B"/>
      <sheetName val="RFP005"/>
      <sheetName val="RFP006"/>
      <sheetName val="RFP012"/>
      <sheetName val="RFP009"/>
      <sheetName val="RFP004"/>
      <sheetName val="PERHITUNGAN  KEEKONOMIAN"/>
      <sheetName val="SENSITIVITAS"/>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Benchmark"/>
      <sheetName val="목록박스"/>
      <sheetName val="Cable Schedule"/>
      <sheetName val="EQUI"/>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97 사업추정(WEKI)"/>
      <sheetName val="INDIRECT OH&amp;P "/>
      <sheetName val="Hoja2"/>
      <sheetName val="Hora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회사99"/>
      <sheetName val="Summary (3)"/>
      <sheetName val="RRW Scaff"/>
      <sheetName val="RRW Oct-2019-1st Lot-13-10-19"/>
      <sheetName val="RRW Oct-2019-2st Lot-15-10-19"/>
      <sheetName val="Sheet16"/>
      <sheetName val="PROGRAM"/>
      <sheetName val="CASHFLOW"/>
      <sheetName val="GRAPH_DATA"/>
      <sheetName val="Report Wizard"/>
      <sheetName val="Initial Plan"/>
      <sheetName val="Progress"/>
      <sheetName val="S3-Costing"/>
      <sheetName val="S4-Costing"/>
      <sheetName val="ABBR"/>
      <sheetName val="Salary 2013"/>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7422CW00"/>
      <sheetName val="P-산#1-1(WOWA1)"/>
      <sheetName val="부하계산서"/>
      <sheetName val="배5월출고"/>
      <sheetName val="BQ-E20-02(Rp)"/>
      <sheetName val="MIBK원단위"/>
      <sheetName val="BAND(200)"/>
      <sheetName val="OUTER AREA(겹침없음)"/>
      <sheetName val="EG-09"/>
      <sheetName val="LOADDAT"/>
      <sheetName val="sheet6"/>
      <sheetName val="DATA-DEP.(13-17)"/>
      <sheetName val="DATA-KBPL(17-25)"/>
      <sheetName val="DATA-GCC(25-34.7)"/>
      <sheetName val="St.-Con(0-17)"/>
      <sheetName val="St.-Con.(17-34)"/>
      <sheetName val="개시대사 (2)"/>
      <sheetName val="BLDG_DCI"/>
      <sheetName val="BLDG_MCI"/>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L V Separator"/>
      <sheetName val="TACE"/>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INVOICE_CERT_EIV'S9"/>
      <sheetName val="Onerous_Terms9"/>
      <sheetName val="Building_BD9"/>
      <sheetName val="_Sum9"/>
      <sheetName val="plan&amp;section_of_foundation8"/>
      <sheetName val="design_criteria8"/>
      <sheetName val="실제_도면출도8"/>
      <sheetName val="공사비_내역_(가)8"/>
      <sheetName val="Progress_Tab8"/>
      <sheetName val="w't_table8"/>
      <sheetName val="BM_DATA_SHEET8"/>
      <sheetName val="Eq__Mobilization8"/>
      <sheetName val="33628-Rev__A8"/>
      <sheetName val="입찰내역_발주처_양식8"/>
      <sheetName val="REINF_8"/>
      <sheetName val="M_118"/>
      <sheetName val="PC_CATCH_PIT_1X1X1_2M7"/>
      <sheetName val="PC_CATCH_PIT__6X_6X1_0M7"/>
      <sheetName val="PC_COVER_100MM_THK__95x_37"/>
      <sheetName val="PC_COVER_250MM_THK_2_2x_37"/>
      <sheetName val="Chiet_tinh_dz357"/>
      <sheetName val="member_design7"/>
      <sheetName val="working_load_at_the_btm_ft_7"/>
      <sheetName val="soil_bearing_check7"/>
      <sheetName val="3__GROUNDING_SYSTEM8"/>
      <sheetName val="Structural_Comp3"/>
      <sheetName val="Adjusted_Bids7"/>
      <sheetName val="Concept_Offshore7"/>
      <sheetName val="Running_compatibility_check_7"/>
      <sheetName val="A(Rev_3)7"/>
      <sheetName val="[Planning&amp;reporting_xlsM9000-A3"/>
      <sheetName val="Running_compatibility_check__x2"/>
      <sheetName val="Cashflow_Analysis3"/>
      <sheetName val="Running_compatibility_check_?A2"/>
      <sheetName val="Running_compatibility_check__A2"/>
      <sheetName val="A_(2)2"/>
      <sheetName val="Direct_Prices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WORKSHEET_CS2"/>
      <sheetName val="_Planning&amp;reporting_xlsM9000-A2"/>
      <sheetName val="00-Summary_Information-ABB2"/>
      <sheetName val="DO_NOT_DELETE2"/>
      <sheetName val="Time_Rates_2"/>
      <sheetName val="P-Ins_&amp;_Bonds"/>
      <sheetName val="P-Site_fac"/>
      <sheetName val="P-Clients_fac"/>
      <sheetName val="P_Staff_fac"/>
      <sheetName val="factor_"/>
      <sheetName val="vlookup_-_do_not_print"/>
      <sheetName val="Rate_Analysis"/>
      <sheetName val="19_05_2010"/>
      <sheetName val="Earthworks_ERP"/>
      <sheetName val="24_06_2010"/>
      <sheetName val="Small_Structures_ERP"/>
      <sheetName val="Large_Structures_ERP"/>
      <sheetName val="Tunnelling_ERP"/>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plan&amp;section_of_foundation9"/>
      <sheetName val="design_criteria9"/>
      <sheetName val="실제_도면출도9"/>
      <sheetName val="공사비_내역_(가)9"/>
      <sheetName val="Progress_Tab9"/>
      <sheetName val="w't_table9"/>
      <sheetName val="BM_DATA_SHEET9"/>
      <sheetName val="Eq__Mobilization9"/>
      <sheetName val="33628-Rev__A9"/>
      <sheetName val="입찰내역_발주처_양식9"/>
      <sheetName val="REINF_9"/>
      <sheetName val="M_119"/>
      <sheetName val="PC_CATCH_PIT_1X1X1_2M8"/>
      <sheetName val="PC_CATCH_PIT__6X_6X1_0M8"/>
      <sheetName val="PC_COVER_100MM_THK__95x_38"/>
      <sheetName val="PC_COVER_250MM_THK_2_2x_38"/>
      <sheetName val="Chiet_tinh_dz358"/>
      <sheetName val="member_design8"/>
      <sheetName val="working_load_at_the_btm_ft_8"/>
      <sheetName val="soil_bearing_check8"/>
      <sheetName val="3__GROUNDING_SYSTEM9"/>
      <sheetName val="Structural_Comp4"/>
      <sheetName val="Adjusted_Bids8"/>
      <sheetName val="Concept_Offshore8"/>
      <sheetName val="Running_compatibility_check_8"/>
      <sheetName val="A(Rev_3)8"/>
      <sheetName val="[Planning&amp;reporting_xlsM9000-A4"/>
      <sheetName val="Running_compatibility_check__x3"/>
      <sheetName val="Cashflow_Analysis4"/>
      <sheetName val="Running_compatibility_check_?A3"/>
      <sheetName val="Running_compatibility_check__A3"/>
      <sheetName val="A_(2)3"/>
      <sheetName val="Direct_Prices3"/>
      <sheetName val="List_of_WorkPacks3"/>
      <sheetName val="List_of_Dates3"/>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WORKSHEET_CS3"/>
      <sheetName val="_Planning&amp;reporting_xlsM9000-A3"/>
      <sheetName val="00-Summary_Information-ABB3"/>
      <sheetName val="DO_NOT_DELETE3"/>
      <sheetName val="Time_Rates_3"/>
      <sheetName val="page_61"/>
      <sheetName val="P-Ins_&amp;_Bonds1"/>
      <sheetName val="P-Site_fac1"/>
      <sheetName val="P-Clients_fac1"/>
      <sheetName val="P_Staff_fac1"/>
      <sheetName val="factor_1"/>
      <sheetName val="vlookup_-_do_not_print1"/>
      <sheetName val="Rate_Analysis1"/>
      <sheetName val="19_05_20101"/>
      <sheetName val="Earthworks_ERP1"/>
      <sheetName val="24_06_20101"/>
      <sheetName val="Small_Structures_ERP1"/>
      <sheetName val="Large_Structures_ERP1"/>
      <sheetName val="Tunnelling_ERP1"/>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breakdown"/>
      <sheetName val="마감물량"/>
      <sheetName val="Substation Column"/>
      <sheetName val="laborrates"/>
      <sheetName val="100(4)"/>
      <sheetName val="合成単価作成表_BLDG"/>
      <sheetName val="RefG"/>
      <sheetName val="IRR sponsor"/>
      <sheetName val="SG"/>
      <sheetName val="Pricing_Summary"/>
      <sheetName val="Net_Cost_-_Final_Base"/>
      <sheetName val="7_6Net_Cost_Agreed_on_Dec-04_R1"/>
      <sheetName val="Net_Cost_Agreed_on_Dec-04_Rev1"/>
      <sheetName val="7_6_Net_Cost_Agreed_on_Dec-04"/>
      <sheetName val="Net_Cost_Agreed_on_Dec-04"/>
      <sheetName val="Total_for_Check"/>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BOQ LIST"/>
      <sheetName val="17安"/>
      <sheetName val="Part"/>
      <sheetName val="Setup"/>
      <sheetName val="PDS U-1400"/>
      <sheetName val="SPT vs PHI"/>
      <sheetName val="01-D.PERS"/>
      <sheetName val="Fig 4-14"/>
      <sheetName val="Fig 5-17"/>
      <sheetName val="IMPULSE"/>
      <sheetName val="Manpower List-1"/>
      <sheetName val="DAILY"/>
      <sheetName val="SUMMARY FOR DPR"/>
      <sheetName val="Index Daily Alloaction"/>
      <sheetName val="Manpower List"/>
      <sheetName val="A &amp; B"/>
      <sheetName val="conta_rapor"/>
      <sheetName val="sonuç"/>
      <sheetName val="Follow-up"/>
      <sheetName val="Sayfa1"/>
      <sheetName val="Insulatıon_status"/>
      <sheetName val="SOS_PLC &amp; Panel"/>
      <sheetName val="2000년_#1_HB"/>
      <sheetName val="Planilla CND"/>
      <sheetName val="Restricted"/>
      <sheetName val="전체계좌"/>
      <sheetName val="8104"/>
      <sheetName val="1771"/>
      <sheetName val="CASH-FLOW"/>
      <sheetName val="Table_Rates Data"/>
      <sheetName val="95삼성급(본사)"/>
      <sheetName val="APP-9"/>
      <sheetName val="MAPP"/>
      <sheetName val="rek det 1-3"/>
      <sheetName val="BP"/>
      <sheetName val="Comp equip"/>
      <sheetName val="Mach &amp; equip"/>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rec.OTS"/>
      <sheetName val="COLUMNS"/>
      <sheetName val="VESSELS "/>
      <sheetName val="Page 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STR"/>
      <sheetName val="NP"/>
      <sheetName val="TOTAL SCHEDULE"/>
      <sheetName val="BILL"/>
      <sheetName val="SALES"/>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노임단가"/>
      <sheetName val="교량대비"/>
      <sheetName val="내역서"/>
      <sheetName val="page_62"/>
      <sheetName val="ITB_COST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Running_compatibility_check__x4"/>
      <sheetName val="Running_compatibility_check_?A4"/>
      <sheetName val="Running_compatibility_check__A4"/>
      <sheetName val="List_of_WorkPacks4"/>
      <sheetName val="List_of_Date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GeneralFeedDevices_Labels"/>
      <sheetName val="CalmingSection_Labels"/>
      <sheetName val="Welcome"/>
      <sheetName val="tifico"/>
      <sheetName val="QMS Rev 3"/>
      <sheetName val="QMS Rev 2"/>
      <sheetName val="Rebar Assembly Progress"/>
      <sheetName val="GI Steps Progress Final"/>
      <sheetName val="QW Trench"/>
      <sheetName val="Page 1 of 5"/>
      <sheetName val="Sheet 14"/>
      <sheetName val="Riesgos y Oportunidades"/>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Vaccari  EST INQ-Stat. Summ "/>
      <sheetName val="견적의뢰"/>
      <sheetName val="OUTER_AREA(겹침없음)"/>
      <sheetName val="Prog-Chart"/>
      <sheetName val="kalibrasi-Tank"/>
      <sheetName val="뜃맟뭁돽띿맟_r"/>
      <sheetName val="뜃맟뭁돽띿맟_㥲ꖄ쐀㬣ꠂ"/>
      <sheetName val="뜃맟뭁돽띿맟_衲裿㤁䲄쐀"/>
      <sheetName val="Komponen Upah"/>
      <sheetName val="Inkindo 2015"/>
      <sheetName val="노임이"/>
      <sheetName val="Estimate"/>
      <sheetName val="Raw Data"/>
      <sheetName val="AOP Summary-2"/>
      <sheetName val="Fig_4-14"/>
      <sheetName val="Fig_5-17"/>
      <sheetName val="Table"/>
      <sheetName val="ANX3A65"/>
      <sheetName val="PLSt 03  "/>
      <sheetName val="П 7 курс аванса"/>
      <sheetName val="Rekapitulasi"/>
      <sheetName val="INFO UMUM"/>
      <sheetName val="DET 1"/>
      <sheetName val="DET 2"/>
      <sheetName val="BASIC PRICE"/>
      <sheetName val="QUARRY"/>
      <sheetName val=" GULF"/>
      <sheetName val="ENG-101"/>
      <sheetName val="DIV.1"/>
      <sheetName val="WKFRM"/>
      <sheetName val="6PILE  (돌출)"/>
      <sheetName val="0.품의서(전체)"/>
      <sheetName val="LAST UPDATE"/>
      <sheetName val="personnel loading"/>
      <sheetName val="MAY 00-Bobbins"/>
      <sheetName val="U_A Input"/>
      <sheetName val="Equipt Rental"/>
      <sheetName val="Activity(new)"/>
      <sheetName val="Total(new)"/>
      <sheetName val="UPA(Part C,D,E,G,H)"/>
      <sheetName val="UPA(Part F)"/>
      <sheetName val="Materials"/>
      <sheetName val="일위대가 (Part C,D,E,G,H)"/>
      <sheetName val="실행철강하도"/>
      <sheetName val="BOQ건축"/>
      <sheetName val="손익차총괄2"/>
      <sheetName val="CIM"/>
      <sheetName val="h-013211-2"/>
      <sheetName val="FlujoTJ"/>
      <sheetName val="BD_LL"/>
      <sheetName val="Daily Forwards"/>
      <sheetName val="调价系数"/>
      <sheetName val="Condicion"/>
      <sheetName val="13-List"/>
      <sheetName val="total1"/>
      <sheetName val="sis.xlm"/>
      <sheetName val="Tipo de Cambio"/>
      <sheetName val="운반"/>
      <sheetName val="HRG BAHAN &amp; UPAH okk"/>
      <sheetName val="Analis Kusen okk"/>
      <sheetName val="Inputs_Sens"/>
      <sheetName val="IS_Sum_CM"/>
      <sheetName val="RAB"/>
      <sheetName val="Bahan"/>
      <sheetName val="BUL"/>
      <sheetName val="MC-1"/>
      <sheetName val="Retaining wall &amp; Top Up"/>
      <sheetName val="매립"/>
      <sheetName val="Table_Rates_Data"/>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VESSELS_"/>
      <sheetName val="方案1表二"/>
      <sheetName val="HIOS 93 thru 96"/>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refreshError="1"/>
      <sheetData sheetId="1688" refreshError="1"/>
      <sheetData sheetId="1689"/>
      <sheetData sheetId="1690"/>
      <sheetData sheetId="1691"/>
      <sheetData sheetId="1692"/>
      <sheetData sheetId="1693"/>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efreshError="1"/>
      <sheetData sheetId="1848" refreshError="1"/>
      <sheetData sheetId="184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Economic setup"/>
      <sheetName val="Fiscal &amp; PSC Variations"/>
      <sheetName val="Output"/>
      <sheetName val="Summary Results"/>
      <sheetName val="P&amp;B Summary"/>
      <sheetName val="Cashflow Analysis"/>
      <sheetName val="US Tax Sensitivity"/>
      <sheetName val="Book Earnings and ROCE"/>
      <sheetName val="Cashflow and Earnings Profile"/>
      <sheetName val="Blk. 212 Bonga Expl.  8-30-97 "/>
      <sheetName val="Expl. blk. 212  8-22-96"/>
      <sheetName val="Expl. blk. 212  8-15-97 mid-yr"/>
      <sheetName val="Blk 316 Abo Expl. "/>
      <sheetName val="Blk 219 Ngolo Expl"/>
      <sheetName val="Blk 219 Ngolo Expl. (2)"/>
      <sheetName val="Prices"/>
      <sheetName val="Inflation"/>
      <sheetName val="Financing"/>
      <sheetName val="Transportation"/>
      <sheetName val="PPT graphic"/>
      <sheetName val="Schedules"/>
      <sheetName val="Data initialization"/>
      <sheetName val="Module1"/>
      <sheetName val="Module2"/>
      <sheetName val="Module3"/>
      <sheetName val="US Tax Sensitivity (3)"/>
      <sheetName val="US Tax Sensitivity (2)"/>
      <sheetName val=""/>
      <sheetName val="Menu"/>
      <sheetName val="DATA BASE_From_COSMOS"/>
      <sheetName val="산근"/>
      <sheetName val="기성내역"/>
      <sheetName val="갑지"/>
      <sheetName val="Economic_setup"/>
      <sheetName val="Fiscal_&amp;_PSC_Variations"/>
      <sheetName val="Summary_Results"/>
      <sheetName val="P&amp;B_Summary"/>
      <sheetName val="Cashflow_Analysis"/>
      <sheetName val="US_Tax_Sensitivity"/>
      <sheetName val="Book_Earnings_and_ROCE"/>
      <sheetName val="Cashflow_and_Earnings_Profile"/>
      <sheetName val="Blk__212_Bonga_Expl___8-30-97_"/>
      <sheetName val="Expl__blk__212__8-22-96"/>
      <sheetName val="Expl__blk__212__8-15-97_mid-yr"/>
      <sheetName val="Blk_316_Abo_Expl__"/>
      <sheetName val="Blk_219_Ngolo_Expl"/>
      <sheetName val="Blk_219_Ngolo_Expl__(2)"/>
      <sheetName val="PPT_graphic"/>
      <sheetName val="Data_initialization"/>
      <sheetName val="US_Tax_Sensitivity_(3)"/>
      <sheetName val="US_Tax_Sensitivity_(2)"/>
      <sheetName val="Economic_setup1"/>
      <sheetName val="Fiscal_&amp;_PSC_Variations1"/>
      <sheetName val="Summary_Results1"/>
      <sheetName val="P&amp;B_Summary1"/>
      <sheetName val="Cashflow_Analysis1"/>
      <sheetName val="US_Tax_Sensitivity1"/>
      <sheetName val="Book_Earnings_and_ROCE1"/>
      <sheetName val="Cashflow_and_Earnings_Profile1"/>
      <sheetName val="Blk__212_Bonga_Expl___8-30-97_1"/>
      <sheetName val="Expl__blk__212__8-22-961"/>
      <sheetName val="Expl__blk__212__8-15-97_mid-yr1"/>
      <sheetName val="Blk_316_Abo_Expl__1"/>
      <sheetName val="Blk_219_Ngolo_Expl1"/>
      <sheetName val="Blk_219_Ngolo_Expl__(2)1"/>
      <sheetName val="PPT_graphic1"/>
      <sheetName val="Data_initialization1"/>
      <sheetName val="US_Tax_Sensitivity_(3)1"/>
      <sheetName val="US_Tax_Sensitivity_(2)1"/>
      <sheetName val="DATA_BASE_From_COSMOS"/>
      <sheetName val="OrgRates2000"/>
      <sheetName val="운반"/>
      <sheetName val="ProArcInfo"/>
      <sheetName val="SILICATE"/>
      <sheetName val="EQUIPOS"/>
      <sheetName val="Finansal tamamlanma Eğrisi"/>
      <sheetName val="BQMPALOC"/>
      <sheetName val="Analisa"/>
      <sheetName val="WIP"/>
      <sheetName val="Takeoff"/>
      <sheetName val="E1"/>
      <sheetName val="Units"/>
      <sheetName val="人工时台账"/>
      <sheetName val="Home Office"/>
      <sheetName val="당초"/>
      <sheetName val="Bond &amp; Stamp"/>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SS_SSE MOD "/>
      <sheetName val="Sheet1"/>
      <sheetName val="Sheet2"/>
      <sheetName val="TIPO 1"/>
      <sheetName val="Eq. Mobilization"/>
      <sheetName val="T6"/>
      <sheetName val="4. VO and VORRegister "/>
      <sheetName val="MH Unit Rate Table-NET"/>
      <sheetName val="Economic_setup2"/>
      <sheetName val="Fiscal_&amp;_PSC_Variations2"/>
      <sheetName val="Summary_Results2"/>
      <sheetName val="P&amp;B_Summary2"/>
      <sheetName val="Cashflow_Analysis2"/>
      <sheetName val="US_Tax_Sensitivity2"/>
      <sheetName val="Book_Earnings_and_ROCE2"/>
      <sheetName val="Cashflow_and_Earnings_Profile2"/>
      <sheetName val="Blk__212_Bonga_Expl___8-30-97_2"/>
      <sheetName val="Expl__blk__212__8-22-962"/>
      <sheetName val="Expl__blk__212__8-15-97_mid-yr2"/>
      <sheetName val="Blk_316_Abo_Expl__2"/>
      <sheetName val="Blk_219_Ngolo_Expl2"/>
      <sheetName val="Blk_219_Ngolo_Expl__(2)2"/>
      <sheetName val="PPT_graphic2"/>
      <sheetName val="Data_initialization2"/>
      <sheetName val="US_Tax_Sensitivity_(3)2"/>
      <sheetName val="US_Tax_Sensitivity_(2)2"/>
      <sheetName val="DATA_BASE_From_COSMOS1"/>
      <sheetName val="4__VO_and_VORRegister_"/>
      <sheetName val="MH_Unit_Rate_Table-NET"/>
      <sheetName val="Finansal_tamamlanma_Eğrisi"/>
      <sheetName val="Home_Office"/>
      <sheetName val="Economic_setup3"/>
      <sheetName val="Fiscal_&amp;_PSC_Variations3"/>
      <sheetName val="Summary_Results3"/>
      <sheetName val="P&amp;B_Summary3"/>
      <sheetName val="Cashflow_Analysis3"/>
      <sheetName val="US_Tax_Sensitivity3"/>
      <sheetName val="Book_Earnings_and_ROCE3"/>
      <sheetName val="Cashflow_and_Earnings_Profile3"/>
      <sheetName val="Blk__212_Bonga_Expl___8-30-97_3"/>
      <sheetName val="Expl__blk__212__8-22-963"/>
      <sheetName val="Expl__blk__212__8-15-97_mid-yr3"/>
      <sheetName val="Blk_316_Abo_Expl__3"/>
      <sheetName val="Blk_219_Ngolo_Expl3"/>
      <sheetName val="Blk_219_Ngolo_Expl__(2)3"/>
      <sheetName val="PPT_graphic3"/>
      <sheetName val="Data_initialization3"/>
      <sheetName val="US_Tax_Sensitivity_(3)3"/>
      <sheetName val="US_Tax_Sensitivity_(2)3"/>
      <sheetName val="DATA_BASE_From_COSMOS2"/>
      <sheetName val="4__VO_and_VORRegister_1"/>
      <sheetName val="MH_Unit_Rate_Table-NET1"/>
      <sheetName val="Lista"/>
      <sheetName val="FitOutConfCentre"/>
      <sheetName val="TemplateMngr"/>
      <sheetName val="Fiscal Inputs"/>
      <sheetName val="laroux"/>
      <sheetName val="Riesgos y Oportunidades"/>
      <sheetName val="Piping Design Data"/>
      <sheetName val="EQUIPMENT -2"/>
      <sheetName val="l1en 0290 cost 31-03-2015"/>
      <sheetName val="TARIFS"/>
      <sheetName val="TABLO-3"/>
      <sheetName val="12CGOU"/>
      <sheetName val="I&amp;C"/>
      <sheetName val="I&amp;C - Cabling "/>
      <sheetName val="Construction COST BASE COMPAR"/>
      <sheetName val="Resumen Tabs. GAS"/>
      <sheetName val="CIVIL WORKS _GAS"/>
      <sheetName val="Resumen Tabs. GIS"/>
      <sheetName val="CIVIL WORKS _GIS"/>
      <sheetName val="PILING_GIS"/>
      <sheetName val="Buildings List"/>
      <sheetName val="EXC-BOW"/>
      <sheetName val="1 BOP"/>
      <sheetName val="Summary MEC "/>
      <sheetName val="Am. II OH&amp;P ICC"/>
      <sheetName val="PIPING"/>
      <sheetName val="Cronograma"/>
      <sheetName val="Histograma"/>
      <sheetName val="ACC"/>
      <sheetName val="INS_Piping"/>
      <sheetName val="PAINT_Piping"/>
      <sheetName val="  INST 2 BOP"/>
      <sheetName val="  INST 1 BOP"/>
      <sheetName val="bqmp"/>
      <sheetName val="Rail"/>
      <sheetName val="Trucks &amp; Containers"/>
      <sheetName val="Input"/>
      <sheetName val="ALLOWANCE"/>
      <sheetName val="MH RATE"/>
      <sheetName val="EQT-ESTN"/>
      <sheetName val="Personnel"/>
      <sheetName val="ERECIN"/>
      <sheetName val="Cal"/>
      <sheetName val="drum"/>
      <sheetName val="Bond_&amp;_Stamp"/>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SS_SSE_MOD_"/>
      <sheetName val="Finansal_tamamlanma_Eğrisi1"/>
      <sheetName val="Home_Office1"/>
      <sheetName val="Bond_&amp;_Stamp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SSS_SSE_MOD_1"/>
      <sheetName val="A"/>
      <sheetName val="inter"/>
      <sheetName val="XZLC003_PART1"/>
      <sheetName val="ESCON"/>
      <sheetName val="SEX"/>
      <sheetName val="tifico"/>
      <sheetName val="I&amp;C_-_Cabling_"/>
      <sheetName val="Construction_COST_BASE_COMPAR"/>
      <sheetName val="Resumen_Tabs__GAS"/>
      <sheetName val="CIVIL_WORKS__GAS"/>
      <sheetName val="Resumen_Tabs__GIS"/>
      <sheetName val="CIVIL_WORKS__GIS"/>
      <sheetName val="Buildings_List"/>
      <sheetName val="1_BOP"/>
      <sheetName val="Summary_MEC_"/>
      <sheetName val="Am__II_OH&amp;P_ICC"/>
      <sheetName val="__INST_2_BOP"/>
      <sheetName val="__INST_1_BOP"/>
      <sheetName val="Riesgos_y_Oportunidades"/>
      <sheetName val="Piping_Design_Data"/>
      <sheetName val="EQUIPMENT_-2"/>
      <sheetName val="Trucks_&amp;_Containers"/>
      <sheetName val="MH_RATE"/>
      <sheetName val="Economic_setup4"/>
      <sheetName val="Fiscal_&amp;_PSC_Variations4"/>
      <sheetName val="Summary_Results4"/>
      <sheetName val="P&amp;B_Summary4"/>
      <sheetName val="Cashflow_Analysis4"/>
      <sheetName val="US_Tax_Sensitivity4"/>
      <sheetName val="Book_Earnings_and_ROCE4"/>
      <sheetName val="Cashflow_and_Earnings_Profile4"/>
      <sheetName val="Blk__212_Bonga_Expl___8-30-97_4"/>
      <sheetName val="Expl__blk__212__8-22-964"/>
      <sheetName val="Expl__blk__212__8-15-97_mid-yr4"/>
      <sheetName val="Blk_316_Abo_Expl__4"/>
      <sheetName val="Blk_219_Ngolo_Expl4"/>
      <sheetName val="Blk_219_Ngolo_Expl__(2)4"/>
      <sheetName val="PPT_graphic4"/>
      <sheetName val="Data_initialization4"/>
      <sheetName val="US_Tax_Sensitivity_(3)4"/>
      <sheetName val="US_Tax_Sensitivity_(2)4"/>
      <sheetName val="DATA_BASE_From_COSMOS3"/>
      <sheetName val="Finansal_tamamlanma_Eğrisi2"/>
      <sheetName val="Home_Office2"/>
      <sheetName val="Bond_&amp;_Stamp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SSS_SSE_MOD_2"/>
      <sheetName val="l1en_0290_cost_31-03-2015"/>
      <sheetName val="B"/>
      <sheetName val="石炭性状"/>
      <sheetName val="EQUIPMENT-PRICE"/>
      <sheetName val="MANPOWER-RATES"/>
      <sheetName val="노임단가"/>
      <sheetName val="AC"/>
      <sheetName val="PipeTable"/>
      <sheetName val="DAFTAR BAHAN DAN UPAH"/>
      <sheetName val="Курсы"/>
      <sheetName val="Register"/>
      <sheetName val="Riesgos_y_Oportunidades1"/>
      <sheetName val="Piping_Design_Data1"/>
      <sheetName val="EQUIPMENT_-21"/>
      <sheetName val="l1en_0290_cost_31-03-20151"/>
      <sheetName val="Topsides Fab Detail"/>
      <sheetName val="Validation"/>
      <sheetName val="Working Interest and EFs"/>
      <sheetName val="Lookups"/>
      <sheetName val="LOOK UP KEY"/>
      <sheetName val="BP Economics"/>
      <sheetName val="Dropdown options for lookups"/>
      <sheetName val="Global &amp; PSA Inputs"/>
      <sheetName val="15. DEMOUNTING"/>
      <sheetName val="16.EQUIP. ERECTION (UNIT RATES)"/>
      <sheetName val="19. FIREPROOFING"/>
      <sheetName val="3.METALLIC PIPING ERECTION"/>
      <sheetName val="2.METALLIC PIPING PREFABR."/>
      <sheetName val="3a.METALLIC PIPING ER_REVAMPING"/>
      <sheetName val="14. MISCELLANEOUS "/>
      <sheetName val="8.NDT "/>
      <sheetName val="6.NON METALLIC PIPING ERECTION"/>
      <sheetName val="5.NON METALLIC PIPING PREFABR."/>
      <sheetName val="17. PAINTING "/>
      <sheetName val="12.PIPING PRESSURE TEST"/>
      <sheetName val="9.PWHT"/>
      <sheetName val="4.STEAM TRACING"/>
      <sheetName val="11.SUPPORTS"/>
      <sheetName val="7.TIE-INS (UNIT RATES)"/>
      <sheetName val="10.VALVES AND FLANGED CONN."/>
      <sheetName val="13.WRAPPING"/>
      <sheetName val="G2TempSheet"/>
      <sheetName val="Utility and Fire flange"/>
      <sheetName val="Uls"/>
      <sheetName val="template"/>
      <sheetName val="6PILE  (돌출)"/>
      <sheetName val="GJB"/>
      <sheetName val="SPT vs PHI"/>
      <sheetName val="TIPO_1"/>
      <sheetName val="Eq__Mobilization"/>
      <sheetName val="FA RM-MAC'07"/>
      <sheetName val="cashflow"/>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ll-Down Menus"/>
      <sheetName val="P. 1"/>
      <sheetName val="P. 2"/>
      <sheetName val="P. 3"/>
      <sheetName val="P. 4"/>
      <sheetName val="P. 5"/>
      <sheetName val="P. 6"/>
      <sheetName val="P. 7"/>
      <sheetName val="P. 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
      <sheetName val="집계표_OPTION_"/>
      <sheetName val="당초"/>
      <sheetName val="단가(자재)"/>
      <sheetName val="단가(노임)"/>
      <sheetName val="기초목록"/>
      <sheetName val="노임단가"/>
      <sheetName val="예산"/>
      <sheetName val="KP1590_E"/>
      <sheetName val="VC2 10.99"/>
      <sheetName val="영업3"/>
      <sheetName val="영업2"/>
      <sheetName val="1월"/>
      <sheetName val="Sheet1"/>
      <sheetName val="BQMPALOC"/>
      <sheetName val="inter"/>
      <sheetName val="공문"/>
      <sheetName val="금액내역서"/>
      <sheetName val="??"/>
      <sheetName val="ERECIN"/>
      <sheetName val="INPUT DATA"/>
      <sheetName val="집계표 (25,26ဩ"/>
      <sheetName val="BQ_Utl_Off"/>
      <sheetName val="General Data"/>
      <sheetName val="»ê±Ù"/>
      <sheetName val="12CGOU"/>
      <sheetName val="경영혁신본부"/>
      <sheetName val="Final(1)summary"/>
      <sheetName val="BD集計用"/>
      <sheetName val="수입"/>
      <sheetName val="BM DATA SHEET"/>
      <sheetName val="Form 0"/>
      <sheetName val="COVER"/>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___"/>
      <sheetName val="연돌일위집계"/>
      <sheetName val="갑지"/>
      <sheetName val="세금자료"/>
      <sheetName val="DESCRIPTION"/>
      <sheetName val="Form D-1"/>
      <sheetName val="Form B-1"/>
      <sheetName val="Form F-1"/>
      <sheetName val="Assist(B-1)"/>
      <sheetName val="Form A"/>
      <sheetName val="입출재고현황 (2)"/>
      <sheetName val="__"/>
      <sheetName val="뜃맟뭁돽띿맟?-BLDG"/>
      <sheetName val="기성내역"/>
      <sheetName val="LABOR &amp; 자재"/>
      <sheetName val="제작도"/>
      <sheetName val="DHEQSUPT"/>
      <sheetName val="SANDAN"/>
      <sheetName val="M-EQPT-Z"/>
      <sheetName val="SALA-002"/>
      <sheetName val="DRUM"/>
      <sheetName val="POWER"/>
      <sheetName val="ESCON"/>
      <sheetName val="eq_data"/>
      <sheetName val="뜃맟뭁돽띿맟_-BLDG"/>
      <sheetName val="CB"/>
      <sheetName val="내역ࠜĀM4)"/>
      <sheetName val="주간기성"/>
      <sheetName val="INPUT_DATA"/>
      <sheetName val="General_Data"/>
      <sheetName val="집계표_(25,26ဩ"/>
      <sheetName val="Form_0"/>
      <sheetName val="노임단가표"/>
      <sheetName val="간접비 총괄"/>
      <sheetName val="TTL"/>
      <sheetName val="Lup2"/>
      <sheetName val="BOROUGE2"/>
      <sheetName val="???(OPTION)"/>
      <sheetName val="B"/>
      <sheetName val="3.공통공사대비"/>
      <sheetName val="Price Schedule"/>
      <sheetName val="간접비내역-1"/>
      <sheetName val="당진1,2호기전선관설치및접지4차공사내역서-을지"/>
      <sheetName val="Q&amp;pl-V"/>
      <sheetName val="PRICES"/>
      <sheetName val="INSTR"/>
      <sheetName val="h-013211-2"/>
      <sheetName val="표지"/>
      <sheetName val="Cash2"/>
      <sheetName val="Z"/>
      <sheetName val="내역서 耰&quot;"/>
      <sheetName val="_x0008_"/>
      <sheetName val="비교검토"/>
      <sheetName val="내역서 耰&quot;??"/>
      <sheetName val="24V"/>
      <sheetName val="Rate Analysis"/>
      <sheetName val="合成単価作成表-BLDG"/>
      <sheetName val="CTEMCOST"/>
      <sheetName val="F4-F7"/>
      <sheetName val="CAL."/>
      <sheetName val="EQT-ESTN"/>
      <sheetName val="???¡§????"/>
      <sheetName val="????¢ç¢®¡¿????"/>
      <sheetName val="??????????¢ç??????"/>
      <sheetName val="???????¢ç¢®¢¯????"/>
      <sheetName val="???????®¡¿????"/>
      <sheetName val="??????????????????"/>
      <sheetName val="IN"/>
      <sheetName val="WE'T"/>
      <sheetName val="EQUIPMENT -2"/>
      <sheetName val="찍기"/>
      <sheetName val="A"/>
      <sheetName val="EQUIP"/>
      <sheetName val="실행"/>
      <sheetName val="물량"/>
      <sheetName val="WEIGHT LIST"/>
      <sheetName val="산#2-1 (2)"/>
      <sheetName val="POL6차-PIPING"/>
      <sheetName val="산#3-1"/>
      <sheetName val="BEND LOSS"/>
      <sheetName val="공사비 내역 (가)"/>
      <sheetName val="내역"/>
      <sheetName val="6PILE  (돌출)"/>
      <sheetName val="단면 (2)"/>
      <sheetName val="___(OPTION)"/>
      <sheetName val="내역ࠜĀ_x005f_x005f_x005f_x0000_M4)"/>
      <sheetName val="내역ࠜĀ_x005f_x0000_M4)"/>
      <sheetName val="내역ࠜĀ"/>
      <sheetName val="Data"/>
      <sheetName val="LEGEND"/>
      <sheetName val="jobhist"/>
      <sheetName val="PROCURE"/>
      <sheetName val="기계내역서"/>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tatic Equip"/>
      <sheetName val="CAT_5"/>
      <sheetName val="Form A "/>
      <sheetName val="당초내역서"/>
      <sheetName val="내역서 耰&quot;_x005f_x0000__x005f_x0000_"/>
      <sheetName val="_x005f_x0008_"/>
      <sheetName val="SOURCE"/>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국내"/>
      <sheetName val="간접비_총괄"/>
      <sheetName val="Price_Schedule"/>
      <sheetName val="내역서_耰&quot;"/>
      <sheetName val=""/>
      <sheetName val="EQUIPMENT_-2"/>
      <sheetName val="CAL_"/>
      <sheetName val="Rate_Analysis"/>
      <sheetName val="내역서_耰&quot;??"/>
      <sheetName val="PBS"/>
      <sheetName val="내역ࠜĀ?M4)"/>
      <sheetName val="경영혁신본뷀"/>
      <sheetName val="electrical"/>
      <sheetName val="2.2 STAFF Scedule"/>
      <sheetName val="BCPAB"/>
      <sheetName val="PI"/>
      <sheetName val="입찰품의서"/>
      <sheetName val="EQUIP LIST"/>
      <sheetName val="Z- GENERAL PRICE SUMMARY"/>
      <sheetName val=" Estimate  "/>
      <sheetName val="갑지1"/>
      <sheetName val="내역서 耰&quot;_x005f_x005f_x005f_x0000__x005f_x005f_x0000"/>
      <sheetName val="_x005f_x005f_x005f_x0008_"/>
      <sheetName val="9906"/>
      <sheetName val="계측 내역서"/>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SummaryC"/>
      <sheetName val="Detail"/>
      <sheetName val="인부신상자료"/>
      <sheetName val="Sheet1 (2)"/>
      <sheetName val="수로보호공"/>
      <sheetName val="데이타"/>
      <sheetName val="식재인부"/>
      <sheetName val="입력시트"/>
      <sheetName val="견적"/>
      <sheetName val="내역ࠜĀ_M4)"/>
      <sheetName val="CIVIL"/>
      <sheetName val="ERECT"/>
      <sheetName val="PROSUM"/>
      <sheetName val="EQUIPOS"/>
      <sheetName val="내역ࠜĀ_x005f_x005f_x005f_x005f_x005f_x005f_x005f_x0000_M4"/>
      <sheetName val="내역서 耰&quot;_x005f_x005f_x005f_x005f_x005f_x005f_x005f_x0000_"/>
      <sheetName val="_x005f_x005f_x005f_x005f_x005f_x005f_x005f_x0008_"/>
      <sheetName val="Q-7100-001"/>
      <sheetName val="Administrative Prices"/>
      <sheetName val="Calc"/>
      <sheetName val="WBS 44"/>
      <sheetName val="WBS 41"/>
      <sheetName val="Precios por Administración"/>
      <sheetName val="Resumen"/>
      <sheetName val="Precios Unitarios"/>
      <sheetName val="Subcon A"/>
      <sheetName val="AILC004"/>
      <sheetName val="7. 월별투입내역서"/>
      <sheetName val="내역서_耰&quot;_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MP MOB"/>
      <sheetName val="BATCH"/>
      <sheetName val="내역ࠜĀ_x005f_x005f_x005f_x005f_x005f_x005f_x005f_x005f_x0"/>
      <sheetName val="내역서 耰&quot;_x005f_x005f_x005f_x005f_x005f_x005f_x005f_x005f_"/>
      <sheetName val="All_2"/>
      <sheetName val="내역서"/>
      <sheetName val="Sheet4"/>
      <sheetName val="Form B"/>
      <sheetName val="Material Selections"/>
      <sheetName val="_x0002_뻘N_x0001_ࠀ역서"/>
      <sheetName val="M_DB"/>
      <sheetName val="trf(36%)"/>
      <sheetName val="Monthly Load"/>
      <sheetName val="Weekly Load"/>
      <sheetName val="금융"/>
      <sheetName val="_x005f_x005f_x005f_x005f_x005f_x005f_x005f_x005f_x005f_x005f_"/>
      <sheetName val="Lstsub"/>
      <sheetName val="[SANDAN.XLS??"/>
      <sheetName val="Hot"/>
      <sheetName val="Piping BQ for one turbine"/>
      <sheetName val="criteria"/>
      <sheetName val="sum"/>
      <sheetName val="Summary"/>
      <sheetName val="변경집계표"/>
      <sheetName val="DB@Acess"/>
      <sheetName val="집계표"/>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OQ-B.DOWN"/>
      <sheetName val="Eq. Mobilization"/>
      <sheetName val="DCS"/>
      <sheetName val="FWBS7000,8000"/>
      <sheetName val="ANALYSER"/>
      <sheetName val="출금실적"/>
      <sheetName val="경영현황"/>
      <sheetName val="RFP002"/>
      <sheetName val="일일총괄"/>
      <sheetName val="_x0004__x000d__x0003__x0004__x0016__x000d__x0004_"/>
      <sheetName val="_x000a__x001b__x0006__x0006__x0008__x000a_"/>
      <sheetName val="Basic_Rate"/>
      <sheetName val="appendix_2_5_final_accounts"/>
      <sheetName val="Format"/>
      <sheetName val="Labour"/>
      <sheetName val="Material"/>
      <sheetName val="Sheet1_(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Form1.SQP"/>
      <sheetName val="총괄표"/>
      <sheetName val="TDTKP"/>
      <sheetName val="DK-KH"/>
      <sheetName val="수량집계"/>
      <sheetName val="총괄집계표"/>
      <sheetName val="내역서 (∮ἀ嘆ɶ᠀㬁"/>
      <sheetName val="당초_xd8b4_∸ἀ"/>
      <sheetName val="Cal"/>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1350-A"/>
      <sheetName val="목표세부명세"/>
      <sheetName val="중기일위대가"/>
      <sheetName val="중기"/>
      <sheetName val="BREAKDOWN(철거설치)"/>
      <sheetName val="BREAKDOWN(신규설치)"/>
      <sheetName val="SS2"/>
      <sheetName val="품셈"/>
      <sheetName val="HP-Steamdrum"/>
      <sheetName val="한강운반비"/>
      <sheetName val="97"/>
      <sheetName val="MANP"/>
      <sheetName val="C"/>
      <sheetName val="Equipment List"/>
      <sheetName val="info"/>
      <sheetName val="TP"/>
      <sheetName val="General"/>
      <sheetName val="Menus"/>
      <sheetName val="Resource table"/>
      <sheetName val="Resource"/>
      <sheetName val="D-623D"/>
      <sheetName val="SCHEDD TAMBAHAN"/>
      <sheetName val="Preliminaries"/>
      <sheetName val="piping"/>
      <sheetName val="Mech"/>
      <sheetName val="Fire Protection"/>
      <sheetName val="Buildings"/>
      <sheetName val="Instrument"/>
      <sheetName val="입찰내역 발주처 양식"/>
      <sheetName val="원가"/>
      <sheetName val="Total"/>
      <sheetName val="AG Pipe Qty Analysis"/>
      <sheetName val="Heavy Equipments"/>
      <sheetName val="공정계획(내부계획25%,내부w.f)"/>
      <sheetName val="SFN ORIG"/>
      <sheetName val="SFN"/>
      <sheetName val="R2564AHDTS"/>
      <sheetName val="CPS"/>
      <sheetName val="_x0002_?뻘N??_x0001_ࠀ역서"/>
      <sheetName val="LOB"/>
      <sheetName val="COVER-P"/>
      <sheetName val="Utility and Fire flange"/>
      <sheetName val="Dir Manpower Other Exp."/>
      <sheetName val="7422CW00"/>
      <sheetName val="사급자재집계표"/>
      <sheetName val="HVAC(사급자재)"/>
      <sheetName val="U-W"/>
      <sheetName val="결과조달"/>
      <sheetName val="w't table"/>
      <sheetName val="_SANDAN.XLS__"/>
      <sheetName val="_x0002_"/>
      <sheetName val="수량산출서"/>
      <sheetName val="mto-rev0B"/>
      <sheetName val="내역서 (∮ἀ嘆ɶ"/>
      <sheetName val="ITB COST"/>
      <sheetName val="4-3LEVEL-5 epic.4"/>
      <sheetName val="단가 (2)"/>
      <sheetName val="MODULE CONFIRM"/>
      <sheetName val="이자율"/>
      <sheetName val="도"/>
      <sheetName val="Proposal"/>
      <sheetName val="부대비율"/>
      <sheetName val="상반기손익차2총괄"/>
      <sheetName val="breakdown_of_wage_rate"/>
      <sheetName val="Indirect_Cost"/>
      <sheetName val="생산계획"/>
      <sheetName val="VLOOKUP"/>
      <sheetName val="cal-foamglass"/>
      <sheetName val="연습"/>
      <sheetName val="운반"/>
      <sheetName val="실행예산 MM"/>
      <sheetName val="강재"/>
      <sheetName val="OD5000"/>
      <sheetName val="배수내역"/>
      <sheetName val="판가반영"/>
      <sheetName val="공사내역"/>
      <sheetName val="INPUT"/>
      <sheetName val="분전반계산서(석관)"/>
      <sheetName val="실행내역"/>
      <sheetName val="WIND"/>
      <sheetName val="FWBS 1530"/>
      <sheetName val="노임9월"/>
      <sheetName val="견적대비표"/>
      <sheetName val="VIZ4"/>
      <sheetName val="VIZ7"/>
      <sheetName val="UZ"/>
      <sheetName val="K_SURFACES"/>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CHANNEL"/>
      <sheetName val="PROTECTION "/>
      <sheetName val="CIBATU5OO"/>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_x0004_"/>
      <sheetName val="_x000a_"/>
      <sheetName val="SUM "/>
      <sheetName val="Multi-currency"/>
      <sheetName val="dc1"/>
      <sheetName val="master"/>
      <sheetName val="MTO"/>
      <sheetName val="Elect_BOM"/>
      <sheetName val="Elect"/>
      <sheetName val="BQ"/>
      <sheetName val="SEX"/>
      <sheetName val="Currency Rate"/>
      <sheetName val="Personnel"/>
      <sheetName val="설계명세1-1"/>
      <sheetName val="FWBS"/>
      <sheetName val="실행(ALT1)"/>
      <sheetName val="Cash In-Cash Out Actual"/>
      <sheetName val="내역서1999.8최종"/>
      <sheetName val="실행철강하도"/>
      <sheetName val="전기"/>
      <sheetName val="PROGRESS"/>
      <sheetName val="Database"/>
      <sheetName val="SILICATE"/>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일위대가(계측기설치)"/>
      <sheetName val="EP0618"/>
      <sheetName val="CÓDIGOS"/>
      <sheetName val="MTP"/>
      <sheetName val="Unit Price "/>
      <sheetName val="첨부1-집행내역(요약)"/>
      <sheetName val="Checklist-Parameters"/>
      <sheetName val="Fillermetal"/>
      <sheetName val="Updating Form-Oct 2011"/>
      <sheetName val="Weld Consumable"/>
      <sheetName val="WQT"/>
      <sheetName val="NDE Cost-Summary"/>
      <sheetName val="9July Above Ground Pipe"/>
      <sheetName val="M 11"/>
      <sheetName val="Process Data 1"/>
      <sheetName val="BOQ"/>
      <sheetName val="aa_piping"/>
      <sheetName val="CABLE_DATA"/>
      <sheetName val="CIVIL_UP"/>
      <sheetName val="ETUDE_de_Prix__(2)"/>
      <sheetName val="選單"/>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ANALISA"/>
      <sheetName val="예산-내부"/>
      <sheetName val="Closeout Control"/>
      <sheetName val="영업소실적"/>
      <sheetName val="PROJECT BRIEF"/>
      <sheetName val="tggwan(mac)"/>
      <sheetName val="CUADRO DE PRECIOS"/>
      <sheetName val="Site Findings Status Sheet"/>
      <sheetName val="Weekl_x0004__x0016__x000d_"/>
      <sheetName val="_x000e__x0005_"/>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Hoja2"/>
      <sheetName val="경제지표"/>
      <sheetName val="1100-1200-1300-1910-2140-LEV 2"/>
      <sheetName val="Library"/>
      <sheetName val="??-BLDG"/>
      <sheetName val="Unt rate"/>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ANX3A11"/>
      <sheetName val="5.) Time Delays"/>
      <sheetName val="KP_List"/>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B"/>
      <sheetName val="내역서_(N _x000e__x000e__x000e_  _x0012__x0010__x000a_"/>
      <sheetName val="ഀࠀကЀЀԀЀԀ̀ᤀഀ؀Ѐༀ"/>
      <sheetName val="노임이"/>
      <sheetName val=" _x001b__x0006__x0006__x0008_ "/>
      <sheetName val="CONFIG"/>
      <sheetName val="Datos"/>
      <sheetName val="할증 "/>
      <sheetName val="경상"/>
      <sheetName val="골조시행"/>
      <sheetName val="RAB AR&amp;STR"/>
      <sheetName val="I-KAMAR"/>
      <sheetName val="Pipe-Hot"/>
      <sheetName val="99. FWBS(Ref)"/>
      <sheetName val="99. Change Rate"/>
      <sheetName val="배수공"/>
      <sheetName val="Rates &amp; Legend"/>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_x0002_뻘N_"/>
      <sheetName val="Engineering&amp;Management"/>
      <sheetName val="Tools &amp; Settings"/>
      <sheetName val="Data Summary"/>
      <sheetName val="Resources"/>
      <sheetName val="FFA"/>
      <sheetName val="Currencies"/>
      <sheetName val="Crew Costs"/>
      <sheetName val="Spread Costs"/>
      <sheetName val="Unique List_Misc"/>
      <sheetName val="Codes.Pers"/>
      <sheetName val="In-House Summary"/>
      <sheetName val="7422CW_x0013_"/>
      <sheetName val="_x0004__x000d__x0"/>
      <sheetName val="_x000a__x001b__x0"/>
      <sheetName val="_x0002__뻘N___x0001_ࠀ역서"/>
      <sheetName val="내역서_耰&quot;_x005f_x0000__x0000"/>
      <sheetName val="Discounted Cash Flow"/>
      <sheetName val="Ocean Transporation Charge"/>
      <sheetName val="HVAC"/>
      <sheetName val="예가표"/>
      <sheetName val="Cash Flow bulanan"/>
      <sheetName val="schalt"/>
      <sheetName val="schtng"/>
      <sheetName val="schbhn"/>
      <sheetName val="H.Satuan"/>
      <sheetName val="I_KAMAR"/>
      <sheetName val="SCH"/>
      <sheetName val="Direct PMS"/>
      <sheetName val="경비실"/>
      <sheetName val="OPT_x0012__x0010__x000a_"/>
      <sheetName val="_x0013__x0014_"/>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검측서"/>
      <sheetName val="UP MINOR"/>
      <sheetName val="Item code"/>
      <sheetName val="업체코드"/>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Pengesahan "/>
      <sheetName val="BILL"/>
      <sheetName val="  "/>
      <sheetName val=" "/>
      <sheetName val="breakdown of wage ra`f"/>
      <sheetName val="breakdown of wage ra"/>
      <sheetName val="breakdown of wage rað-"/>
      <sheetName val="2.Overall Summary "/>
      <sheetName val="OCT.FDN"/>
      <sheetName val="D-3109"/>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ill rekap"/>
      <sheetName val="Harga Satuan"/>
      <sheetName val="LISTRIK"/>
      <sheetName val="F ALARM"/>
      <sheetName val="Chart_Cable"/>
      <sheetName val="Exchange Rate"/>
      <sheetName val="예산실적전체당월"/>
      <sheetName val="00-Summary Information-ABB"/>
      <sheetName val="BD"/>
      <sheetName val="General Notes"/>
      <sheetName val="물량표"/>
      <sheetName val="PABS,Site info"/>
      <sheetName val="2. 현장 자금투입 집계표"/>
      <sheetName val="_도면 및 도서 제출목록 및 일정_170202.xlsx"/>
      <sheetName val="TYPE"/>
      <sheetName val="수량산출"/>
      <sheetName val="CAL1"/>
      <sheetName val="BQ_IMPORT"/>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내역서_耰&quot;_x005f_x005f_x005f_x0000_"/>
      <sheetName val="내역서_耰&quot;_x005f_x005f_x005f_x005f_"/>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내역ࠜĀ_x005f_x0000_M4"/>
      <sheetName val="내역서 耰&quot;_x005f_x0000_"/>
      <sheetName val="내역ࠜĀ_x005f_x005f_x0"/>
      <sheetName val="내역서 耰&quot;_x005f_x005f_"/>
      <sheetName val="내역서 耰&quot;_x0000"/>
      <sheetName val="_x005f_x005f_"/>
      <sheetName val="내역서_耰&quot;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손익차9월2"/>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6"/>
      <sheetName val="내역서_耰&quot;_x005f_x0000__x0005"/>
      <sheetName val="내역서_耰&quot;_x005f_x005f_x00005"/>
      <sheetName val="내역서_耰&quot;_x005f_x005f_x005f5"/>
      <sheetName val="내역서_耰&quot;_x005f_x0000_"/>
      <sheetName val="내역서_耰&quot;_x005f_x005f_"/>
      <sheetName val="내역ࠜĀM4"/>
      <sheetName val="내역ࠜĀ_x0"/>
      <sheetName val="내역서 耰&quot;_"/>
      <sheetName val="_"/>
      <sheetName val="내역서_耰&quot;_x0001"/>
      <sheetName val="내역서_耰&quot;_x00001"/>
      <sheetName val="내역서_耰&quot;_x005f1"/>
      <sheetName val="내역서_耰&quot;_x0002"/>
      <sheetName val="내역서_耰&quot;_x00002"/>
      <sheetName val="내역서_耰&quot;_x005f2"/>
      <sheetName val="Others"/>
      <sheetName val="Sheet5"/>
      <sheetName val="0. Resource　Code"/>
      <sheetName val="Direct_PMS"/>
      <sheetName val="5_)_Time_Delays"/>
      <sheetName val="OPT_x000a_"/>
      <sheetName val="Weekl_x000a_"/>
      <sheetName val="Aux_"/>
      <sheetName val="breakdown of wage rap"/>
      <sheetName val="breakdown of wage ra"/>
      <sheetName val="DISCIPLINE"/>
      <sheetName val="9_1차이내역"/>
      <sheetName val="pipeline-1"/>
      <sheetName val="BQMP"/>
      <sheetName val="Analysis"/>
      <sheetName val="EVA-004-MEC"/>
      <sheetName val="Distribution Table"/>
      <sheetName val="BA1047集約"/>
      <sheetName val="Raw data"/>
      <sheetName val="PWA"/>
      <sheetName val="__x001b__x0006__x"/>
      <sheetName val="_뻘N__ࠀ역서"/>
      <sheetName val="차트 (2)"/>
      <sheetName val="EE-PROP"/>
      <sheetName val="DATA MENTAH"/>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design_criteria1"/>
      <sheetName val="Material code"/>
      <sheetName val="TQ Format"/>
      <sheetName val="유림골조"/>
      <sheetName val="2003상반기노임기준"/>
      <sheetName val="도면자료제출일정"/>
      <sheetName val="DROP DOWN"/>
      <sheetName val="개시대사 (2)"/>
      <sheetName val="용접품"/>
      <sheetName val="절단품"/>
      <sheetName val="Action Item"/>
      <sheetName val="Rating"/>
      <sheetName val="ID.CD"/>
      <sheetName val="breakdown of wage raÐ¾"/>
      <sheetName val="Additional data"/>
      <sheetName val="MD"/>
      <sheetName val="drg"/>
      <sheetName val="BM"/>
      <sheetName val="Linelist LNGC Process"/>
      <sheetName val="당초?∸ἀ"/>
      <sheetName val="바닥판⽷"/>
      <sheetName val="Values"/>
      <sheetName val="Codes"/>
      <sheetName val="Air Cooler-E"/>
      <sheetName val="USDKRW"/>
      <sheetName val="Inquiry"/>
      <sheetName val="품셈TABLE"/>
      <sheetName val="환율"/>
      <sheetName val="HO_Site Rates-2011"/>
      <sheetName val="定额"/>
      <sheetName val="Equipment Spec List"/>
      <sheetName val="대운산출"/>
      <sheetName val="Header"/>
      <sheetName val="LEGENDA"/>
      <sheetName val="208"/>
      <sheetName val="인산"/>
      <sheetName val="C-301E~305E"/>
      <sheetName val="SPEC LIST(EQUP, SYS)"/>
      <sheetName val="配管単価"/>
      <sheetName val="Mat"/>
      <sheetName val="제출계산서"/>
      <sheetName val="tifico"/>
      <sheetName val="14-Eng rate"/>
      <sheetName val="TJ1Q47"/>
      <sheetName val="Particular Sch"/>
      <sheetName val="Al Taweelah"/>
      <sheetName val="공사비집계"/>
      <sheetName val="热力"/>
      <sheetName val="PHSB"/>
      <sheetName val="AN"/>
      <sheetName val="EQUIPMENT_-"/>
      <sheetName val="내역서_(N _x000e__x000e__x000e_  _x0012__x0010_ "/>
      <sheetName val="구분"/>
      <sheetName val="기기리스트"/>
      <sheetName val="11.자재단가"/>
      <sheetName val="리스크 분류체계"/>
      <sheetName val="Risk"/>
      <sheetName val="손익차총괄2"/>
      <sheetName val="Drop-Downs"/>
      <sheetName val="Orçamento"/>
      <sheetName val="Cashflow Analysis"/>
      <sheetName val="공사비SUM"/>
      <sheetName val="백분율"/>
      <sheetName val="33628-Rev. A"/>
      <sheetName val="내역(한신APT)"/>
      <sheetName val="Attach 4-18"/>
      <sheetName val="{}"/>
      <sheetName val="내역서 ᢐ_x001f_"/>
      <sheetName val="2_Overall_Summary_"/>
      <sheetName val="Données"/>
      <sheetName val="GraphData"/>
      <sheetName val="BHANDUP"/>
      <sheetName val="Register"/>
      <sheetName val="INPUT DATA OF SCHEDULE"/>
      <sheetName val="CONST"/>
      <sheetName val="Finansal tamamlanma Eğrisi"/>
      <sheetName val="SIVA"/>
      <sheetName val="Admin Manu 2-Equipment Type ID"/>
      <sheetName val="#¡REF"/>
      <sheetName val="WIP"/>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enchmark"/>
      <sheetName val="Grafico"/>
      <sheetName val="Master List"/>
      <sheetName val="내역서 (∮ἀ嘆ɶ?᠀㬁?"/>
      <sheetName val="당초_xd8b4_➴ȭ"/>
      <sheetName val=" _x001b__x0006__x"/>
      <sheetName val="Weekl_x0004__x0016__x000"/>
      <sheetName val="내역서_(N _x000e__x000e__x00"/>
      <sheetName val="내역서_(N _x000e__x000e__x000e_  _"/>
      <sheetName val="__-BLDG"/>
      <sheetName val="C1C2"/>
      <sheetName val="LIFE &amp; REP PROVN"/>
      <sheetName val="O&amp;M CREW"/>
      <sheetName val="EXPAN-1"/>
      <sheetName val="TABELE"/>
      <sheetName val="Fig 4-14"/>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Precios Unitariԯ"/>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16"/>
      <sheetName val="50"/>
      <sheetName val="Drop"/>
      <sheetName val="Dropdown"/>
      <sheetName val="Tender data"/>
      <sheetName val="Activity Form"/>
      <sheetName val="GM 000"/>
      <sheetName val="날개벽"/>
      <sheetName val="Pulldown"/>
      <sheetName val="2857Q&amp;PL"/>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단가"/>
      <sheetName val="95TOTREV"/>
      <sheetName val="일위대가 "/>
      <sheetName val="98수문일위"/>
      <sheetName val="SECL 리스크 분류체계 (2)"/>
      <sheetName val="내역서_耰&quot;_x0004"/>
      <sheetName val="내역서_耰&quot;_x0003"/>
      <sheetName val="내역서_耰&quot;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내역서_耰&quot;7"/>
      <sheetName val="SUM_"/>
      <sheetName val="Equipment_Spec_List"/>
      <sheetName val="SPEC_LIST(EQUP,_SYS)"/>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E-160"/>
      <sheetName val="CASH"/>
      <sheetName val="Basis(site)"/>
      <sheetName val="Itembalance Report (18-sep-18)"/>
      <sheetName val="BUDGET SUMMARY "/>
      <sheetName val="Leyenda"/>
      <sheetName val="내역서_耰&quot;_x005f_x0000__x0006"/>
      <sheetName val="내역서_耰&quot;_x005f_x005f_x00006"/>
      <sheetName val="내역서_耰&quot;_x005f_x005f_x005f6"/>
      <sheetName val="내역서_耰&quot;_x005f_x0000_1"/>
      <sheetName val="내역서_耰&quot;_x005f_x005f_1"/>
      <sheetName val="BSD ᯷㧓_x0001_"/>
      <sheetName val="Direct Histogram Rev. A (f)"/>
      <sheetName val="광통신 견적내역서1"/>
      <sheetName val="Basic"/>
      <sheetName val="B_Down"/>
      <sheetName val="Scheme Area Details_Block__ C2"/>
      <sheetName val="1.설계기준"/>
      <sheetName val="FORM-0"/>
      <sheetName val="SUPTMTO"/>
      <sheetName val="ABUT수량-A1"/>
      <sheetName val="서부산시설"/>
      <sheetName val="Cash Flow"/>
      <sheetName val="Yield"/>
      <sheetName val="5. 월별투입내역서"/>
      <sheetName val="List register"/>
      <sheetName val="목록"/>
      <sheetName val="Wellhrs"/>
      <sheetName val="Rate"/>
      <sheetName val="터파기및재료"/>
      <sheetName val="Demand"/>
      <sheetName val="Occ"/>
      <sheetName val="인사자료총집계"/>
      <sheetName val="간접비"/>
      <sheetName val="조명시설"/>
      <sheetName val="설산1.나"/>
      <sheetName val="본사S"/>
      <sheetName val="건축내역"/>
      <sheetName val="견적서"/>
      <sheetName val="간접노무비"/>
      <sheetName val="BM #1"/>
      <sheetName val="TABLAS"/>
      <sheetName val="Cost Code"/>
      <sheetName val="Data Ref"/>
      <sheetName val="Interdept Rate"/>
      <sheetName val="전표분개장(공종별)"/>
      <sheetName val="노무비집계"/>
      <sheetName val="공통가설"/>
      <sheetName val="자재비"/>
      <sheetName val="감모비"/>
      <sheetName val="ADMON"/>
      <sheetName val="EQUIPOS DE SEGURIDAD"/>
      <sheetName val="MATERIALES CONSUMIBLES"/>
      <sheetName val="PERSONAL INDIRECTO "/>
      <sheetName val="REF for VV"/>
      <sheetName val="REF"/>
      <sheetName val=" _x001b__x0"/>
      <sheetName val="OPT_x0012__x0010_ "/>
      <sheetName val="Weekl "/>
      <sheetName val="내역서_(N___ "/>
      <sheetName val="내역서_(N    "/>
      <sheetName val=" _x0"/>
      <sheetName val="OPT "/>
      <sheetName val="급여"/>
      <sheetName val="Land Dev't. Ph-1"/>
      <sheetName val="4300 UTILITY BLDG (2)"/>
      <sheetName val="0000"/>
      <sheetName val="P-Ins &amp; Bonds"/>
      <sheetName val="INSTLIST 1"/>
      <sheetName val="인원聈2"/>
      <sheetName val="design_criteria2"/>
      <sheetName val="Air_Cooler-E"/>
      <sheetName val="Al_Taweelah"/>
      <sheetName val="Particular_Sch"/>
      <sheetName val="Index"/>
      <sheetName val="_x005f_x005f_x005f_x005f_x005f_x005f_x00ည톐ឮ"/>
      <sheetName val="OPT"/>
      <sheetName val="공사"/>
      <sheetName val="단가대비표"/>
      <sheetName val="총괄"/>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달력"/>
      <sheetName val="입찰안"/>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Graph"/>
      <sheetName val="MC-1"/>
      <sheetName val="Tables 3.1 to 3.5 EXH G"/>
      <sheetName val="SPEC(RECEPTACLE)"/>
      <sheetName val="SPEC(CABLE &amp; WIRE)"/>
      <sheetName val="Att-1 CTCI MH rate"/>
      <sheetName val="LOADDAT"/>
      <sheetName val="Perm. Test"/>
      <sheetName val="Galian 1"/>
      <sheetName val="Analisa-Harga"/>
      <sheetName val="Analisa Lump sum"/>
      <sheetName val="data-pendukung"/>
      <sheetName val="CH-RANC"/>
      <sheetName val="351BQMCN"/>
      <sheetName val="rap"/>
      <sheetName val="As"/>
      <sheetName val="Sec I ML"/>
      <sheetName val="35"/>
      <sheetName val="37"/>
      <sheetName val="64.4"/>
      <sheetName val="64.5"/>
      <sheetName val="22"/>
      <sheetName val="36.2"/>
      <sheetName val="36.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Depreciation"/>
      <sheetName val="Validation"/>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품의서(지출)"/>
      <sheetName val="Offer"/>
      <sheetName val="TR Rev vs Commit"/>
      <sheetName val="TR +MMHE PL report"/>
      <sheetName val="P23P2724 _ Commitment "/>
      <sheetName val="FAB별"/>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최종(1)사용"/>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05. Curva S"/>
      <sheetName val="CCL"/>
      <sheetName val="공통부대비"/>
      <sheetName val="PI-18031-M3-BOQ"/>
      <sheetName val="Void"/>
      <sheetName val="05__Curva_S"/>
      <sheetName val="Other data"/>
      <sheetName val="MOD-MOI-DOT"/>
      <sheetName val="Budget"/>
      <sheetName val="F&amp;C"/>
      <sheetName val="EQUI-CONS"/>
      <sheetName val="PROGRAM"/>
      <sheetName val="CASHFLOW"/>
      <sheetName val="DATASHT"/>
      <sheetName val="Up"/>
      <sheetName val="부재치수입력"/>
      <sheetName val="OPT_x0012__x0010_"/>
      <sheetName val="Vehicle Log"/>
      <sheetName val="내역서_耰&quot;_x0006"/>
      <sheetName val="내역서_耰&quot;8"/>
      <sheetName val="내역서_耰&quot;_x00006"/>
      <sheetName val="내역서_耰&quot;_x005f6"/>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M&amp;E Summary"/>
      <sheetName val="rev summary"/>
      <sheetName val="M&amp;E Prelims"/>
      <sheetName val="A-ELECT&amp;ELV"/>
      <sheetName val="B-FP (2)"/>
      <sheetName val="C-ACMV"/>
      <sheetName val="D-P&amp;S"/>
      <sheetName val="Sch.6"/>
      <sheetName val="equiplist"/>
      <sheetName val="Sch.1"/>
      <sheetName val="재공품기초자료"/>
      <sheetName val="하치장수불부"/>
      <sheetName val="산수배수"/>
      <sheetName val="손익합산"/>
      <sheetName val="5. Work load(현재원기준)"/>
      <sheetName val="MEMBER"/>
      <sheetName val="SoW"/>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Lookup"/>
      <sheetName val="RefG"/>
      <sheetName val="IRR sponsor"/>
      <sheetName val="4-Lane bridge"/>
      <sheetName val="6BPRO"/>
      <sheetName val="2013电气概算 价目表 (营改增调整)"/>
      <sheetName val="06定额"/>
      <sheetName val="TESİSAT"/>
      <sheetName val="1.11.b"/>
      <sheetName val="금융비용"/>
      <sheetName val="을지"/>
      <sheetName val="BazaEL"/>
      <sheetName val="eqpmad2"/>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Map"/>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304-06"/>
      <sheetName val="name"/>
      <sheetName val="tblg denda"/>
      <sheetName val="F1.4"/>
      <sheetName val="Manpower Categories"/>
      <sheetName val="InD Mpower"/>
      <sheetName val="CodeSheet"/>
      <sheetName val="CodeSheet(신2)"/>
      <sheetName val="내역서(실행)"/>
      <sheetName val="Equipt Rental"/>
      <sheetName val="CFA"/>
      <sheetName val="EQ"/>
      <sheetName val="EQ USED (CORRECTED)"/>
      <sheetName val="CERTIFICATE"/>
      <sheetName val="Rebar Constant"/>
      <sheetName val="CONCRETE TYPE"/>
      <sheetName val="기준표"/>
      <sheetName val="Welder"/>
      <sheetName val="MASTER_RATE ANALYSIS"/>
      <sheetName val="Intro"/>
      <sheetName val="CASHFLOWS"/>
      <sheetName val="MN T.B."/>
      <sheetName val="Headings"/>
      <sheetName val="INDIGINEOUS ITEMS "/>
      <sheetName val="Core Data"/>
      <sheetName val="final abstract"/>
      <sheetName val="Option"/>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Equip_Mstr"/>
      <sheetName val="Costing"/>
      <sheetName val="Equip_Mstr FOR 3A1"/>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5.Cennik"/>
      <sheetName val="5_Cennik"/>
      <sheetName val="Powierzchnie"/>
      <sheetName val=" 토목 처리장도급내역서 "/>
      <sheetName val="Garph Work-Cost"/>
      <sheetName val="Order_Summary"/>
      <sheetName val="Order_Summary_New"/>
      <sheetName val="Insulation 150108"/>
      <sheetName val="Sheet 14"/>
      <sheetName val="동상부 Tact 기준 반입일정 및 수량_0217"/>
      <sheetName val="견적의뢰"/>
      <sheetName val="영동(D)"/>
      <sheetName val="Tubing"/>
      <sheetName val="대비"/>
      <sheetName val="경영상태"/>
      <sheetName val="MOTORDATA"/>
      <sheetName val="구매DWG-정산용"/>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GRAND REKAP"/>
      <sheetName val="HARSAT"/>
      <sheetName val="analisa (2)"/>
      <sheetName val="HargaDasar"/>
      <sheetName val="D-4-Struktur"/>
      <sheetName val="Analisa 2"/>
      <sheetName val="tblg_denda"/>
      <sheetName val="LRK "/>
      <sheetName val="Units"/>
      <sheetName val="Chap 2- Page 4 "/>
      <sheetName val="Instrumentation&amp;Automation"/>
      <sheetName val="SD_Trains_2019"/>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Eng_Hrs (HO)"/>
      <sheetName val="ENE-CAL"/>
      <sheetName val="원가조정 내역"/>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_x000a_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내역서(전체)"/>
      <sheetName val="EXR"/>
      <sheetName val="빙장비사양"/>
      <sheetName val="장비사양"/>
      <sheetName val="철거산출근거"/>
      <sheetName val="Scaffolding Volume"/>
      <sheetName val="Statprod_gab"/>
      <sheetName val="L_1"/>
      <sheetName val="design_criteria3"/>
      <sheetName val="64_41"/>
      <sheetName val="64_51"/>
      <sheetName val="36_21"/>
      <sheetName val="36_11"/>
      <sheetName val="Statprod_gab1"/>
      <sheetName val="L_11"/>
      <sheetName val="Analisa (ok punya)"/>
      <sheetName val="SAT-DAS"/>
      <sheetName val="P2-Project Data"/>
      <sheetName val="Raw Ref"/>
      <sheetName val="Cost Codes"/>
      <sheetName val="Addendum No.1 BILL 2"/>
      <sheetName val="Expenses"/>
      <sheetName val="Code 07"/>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P Staff fac"/>
      <sheetName val="beam-reinft-IIInd floor"/>
      <sheetName val="P-Site fac"/>
      <sheetName val="P-Clients fac"/>
      <sheetName val="Drop-Down"/>
      <sheetName val="-0.5 TABLA PRESUPUESTOS"/>
      <sheetName val="Sithe-PPL"/>
      <sheetName val="ﾄﾞﾊﾞｲFUEL GAS追見"/>
      <sheetName val="見積書"/>
      <sheetName val="InsertListDrawing 1 "/>
      <sheetName val="ANAL"/>
      <sheetName val="VAT TU DIEN"/>
      <sheetName val="bldg list"/>
      <sheetName val="당초�ἀ"/>
      <sheetName val="MFG &amp; DEL"/>
      <sheetName val="SKEDULmaterial"/>
      <sheetName val="Up &amp; bhn"/>
      <sheetName val="Str"/>
      <sheetName val="HRG BHN"/>
      <sheetName val="lab_eng"/>
      <sheetName val="eqp"/>
      <sheetName val="lab"/>
      <sheetName val="UPAH"/>
      <sheetName val="pricelist"/>
      <sheetName val="HAL-1"/>
      <sheetName val="a.h ars sum"/>
      <sheetName val="a.h ars"/>
      <sheetName val="3"/>
      <sheetName val="DAF.HRG"/>
      <sheetName val="Urai _Resap pengikat"/>
      <sheetName val="Kolom UT"/>
      <sheetName val="HB "/>
      <sheetName val="7.공정표"/>
      <sheetName val="sdm"/>
      <sheetName val="Alat (2)"/>
      <sheetName val="RAB-NEGO"/>
      <sheetName val="DAF-2"/>
      <sheetName val="Anl"/>
      <sheetName val="AC"/>
      <sheetName val="breakdown of FA113"/>
      <sheetName val="DivLabor_Report"/>
      <sheetName val="Precios_Unitariԯ1"/>
      <sheetName val="PERSONNELIST"/>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Codes_Pers4"/>
      <sheetName val="Tools_&amp;_Settings4"/>
      <sheetName val="Data_Summary4"/>
      <sheetName val="Crew_Costs4"/>
      <sheetName val="Spread_Costs4"/>
      <sheetName val="Unique_List_Misc4"/>
      <sheetName val="In-House_Summary4"/>
      <sheetName val="00-Summary_Information-ABB3"/>
      <sheetName val="__4"/>
      <sheetName val="_4"/>
      <sheetName val="breakdown_of_wage_ra`f3"/>
      <sheetName val="breakdown_of_wage_ra3"/>
      <sheetName val="breakdown_of_wage_rað-3"/>
      <sheetName val="Process_Data_(2)4"/>
      <sheetName val="Material_code3"/>
      <sheetName val="내역서_耰&quot;_x005f_x0000_4"/>
      <sheetName val="내역서_耰&quot;_x005f_x005f_4"/>
      <sheetName val="2_Overall_Summary_3"/>
      <sheetName val="0__Resource　Code3"/>
      <sheetName val="breakdown_of_wage_rap3"/>
      <sheetName val="PABS,Site_info3"/>
      <sheetName val="Distribution_Table3"/>
      <sheetName val="Raw_data3"/>
      <sheetName val="Action_Item3"/>
      <sheetName val="내역서_耰&quot;_3"/>
      <sheetName val="Cashflow_Analysis2"/>
      <sheetName val="Finansal_tamamlanma_Eğrisi2"/>
      <sheetName val="Attach_4-182"/>
      <sheetName val="SUM_2"/>
      <sheetName val="내역서_(∮ἀ嘆ɶ?᠀㬁?2"/>
      <sheetName val="광통신_견적내역서12"/>
      <sheetName val="리스크_분류체계2"/>
      <sheetName val="11_자재단가2"/>
      <sheetName val="LIFE_&amp;_REP_PROVN2"/>
      <sheetName val="O&amp;M_CREW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내역서_(N__x002"/>
      <sheetName val="GM_0001"/>
      <sheetName val="RESUMEN_CD"/>
      <sheetName val="BOQ_REV6"/>
      <sheetName val="Maliyet_Ozet"/>
      <sheetName val="1_1-1_2"/>
      <sheetName val="1_3-_1_4"/>
      <sheetName val="3_1"/>
      <sheetName val="3_2"/>
      <sheetName val="4_1(a)"/>
      <sheetName val="4_1(b)"/>
      <sheetName val="4_1_(c)"/>
      <sheetName val="5_1"/>
      <sheetName val="Tender_data1"/>
      <sheetName val="Scheme_Area_Details_Block___C21"/>
      <sheetName val="Cash_Flow1"/>
      <sheetName val="5__월별투입내역서1"/>
      <sheetName val="일위대가_1"/>
      <sheetName val="1_설계기준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0_5_TABLA_PRESUPUESTOS"/>
      <sheetName val="ﾄﾞﾊﾞｲFUEL_GAS追見"/>
      <sheetName val="Pomoćni"/>
      <sheetName val="breakdown_of_wage_ra3"/>
      <sheetName val="SI-1"/>
      <sheetName val="revenue"/>
      <sheetName val="sga"/>
      <sheetName val="engineering"/>
      <sheetName val="Item_code4"/>
      <sheetName val="design_criteria4"/>
      <sheetName val="RAB_AR&amp;STR4"/>
      <sheetName val="내역서_耰&quot;_x005f_x0000__x00005"/>
      <sheetName val="할증_4"/>
      <sheetName val="Air_Cooler-E3"/>
      <sheetName val="2__현장_자금투입_집계표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General_Notes4"/>
      <sheetName val="BO䁑-B_䁄OWN4"/>
      <sheetName val="_도면_및_도서_제출목록_및_일정_170202_xlsx4"/>
      <sheetName val="Rates_&amp;_Legend4"/>
      <sheetName val="Pengesahan_4"/>
      <sheetName val="Harga_Satuan4"/>
      <sheetName val="F_ALARM4"/>
      <sheetName val="Exchange_Rate4"/>
      <sheetName val="Bill_rekap4"/>
      <sheetName val="차트_(2)4"/>
      <sheetName val="DATA_MENTAH3"/>
      <sheetName val="Equipment_Spec_List3"/>
      <sheetName val="SPEC_LIST(EQUP,_SYS)3"/>
      <sheetName val="DROP_DOWN3"/>
      <sheetName val="ID_CD3"/>
      <sheetName val="개시대사_(2)3"/>
      <sheetName val="내역서_(N____x000a_4"/>
      <sheetName val="HO_Site_Rates-20113"/>
      <sheetName val="Al_Taweelah3"/>
      <sheetName val="Particular_Sch3"/>
      <sheetName val="5__Work_load(현재원기준)1"/>
      <sheetName val="Linelist_LNGC_Process3"/>
      <sheetName val="Direct_Histogram_Rev__A_(f)1"/>
      <sheetName val="Fig_4-141"/>
      <sheetName val="설산1_나1"/>
      <sheetName val="Tables_3_1_to_3_5_EXH_G1"/>
      <sheetName val="EQUIPOS_DE_SEGURIDAD1"/>
      <sheetName val="MATERIALES_CONSUMIBLES1"/>
      <sheetName val="PERSONAL_INDIRECTO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INPUT_DATA_OF_SCHEDULE2"/>
      <sheetName val="Linelist_LNGC_Process4"/>
      <sheetName val="SUM_3"/>
      <sheetName val="Tender_data2"/>
      <sheetName val="TQ_Format3"/>
      <sheetName val="breakdown_of_wage_raÐ¾3"/>
      <sheetName val="Additional_data3"/>
      <sheetName val="33628-Rev__A2"/>
      <sheetName val="Master_List2"/>
      <sheetName val="Cash_Flow2"/>
      <sheetName val="Scheme_Area_Details_Block___C22"/>
      <sheetName val="14-Eng_rate2"/>
      <sheetName val="Admin_Manu_2-Equipment_Type_ID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64_42"/>
      <sheetName val="64_52"/>
      <sheetName val="36_22"/>
      <sheetName val="36_12"/>
      <sheetName val="5__Work_load(현재원기준)2"/>
      <sheetName val="공통비총괄표"/>
      <sheetName val="FC04_2030"/>
      <sheetName val="FC04_203099"/>
      <sheetName val="TABLE-A"/>
      <sheetName val="PCV"/>
      <sheetName val="Dsr Hitung"/>
      <sheetName val="내역서_(N   _"/>
      <sheetName val="Mat Tower"/>
      <sheetName val="RT13526 CPI"/>
      <sheetName val="RT15918"/>
      <sheetName val="OE (KSB)"/>
      <sheetName val="TEST1"/>
      <sheetName val="Sew-Tahan"/>
      <sheetName val="Mobilisasi"/>
      <sheetName val="Default"/>
      <sheetName val="harga"/>
      <sheetName val="4-MVAC"/>
      <sheetName val="G_SUMMARY"/>
      <sheetName val="Memb Schd"/>
      <sheetName val="PPC"/>
      <sheetName val="Tableau"/>
      <sheetName val="Coef et données"/>
      <sheetName val="SAP"/>
      <sheetName val="Pag_hal"/>
      <sheetName val="SAT-BHN"/>
      <sheetName val="Load"/>
      <sheetName val="Data_ST"/>
      <sheetName val="VV_Ped"/>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galian saluran"/>
      <sheetName val="Ana. PU"/>
      <sheetName val="tr-28202"/>
      <sheetName val="Statprod_gab2"/>
      <sheetName val="L_12"/>
      <sheetName val="Analisa_(ok_punya)"/>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ite"/>
      <sheetName val="MRS"/>
      <sheetName val="P&amp;L"/>
      <sheetName val="Monthly S Curve SPK"/>
      <sheetName val="Schedul"/>
      <sheetName val="1.B"/>
      <sheetName val="EVAL-ANAL"/>
      <sheetName val="div-6"/>
      <sheetName val="RKP"/>
      <sheetName val="div-2"/>
      <sheetName val="GAEYO"/>
      <sheetName val="CEQ_Master"/>
      <sheetName val="Man_Master"/>
      <sheetName val="여흥"/>
      <sheetName val="Diary"/>
      <sheetName val="RSC"/>
      <sheetName val="TTL_Qty"/>
      <sheetName val="QTY"/>
      <sheetName val="Week ending"/>
      <sheetName val="Planners Workload"/>
      <sheetName val="Setup"/>
      <sheetName val="@"/>
      <sheetName val="05__Curva_S1"/>
      <sheetName val="Other_data"/>
      <sheetName val="SWALE (구산)"/>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Tabla"/>
      <sheetName val="배합비(99-05-25)"/>
      <sheetName val="UPAH &amp; BHN ARS"/>
      <sheetName val="AHS ARS"/>
      <sheetName val="Analisa HSP"/>
      <sheetName val="입찰내역 발주처 양卤"/>
      <sheetName val="Analisa Neraca"/>
      <sheetName val="Condition"/>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09월"/>
      <sheetName val="10월"/>
      <sheetName val="자금신청서"/>
      <sheetName val="ENE-CAL 1"/>
      <sheetName val="매립"/>
      <sheetName val="phuluc1"/>
      <sheetName val="TONGKE1P"/>
      <sheetName val="TKThep"/>
      <sheetName val="Bang KL"/>
      <sheetName val="소화실적"/>
      <sheetName val="계수"/>
      <sheetName val="수주계획('22)"/>
      <sheetName val="수주계획(22)"/>
      <sheetName val="전계가"/>
      <sheetName val="Monomers"/>
      <sheetName val="BQ_E20_02_Rp_"/>
      <sheetName val="ANAL.BOW"/>
      <sheetName val="Isolasi Luar Dalam"/>
      <sheetName val="Isolasi Luar"/>
      <sheetName val="график финансирования"/>
      <sheetName val="내역서_(N___ 2"/>
      <sheetName val="파이프류"/>
      <sheetName val="변수"/>
      <sheetName val="CAP"/>
      <sheetName val="Data Ref."/>
      <sheetName val="KKS System Codes"/>
      <sheetName val="Price Schedule Code"/>
      <sheetName val="REF.ONLY"/>
      <sheetName val="Assmpns"/>
      <sheetName val="일위"/>
      <sheetName val="JGSummit Package 2 (CTCI)"/>
      <sheetName val="Appendix A"/>
      <sheetName val="MAY 00-Bobbins"/>
      <sheetName val="BALAN1"/>
      <sheetName val="2.2 띠장의 설계"/>
      <sheetName val="(10) Other Costs5"/>
      <sheetName val="7.6.3.J.Inline Instrument"/>
      <sheetName val="F-31"/>
      <sheetName val="6.2 Floor Finishes"/>
      <sheetName val="Addition-ProtectionSummary"/>
      <sheetName val="Project D"/>
      <sheetName val="ARCH"/>
      <sheetName val="Tender Summary"/>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LDB"/>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S1BOQ"/>
      <sheetName val="C1 (calcolo)"/>
      <sheetName val="TABLO-3"/>
      <sheetName val="CC"/>
      <sheetName val="5.5FWBS CODE"/>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HSATUAN"/>
      <sheetName val="Terbilang"/>
      <sheetName val="har-sat"/>
      <sheetName val="Harga Mat "/>
      <sheetName val="Definitions"/>
      <sheetName val="_x005f_x005f_x00ည톐ឮ"/>
      <sheetName val="Integrated-S Curve"/>
      <sheetName val="변경내역대비표(2)"/>
      <sheetName val="Lists"/>
      <sheetName val="Riser-1"/>
      <sheetName val="6_2_Floor_Finishes"/>
      <sheetName val="CC8"/>
      <sheetName val="SOR"/>
      <sheetName val="FR"/>
      <sheetName val="Elektrikal"/>
      <sheetName val="PESANTREN"/>
      <sheetName val="G"/>
      <sheetName val=" hrg bhn"/>
      <sheetName val="BAHAN"/>
      <sheetName val="Page1"/>
      <sheetName val="Home Office"/>
      <sheetName val="Process Piping"/>
      <sheetName val="REQDELTA"/>
      <sheetName val="기준"/>
      <sheetName val="IndirectSum"/>
      <sheetName val="2공구산출내역"/>
      <sheetName val="MSH51C"/>
      <sheetName val="Micro"/>
      <sheetName val="Macro"/>
      <sheetName val="Accountingword"/>
      <sheetName val="Main Control"/>
      <sheetName val="upa"/>
      <sheetName val="Ra  stair"/>
      <sheetName val="热工设备"/>
      <sheetName val="仪表设备"/>
      <sheetName val="Man Power"/>
      <sheetName val="grafik"/>
      <sheetName val="OP-DSU"/>
      <sheetName val="pro ra op"/>
      <sheetName val="analis standar(8m)"/>
      <sheetName val="Ex_Rate"/>
      <sheetName val="ShareCapital "/>
      <sheetName val="Inventories"/>
      <sheetName val="BAG_2"/>
      <sheetName val="HS"/>
      <sheetName val="Koordinat"/>
      <sheetName val="3-DIV4"/>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음료실행"/>
      <sheetName val="Áý°èÇ¥_(TOTAN)5"/>
      <sheetName val="단가표"/>
      <sheetName val="_______x005f_x005f_x005f_x0000__x005f_x005f_x00_2"/>
      <sheetName val="_____x005f_x005f_x005f_x005f_x005f_x005f_x005f_x0000__2"/>
      <sheetName val="_______x005f_x005f_x005f_x005f_x005f_x005f_x000_2"/>
      <sheetName val="Section 1"/>
      <sheetName val="GKP"/>
      <sheetName val="renc mgn"/>
      <sheetName val="내역서 耰&quot;_x005f_x0000__x005f_x005f_x0000"/>
      <sheetName val="SCOPES"/>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EST_EQUIPOS"/>
      <sheetName val="내역서_耰&quot;10"/>
      <sheetName val="TR_Rev_vs_Commit1"/>
      <sheetName val="TR_+MMHE_PL_report1"/>
      <sheetName val="P23P2724___Commitment_1"/>
      <sheetName val="Precios_Unitariԯ2"/>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Sch_61"/>
      <sheetName val="InD_Mpower1"/>
      <sheetName val="내역서_(∮ἀ嘆ɶ_᠀㬁_2"/>
      <sheetName val="Vehicle_Log1"/>
      <sheetName val="M&amp;E_Summary1"/>
      <sheetName val="rev_summary1"/>
      <sheetName val="M&amp;E_Prelims1"/>
      <sheetName val="B-FP_(2)1"/>
      <sheetName val="Sch_1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IRR_sponsor1"/>
      <sheetName val="2013电气概算_价目表_(营改增调整)1"/>
      <sheetName val="내역서_(N____12"/>
      <sheetName val="List_Equip1"/>
      <sheetName val="Process_C_(1-166)1"/>
      <sheetName val="TRUCK_HAUL_CYCLE-waste1"/>
      <sheetName val="Existing_PC_Pavement1"/>
      <sheetName val="Master_Data1"/>
      <sheetName val="ind'l_cp1"/>
      <sheetName val="LAST_UPDATE1"/>
      <sheetName val="0_품의서(전체)1"/>
      <sheetName val="3_부제O호표1"/>
      <sheetName val="5_소모재료비1"/>
      <sheetName val="8_시멘트제원표1"/>
      <sheetName val="2_품제O호표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tblg_denda2"/>
      <sheetName val="F1_41"/>
      <sheetName val="Manpower_Categories1"/>
      <sheetName val="Equipt_Rental1"/>
      <sheetName val="EQ_USED_(CORRECTED)1"/>
      <sheetName val="Rebar_Constant1"/>
      <sheetName val="CONCRETE_TYPE1"/>
      <sheetName val="External_Issues1"/>
      <sheetName val="Equip_Mstr_FOR_3A11"/>
      <sheetName val="G_R300경비1"/>
      <sheetName val="AS포장복구_1"/>
      <sheetName val="중기조종사_단위단가1"/>
      <sheetName val="설_계1"/>
      <sheetName val="5_Cennik2"/>
      <sheetName val="_토목_처리장도급내역서_1"/>
      <sheetName val="Garph_Work-Cost1"/>
      <sheetName val="LRK_1"/>
      <sheetName val="Insulation_1501081"/>
      <sheetName val="동상부_Tact_기준_반입일정_및_수량_02171"/>
      <sheetName val="MASTER_RATE_ANALYSIS1"/>
      <sheetName val="MN_T_B_1"/>
      <sheetName val="INDIGINEOUS_ITEMS_1"/>
      <sheetName val="Core_Data1"/>
      <sheetName val="final_abstract1"/>
      <sheetName val="Manpower_Categories"/>
      <sheetName val="Equip_Mstr_FOR_3A1"/>
      <sheetName val="_토목_처리장도급내역서_"/>
      <sheetName val="Garph_Work-Cost"/>
      <sheetName val="동상부_Tact_기준_반입일정_및_수량_0217"/>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TQ_Format4"/>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breakdown_of_wage_raÐ¾4"/>
      <sheetName val="Additional_data4"/>
      <sheetName val="11_자재단가3"/>
      <sheetName val="LIFE_&amp;_REP_PROVN3"/>
      <sheetName val="O&amp;M_CREW3"/>
      <sheetName val="33628-Rev__A3"/>
      <sheetName val="Cashflow_Analysi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Attach_4-183"/>
      <sheetName val="INPUT_DATA_OF_SCHEDULE3"/>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Finansal_tamamlanma_Eğrisi3"/>
      <sheetName val="Master_List3"/>
      <sheetName val="Scheme_Area_Details_Block___C23"/>
      <sheetName val="14-Eng_rate3"/>
      <sheetName val="리스크_분류체계3"/>
      <sheetName val="Tender_data3"/>
      <sheetName val="Activity_Form3"/>
      <sheetName val="GM_0003"/>
      <sheetName val="Admin_Manu_2-Equipment_Type_ID3"/>
      <sheetName val="일위대가_3"/>
      <sheetName val="SECL_리스크_분류체계_(2)3"/>
      <sheetName val="1_설계기준3"/>
      <sheetName val="Cash_Flow3"/>
      <sheetName val="REF_for_VV3"/>
      <sheetName val="P-Ins_&amp;_Bonds3"/>
      <sheetName val="INSTLIST_13"/>
      <sheetName val="내역서_(∮ἀ嘆ɶ?᠀㬁?3"/>
      <sheetName val="Fig_4-143"/>
      <sheetName val="Itembalance_Report_(18-sep-18)3"/>
      <sheetName val="BUDGET_SUMMARY_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7"/>
      <sheetName val="내역서_(N____8"/>
      <sheetName val="__x03"/>
      <sheetName val="OPT_4"/>
      <sheetName val="내역서_(N__x003"/>
      <sheetName val="List_register3"/>
      <sheetName val="Direct_Histogram_Rev__A_(f)3"/>
      <sheetName val="Tables_3_1_to_3_5_EXH_G3"/>
      <sheetName val="64_43"/>
      <sheetName val="64_53"/>
      <sheetName val="36_23"/>
      <sheetName val="36_13"/>
      <sheetName val="EQUIPOS_DE_SEGURIDAD3"/>
      <sheetName val="MATERIALES_CONSUMIBLES3"/>
      <sheetName val="PERSONAL_INDIRECTO_3"/>
      <sheetName val="Cost_Code3"/>
      <sheetName val="Data_Ref3"/>
      <sheetName val="Interdept_Rate3"/>
      <sheetName val="4300_UTILITY_BLDG_(2)3"/>
      <sheetName val="5__Work_load(현재원기준)3"/>
      <sheetName val="GRAND_REKAP"/>
      <sheetName val="analisa_(2)"/>
      <sheetName val="Analisa_2"/>
      <sheetName val="Up_&amp;_bhn"/>
      <sheetName val="HRG_BHN"/>
      <sheetName val="Alat_(2)"/>
      <sheetName val="Rekap_Biaya"/>
      <sheetName val="Kuantitas_&amp;_Harga"/>
      <sheetName val="Nopember_(2)"/>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Eng_Hrs_(HO)"/>
      <sheetName val="MFG_&amp;_DEL"/>
      <sheetName val="원가조정_내역"/>
      <sheetName val="InsertListDrawing_1_"/>
      <sheetName val="P_Staff_fac"/>
      <sheetName val="beam-reinft-IIInd_floor"/>
      <sheetName val="P-Site_fac"/>
      <sheetName val="P-Clients_fac"/>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내역서_耰&quot;11"/>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SUMMARY_MTO_02_2_352"/>
      <sheetName val="N_G_METERING_CALC_2"/>
      <sheetName val="N_G_METERING2"/>
      <sheetName val="N_G_METERING_(2)2"/>
      <sheetName val="CUMENE_METERING2"/>
      <sheetName val="N2_METERING_2"/>
      <sheetName val="H2_METERING__2"/>
      <sheetName val="CO_METERING2"/>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TR_Rev_vs_Commit2"/>
      <sheetName val="TR_+MMHE_PL_report2"/>
      <sheetName val="P23P2724___Commitment_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05__Curva_S3"/>
      <sheetName val="Cost_Code4"/>
      <sheetName val="Data_Ref4"/>
      <sheetName val="Interdept_Rate4"/>
      <sheetName val="4300_UTILITY_BLDG_(2)4"/>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Enron_Form2"/>
      <sheetName val="IRR_sponsor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Sch_62"/>
      <sheetName val="2013电气概算_价目表_(营改增调整)2"/>
      <sheetName val="1_11_b2"/>
      <sheetName val="SPEC(CABLE_&amp;_WIRE)2"/>
      <sheetName val="RESUMEN_CD2"/>
      <sheetName val="BOQ_REV62"/>
      <sheetName val="Maliyet_Ozet2"/>
      <sheetName val="1_1-1_22"/>
      <sheetName val="1_3-_1_42"/>
      <sheetName val="3_12"/>
      <sheetName val="3_22"/>
      <sheetName val="4_1(a)2"/>
      <sheetName val="4_1(b)2"/>
      <sheetName val="4_1_(c)2"/>
      <sheetName val="5_12"/>
      <sheetName val="내역서_(N____13"/>
      <sheetName val="6_공정표2"/>
      <sheetName val="List_Equip2"/>
      <sheetName val="Process_C_(1-166)2"/>
      <sheetName val="TRUCK_HAUL_CYCLE-waste2"/>
      <sheetName val="Existing_PC_Pavement2"/>
      <sheetName val="Master_Data2"/>
      <sheetName val="ind'l_cp2"/>
      <sheetName val="LAST_UPDATE2"/>
      <sheetName val="0_품의서(전체)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External_Issues2"/>
      <sheetName val="Statprod_gab3"/>
      <sheetName val="L_13"/>
      <sheetName val="Equip_Mstr_FOR_3A12"/>
      <sheetName val="G_R300경비2"/>
      <sheetName val="AS포장복구_2"/>
      <sheetName val="중기조종사_단위단가2"/>
      <sheetName val="설_계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GRAND_REKAP1"/>
      <sheetName val="analisa_(2)1"/>
      <sheetName val="Analisa_21"/>
      <sheetName val="Up_&amp;_bhn1"/>
      <sheetName val="HRG_BHN1"/>
      <sheetName val="Analisa_(ok_punya)1"/>
      <sheetName val="Alat_(2)1"/>
      <sheetName val="Rekap_Biaya1"/>
      <sheetName val="Kuantitas_&amp;_Harga1"/>
      <sheetName val="Nopember_(2)1"/>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Eng_Hrs_(HO)1"/>
      <sheetName val="MFG_&amp;_DEL1"/>
      <sheetName val="원가조정_내역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BQ Summary"/>
      <sheetName val="FittingR1"/>
      <sheetName val="Gasket"/>
      <sheetName val="Bolt"/>
      <sheetName val="LV induction _x0005_묠"/>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P. control"/>
      <sheetName val="EVAL"/>
      <sheetName val="Costing Detailed"/>
      <sheetName val="ER10_Old"/>
      <sheetName val="Basic Data Inputs"/>
      <sheetName val="BLN_PKG"/>
      <sheetName val="TEMP PROFILE"/>
      <sheetName val="_선택 속성(잠금)"/>
      <sheetName val="Drop-down lists"/>
      <sheetName val="AIRCOND"/>
      <sheetName val="EXTERNAL"/>
      <sheetName val="MDGAS"/>
      <sheetName val="BILL 1"/>
      <sheetName val="Step2 -&gt; Mat. Cost"/>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MOBSCH"/>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表三"/>
      <sheetName val="建筑定额 (2002)"/>
      <sheetName val="ADI"/>
      <sheetName val="运"/>
      <sheetName val="建筑定额"/>
      <sheetName val="原始数据"/>
      <sheetName val="经评"/>
      <sheetName val="G2TempSheet"/>
      <sheetName val="30万表三"/>
      <sheetName val="ADI Edison Termoelettrica"/>
      <sheetName val="uraian analisa"/>
      <sheetName val="8LT 12"/>
      <sheetName val="Basic Price"/>
      <sheetName val="TL"/>
      <sheetName val="mob"/>
      <sheetName val="igp-03"/>
      <sheetName val="PNT-QUOT-#3"/>
      <sheetName val="COAT&amp;WRAP-QIOT-#3"/>
      <sheetName val="价格取值"/>
      <sheetName val="Daily Forwards"/>
      <sheetName val="KUWATI(Total)_18"/>
      <sheetName val="OPTION_218"/>
      <sheetName val="OPTION_3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2002년_현장공사비_국내_실적18"/>
      <sheetName val="2003년국내현장공사비_실적18"/>
      <sheetName val="VC2_10_9918"/>
      <sheetName val="INPUT_DATA17"/>
      <sheetName val="집계표_(25,26ဩ17"/>
      <sheetName val="General_Data17"/>
      <sheetName val="Form_017"/>
      <sheetName val="LABOR_&amp;_자재16"/>
      <sheetName val="입출재고현황_(2)16"/>
      <sheetName val="Form_D-116"/>
      <sheetName val="Form_B-116"/>
      <sheetName val="Form_F-116"/>
      <sheetName val="Form_A16"/>
      <sheetName val="3_공통공사대비16"/>
      <sheetName val="간접비_총괄16"/>
      <sheetName val="Rate_Analysis16"/>
      <sheetName val="Price_Schedule16"/>
      <sheetName val="CAL_16"/>
      <sheetName val="EQUIPMENT_-216"/>
      <sheetName val="Z-_GENERAL_PRICE_SUMMARY14"/>
      <sheetName val="_Estimate__14"/>
      <sheetName val="WEIGHT_LIST15"/>
      <sheetName val="산#2-1_(2)15"/>
      <sheetName val="BEND_LOSS15"/>
      <sheetName val="공사비_내역_(가)15"/>
      <sheetName val="내역서_耰&quot;??16"/>
      <sheetName val="단면_(2)15"/>
      <sheetName val="6PILE__(돌출)15"/>
      <sheetName val="Static_Equip15"/>
      <sheetName val="Form_A_15"/>
      <sheetName val="내역서_耰&quot;_x005f_x0000__x005f_x0000_15"/>
      <sheetName val="3_Breakdown_Direct_Paint15"/>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_16"/>
      <sheetName val="Summary_Sheets15"/>
      <sheetName val="Man_Hole14"/>
      <sheetName val="Sheet1_(2)15"/>
      <sheetName val="Civil_115"/>
      <sheetName val="Civil_215"/>
      <sheetName val="Civil_315"/>
      <sheetName val="Site_115"/>
      <sheetName val="Site_215"/>
      <sheetName val="Site_315"/>
      <sheetName val="Site_Faci15"/>
      <sheetName val="내역서_耰&quot;_x005f_x005f_x005f_x0000__x005f_x005f_x0014"/>
      <sheetName val="7__월별투입내역서14"/>
      <sheetName val="계측_내역서14"/>
      <sheetName val="2_2_STAFF_Scedule14"/>
      <sheetName val="내역서_耰&quot;_x005f_x005f_x005f_x005f_x005f_x005f_x00014"/>
      <sheetName val="T_314"/>
      <sheetName val="HORI__VESSEL14"/>
      <sheetName val="EQUIP_LIST14"/>
      <sheetName val="MP_MOB14"/>
      <sheetName val="Form_B14"/>
      <sheetName val="Precios_Unitarios14"/>
      <sheetName val="Administrative_Prices14"/>
      <sheetName val="WBS_4414"/>
      <sheetName val="WBS_4114"/>
      <sheetName val="Precios_por_Administración14"/>
      <sheetName val="Subcon_A14"/>
      <sheetName val="Monthly_Load14"/>
      <sheetName val="Weekly_Load14"/>
      <sheetName val="BM_DATA_SHEET15"/>
      <sheetName val="Vind_-_BtB14"/>
      <sheetName val="LV_induction_motors14"/>
      <sheetName val="BSD_(2)14"/>
      <sheetName val="내역서_耰&quot;_x005f_x005f_x005f_x005f_x005f_x005f_x00514"/>
      <sheetName val="Material_Selections14"/>
      <sheetName val="내역서_耰&quot;13"/>
      <sheetName val="breakdown_of_wage_rate14"/>
      <sheetName val="Indirect_Cost14"/>
      <sheetName val="97_사업추정(WEKI)14"/>
      <sheetName val="[SANDAN_XLS??14"/>
      <sheetName val="Piping_BQ_for_one_turbine14"/>
      <sheetName val="Utility_and_Fire_flange14"/>
      <sheetName val="_SANDAN_XLS__14"/>
      <sheetName val="Eq__Mobilization14"/>
      <sheetName val="Fire_Protection14"/>
      <sheetName val="입찰내역_발주처_양식14"/>
      <sheetName val="Heavy_Equipments14"/>
      <sheetName val="AG_Pipe_Qty_Analysis14"/>
      <sheetName val="FWBS_153013"/>
      <sheetName val="Resource_table14"/>
      <sheetName val="Equipment_List14"/>
      <sheetName val="Form1_SQP14"/>
      <sheetName val="공정계획(내부계획25%,내부w_f)14"/>
      <sheetName val="SFN_ORIG14"/>
      <sheetName val="Currency_Rate9"/>
      <sheetName val="w't_table14"/>
      <sheetName val="SCHEDD_TAMBAHAN14"/>
      <sheetName val="실행예산_MM13"/>
      <sheetName val="MODULE_CONFIRM13"/>
      <sheetName val="ITB_COST14"/>
      <sheetName val="내역서_(∮ἀ嘆ɶ13"/>
      <sheetName val="Dir_Manpower_Other_Exp_14"/>
      <sheetName val="4-3LEVEL-5_epic_413"/>
      <sheetName val="단가_(2)13"/>
      <sheetName val="BOQ-B_DOWN13"/>
      <sheetName val="Cash_In-Cash_Out_Actual13"/>
      <sheetName val="PROTECTION_13"/>
      <sheetName val="내역서1999_8최종9"/>
      <sheetName val="Unit_Price_9"/>
      <sheetName val="plan&amp;section_of_foundation10"/>
      <sheetName val="working_load_at_the_btm_ft_10"/>
      <sheetName val="stability_check10"/>
      <sheetName val="design_load10"/>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Sum_(Case-3)9"/>
      <sheetName val="Man_Power_&amp;_Comp9"/>
      <sheetName val="Data_List9"/>
      <sheetName val="4-Basic_Price9"/>
      <sheetName val="Evaluasi_Penw9"/>
      <sheetName val="Closeout_Control9"/>
      <sheetName val="PROJECT_BRIEF9"/>
      <sheetName val="CUADRO_DE_PRECIOS13"/>
      <sheetName val="Site_Findings_Status_Sheet9"/>
      <sheetName val="5_)_Time_Delays9"/>
      <sheetName val="Unt_rate9"/>
      <sheetName val="1100-1200-1300-1910-2140-LEV_29"/>
      <sheetName val="내역서_耰&quot;_x005f_x005f_x005f_x0000_9"/>
      <sheetName val="내역서_耰&quot;_x005f_x005f_x005f_x005f_9"/>
      <sheetName val="내역서_耰&quot;_x005f_x0000__x000010"/>
      <sheetName val="RAB_AR&amp;STR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할증_9"/>
      <sheetName val="99__FWBS(Ref)9"/>
      <sheetName val="99__Change_Rate9"/>
      <sheetName val="Discounted_Cash_Flow9"/>
      <sheetName val="Ocean_Transporation_Charg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Cash_Flow_bulanan9"/>
      <sheetName val="H_Satuan9"/>
      <sheetName val="In-House_Summary9"/>
      <sheetName val="Tools_&amp;_Settings9"/>
      <sheetName val="Data_Summary9"/>
      <sheetName val="Crew_Costs9"/>
      <sheetName val="Spread_Costs9"/>
      <sheetName val="Unique_List_Misc9"/>
      <sheetName val="Codes_Pers9"/>
      <sheetName val="Direct_PMS9"/>
      <sheetName val="UP_MINOR9"/>
      <sheetName val="Item_code9"/>
      <sheetName val="Aux_9"/>
      <sheetName val="Pengesahan_9"/>
      <sheetName val="__9"/>
      <sheetName val="_9"/>
      <sheetName val="breakdown_of_wage_ra`f8"/>
      <sheetName val="breakdown_of_wage_ra8"/>
      <sheetName val="breakdown_of_wage_rað-8"/>
      <sheetName val="2_Overall_Summary_8"/>
      <sheetName val="Rates_&amp;_Legend9"/>
      <sheetName val="OCT_FDN9"/>
      <sheetName val="BO䁑-B_䁄OWN9"/>
      <sheetName val="Bill_rekap9"/>
      <sheetName val="Harga_Satuan9"/>
      <sheetName val="F_ALARM9"/>
      <sheetName val="0__Resource　Code8"/>
      <sheetName val="breakdown_of_wage_rap8"/>
      <sheetName val="00-Summary_Information-ABB8"/>
      <sheetName val="breakdown_of_wage_ra8"/>
      <sheetName val="Exchange_Rate9"/>
      <sheetName val="General_Notes9"/>
      <sheetName val="내역서_耰&quot;_x005f_x0000_9"/>
      <sheetName val="내역서_耰&quot;_x005f_x005f_9"/>
      <sheetName val="Process_Data_(2)9"/>
      <sheetName val="PABS,Site_info8"/>
      <sheetName val="내역서_耰&quot;_8"/>
      <sheetName val="2__현장_자금투입_집계표9"/>
      <sheetName val="_도면_및_도서_제출목록_및_일정_170202_xlsx9"/>
      <sheetName val="Distribution_Table8"/>
      <sheetName val="Raw_data8"/>
      <sheetName val="차트_(2)9"/>
      <sheetName val="Material_code8"/>
      <sheetName val="DROP_DOWN8"/>
      <sheetName val="개시대사_(2)8"/>
      <sheetName val="DATA_MENTAH8"/>
      <sheetName val="내역서_(N____x000a_9"/>
      <sheetName val="TQ_Format7"/>
      <sheetName val="HO_Site_Rates-20118"/>
      <sheetName val="Linelist_LNGC_Process8"/>
      <sheetName val="Equipment_Spec_List8"/>
      <sheetName val="SPEC_LIST(EQUP,_SYS)8"/>
      <sheetName val="Action_Item8"/>
      <sheetName val="ID_CD8"/>
      <sheetName val="Air_Cooler-E8"/>
      <sheetName val="SUM_7"/>
      <sheetName val="Al_Taweelah8"/>
      <sheetName val="Particular_Sch8"/>
      <sheetName val="breakdown_of_wage_raÐ¾7"/>
      <sheetName val="Additional_data7"/>
      <sheetName val="11_자재단가6"/>
      <sheetName val="LIFE_&amp;_REP_PROVN6"/>
      <sheetName val="O&amp;M_CREW6"/>
      <sheetName val="33628-Rev__A6"/>
      <sheetName val="Cashflow_Analysis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Attach_4-186"/>
      <sheetName val="INPUT_DATA_OF_SCHEDULE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Finansal_tamamlanma_Eğrisi6"/>
      <sheetName val="Master_List6"/>
      <sheetName val="Scheme_Area_Details_Block___C26"/>
      <sheetName val="14-Eng_rate6"/>
      <sheetName val="리스크_분류체계6"/>
      <sheetName val="Admin_Manu_2-Equipment_Type_ID6"/>
      <sheetName val="Activity_Form6"/>
      <sheetName val="내역서_(∮ἀ嘆ɶ?᠀㬁?6"/>
      <sheetName val="Itembalance_Report_(18-sep-18)6"/>
      <sheetName val="BUDGET_SUMMARY_6"/>
      <sheetName val="Tender_data6"/>
      <sheetName val="1_설계기준6"/>
      <sheetName val="광통신_견적내역서16"/>
      <sheetName val="Cash_Flow6"/>
      <sheetName val="5__월별투입내역서6"/>
      <sheetName val="Att-1_CTCI_MH_rate6"/>
      <sheetName val="SUMMARY_MTO_02_2_354"/>
      <sheetName val="N_G_METERING_CALC_4"/>
      <sheetName val="N_G_METERING4"/>
      <sheetName val="N_G_METERING_(2)4"/>
      <sheetName val="CUMENE_METERING4"/>
      <sheetName val="N2_METERING_4"/>
      <sheetName val="H2_METERING__4"/>
      <sheetName val="CO_METERING4"/>
      <sheetName val="SECL_리스크_분류체계_(2)6"/>
      <sheetName val="Direct_Histogram_Rev__A_(f)6"/>
      <sheetName val="Fig_4-146"/>
      <sheetName val="GM_0006"/>
      <sheetName val="일위대가_6"/>
      <sheetName val="REF_for_VV6"/>
      <sheetName val="P-Ins_&amp;_Bonds6"/>
      <sheetName val="INSTLIST_16"/>
      <sheetName val="TR_Rev_vs_Commit4"/>
      <sheetName val="TR_+MMHE_PL_report4"/>
      <sheetName val="P23P2724___Commitment_4"/>
      <sheetName val="설산1_나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Perm__Test6"/>
      <sheetName val="Galian_16"/>
      <sheetName val="Analisa_Lump_sum6"/>
      <sheetName val="Sec_I_ML6"/>
      <sheetName val="dongia_(2)6"/>
      <sheetName val="BM_#16"/>
      <sheetName val="Weekl_7"/>
      <sheetName val="내역서_(N____17"/>
      <sheetName val="내역서_(N____18"/>
      <sheetName val="__x06"/>
      <sheetName val="OPT_7"/>
      <sheetName val="내역서_(N__x006"/>
      <sheetName val="List_register6"/>
      <sheetName val="Tables_3_1_to_3_5_EXH_G6"/>
      <sheetName val="64_46"/>
      <sheetName val="64_56"/>
      <sheetName val="36_26"/>
      <sheetName val="36_16"/>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Precios_Unitariԯ5"/>
      <sheetName val="EQUIPOS_DE_SEGURIDAD6"/>
      <sheetName val="MATERIALES_CONSUMIBLES6"/>
      <sheetName val="PERSONAL_INDIRECTO_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SPT_vs_PHI4"/>
      <sheetName val="05__Curva_S5"/>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Sch_64"/>
      <sheetName val="InD_Mpower4"/>
      <sheetName val="Cost_Code6"/>
      <sheetName val="Data_Ref6"/>
      <sheetName val="Interdept_Rate6"/>
      <sheetName val="4300_UTILITY_BLDG_(2)6"/>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Enron_Form4"/>
      <sheetName val="내역서_(∮ἀ嘆ɶ_᠀㬁_5"/>
      <sheetName val="Vehicle_Log4"/>
      <sheetName val="RESUMEN_CD4"/>
      <sheetName val="BOQ_REV64"/>
      <sheetName val="Maliyet_Ozet4"/>
      <sheetName val="1_1-1_24"/>
      <sheetName val="1_3-_1_44"/>
      <sheetName val="3_14"/>
      <sheetName val="3_24"/>
      <sheetName val="4_1(a)4"/>
      <sheetName val="4_1(b)4"/>
      <sheetName val="4_1_(c)4"/>
      <sheetName val="5_14"/>
      <sheetName val="Other_data4"/>
      <sheetName val="M&amp;E_Summary4"/>
      <sheetName val="rev_summary4"/>
      <sheetName val="M&amp;E_Prelims4"/>
      <sheetName val="B-FP_(2)4"/>
      <sheetName val="Sch_14"/>
      <sheetName val="5__Work_load(현재원기준)6"/>
      <sheetName val="SPEC(CABLE_&amp;_WIRE)4"/>
      <sheetName val="6_공정표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IRR_sponsor4"/>
      <sheetName val="2013电气概算_价目表_(营改增调整)4"/>
      <sheetName val="내역서_(N____19"/>
      <sheetName val="1_11_b4"/>
      <sheetName val="List_Equip4"/>
      <sheetName val="Process_C_(1-166)4"/>
      <sheetName val="TRUCK_HAUL_CYCLE-waste4"/>
      <sheetName val="Existing_PC_Pavement4"/>
      <sheetName val="Master_Data4"/>
      <sheetName val="ind'l_cp4"/>
      <sheetName val="LAST_UPDATE4"/>
      <sheetName val="0_품의서(전체)4"/>
      <sheetName val="3_부제O호표4"/>
      <sheetName val="5_소모재료비4"/>
      <sheetName val="8_시멘트제원표4"/>
      <sheetName val="2_품제O호표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tblg_denda5"/>
      <sheetName val="F1_44"/>
      <sheetName val="Manpower_Categories4"/>
      <sheetName val="Equipt_Rental4"/>
      <sheetName val="EQ_USED_(CORRECTED)4"/>
      <sheetName val="Rebar_Constant4"/>
      <sheetName val="CONCRETE_TYPE4"/>
      <sheetName val="External_Issues4"/>
      <sheetName val="Statprod_gab5"/>
      <sheetName val="L_15"/>
      <sheetName val="Equip_Mstr_FOR_3A14"/>
      <sheetName val="G_R300경비4"/>
      <sheetName val="AS포장복구_4"/>
      <sheetName val="중기조종사_단위단가4"/>
      <sheetName val="설_계4"/>
      <sheetName val="5_Cennik5"/>
      <sheetName val="_토목_처리장도급내역서_4"/>
      <sheetName val="Garph_Work-Cost4"/>
      <sheetName val="LRK_4"/>
      <sheetName val="Insulation_1501084"/>
      <sheetName val="동상부_Tact_기준_반입일정_및_수량_02174"/>
      <sheetName val="MASTER_RATE_ANALYSIS4"/>
      <sheetName val="MN_T_B_4"/>
      <sheetName val="INDIGINEOUS_ITEMS_4"/>
      <sheetName val="Core_Data4"/>
      <sheetName val="final_abstract4"/>
      <sheetName val="GRAND_REKAP3"/>
      <sheetName val="analisa_(2)3"/>
      <sheetName val="Analisa_23"/>
      <sheetName val="Up_&amp;_bhn3"/>
      <sheetName val="HRG_BHN3"/>
      <sheetName val="Analisa_(ok_punya)3"/>
      <sheetName val="Alat_(2)3"/>
      <sheetName val="Rekap_Biaya3"/>
      <sheetName val="Kuantitas_&amp;_Harga3"/>
      <sheetName val="Nopember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Urai__Resap_pengikat3"/>
      <sheetName val="DAF_HRG3"/>
      <sheetName val="7_공정표3"/>
      <sheetName val="Kolom_UT3"/>
      <sheetName val="HB_3"/>
      <sheetName val="Memb_Schd3"/>
      <sheetName val="Coef_et_données3"/>
      <sheetName val="Eng_Hrs_(HO)3"/>
      <sheetName val="MFG_&amp;_DEL3"/>
      <sheetName val="원가조정_내역3"/>
      <sheetName val="InsertListDrawing_1_3"/>
      <sheetName val="P_Staff_fac3"/>
      <sheetName val="beam-reinft-IIInd_floor3"/>
      <sheetName val="P-Site_fac3"/>
      <sheetName val="P-Clients_fac3"/>
      <sheetName val="P2-Project_Data3"/>
      <sheetName val="a_h_ars_sum3"/>
      <sheetName val="a_h_ars3"/>
      <sheetName val="Chap_2-_Page_4_1"/>
      <sheetName val="VAT_TU_DIEN1"/>
      <sheetName val="bldg_list1"/>
      <sheetName val="Scaffolding_Volume1"/>
      <sheetName val="REF_ONLY"/>
      <sheetName val="PLSt_03__"/>
      <sheetName val="П_7_курс_аванса"/>
      <sheetName val="IncStat_03-04"/>
      <sheetName val="IncStat_03__"/>
      <sheetName val="Авансы_по_СНГ"/>
      <sheetName val="Process_Piping"/>
      <sheetName val="SWALE_(구산)"/>
      <sheetName val="Data_Ref_"/>
      <sheetName val="KKS_System_Codes"/>
      <sheetName val="Price_Schedule_Code"/>
      <sheetName val="Detail_Eng"/>
      <sheetName val="ENE-CAL_1"/>
      <sheetName val="내역서_(N____20"/>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UPAH_&amp;_BHN_ARS"/>
      <sheetName val="AHS_ARS"/>
      <sheetName val="Analisa_HSP"/>
      <sheetName val="입찰내역_발주처_양卤"/>
      <sheetName val="Analisa_Neraca"/>
      <sheetName val="-0_5_TABLA_PRESUPUESTOS1"/>
      <sheetName val="ﾄﾞﾊﾞｲFUEL_GAS追見1"/>
      <sheetName val="Sheet_14"/>
      <sheetName val="Raw_Ref"/>
      <sheetName val="Cost_Codes"/>
      <sheetName val="Code_07"/>
      <sheetName val="OE_(KSB)"/>
      <sheetName val="galian_saluran"/>
      <sheetName val="Ana__PU"/>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Week_ending"/>
      <sheetName val="Planners_Workload"/>
      <sheetName val="breakdown_of_FA113"/>
      <sheetName val="SANDAN_XLS8"/>
      <sheetName val="Page 2"/>
      <sheetName val="Project Grading"/>
      <sheetName val="satuan"/>
      <sheetName val="DHSD"/>
      <sheetName val="kalibrasi-Tank"/>
      <sheetName val="terdistribusi"/>
      <sheetName val="MAT&amp;LABOR"/>
      <sheetName val="5대총괄"/>
      <sheetName val="ouse_Summary2_________________2"/>
      <sheetName val="Faktor"/>
      <sheetName val="luar"/>
      <sheetName val="RINC hotel"/>
      <sheetName val="RINC FIN T4 "/>
      <sheetName val="RINC FIN T4  _3_"/>
      <sheetName val="RINC FIN T4  _2_"/>
      <sheetName val="Breadown"/>
      <sheetName val="合成単価作成・-BLDG"/>
      <sheetName val="XL4Poppy"/>
      <sheetName val="내역서_(∮ἀ嘆ɶ᠀㬁1"/>
      <sheetName val="MAN-STD"/>
      <sheetName val="LV induction "/>
      <sheetName val="내역서(전기)"/>
      <sheetName val="본부소개"/>
      <sheetName val="NM2"/>
      <sheetName val="NW1"/>
      <sheetName val="NW2"/>
      <sheetName val="PW3"/>
      <sheetName val="PW4"/>
      <sheetName val="SC1"/>
      <sheetName val="DNW"/>
      <sheetName val="NE"/>
      <sheetName val="PM"/>
      <sheetName val="TR"/>
      <sheetName val="ENE-CAL_11"/>
      <sheetName val="2_x0010__x000a__x0003__x000d__x0008__x0010__x0004__x0004__x0004_"/>
      <sheetName val="9011 EXPAT_MANP"/>
      <sheetName val="2_x0010_"/>
      <sheetName val="PriceSummary"/>
      <sheetName val="App A Basis of Design"/>
      <sheetName val="CBA"/>
      <sheetName val="MH and Unit Cost"/>
      <sheetName val="BOQ_PAINTING"/>
      <sheetName val="Material Cost(as per Nation)"/>
      <sheetName val="VS P-Q"/>
      <sheetName val="Harga material_1"/>
      <sheetName val="abcdef"/>
      <sheetName val="bahan,upah,alat"/>
      <sheetName val="Peralatan (2)"/>
      <sheetName val="집계표(2 안)"/>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Z- GENERAL PRIC橿⿂⒘ࡈ"/>
      <sheetName val="Z- GENERAL PRIC鋘@俀~橿⿂⍈"/>
      <sheetName val="Z- GENERAL PRIC_x0005_ẹ"/>
      <sheetName val="tabel berat"/>
      <sheetName val="daf_3_OK_"/>
      <sheetName val="daf_7_OK_"/>
      <sheetName val="L_TIGA"/>
      <sheetName val="SWALE_(구산)1"/>
      <sheetName val="REF_ONLY1"/>
      <sheetName val="Data_Ref_1"/>
      <sheetName val="KKS_System_Codes1"/>
      <sheetName val="Price_Schedule_Code1"/>
      <sheetName val="MC-P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aily Photo"/>
      <sheetName val="Manpower Status"/>
      <sheetName val="opstat"/>
      <sheetName val="costs"/>
      <sheetName val="Selling_Sheet_cons"/>
      <sheetName val="JGSummit_Package_2_(CTCI)"/>
      <sheetName val="MenuSheet"/>
      <sheetName val="Forecast"/>
      <sheetName val="Batam Forecast"/>
      <sheetName val="Batam Forecast_jun"/>
      <sheetName val="Fabrication Summary"/>
      <sheetName val="D6978 Mar 21 - FProj07"/>
      <sheetName val="Ecosys-Mar'21"/>
      <sheetName val="GEAC - Dec19"/>
      <sheetName val="breakdown_of_FA1131"/>
      <sheetName val="Sheet_141"/>
      <sheetName val="MSP-Operator_Building-Area_C1"/>
      <sheetName val="JGSummit_Package_2_(CTCI)1"/>
      <sheetName val="-0_5_TABLA_PRESUPUESTOS2"/>
      <sheetName val="ﾄﾞﾊﾞｲFUEL_GAS追見2"/>
      <sheetName val="BG Working Sheet"/>
      <sheetName val="당초?➴ȭ"/>
      <sheetName val="COS_REP.XLS"/>
      <sheetName val="ANL_TEK.6"/>
      <sheetName val="HM.MEK."/>
      <sheetName val="Volume"/>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Fire Fighting"/>
      <sheetName val="HARGA DASAR"/>
      <sheetName val="MACROS"/>
      <sheetName val="KR2&amp;KVCM(MAR 1-6'99)"/>
      <sheetName val="電源計画"/>
      <sheetName val="AnalisisHSPekerjaan"/>
      <sheetName val="ANALISA KONST BTN"/>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LV induction mot_x0005_"/>
      <sheetName val="원가&amp;하도급원가"/>
      <sheetName val="건축(을)"/>
      <sheetName val="Sheet_x0005_ư"/>
      <sheetName val="Sheet_x0005_፠"/>
      <sheetName val="Sheet_x0005__xded0_"/>
      <sheetName val="Sheet_x0005_팠"/>
      <sheetName val="Sheet_x0005_⡰"/>
      <sheetName val="Sheet_x0005_㜰"/>
      <sheetName val="Sheet_x0005_븰"/>
      <sheetName val="적용단가"/>
      <sheetName val="리비아견적작업"/>
      <sheetName val="SUMMARY_철거"/>
      <sheetName val="내역(정지)"/>
      <sheetName val="차이내역"/>
      <sheetName val="내역서_(N____21"/>
      <sheetName val="ANAL_BOW"/>
      <sheetName val="Isolasi_Luar_Dalam"/>
      <sheetName val="Isolasi_Luar"/>
      <sheetName val="график_финансирования"/>
      <sheetName val="keyword"/>
      <sheetName val="TH VL, NC, DDHT Thanhphuoc"/>
      <sheetName val="현금흐름표"/>
      <sheetName val="COMPLEXALL"/>
      <sheetName val="Materials "/>
      <sheetName val="MAchinery(R1)"/>
      <sheetName val="State List"/>
      <sheetName val="TIE-INS"/>
      <sheetName val="black_out"/>
      <sheetName val="WK"/>
      <sheetName val="IPL_SCHEDULE"/>
      <sheetName val="DAILY"/>
      <sheetName val="SANDAN_XLS9"/>
      <sheetName val="내역서_(∮ἀ嘆ɶ᠀㬁2"/>
      <sheetName val="1.0_Criteria_New"/>
      <sheetName val="cost curve calc"/>
      <sheetName val="QPL"/>
      <sheetName val="TOWN"/>
      <sheetName val="ALAT1"/>
      <sheetName val="ALAT2 (TDK DIPAKAI)"/>
      <sheetName val="DIV10"/>
      <sheetName val="Fill this out first___"/>
      <sheetName val="Pesanan"/>
      <sheetName val="Penjualan"/>
      <sheetName val="FAI-1"/>
      <sheetName val="idx-03"/>
      <sheetName val="PERBULAN"/>
      <sheetName val="SUJAKA"/>
      <sheetName val="KALTIM"/>
      <sheetName val="KALSEL"/>
      <sheetName val="IDX06"/>
      <sheetName val="BLOK-BJR"/>
      <sheetName val="DPro"/>
      <sheetName val="PercenDiv"/>
      <sheetName val="pro_ra_op"/>
      <sheetName val="analis_standar(8m)"/>
      <sheetName val="renc_mgn"/>
      <sheetName val="ShareCapital_"/>
      <sheetName val="Instrument_Proc"/>
      <sheetName val="MTO_Civil_Work"/>
      <sheetName val="Sched_3_(Construction)"/>
      <sheetName val="Sched_1_(Engineering)"/>
      <sheetName val="Sched_2_(Procurement_"/>
      <sheetName val="lkalibrasi_BENENAIN"/>
      <sheetName val="Rekap_Addendum"/>
      <sheetName val="AT_2"/>
      <sheetName val="Ch"/>
      <sheetName val="Perhitungan RAB"/>
      <sheetName val="5-Peralatan"/>
      <sheetName val="trans"/>
      <sheetName val="INPUT DATAS"/>
      <sheetName val="PaintBreak"/>
      <sheetName val="INSSUBCON"/>
      <sheetName val="ABK.04.AWALR+CO+TAB.RUPS"/>
      <sheetName val="9 58&quot;_single"/>
      <sheetName val="COSTPERBBL"/>
      <sheetName val="Material_Price15"/>
      <sheetName val="Land_Dev't__Ph-118"/>
      <sheetName val="4-Lane_bridge18"/>
      <sheetName val="Addendum_No_1_BILL_21"/>
      <sheetName val="Home_Office"/>
      <sheetName val="7_6_3_J_Inline_Instrument"/>
      <sheetName val="6_2_Floor_Finishes1"/>
      <sheetName val="Project_D"/>
      <sheetName val="Tender_Summary"/>
      <sheetName val="MAY_00-Bobbins"/>
      <sheetName val="2_2_띠장의_설계"/>
      <sheetName val="(10)_Other_Costs5"/>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3_-RESOURCE_LIST"/>
      <sheetName val="0_-SUMMARY"/>
      <sheetName val="3_2_AUX"/>
      <sheetName val="3_3_AUX-2"/>
      <sheetName val="GRAND_SUM"/>
      <sheetName val="VCC_11110-461"/>
      <sheetName val="Appendix_A"/>
      <sheetName val="C1_(calcolo)"/>
      <sheetName val="5_5FWBS_CODE"/>
      <sheetName val="1195_B1"/>
      <sheetName val="page_6"/>
      <sheetName val="Capel_KI"/>
      <sheetName val="Capel_PK"/>
      <sheetName val="Summary_HS_Pipa_CS"/>
      <sheetName val="Raw_Data-Combined"/>
      <sheetName val="JOB_Code"/>
      <sheetName val="COVER_RECAP_INSTALL_(2)"/>
      <sheetName val="Rekap_Summary"/>
      <sheetName val="Rekap_Breakdown"/>
      <sheetName val="Equiv_Length"/>
      <sheetName val="Harga_Mat_"/>
      <sheetName val="Integrated-S_Curve"/>
      <sheetName val="Bang_KL"/>
      <sheetName val="_hrg_bhn"/>
      <sheetName val="Section_1"/>
      <sheetName val="Main_Control"/>
      <sheetName val="Ra__stair"/>
      <sheetName val="Man_Power"/>
      <sheetName val="내역서_(∮ἀ嘆ɶ_x005f_x0000_᠀㬁_x005f_x0000_"/>
      <sheetName val="내역서_(N__x005f_x000e__x005f_x000e__x005f_x000e____"/>
      <sheetName val="Bangunan_Utama"/>
      <sheetName val="Hrg_Sat"/>
      <sheetName val="Subcon Rate"/>
      <sheetName val="Z- GENERAL PRIC橿⿂"/>
      <sheetName val="Z- GENERAL PRIC鋘@俀~橿⿂"/>
      <sheetName val="Z- GENERAL PRIC"/>
      <sheetName val="PROC%"/>
      <sheetName val="LV induction mot"/>
      <sheetName val="Notes"/>
      <sheetName val="4B-H150"/>
      <sheetName val="8B1s-H440"/>
      <sheetName val="8B0s"/>
      <sheetName val="H244"/>
      <sheetName val="4334-Summary"/>
      <sheetName val="Eng_Hrs"/>
      <sheetName val="A-11 Steel Str"/>
      <sheetName val="A-03 Pile"/>
      <sheetName val="CONS."/>
      <sheetName val="내역서_耰&quot;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Country (kVA-Hz.)"/>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ENGG_CVL"/>
      <sheetName val="PAD TR보호대기초"/>
      <sheetName val="가로등기초"/>
      <sheetName val="HANDHOLE(2)"/>
      <sheetName val="Vind -鴃宼蠀"/>
      <sheetName val="입력시|"/>
      <sheetName val="R05"/>
      <sheetName val="İnsan Gücü"/>
      <sheetName val="정산내역서"/>
      <sheetName val="견적단가"/>
      <sheetName val="계약단가"/>
      <sheetName val="ELECTRIC"/>
      <sheetName val="주요자재집계"/>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소비자가"/>
      <sheetName val="TBM-T6+5S(Alt1)"/>
      <sheetName val="cespiti cet2 piombino (2)"/>
      <sheetName val="建筑工程统计表06月份 "/>
      <sheetName val="FlujoTJ"/>
      <sheetName val="배포용표지"/>
      <sheetName val="Tra_bang"/>
      <sheetName val="HX"/>
      <sheetName val="ENE-CAL_12"/>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Daily_Photo"/>
      <sheetName val="Manpower_Status"/>
      <sheetName val="LV_induction_묠"/>
      <sheetName val="__x005f_x0000__x005f_x001b__x005f_x0000__x005f_x0006__1"/>
      <sheetName val="내역서_耰&quot;_x005f_x005f_x005f_x0000__x00004"/>
      <sheetName val="내역서_(N____x005f_x000a_3"/>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FA_LISTING"/>
      <sheetName val="FA-LISTING"/>
      <sheetName val="6MONTHS"/>
      <sheetName val="負荷集計（断熱不燃）"/>
      <sheetName val="NoDelete_NoHide"/>
      <sheetName val="报价说明 (3)"/>
      <sheetName val="报价说明 (4)"/>
      <sheetName val="2.履约阶段供应链管理计划"/>
      <sheetName val="XREF"/>
      <sheetName val="sis.xlm"/>
      <sheetName val="spot prices"/>
      <sheetName val="Forma E-17"/>
      <sheetName val="1999 BUDGET"/>
      <sheetName val="Boq(1)"/>
      <sheetName val="Risk Variables"/>
      <sheetName val="간접비 총괄표"/>
      <sheetName val="BOQ LIST"/>
      <sheetName val="石炭性状"/>
      <sheetName val="SUM-AIR-Submit"/>
      <sheetName val="Star Rate"/>
      <sheetName val="sch 1.2"/>
      <sheetName val="B_6"/>
      <sheetName val="B_7"/>
      <sheetName val="B_8"/>
      <sheetName val="B_9"/>
      <sheetName val="B_10 (4)"/>
      <sheetName val="AGG"/>
      <sheetName val="MT"/>
      <sheetName val="BP"/>
      <sheetName val="Cover-L"/>
      <sheetName val="Rev "/>
      <sheetName val="LIST"/>
      <sheetName val="支架原始数据"/>
      <sheetName val="材料规格"/>
      <sheetName val="Sheet1 (4)"/>
      <sheetName val="ISBL-J10"/>
      <sheetName val="BQ Working"/>
      <sheetName val="PipWT"/>
      <sheetName val="N-detail"/>
      <sheetName val="FACSUM"/>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S"/>
      <sheetName val="가격조사서"/>
      <sheetName val="TEKNIS"/>
      <sheetName val="Mob2"/>
      <sheetName val="MR EUR"/>
      <sheetName val="changes"/>
      <sheetName val="Ind. Budget"/>
      <sheetName val="1) COMMON FACILITIES"/>
      <sheetName val="Basisdaten"/>
      <sheetName val="SA516-60,70 (정리)"/>
      <sheetName val="ENQ222394AL NASR_Steel Report"/>
      <sheetName val="DP"/>
      <sheetName val="범례"/>
      <sheetName val="КС2_24.1-8 (4.1.8.11.200)cor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분석"/>
      <sheetName val="DO NOT DELETE"/>
      <sheetName val="첨부 #8 기자재 Cost Summary"/>
      <sheetName val="Considerations"/>
      <sheetName val="Dia Inch"/>
      <sheetName val="JP-I.500155"/>
      <sheetName val="PBAC budget"/>
      <sheetName val="3.6M RETAINING WALL"/>
      <sheetName val="指數Case"/>
      <sheetName val="TRENCH"/>
      <sheetName val="Cost Control"/>
      <sheetName val="Factor Sheet"/>
      <sheetName val="Cost Factor Sheet"/>
      <sheetName val="Ragama"/>
      <sheetName val="Price Sheet"/>
      <sheetName val="Room Type"/>
      <sheetName val="Basement2 DB"/>
      <sheetName val="FAC"/>
      <sheetName val="COST"/>
      <sheetName val="BOQ SUM"/>
      <sheetName val="MALZEME"/>
      <sheetName val="UNIT RATE"/>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KUWATI(Total)_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OPTION_219"/>
      <sheetName val="OPTION_319"/>
      <sheetName val="2002년_현장공사비_국내_실적19"/>
      <sheetName val="2003년국내현장공사비_실적19"/>
      <sheetName val="VC2_10_9919"/>
      <sheetName val="INPUT_DATA18"/>
      <sheetName val="집계표_(25,26ဩ18"/>
      <sheetName val="Form_018"/>
      <sheetName val="General_Data18"/>
      <sheetName val="입출재고현황_(2)17"/>
      <sheetName val="Form_D-117"/>
      <sheetName val="Form_B-117"/>
      <sheetName val="Form_F-117"/>
      <sheetName val="Form_A17"/>
      <sheetName val="LABOR_&amp;_자재17"/>
      <sheetName val="3_공통공사대비17"/>
      <sheetName val="간접비_총괄17"/>
      <sheetName val="Price_Schedule17"/>
      <sheetName val="CAL_17"/>
      <sheetName val="Rate_Analysis17"/>
      <sheetName val="WEIGHT_LIST16"/>
      <sheetName val="산#2-1_(2)16"/>
      <sheetName val="BEND_LOSS16"/>
      <sheetName val="공사비_내역_(가)16"/>
      <sheetName val="내역서_耰&quot;??17"/>
      <sheetName val="EQUIPMENT_-217"/>
      <sheetName val="6PILE__(돌출)16"/>
      <sheetName val="Static_Equip16"/>
      <sheetName val="Form_A_16"/>
      <sheetName val="단면_(2)16"/>
      <sheetName val="내역서_耰&quot;_x005f_x0000__x005f_x0000_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EQUIP_LIST15"/>
      <sheetName val="BM_DATA_SHEET16"/>
      <sheetName val="Vind_-_BtB15"/>
      <sheetName val="LV_induction_motors15"/>
      <sheetName val="BSD_(2)15"/>
      <sheetName val="Precios_Unitarios15"/>
      <sheetName val="Administrative_Prices15"/>
      <sheetName val="WBS_4415"/>
      <sheetName val="WBS_4115"/>
      <sheetName val="Precios_por_Administración15"/>
      <sheetName val="Subcon_A15"/>
      <sheetName val="내역서_耰&quot;_x005f_x005f_x005f_x005f_x005f_x005f_x00515"/>
      <sheetName val="MP_MOB15"/>
      <sheetName val="Form_B15"/>
      <sheetName val="Monthly_Load15"/>
      <sheetName val="Weekly_Load15"/>
      <sheetName val="[SANDAN_XLS??15"/>
      <sheetName val="breakdown_of_wage_rate15"/>
      <sheetName val="Indirect_Cost15"/>
      <sheetName val="97_사업추정(WEKI)15"/>
      <sheetName val="Eq__Mobilization15"/>
      <sheetName val="Piping_BQ_for_one_turbine15"/>
      <sheetName val="Material_Selections15"/>
      <sheetName val="Resource_table15"/>
      <sheetName val="Utility_and_Fire_flange15"/>
      <sheetName val="Heavy_Equipments15"/>
      <sheetName val="AG_Pipe_Qty_Analysis15"/>
      <sheetName val="_SANDAN_XLS__15"/>
      <sheetName val="입찰내역_발주처_양식15"/>
      <sheetName val="Equipment_List15"/>
      <sheetName val="Form1_SQP15"/>
      <sheetName val="공정계획(내부계획25%,내부w_f)15"/>
      <sheetName val="FWBS_153014"/>
      <sheetName val="Fire_Protection15"/>
      <sheetName val="SFN_ORIG15"/>
      <sheetName val="내역서_(∮ἀ嘆ɶ14"/>
      <sheetName val="w't_table15"/>
      <sheetName val="SCHEDD_TAMBAHAN15"/>
      <sheetName val="Dir_Manpower_Other_Exp_15"/>
      <sheetName val="실행예산_MM14"/>
      <sheetName val="MODULE_CONFIRM14"/>
      <sheetName val="ITB_COST15"/>
      <sheetName val="4-3LEVEL-5_epic_414"/>
      <sheetName val="단가_(2)14"/>
      <sheetName val="BOQ-B_DOWN14"/>
      <sheetName val="내역서1999_8최종10"/>
      <sheetName val="Cash_In-Cash_Out_Actual14"/>
      <sheetName val="PROTECTION_14"/>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PROJECT_BRIEF10"/>
      <sheetName val="Unit_Price_10"/>
      <sheetName val="CUADRO_DE_PRECIOS14"/>
      <sheetName val="Closeout_Control10"/>
      <sheetName val="Site_Findings_Status_Sheet10"/>
      <sheetName val="Sum_(Case-3)10"/>
      <sheetName val="Man_Power_&amp;_Comp10"/>
      <sheetName val="Data_List10"/>
      <sheetName val="4-Basic_Price10"/>
      <sheetName val="Evaluasi_Penw10"/>
      <sheetName val="Currency_Rate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Unt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Item_code10"/>
      <sheetName val="In-House_Summary10"/>
      <sheetName val="2__현장_자금투입_집계표10"/>
      <sheetName val="_도면_및_도서_제출목록_및_일정_170202_xls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차트_(2)10"/>
      <sheetName val="00-Summary_Information-ABB9"/>
      <sheetName val="PABS,Site_info9"/>
      <sheetName val="Harga_Satuan10"/>
      <sheetName val="F_ALARM10"/>
      <sheetName val="DATA_MENTAH9"/>
      <sheetName val="2_Overall_Summary_9"/>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breakdown_of_wage_ra9"/>
      <sheetName val="Raw_data9"/>
      <sheetName val="내역서_(N____x000a_10"/>
      <sheetName val="0__Resource　Code9"/>
      <sheetName val="Material_code9"/>
      <sheetName val="TQ_Format8"/>
      <sheetName val="내역서_耰&quot;14"/>
      <sheetName val="SUM_8"/>
      <sheetName val="Distribution_Table9"/>
      <sheetName val="HO_Site_Rates-20119"/>
      <sheetName val="Particular_Sch9"/>
      <sheetName val="내역서_耰&quot;_9"/>
      <sheetName val="DROP_DOWN9"/>
      <sheetName val="Al_Taweelah9"/>
      <sheetName val="Air_Cooler-E9"/>
      <sheetName val="Action_Item9"/>
      <sheetName val="ID_CD9"/>
      <sheetName val="Equipment_Spec_List9"/>
      <sheetName val="개시대사_(2)9"/>
      <sheetName val="SPEC_LIST(EQUP,_SYS)9"/>
      <sheetName val="Linelist_LNGC_Process9"/>
      <sheetName val="리스크_분류체계7"/>
      <sheetName val="SECL_리스크_분류체계_(2)7"/>
      <sheetName val="INPUT_DATA_OF_SCHEDULE7"/>
      <sheetName val="Cashflow_Analysis7"/>
      <sheetName val="breakdown_of_wage_raÐ¾8"/>
      <sheetName val="Additional_data8"/>
      <sheetName val="11_자재단가7"/>
      <sheetName val="LIFE_&amp;_REP_PROVN7"/>
      <sheetName val="O&amp;M_CREW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33628-Rev__A7"/>
      <sheetName val="14-Eng_rate7"/>
      <sheetName val="Attach_4-18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Finansal_tamamlanma_Eğrisi7"/>
      <sheetName val="Master_List7"/>
      <sheetName val="Scheme_Area_Details_Block___C27"/>
      <sheetName val="Admin_Manu_2-Equipment_Type_ID7"/>
      <sheetName val="SUMMARY_MTO_02_2_356"/>
      <sheetName val="N_G_METERING_CALC_6"/>
      <sheetName val="N_G_METERING6"/>
      <sheetName val="N_G_METERING_(2)6"/>
      <sheetName val="CUMENE_METERING6"/>
      <sheetName val="N2_METERING_6"/>
      <sheetName val="H2_METERING__6"/>
      <sheetName val="CO_METERING6"/>
      <sheetName val="Tender_data7"/>
      <sheetName val="Activity_Form7"/>
      <sheetName val="GM_0007"/>
      <sheetName val="일위대가_7"/>
      <sheetName val="Cash_Flow7"/>
      <sheetName val="Direct_Histogram_Rev__A_(f)7"/>
      <sheetName val="광통신_견적내역서17"/>
      <sheetName val="내역서_(∮ἀ嘆ɶ?᠀㬁?7"/>
      <sheetName val="Fig_4-147"/>
      <sheetName val="Itembalance_Report_(18-sep-18)7"/>
      <sheetName val="BUDGET_SUMMARY_7"/>
      <sheetName val="1_설계기준7"/>
      <sheetName val="5__월별투입내역서7"/>
      <sheetName val="Att-1_CTCI_MH_rate7"/>
      <sheetName val="REF_for_VV7"/>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List_register7"/>
      <sheetName val="TR_Rev_vs_Commit5"/>
      <sheetName val="TR_+MMHE_PL_report5"/>
      <sheetName val="P23P2724___Commitment_5"/>
      <sheetName val="설산1_나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Perm__Test7"/>
      <sheetName val="Galian_17"/>
      <sheetName val="Analisa_Lump_sum7"/>
      <sheetName val="Sec_I_ML7"/>
      <sheetName val="dongia_(2)7"/>
      <sheetName val="BM_#17"/>
      <sheetName val="Weekl_8"/>
      <sheetName val="내역서_(N____23"/>
      <sheetName val="__x07"/>
      <sheetName val="OPT_8"/>
      <sheetName val="내역서_(N__x007"/>
      <sheetName val="Tables_3_1_to_3_5_EXH_G7"/>
      <sheetName val="64_47"/>
      <sheetName val="64_57"/>
      <sheetName val="36_27"/>
      <sheetName val="36_17"/>
      <sheetName val="Cost_Code7"/>
      <sheetName val="Data_Ref7"/>
      <sheetName val="Interdept_Rate7"/>
      <sheetName val="INSTLIST_17"/>
      <sheetName val="P-Ins_&amp;_Bonds7"/>
      <sheetName val="EQUIPOS_DE_SEGURIDAD7"/>
      <sheetName val="MATERIALES_CONSUMIBLES7"/>
      <sheetName val="PERSONAL_INDIRECTO_7"/>
      <sheetName val="Land_Dev't__Ph-119"/>
      <sheetName val="4300_UTILITY_BLDG_(2)7"/>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05__Curva_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Enron_Form6"/>
      <sheetName val="IRR_sponsor6"/>
      <sheetName val="4-Lane_bridge19"/>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Sch_66"/>
      <sheetName val="2013电气概算_价目表_(营改增调整)6"/>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1_11_b5"/>
      <sheetName val="Precios_Unitariԯ6"/>
      <sheetName val="SPEC(CABLE_&amp;_WIRE)5"/>
      <sheetName val="RESUMEN_CD5"/>
      <sheetName val="BOQ_REV65"/>
      <sheetName val="Maliyet_Ozet5"/>
      <sheetName val="1_1-1_25"/>
      <sheetName val="1_3-_1_45"/>
      <sheetName val="3_15"/>
      <sheetName val="3_25"/>
      <sheetName val="4_1(a)5"/>
      <sheetName val="4_1(b)5"/>
      <sheetName val="4_1_(c)5"/>
      <sheetName val="5_15"/>
      <sheetName val="내역서_(N____110"/>
      <sheetName val="6_공정표5"/>
      <sheetName val="List_Equip6"/>
      <sheetName val="Process_C_(1-166)6"/>
      <sheetName val="TRUCK_HAUL_CYCLE-waste6"/>
      <sheetName val="Existing_PC_Pavement6"/>
      <sheetName val="Master_Data6"/>
      <sheetName val="ind'l_cp6"/>
      <sheetName val="LAST_UPDATE6"/>
      <sheetName val="0_품의서(전체)6"/>
      <sheetName val="3_부제O호표5"/>
      <sheetName val="5_소모재료비5"/>
      <sheetName val="8_시멘트제원표5"/>
      <sheetName val="2_품제O호표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5__Work_load(현재원기준)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Equipt_Rental5"/>
      <sheetName val="EQ_USED_(CORRECTED)5"/>
      <sheetName val="Rebar_Constant5"/>
      <sheetName val="CONCRETE_TYPE5"/>
      <sheetName val="Other_data6"/>
      <sheetName val="External_Issues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Vehicle_Log5"/>
      <sheetName val="Statprod_gab6"/>
      <sheetName val="L_16"/>
      <sheetName val="동상부_Tact_기준_반입일정_및_수량_02175"/>
      <sheetName val="5_Cennik6"/>
      <sheetName val="tblg_denda6"/>
      <sheetName val="_토목_처리장도급내역서_5"/>
      <sheetName val="G_R300경비5"/>
      <sheetName val="AS포장복구_5"/>
      <sheetName val="중기조종사_단위단가5"/>
      <sheetName val="설_계5"/>
      <sheetName val="Equip_Mstr_FOR_3A15"/>
      <sheetName val="F1_45"/>
      <sheetName val="내역서_(∮ἀ嘆ɶ_᠀㬁_6"/>
      <sheetName val="M&amp;E_Summary5"/>
      <sheetName val="rev_summary5"/>
      <sheetName val="M&amp;E_Prelims5"/>
      <sheetName val="B-FP_(2)5"/>
      <sheetName val="Sch_15"/>
      <sheetName val="Manpower_Categories5"/>
      <sheetName val="Garph_Work-Cost5"/>
      <sheetName val="Scaffolding_Volume2"/>
      <sheetName val="Rekap_Biaya4"/>
      <sheetName val="Kuantitas_&amp;_Harga4"/>
      <sheetName val="Nopember_(2)4"/>
      <sheetName val="GRAND_REKAP4"/>
      <sheetName val="analisa_(2)4"/>
      <sheetName val="Analisa_24"/>
      <sheetName val="LRK_5"/>
      <sheetName val="MASTER_RATE_ANALYSIS5"/>
      <sheetName val="MN_T_B_5"/>
      <sheetName val="INDIGINEOUS_ITEMS_5"/>
      <sheetName val="Core_Data5"/>
      <sheetName val="final_abstract5"/>
      <sheetName val="InD_Mpower5"/>
      <sheetName val="P_Staff_fac4"/>
      <sheetName val="beam-reinft-IIInd_floor4"/>
      <sheetName val="P-Site_fac4"/>
      <sheetName val="P-Clients_fac4"/>
      <sheetName val="Eng_Hrs_(HO)4"/>
      <sheetName val="원가조정_내역4"/>
      <sheetName val="InsertListDrawing_1_4"/>
      <sheetName val="Analisa_(ok_punya)4"/>
      <sheetName val="Up_&amp;_bhn4"/>
      <sheetName val="HRG_BHN4"/>
      <sheetName val="Alat_(2)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Urai__Resap_pengikat4"/>
      <sheetName val="DAF_HRG4"/>
      <sheetName val="7_공정표4"/>
      <sheetName val="Kolom_UT4"/>
      <sheetName val="HB_4"/>
      <sheetName val="Memb_Schd4"/>
      <sheetName val="Coef_et_données4"/>
      <sheetName val="MFG_&amp;_DEL4"/>
      <sheetName val="P2-Project_Data4"/>
      <sheetName val="a_h_ars_sum4"/>
      <sheetName val="a_h_ars4"/>
      <sheetName val="Insulation_1501085"/>
      <sheetName val="PLSt_03__1"/>
      <sheetName val="П_7_курс_аванса1"/>
      <sheetName val="IncStat_03-041"/>
      <sheetName val="IncStat_03__1"/>
      <sheetName val="Авансы_по_СНГ1"/>
      <sheetName val="Sheet_142"/>
      <sheetName val="Raw_Ref1"/>
      <sheetName val="Cost_Codes1"/>
      <sheetName val="Addendum_No_1_BILL_22"/>
      <sheetName val="Code_071"/>
      <sheetName val="JGSummit_Package_2_(CTCI)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ENE-CAL_13"/>
      <sheetName val="내역서_(N____25"/>
      <sheetName val="Monthly_S_Curve_SPK2"/>
      <sheetName val="Week_ending1"/>
      <sheetName val="Planners_Workload1"/>
      <sheetName val="Appendix_A1"/>
      <sheetName val="7_6_3_J_Inline_Instrument1"/>
      <sheetName val="-0_5_TABLA_PRESUPUESTOS3"/>
      <sheetName val="ﾄﾞﾊﾞｲFUEL_GAS追見3"/>
      <sheetName val="내역서_耰&quot;_x005f9"/>
      <sheetName val="MAY_00-Bobbins1"/>
      <sheetName val="2_2_띠장의_설계1"/>
      <sheetName val="(10)_Other_Costs51"/>
      <sheetName val="breakdown_of_FA113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Detail_Eng1"/>
      <sheetName val="Equiv_Length1"/>
      <sheetName val="Integrated-S_Curve1"/>
      <sheetName val="Bang_KL1"/>
      <sheetName val="Main_Control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Home_Office1"/>
      <sheetName val="Process_Piping1"/>
      <sheetName val="renc_mgn1"/>
      <sheetName val="내역서_耰&quot;_x005f_x0000__x005f_x005f_x0000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建筑定额_(2002)1"/>
      <sheetName val="ADI_Edison_Termoelettrica1"/>
      <sheetName val="BQ_Summary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p_mgmt"/>
      <sheetName val="Dati_base"/>
      <sheetName val="Asset_Mansys_Sum"/>
      <sheetName val="Job_List_(2)"/>
      <sheetName val="Constn_&amp;_Install_-_LEV_4"/>
      <sheetName val="LEV_4_Project_Managem"/>
      <sheetName val="Site_Management"/>
      <sheetName val="Manhrs_Sum"/>
      <sheetName val="BILL_11"/>
      <sheetName val="Step2_-&gt;_Mat__Cost1"/>
      <sheetName val="BG_Working_Sheet"/>
      <sheetName val="P__control1"/>
      <sheetName val="Costing_Detailed1"/>
      <sheetName val="Basic_Data_Inputs1"/>
      <sheetName val="TEMP_PROFILE1"/>
      <sheetName val="_선택_속성(잠금)1"/>
      <sheetName val="Drop-down_lists1"/>
      <sheetName val="Team_3_S-Curve1"/>
      <sheetName val="LV_induction_1"/>
      <sheetName val="Daily_Forwards1"/>
      <sheetName val="ANALISA_KONST_BTN"/>
      <sheetName val="uraian_analisa1"/>
      <sheetName val="8LT_121"/>
      <sheetName val="Basic_Price1"/>
      <sheetName val="VS_P-Q1"/>
      <sheetName val="집계표(2_안)1"/>
      <sheetName val="Harga_material_11"/>
      <sheetName val="Peralatan_(2)1"/>
      <sheetName val="Daily_Photo1"/>
      <sheetName val="Manpower_Status1"/>
      <sheetName val="MH_and_Unit_Cost1"/>
      <sheetName val="Material_Cost(as_per_Nation)1"/>
      <sheetName val="TH_VL,_NC,_DDHT_Thanhphuoc"/>
      <sheetName val="Project_Grading"/>
      <sheetName val="Fire_Fighting"/>
      <sheetName val="HARGA_DASAR"/>
      <sheetName val="KR2&amp;KVCM(MAR_1-6'99)"/>
      <sheetName val="RINC_hotel"/>
      <sheetName val="RINC_FIN_T4_"/>
      <sheetName val="RINC_FIN_T4___3_"/>
      <sheetName val="RINC_FIN_T4___2_"/>
      <sheetName val="Page_21"/>
      <sheetName val="Bilanz_Bus_plan_2002"/>
      <sheetName val="Mei_LD"/>
      <sheetName val="Data_Input"/>
      <sheetName val="Project_budget_BTS"/>
      <sheetName val="Well_Plan_1"/>
      <sheetName val="1_0_Criteria_New"/>
      <sheetName val="__x000a______x000a__"/>
      <sheetName val="_________"/>
      <sheetName val="_________1"/>
      <sheetName val="Weekl___x000a__"/>
      <sheetName val="_뻘N___"/>
      <sheetName val="__x000a___x0"/>
      <sheetName val="____x0"/>
      <sheetName val="7422CW_"/>
      <sheetName val="OPT____"/>
      <sheetName val="ANL_TEK_6"/>
      <sheetName val="HM_MEK_"/>
      <sheetName val="Bill_of_Qty"/>
      <sheetName val="ALAT2_(TDK_DIPAKAI)"/>
      <sheetName val="Fill_this_out_first___"/>
      <sheetName val="Perhitungan_RAB"/>
      <sheetName val="INPUT_DATAS"/>
      <sheetName val="ABK_04_AWALR+CO+TAB_RUPS"/>
      <sheetName val="9_58&quot;_single"/>
      <sheetName val="LV_induction_mot1"/>
      <sheetName val="Z-_GENERAL_PRIC橿⿂"/>
      <sheetName val="Z-_GENERAL_PRIC鋘@俀~橿⿂"/>
      <sheetName val="Z-_GENERAL_PRIC"/>
      <sheetName val="A-11_Steel_Str"/>
      <sheetName val="A-03_Pile"/>
      <sheetName val="CONS_"/>
      <sheetName val="Country_(kVA-Hz_)"/>
      <sheetName val="Materials_"/>
      <sheetName val="PAD_TR보호대기초"/>
      <sheetName val="Vind_-鴃宼蠀"/>
      <sheetName val="İnsan_Gücü"/>
      <sheetName val="1_집계표(일반전기)"/>
      <sheetName val="2_집계표(선행공사)"/>
      <sheetName val="3_집계표(소방공사)"/>
      <sheetName val="CABLE_TRAY"/>
      <sheetName val="아파트_기성내역서"/>
      <sheetName val="HaulingLine_hardware"/>
      <sheetName val="S_Curve"/>
      <sheetName val="Branch_Power"/>
      <sheetName val="C__letter_3rd_QT"/>
      <sheetName val="cespiti_cet2_piombino_(2)"/>
      <sheetName val="建筑工程统计表06月份_"/>
      <sheetName val="报价说明_(3)"/>
      <sheetName val="报价说明_(4)"/>
      <sheetName val="2_履约阶段供应链管理计划"/>
      <sheetName val="sis_xlm"/>
      <sheetName val="spot_prices"/>
      <sheetName val="Forma_E-17"/>
      <sheetName val="1999_BUDGET"/>
      <sheetName val="M_MM"/>
      <sheetName val="Batam_Forecast"/>
      <sheetName val="Batam_Forecast_jun"/>
      <sheetName val="Fabrication_Summary"/>
      <sheetName val="D6978_Mar_21_-_FProj07"/>
      <sheetName val="GEAC_-_Dec19"/>
      <sheetName val="COS_REP_XLS"/>
      <sheetName val="DIV_3"/>
      <sheetName val="DIV_9"/>
      <sheetName val="LOKASI_RIG_Litbang"/>
      <sheetName val="struktur_tdk_dipakai"/>
      <sheetName val="upah_bahan"/>
      <sheetName val="AnalisaSIPIL_RIIL"/>
      <sheetName val="Har_Sat"/>
      <sheetName val="Rek_Analisa"/>
      <sheetName val="HRG_BAHAN_&amp;_UPAH_okk"/>
      <sheetName val="TS_MINGGUAN_rev_(2)"/>
      <sheetName val="DAF_ALAT"/>
      <sheetName val="State_List"/>
      <sheetName val="sch_1_2"/>
      <sheetName val="B_10_(4)"/>
      <sheetName val="Rev_"/>
      <sheetName val="Sheet1_(4)"/>
      <sheetName val="샘플표지"/>
      <sheetName val="일위대가(가설)"/>
      <sheetName val="Tmp1"/>
      <sheetName val="B表"/>
      <sheetName val="チューブ仕様"/>
      <sheetName val="Breakdown Instrument"/>
      <sheetName val="XLR_NoRangeSheet"/>
      <sheetName val="Hujan BUlanan"/>
      <sheetName val="Gas Specific Gravities and GHV"/>
      <sheetName val="ELXX"/>
      <sheetName val="Bored Pile"/>
      <sheetName val="mat'ls"/>
      <sheetName val="03-13 Anticipated"/>
      <sheetName val="03-13 Approved"/>
      <sheetName val="hauling"/>
      <sheetName val="IS"/>
      <sheetName val="PR-BF"/>
      <sheetName val="CP_TU_AD"/>
      <sheetName val="SHL"/>
      <sheetName val="Pivot Table"/>
      <sheetName val="SUP-DET"/>
      <sheetName val="GRSummary"/>
      <sheetName val="WITHOUT C&amp;I PROFIT (3)"/>
      <sheetName val="CCD-SF-405"/>
      <sheetName val="Dynamic Query"/>
      <sheetName val="GENDATA Sht 1"/>
      <sheetName val="Issue Log "/>
      <sheetName val="Basic Rate"/>
      <sheetName val="PROG."/>
      <sheetName val="Calc Sheet"/>
      <sheetName val="ECA"/>
      <sheetName val="2. Steel Structural"/>
      <sheetName val="Material Groups"/>
      <sheetName val="Material Kind"/>
      <sheetName val="Unit of Measurement "/>
      <sheetName val="Projekt4"/>
      <sheetName val="Base_Data"/>
      <sheetName val="PipTable"/>
      <sheetName val="82巴基斯坦tapal"/>
      <sheetName val="Batam_Forecast2"/>
      <sheetName val="Batam_Forecast_jun2"/>
      <sheetName val="Fabrication_Summary2"/>
      <sheetName val="D6978_Mar_21_-_FProj072"/>
      <sheetName val="GEAC_-_Dec192"/>
      <sheetName val="Batam_Forecast1"/>
      <sheetName val="Batam_Forecast_jun1"/>
      <sheetName val="Fabrication_Summary1"/>
      <sheetName val="D6978_Mar_21_-_FProj071"/>
      <sheetName val="GEAC_-_Dec191"/>
      <sheetName val="Unit-1"/>
      <sheetName val="내역서_(∮ἀ嘆ɶ᠀㬁3"/>
      <sheetName val="LM001"/>
      <sheetName val="LM002"/>
      <sheetName val="LM003"/>
      <sheetName val="LM005"/>
      <sheetName val="LM006"/>
      <sheetName val="LM008"/>
      <sheetName val="LM004"/>
      <sheetName val="1)_COMMON_FACILITIES"/>
      <sheetName val="월간보고자료FORM2"/>
      <sheetName val="PSV2701F"/>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design_criteria6"/>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본사공가현황"/>
      <sheetName val="앉음벽 (2)"/>
      <sheetName val="WORKER"/>
      <sheetName val="5.새들부해석 및 철근배근"/>
      <sheetName val="reinforce"/>
      <sheetName val="Executive Summary (Aug 25)"/>
      <sheetName val="P-J"/>
      <sheetName val="P.M 별"/>
      <sheetName val="5.세운W-A"/>
      <sheetName val="Rek.An"/>
      <sheetName val="Rencana Anggaran Biaya"/>
      <sheetName val="BCC CABLE DATA"/>
      <sheetName val="FJR CABLE DATA"/>
      <sheetName val="JRT CABLE DATA"/>
      <sheetName val="PD CABLE DATA "/>
      <sheetName val="TBA CABLE DATA"/>
      <sheetName val="TY CABLE DATA"/>
      <sheetName val="5a. Code_E"/>
      <sheetName val="LstsÙÁ"/>
      <sheetName val="DE-110"/>
      <sheetName val="WBS"/>
      <sheetName val="coastal"/>
      <sheetName val="3. PE Unit "/>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Issue Detail (2nd Stage)"/>
      <sheetName val="PUNCH DESCRIPTION"/>
      <sheetName val="p17 POP 2"/>
      <sheetName val="p16 POP 1"/>
      <sheetName val="p14 cooling mp 2"/>
      <sheetName val="p15 cooling mp 3"/>
      <sheetName val="Committed Cost"/>
      <sheetName val="Div26 - Elect"/>
      <sheetName val="proj"/>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Riesgos y Oportunidades"/>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FPF-Unit Rates"/>
      <sheetName val="PNT-Unit Rates"/>
      <sheetName val="E1"/>
      <sheetName val="1 间接人工费"/>
      <sheetName val="CW"/>
      <sheetName val="RELACION COSTE"/>
      <sheetName val="NC"/>
      <sheetName val="Named Range"/>
      <sheetName val="Floor Level"/>
      <sheetName val="DataSheet"/>
      <sheetName val="Chemreq"/>
      <sheetName val="19. drill CD6"/>
      <sheetName val="MASTER AR"/>
      <sheetName val="Sheet_x0005_"/>
      <sheetName val="Cause Categories"/>
      <sheetName val="Change Order Log"/>
      <sheetName val="11FEB"/>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BOKOR TOPSIDE LS_3.17M480R"/>
      <sheetName val="ZKPAOINCURREDTS"/>
      <sheetName val="ZKPAOBALANCETSJKT"/>
      <sheetName val="ZKPAOBALANCETS"/>
      <sheetName val="ZKPAOINCURREDJKT"/>
      <sheetName val="ZKPAOPRJKT"/>
      <sheetName val="ZKPAOPRTS"/>
      <sheetName val="MPP"/>
      <sheetName val="S&amp;M Opex"/>
      <sheetName val="골조"/>
      <sheetName val="ExchRate"/>
      <sheetName val="지계"/>
      <sheetName val="Solieu"/>
      <sheetName val="Xuly Data"/>
      <sheetName val="환경기계공정표 (3)"/>
      <sheetName val="Project Information In-Out"/>
      <sheetName val="機器リスト"/>
      <sheetName val="Fee Rate Summary"/>
      <sheetName val="교각계산"/>
      <sheetName val="Sheet15"/>
      <sheetName val="Sheet13"/>
      <sheetName val="APT"/>
      <sheetName val="New Rates"/>
      <sheetName val="OOC Form"/>
      <sheetName val="사통"/>
      <sheetName val="J直材4"/>
      <sheetName val="원하도급내역서(당초)"/>
      <sheetName val="WITHOUT_C&amp;I_PROFIT_(3)"/>
      <sheetName val="ENQ222394AL_NASR_Steel_Report"/>
      <sheetName val="Dynamic_Query"/>
      <sheetName val="설비원가"/>
      <sheetName val="배관쳻᫥"/>
      <sheetName val="배관䳝ᇪ"/>
      <sheetName val="배관᳝᧪"/>
      <sheetName val="8&gt;한국인수당 (Master file)"/>
      <sheetName val="N賃率-職"/>
      <sheetName val="공사사진"/>
      <sheetName val="잡철물"/>
      <sheetName val="TOWER 12TON"/>
      <sheetName val="TOWER 10TON"/>
      <sheetName val="인원칠ᦑ"/>
      <sheetName val="날개벽수량표"/>
      <sheetName val="샘플수"/>
      <sheetName val="FS-LT"/>
      <sheetName val="5-ALAT"/>
      <sheetName val="4-BASIC"/>
      <sheetName val="AP 'S ANALYSIS"/>
      <sheetName val="DATA(입력)"/>
      <sheetName val="배명(단가)"/>
      <sheetName val="drop down list"/>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内訳書"/>
      <sheetName val="Chart Data"/>
      <sheetName val="단중"/>
      <sheetName val="품셈표"/>
      <sheetName val="당초_ȭ"/>
      <sheetName val="당초_➴ȭ"/>
      <sheetName val="TWO PASS"/>
      <sheetName val="THREE PASS"/>
      <sheetName val="Fuel"/>
      <sheetName val="D.Base"/>
      <sheetName val="BBM"/>
      <sheetName val="Neraca"/>
      <sheetName val="R-L"/>
      <sheetName val="DETANAL-AUG"/>
      <sheetName val="YRACCT"/>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TOSHIBA-Structure"/>
      <sheetName val="Perhitungan"/>
      <sheetName val="REN2000"/>
      <sheetName val="STEP1.a-JUL03"/>
      <sheetName val="Equip COA Sumry"/>
      <sheetName val="Admin"/>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data-hujan"/>
      <sheetName val="23.FILTH "/>
      <sheetName val="29Formalin"/>
      <sheetName val="24TVBN"/>
      <sheetName val="02.01E.coli"/>
      <sheetName val="실행예산갑지"/>
      <sheetName val="현장관리비"/>
      <sheetName val=" anal hrg sat"/>
      <sheetName val="HS_TRG"/>
      <sheetName val="RAB KapukII"/>
      <sheetName val="BAU"/>
      <sheetName val="개산공사비"/>
      <sheetName val="부하계산서"/>
      <sheetName val="U4350"/>
      <sheetName val="Introduction"/>
      <sheetName val="Cover (sh 1)"/>
      <sheetName val="Instructions"/>
      <sheetName val="SI No.25"/>
      <sheetName val="Additional Work"/>
      <sheetName val="DPA"/>
      <sheetName val="D -12"/>
      <sheetName val="2004"/>
      <sheetName val="SPK"/>
      <sheetName val="BA"/>
      <sheetName val="A H S P"/>
      <sheetName val="Harga Bahan"/>
      <sheetName val="HSA &amp; PAB"/>
      <sheetName val="Format Report-for analysis only"/>
      <sheetName val="Rekap BQ-Pompong"/>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SS MH"/>
      <sheetName val="__x001b__x0006__x0006__x0008__"/>
      <sheetName val="__x001b__x0"/>
      <sheetName val="OPT_x0012__x0010__"/>
      <sheetName val="2_x0010___x0003__x000d__x0008__x0010__x0004__x0004__x0004_"/>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GIAVLIEU"/>
      <sheetName val="Analisa HS"/>
      <sheetName val="HPS PC"/>
      <sheetName val="Pile Cap"/>
      <sheetName val="SUR-HARGA"/>
      <sheetName val="COMM"/>
      <sheetName val="기타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Varible"/>
      <sheetName val="Inputdata"/>
      <sheetName val="Progress Tables"/>
      <sheetName val="Twr (15)"/>
      <sheetName val="Shedule"/>
      <sheetName val="D8(1)"/>
      <sheetName val="Analisa ME"/>
      <sheetName val="MTL(AG)"/>
      <sheetName val="rumus"/>
      <sheetName val="Time Schedule"/>
      <sheetName val="Cancelled"/>
      <sheetName val="Data1"/>
      <sheetName val="DataMO"/>
      <sheetName val="RFI_Bolt"/>
      <sheetName val="sc"/>
      <sheetName val="?????????"/>
      <sheetName val="기성"/>
      <sheetName val="_x005f_x005f_x005f_x005f_x005f_x005f_x00Ȋ䀀"/>
      <sheetName val="_x005f_x005f_x005f_x005f_x005f_x005f_x00《䕩堤"/>
      <sheetName val="MOTOR OPERATED VALVE LIST_1"/>
      <sheetName val="Sheet_x0005_�"/>
      <sheetName val="输煤冲洗水泵房"/>
      <sheetName val="Chap_2-_Page_4_3"/>
      <sheetName val="VAT_TU_DIEN3"/>
      <sheetName val="bldg_list3"/>
      <sheetName val="OE_(KSB)2"/>
      <sheetName val="galian_saluran2"/>
      <sheetName val="Ana__PU2"/>
      <sheetName val="Perhit_Alat2"/>
      <sheetName val="05_Analisa_Teknik2"/>
      <sheetName val="Analisa_SNI_STANDART_2"/>
      <sheetName val="1_B2"/>
      <sheetName val="SWALE_(구산)3"/>
      <sheetName val="SANDAN_XLS11"/>
      <sheetName val="Data_Ref_3"/>
      <sheetName val="KKS_System_Codes3"/>
      <sheetName val="Price_Schedule_Code3"/>
      <sheetName val="UPAH_&amp;_BHN_ARS2"/>
      <sheetName val="AHS_ARS2"/>
      <sheetName val="Analisa_HSP2"/>
      <sheetName val="입찰내역_발주처_양卤2"/>
      <sheetName val="Analisa_Neraca2"/>
      <sheetName val="Harga_Mat_2"/>
      <sheetName val="REF_ONLY3"/>
      <sheetName val="Project_D2"/>
      <sheetName val="Tender_Summary2"/>
      <sheetName val="내역서_(N____26"/>
      <sheetName val="ANAL_BOW2"/>
      <sheetName val="Isolasi_Luar_Dalam2"/>
      <sheetName val="Isolasi_Luar2"/>
      <sheetName val="график_финансирования2"/>
      <sheetName val="6_2_Floor_Finishes3"/>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Ra__stair2"/>
      <sheetName val="9011_EXPAT_MANP1"/>
      <sheetName val="App_A_Basis_of_Design1"/>
      <sheetName val="tabel_berat1"/>
      <sheetName val="cost_curve_calc1"/>
      <sheetName val="Subcon_Rate"/>
      <sheetName val="SEK_Vertrieb1"/>
      <sheetName val="SEK_Montage1"/>
      <sheetName val="SEK_IBN1"/>
      <sheetName val="JP-I_500155"/>
      <sheetName val="Risk_Variables"/>
      <sheetName val="간접비_총괄표"/>
      <sheetName val="BOQ_LIST"/>
      <sheetName val="PBAC_budget"/>
      <sheetName val="3_6M_RETAINING_WALL"/>
      <sheetName val="DO_NOT_DELETE"/>
      <sheetName val="MR_EUR1"/>
      <sheetName val="Ind__Budget1"/>
      <sheetName val="BQ_Working1"/>
      <sheetName val="Star_Rate1"/>
      <sheetName val="04_09_19_Mufqi(2)"/>
      <sheetName val="04_09_19_Winda(2)"/>
      <sheetName val="Mufqi_29_08_19"/>
      <sheetName val="Ade_30_08_19"/>
      <sheetName val="Pramudibyo_30_08_19"/>
      <sheetName val="Aji_02_09_19"/>
      <sheetName val="Diah_02_09_19"/>
      <sheetName val="_09_19"/>
      <sheetName val="01A__RAB"/>
      <sheetName val="53_"/>
      <sheetName val="MH_CIVIL"/>
      <sheetName val="DIV_21"/>
      <sheetName val="DIV_7"/>
      <sheetName val="DIV_81"/>
      <sheetName val="DIV_31"/>
      <sheetName val="SA516-60,70_(정리)"/>
      <sheetName val="КС2_24_1-8_(4_1_8_11_200)corr1"/>
      <sheetName val="첨부_#8_기자재_Cost_Summary"/>
      <sheetName val="Dia_Inch"/>
      <sheetName val="Cost_Control"/>
      <sheetName val="Factor_Sheet"/>
      <sheetName val="Cost_Factor_Sheet"/>
      <sheetName val="Price_Sheet"/>
      <sheetName val="Room_Type"/>
      <sheetName val="Basement2_DB"/>
      <sheetName val="BOQ_SUM"/>
      <sheetName val="2_x0010_ _x0003__x000d__x0008__x0010__x0004__x0004__x0004_"/>
      <sheetName val="내역서_(N___ 9"/>
      <sheetName val="? ???? ?"/>
      <sheetName val=" ????? ??"/>
      <sheetName val="Weekl?? ?"/>
      <sheetName val="? ?_x0"/>
      <sheetName val=" ??_x0"/>
      <sheetName val="OPT?? ?"/>
      <sheetName val="탈황2팀(밸브)"/>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PAY"/>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JIB CRANE,HOIST"/>
      <sheetName val="2002년_현장공사비_국내_ꠀꌕ⠃"/>
      <sheetName val="실행예산_MM_x0019_2"/>
      <sheetName val="ITB_COST13볷檼謀谁臛픉_x0016_"/>
      <sheetName val="배製㤁"/>
      <sheetName val="011C101"/>
      <sheetName val="15.2 - HVAC Works"/>
      <sheetName val="Sheet233"/>
      <sheetName val="Sheet229"/>
      <sheetName val="[SANDAN.XLS€??"/>
      <sheetName val="Mix Design"/>
      <sheetName val="업무처리전"/>
      <sheetName val="用水量"/>
      <sheetName val="입상내역"/>
      <sheetName val="L V Separator"/>
      <sheetName val="SITE DEV,T"/>
      <sheetName val="Change_Order_Log"/>
      <sheetName val="Bored_Pile"/>
      <sheetName val="03-13_Anticipated"/>
      <sheetName val="03-13_Approved"/>
      <sheetName val="Change_Order_Log1"/>
      <sheetName val="수량집계표"/>
      <sheetName val="MIJIBI"/>
      <sheetName val="unit_weight"/>
      <sheetName val="1)_COMMON_FACILITIES1"/>
      <sheetName val="ES-aLL"/>
      <sheetName val="HASAT"/>
      <sheetName val="Unit Price Analysis"/>
      <sheetName val="Piping_BQ_fMrZone_turbine7"/>
      <sheetName val="3_Breakdown_Direct_Saent9"/>
      <sheetName val="ocean_voyage"/>
      <sheetName val="anal_rab"/>
      <sheetName val="Pivot_Table"/>
      <sheetName val="일위대가-1"/>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원가계산서구조조정"/>
      <sheetName val="토적표"/>
      <sheetName val="Gas_Specific_Gravities_and_GHV"/>
      <sheetName val="Issue_Log_"/>
      <sheetName val="Material_Groups"/>
      <sheetName val="Material_Kind"/>
      <sheetName val="P_M_별"/>
      <sheetName val="내역서_(CIVI鷘ș痰"/>
      <sheetName val="내역서_(CIVI痰ā㨬Õ"/>
      <sheetName val="내역서_(CIVI"/>
      <sheetName val="내역서_(∮ἀ嘆ɶ᠀㬁4"/>
      <sheetName val="사업부배부A"/>
      <sheetName val="S. Détail Matériel"/>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p_mgmt1"/>
      <sheetName val="Dati_base1"/>
      <sheetName val="Asset_Mansys_Sum1"/>
      <sheetName val="Job_List_(2)1"/>
      <sheetName val="Constn_&amp;_Install_-_LEV_41"/>
      <sheetName val="LEV_4_Project_Managem1"/>
      <sheetName val="Site_Management1"/>
      <sheetName val="Manhrs_Sum1"/>
      <sheetName val="BG_Working_Sheet1"/>
      <sheetName val="Batam_Forecast3"/>
      <sheetName val="Batam_Forecast_jun3"/>
      <sheetName val="Fabrication_Summary3"/>
      <sheetName val="D6978_Mar_21_-_FProj073"/>
      <sheetName val="GEAC_-_Dec193"/>
      <sheetName val="State_List1"/>
      <sheetName val="COS_REP_XLS1"/>
      <sheetName val="DIV_91"/>
      <sheetName val="LOKASI_RIG_Litbang1"/>
      <sheetName val="struktur_tdk_dipakai1"/>
      <sheetName val="upah_bahan1"/>
      <sheetName val="AnalisaSIPIL_RIIL1"/>
      <sheetName val="Har_Sat1"/>
      <sheetName val="Rek_Analisa1"/>
      <sheetName val="HRG_BAHAN_&amp;_UPAH_okk1"/>
      <sheetName val="TS_MINGGUAN_rev_(2)1"/>
      <sheetName val="DAF_ALAT1"/>
      <sheetName val="Perhitungan_RAB1"/>
      <sheetName val="INPUT_DATAS1"/>
      <sheetName val="ABK_04_AWALR+CO+TAB_RUPS1"/>
      <sheetName val="9_58&quot;_single1"/>
      <sheetName val="A-11_Steel_Str1"/>
      <sheetName val="A-03_Pile1"/>
      <sheetName val="CONS_1"/>
      <sheetName val="Country_(kVA-Hz_)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cespiti_cet2_piombino_(2)1"/>
      <sheetName val="建筑工程统计表06月份_1"/>
      <sheetName val="내역서_耰&quot;15"/>
      <sheetName val="Precios_Unitariԯ7"/>
      <sheetName val="sch_1_21"/>
      <sheetName val="B_10_(4)1"/>
      <sheetName val="Rev_1"/>
      <sheetName val="Sheet1_(4)1"/>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내역서_耰&quot;_x000010"/>
      <sheetName val="PROG_"/>
      <sheetName val="WITHOUT_C&amp;I_PROFIT_(3)1"/>
      <sheetName val="2__Steel_Structural"/>
      <sheetName val="Unit_of_Measurement_"/>
      <sheetName val="Calc_Sheet"/>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DIV_32"/>
      <sheetName val="Unit_Rate"/>
      <sheetName val="D-3_(M)"/>
      <sheetName val="D-7_(M)"/>
      <sheetName val="01A-_RAB"/>
      <sheetName val="Cycle_Time"/>
      <sheetName val="rekap_harga_satuan_pek"/>
      <sheetName val="rab_j17"/>
      <sheetName val="첨부2__물량소화계획_상세"/>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Basic_Rate1"/>
      <sheetName val="앉음벽_(2)"/>
      <sheetName val="5_새들부해석_및_철근배근"/>
      <sheetName val="Executive_Summary_(Aug_25)"/>
      <sheetName val="5_세운W-A"/>
      <sheetName val="Rek_An"/>
      <sheetName val="Rencana_Anggaran_Biaya"/>
      <sheetName val="BCC_CABLE_DATA"/>
      <sheetName val="FJR_CABLE_DATA"/>
      <sheetName val="JRT_CABLE_DATA"/>
      <sheetName val="PD_CABLE_DATA_"/>
      <sheetName val="TBA_CABLE_DATA"/>
      <sheetName val="TY_CABLE_DATA"/>
      <sheetName val="5a__Code_E"/>
      <sheetName val="PUNCH_DESCRIPTION"/>
      <sheetName val="GENDATA_Sht_1"/>
      <sheetName val="RELACION_COSTE"/>
      <sheetName val="Sheet"/>
      <sheetName val="New_Rates"/>
      <sheetName val="OOC_Form"/>
      <sheetName val="Fee_Rate_Summary"/>
      <sheetName val="Committed_Cost"/>
      <sheetName val="Div26_-_Elect"/>
      <sheetName val="Cut_to_spoil_(sound_rock)"/>
      <sheetName val="Cut_to_spoil_(soft_rock)"/>
      <sheetName val="Extra_over_haulages__"/>
      <sheetName val="Fill_from_borrow"/>
      <sheetName val="Milling_10_6_TO_58"/>
      <sheetName val="Removal_Top_Soil"/>
      <sheetName val="Removal_unsuitable"/>
      <sheetName val="Site_clearance"/>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Issue_Detail_(2nd_Stage)"/>
      <sheetName val="환경기계공정표_(3)"/>
      <sheetName val="Project_Information_In-Out"/>
      <sheetName val="Cause_Categories"/>
      <sheetName val="3__PE_Unit_"/>
      <sheetName val="FPF-Unit_Rates"/>
      <sheetName val="PNT-Unit_Rates"/>
      <sheetName val="1_间接人工费"/>
      <sheetName val="Chart_Data"/>
      <sheetName val="S&amp;M_Opex"/>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19__drill_CD6"/>
      <sheetName val="Named_Range"/>
      <sheetName val="Floor_Level"/>
      <sheetName val="MASTER_AR"/>
      <sheetName val="8&gt;한국인수당_(Master_file)"/>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TWO_PASS"/>
      <sheetName val="THREE_PASS"/>
      <sheetName val="D_Base"/>
      <sheetName val="STEP1_a-JUL03"/>
      <sheetName val="Equip_COA_Sumry"/>
      <sheetName val="Rekap_Bill"/>
      <sheetName val="Jdw_Alat"/>
      <sheetName val="S_Penawar"/>
      <sheetName val="Analis_harga"/>
      <sheetName val="Sat_Bah_&amp;_Up"/>
      <sheetName val="_PE-F-42_MR_9_Manpower"/>
      <sheetName val="TABEL_BAJA"/>
      <sheetName val="Analis_Kusen_okk"/>
      <sheetName val="Item_Kompensasi"/>
      <sheetName val="rekap_str+ars"/>
      <sheetName val="TOWER_12TON"/>
      <sheetName val="TOWER_10TON"/>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AP_'S_ANALYSIS"/>
      <sheetName val="23_FILTH_"/>
      <sheetName val="02_01E_coli"/>
      <sheetName val="_anal_hrg_sat"/>
      <sheetName val="RAB_KapukII"/>
      <sheetName val="BOKOR_TOPSIDE_LS_3_17M480R"/>
      <sheetName val="Riesgos_y_Oportunidades"/>
      <sheetName val="Cover_(sh_1)"/>
      <sheetName val="Control_Panel"/>
      <sheetName val="using_rjs409_progress_data"/>
      <sheetName val="Summary_F-217_R6"/>
      <sheetName val="BEU_btm_nozz_@_tsht"/>
      <sheetName val="Cover_Sheet"/>
      <sheetName val="SI_No_25"/>
      <sheetName val="Additional_Work"/>
      <sheetName val="D_-12"/>
      <sheetName val="A_H_S_P"/>
      <sheetName val="Harga_Bahan"/>
      <sheetName val="HSA_&amp;_PAB"/>
      <sheetName val="Format_Report-for_analysis_only"/>
      <sheetName val="Rekap_BQ-Pompong"/>
      <sheetName val="Page_2api"/>
      <sheetName val="1_Unit_Price"/>
      <sheetName val="Absen_4"/>
      <sheetName val="Evaluasi_Teknis__B_"/>
      <sheetName val="Koreksi_Aritmatika"/>
      <sheetName val="Range_HPS"/>
      <sheetName val="SS_MH"/>
      <sheetName val="2__x000a_"/>
      <sheetName val="Grand_summary_Lot#1"/>
      <sheetName val="Part1_Preliminaries_&amp;_General"/>
      <sheetName val="Part2_Wastewater_System"/>
      <sheetName val="Part3_Stormwater_Drainage_Syste"/>
      <sheetName val="Part4_Dayworks"/>
      <sheetName val="Part5_O&amp;M_Equipment"/>
      <sheetName val="Part6_Training"/>
      <sheetName val="p17_POP_2"/>
      <sheetName val="p16_POP_1"/>
      <sheetName val="p14_cooling_mp_2"/>
      <sheetName val="p15_cooling_mp_3"/>
      <sheetName val="Xuly_Data"/>
      <sheetName val="MTO_18_Jul07&amp;19Nov08"/>
      <sheetName val="REC. SALV."/>
      <sheetName val="WORK INDEX"/>
      <sheetName val="Part 3-Cladding"/>
      <sheetName val="MOS"/>
      <sheetName val="S-CURVE_OLD"/>
      <sheetName val="WTPLN_Rev A"/>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_x005f_x005f_x005f_x005f_x005f_x005f_x00Ȋ"/>
      <sheetName val="Lookup Table"/>
      <sheetName val="D 5243-ARAMCO"/>
      <sheetName val="D-4801 OXY"/>
      <sheetName val="ctTBA"/>
      <sheetName val="1.FACTORY"/>
      <sheetName val="C1"/>
      <sheetName val="C2"/>
      <sheetName val="Phiếu YCNT-CVXD"/>
      <sheetName val="T12"/>
      <sheetName val="T22"/>
      <sheetName val="QT2"/>
      <sheetName val="KC52"/>
      <sheetName val="BW"/>
      <sheetName val="PW"/>
      <sheetName val="LINTER"/>
      <sheetName val="BT LINTER"/>
      <sheetName val="LAN CAN"/>
      <sheetName val="TRẦN THẠCH CAO"/>
      <sheetName val="SƠN TRONG NHÀ"/>
      <sheetName val="SƠN NGOÀI NHÀ"/>
      <sheetName val="CỬA THÉP"/>
      <sheetName val="SƠN EPOXY"/>
      <sheetName val="TĂNG CỨNG NỀN"/>
      <sheetName val="CỐNG THOÁT NƯỚC"/>
      <sheetName val="BIỂN HIỆU"/>
      <sheetName val="NẮP GANG"/>
      <sheetName val="RO"/>
      <sheetName val="MA"/>
      <sheetName val="VL"/>
      <sheetName val="OTH"/>
      <sheetName val="WT"/>
      <sheetName val="SL"/>
      <sheetName val="KC82"/>
      <sheetName val="BBNT-Đ"/>
      <sheetName val="BBNT-C"/>
      <sheetName val="BBLM- Cọc"/>
      <sheetName val="BBNT-F"/>
      <sheetName val="NTCV- C"/>
      <sheetName val="BBNT-L"/>
      <sheetName val="BBNT-T"/>
      <sheetName val="VL13"/>
      <sheetName val="tblTHK"/>
      <sheetName val="쬏+쫶&amp;쫹AN.XLS]______x005f_x001f__x000_4"/>
      <sheetName val="쬏+쫶&amp;쫹AN.XLS]______x005f_x001f__x000_2"/>
      <sheetName val="쬏+쫶&amp;쫹AN.XLS]______x005f_x001f__x000_3"/>
      <sheetName val="GL"/>
      <sheetName val="구의33고"/>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ANALISA railing"/>
      <sheetName val="BELAGIO"/>
      <sheetName val="ARTAGDING"/>
      <sheetName val="POMALA"/>
      <sheetName val="SEMANAN"/>
      <sheetName val="BKPM"/>
      <sheetName val="차액보증"/>
      <sheetName val="Rot-Pack"/>
      <sheetName val="STEP"/>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rap rinci"/>
      <sheetName val="11421"/>
      <sheetName val="ArusKas"/>
      <sheetName val="CIMB IDR"/>
      <sheetName val="REKAP A BESAR"/>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砂石料"/>
      <sheetName val="장비명"/>
      <sheetName val="JER3"/>
      <sheetName val="화전내"/>
      <sheetName val="드롭"/>
      <sheetName val="데구"/>
      <sheetName val="U-TYPE(1)"/>
      <sheetName val="VST재료산출"/>
      <sheetName val="인원_x0008_"/>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집계표(실적)"/>
      <sheetName val="⑤-1. 기계"/>
      <sheetName val="L01 Actual Cashflow  Rev 3"/>
      <sheetName val="Material List "/>
      <sheetName val="REQ_REMARKS"/>
      <sheetName val="Project data"/>
      <sheetName val="Customize Your Invoice"/>
      <sheetName val="Parking B"/>
      <sheetName val="Progress %"/>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design_criteria7"/>
      <sheetName val="5_세운W-A1"/>
      <sheetName val="SA516-60,70_(정리)1"/>
      <sheetName val="Gas_Specific_Gravities_and_GHV1"/>
      <sheetName val="_x0004_?_x000d_?_x0003_?_x0004_"/>
      <sheetName val="_x000a_?_x001b_?_x0006_?_x0006_"/>
      <sheetName val=" ?_x001b_?_x0006_?_x0006_?_x000"/>
      <sheetName val="Z- GENERAL PRIC鋘@俀~橿⿂_x0"/>
      <sheetName val="Z- GENERAL PRIC_x"/>
      <sheetName val="_______x005f_x005f_x005f_x0000_"/>
      <sheetName val="_____x005f_x005f_x005f_x005f_x0"/>
      <sheetName val="_______x005f_x005f_x005f_x005f_"/>
      <sheetName val="LV induction 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耰&quot;_x005f_x0000__x005f"/>
      <sheetName val="내역서 ᢐ_x005f_x001f__x005f_x0000_"/>
      <sheetName val="__x005f_x0000__x005f_x001b__x00"/>
      <sheetName val="Sheet_x0005__x000"/>
      <sheetName val="LV induction mot_"/>
      <sheetName val="내역서_(∮ἀ嘆ɶ_x005f_x0000_᠀㬁_x005f"/>
      <sheetName val="내역서_(N__x005f_x000e__x000"/>
      <sheetName val="내역서_ᢐ_x005f_x001f__x005f_x0000_"/>
      <sheetName val="내역서_耰&quot;_x005f_x0000__x005f"/>
      <sheetName val="2_x0010__x000a__x"/>
      <sheetName val="_______x005f_x0000__x005f"/>
      <sheetName val="_x0004___x000d___x0003___x0004_"/>
      <sheetName val="___x001b___x0006___x0006___x000"/>
      <sheetName val=" __x001b___x0006___x0006___x000"/>
      <sheetName val="_x0004_? ?_x0003_?_x0004_?_x001"/>
      <sheetName val="_x0004__ __x0003___x0004___x001"/>
      <sheetName val="2_x0010___x0003__x000d__x0008__"/>
      <sheetName val="2_x0010_ _x0003__"/>
      <sheetName val="해평견적"/>
      <sheetName val="11.별도장부가"/>
      <sheetName val="PBC)주식기준보상부여"/>
      <sheetName val="PT_DPT_Manifold (TR)"/>
      <sheetName val="PT_DPT_Seal (TR)"/>
      <sheetName val="Item Details"/>
      <sheetName val="eqp-rek"/>
      <sheetName val="Harga "/>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JUL"/>
      <sheetName val="DAF.INVEN U.O"/>
      <sheetName val="CGS"/>
      <sheetName val="Biaya2"/>
      <sheetName val="COGM"/>
      <sheetName val="Buildg-200"/>
      <sheetName val="Price Summary (1)"/>
      <sheetName val="Price Summary (2)"/>
      <sheetName val="Base BM-rebar"/>
      <sheetName val="Bang chi tiet-Direct work"/>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Bond &amp; Stamp"/>
      <sheetName val="작성기준"/>
      <sheetName val="CutOffDates"/>
      <sheetName val="Prec.OTS"/>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Z-_GENERAL_PRIC橿⿂⒘ࡈ1"/>
      <sheetName val="Z-_GENERAL_PRIC鋘@俀~橿⿂⍈1"/>
      <sheetName val="Bahan "/>
      <sheetName val="UNIT 3"/>
      <sheetName val="BOM_TOTAL"/>
      <sheetName val="Pen Macadam"/>
      <sheetName val="BEFORE ALLOCATION"/>
      <sheetName val="COA-17"/>
      <sheetName val="C-18"/>
      <sheetName val="B2-UNIT 207"/>
      <sheetName val="BS-Notes"/>
      <sheetName val="BQ INSUL"/>
      <sheetName val="BQ PIPE"/>
      <sheetName val="SHOP FIELD INSTALL %"/>
      <sheetName val="LINE TESTS"/>
      <sheetName val="H"/>
      <sheetName val="D"/>
      <sheetName val="J"/>
      <sheetName val="Working"/>
      <sheetName val="공정표"/>
      <sheetName val="Unconfined-Reading"/>
      <sheetName val="Daf-Harga"/>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LOKASI"/>
      <sheetName val="Prog Pay Events_Prog Pay Events"/>
      <sheetName val="Critical - Key Drawings"/>
      <sheetName val="Mat Deliv Vs ZMM071"/>
      <sheetName val="girder"/>
      <sheetName val="GWC"/>
      <sheetName val="NWC"/>
      <sheetName val="Sheet284"/>
      <sheetName val="주식"/>
      <sheetName val="마감물량"/>
      <sheetName val="Assump (Static)"/>
      <sheetName val="A CONDITIONS"/>
      <sheetName val="C.Earthwork"/>
      <sheetName val="struc derive"/>
      <sheetName val="Bill No. 2 July 6"/>
      <sheetName val="(COV)"/>
      <sheetName val="FINISH"/>
      <sheetName val="guard(mac)"/>
      <sheetName val="GESTION FICHE"/>
      <sheetName val="TRADUCTION LISTES"/>
      <sheetName val="MANPOWER WITH NCII"/>
      <sheetName val="Equpt"/>
      <sheetName val="Main Bldg."/>
      <sheetName val="Coalmine"/>
      <sheetName val="fixwater"/>
      <sheetName val="TYPE-A"/>
      <sheetName val="L(1)"/>
      <sheetName val="L(2)"/>
      <sheetName val="L(3)"/>
      <sheetName val="L(4)"/>
      <sheetName val="CP"/>
      <sheetName val="평균환율-USD"/>
      <sheetName val="EqptRate (2)"/>
      <sheetName val="BOQ-P"/>
      <sheetName val="Worksheet"/>
      <sheetName val="Electrical Pricelist"/>
      <sheetName val="CONPRIS"/>
      <sheetName val="Codes,..."/>
      <sheetName val="Stl-B"/>
      <sheetName val="INNER TANK"/>
      <sheetName val="IPE"/>
      <sheetName val="C_E"/>
      <sheetName val="RATES G-5"/>
      <sheetName val="RSB_RATIO"/>
      <sheetName val="TLLine"/>
      <sheetName val="Comparative Cluster Inner"/>
      <sheetName val="SDH"/>
      <sheetName val="600(3)a"/>
      <sheetName val="Final Certificate"/>
      <sheetName val="SUMMARY QUANTITIES"/>
      <sheetName val="SC Cost FEB 03"/>
      <sheetName val="MTL"/>
      <sheetName val="EQR"/>
      <sheetName val="LBR"/>
      <sheetName val="EQT"/>
      <sheetName val="Résultats"/>
      <sheetName val="Item#9.3"/>
      <sheetName val="Item#1.9"/>
      <sheetName val="Item#6.7"/>
      <sheetName val="Item#2.6"/>
      <sheetName val="Item#4.10"/>
      <sheetName val="Item#5.8"/>
      <sheetName val="Item#7.21"/>
      <sheetName val="Item#3.8"/>
      <sheetName val="Item#8.7"/>
      <sheetName val="DPA3A-1"/>
      <sheetName val="DPA Form"/>
      <sheetName val="U_A Input"/>
      <sheetName val="LabCost"/>
      <sheetName val="Ref."/>
      <sheetName val="RCPC.RCBC QUANTITY"/>
      <sheetName val="REFERENCE"/>
      <sheetName val="tabulation of deductions"/>
      <sheetName val="Report"/>
      <sheetName val="insulation"/>
      <sheetName val="Prelims"/>
      <sheetName val="GenReq"/>
      <sheetName val="CWDerivation"/>
      <sheetName val="THISWORKSHEET"/>
      <sheetName val="MTO REV.0"/>
      <sheetName val="Candy ee"/>
      <sheetName val="TYPE-B 평균H"/>
      <sheetName val="예총"/>
      <sheetName val="N-CRAM"/>
      <sheetName val="3BPA00132-5-3 W plan HVPNL"/>
      <sheetName val="CABLE DATA"/>
      <sheetName val="prod-rates2"/>
      <sheetName val="특수선일위대가"/>
      <sheetName val="方案1表二"/>
      <sheetName val="2002상반기노임기준"/>
      <sheetName val="인원加."/>
      <sheetName val="인원叐_x001b_"/>
      <sheetName val="REP"/>
      <sheetName val="MING"/>
      <sheetName val="MOBDEMOB"/>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BONUS"/>
      <sheetName val="Arsitektur"/>
      <sheetName val="Annual-Plan-1998-A-US$-Rupiah-F"/>
      <sheetName val="RBP- 2"/>
      <sheetName val="AKP-1"/>
      <sheetName val="LV induction _x0005_ˠ"/>
      <sheetName val="시산표"/>
      <sheetName val="sum1 (2)"/>
      <sheetName val="단면치수"/>
      <sheetName val="CFS3"/>
      <sheetName val="bi-mnthly rep Villa"/>
      <sheetName val="TPK(I) Budget"/>
      <sheetName val="Annex2"/>
      <sheetName val="BOQ1"/>
      <sheetName val="office"/>
      <sheetName val="BC - Final Templates"/>
      <sheetName val="RCBC Reinforcement"/>
      <sheetName val="KSP_Baseline4_RecourceTable_121"/>
      <sheetName val="CCN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SewerPipe"/>
      <sheetName val="取费"/>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Sheet256"/>
      <sheetName val="TB"/>
      <sheetName val="AOR"/>
      <sheetName val="SCHEDULE-3B"/>
      <sheetName val="3.1.1"/>
      <sheetName val="3.1.4"/>
      <sheetName val="2.5.1"/>
      <sheetName val="4.1.1"/>
      <sheetName val="4.3.2"/>
      <sheetName val="2.3.3"/>
      <sheetName val="5.3.1"/>
      <sheetName val="2.4.3"/>
      <sheetName val="สรุป"/>
      <sheetName val="BASEMENT 06-L05"/>
      <sheetName val="OPTIONS"/>
      <sheetName val="BCB 0"/>
      <sheetName val="Repair Pivot"/>
      <sheetName val="Sheet10"/>
      <sheetName val="JOINT_DETAILS_ALL"/>
      <sheetName val="Data Base"/>
      <sheetName val="Nation"/>
      <sheetName val="Gráficos A"/>
      <sheetName val="Progress_%"/>
      <sheetName val="REC__SALV_"/>
      <sheetName val="WORK_INDEX"/>
      <sheetName val="Price_Summary_(1)"/>
      <sheetName val="Price_Summary_(2)"/>
      <sheetName val="Gráficos_A"/>
      <sheetName val="ST-Control Bldg."/>
      <sheetName val="TABLE1"/>
      <sheetName val="[SANDA6,31%5-3_외상집계4"/>
      <sheetName val="31%DAN.XLS]P_Clients_fac3____3"/>
      <sheetName val="31%DAN.XLS]P_Clients_fac3____2"/>
      <sheetName val="HARGA SATUAN UPAH PEKERJA"/>
      <sheetName val="MARKET SEGMENT - HOTEL"/>
      <sheetName val="Montok"/>
      <sheetName val="indeks"/>
      <sheetName val="Breakdown-CommSvc"/>
      <sheetName val="Breakdown-ConstrSvc"/>
      <sheetName val="Breakdown-EngSvc"/>
      <sheetName val="Breakdown-ProjMgtServ"/>
      <sheetName val="HSE"/>
      <sheetName val="Breakdown-ProcSvc"/>
      <sheetName val="DFTR GARDIST"/>
      <sheetName val="NAME1"/>
      <sheetName val="CODE2"/>
      <sheetName val="Inert Balls"/>
      <sheetName val="PLANT LIST"/>
      <sheetName val="Progress_Tables"/>
      <sheetName val="Analisa_ME"/>
      <sheetName val="Common (LOV)"/>
      <sheetName val="Shaft Seal Type (LOV)"/>
      <sheetName val="Item Type II (LOV)"/>
      <sheetName val="Design Code (LOV)"/>
      <sheetName val="2-1"/>
      <sheetName val="投资汇总"/>
      <sheetName val="MappingTable"/>
      <sheetName val="_______x00_2"/>
      <sheetName val="__x001b__x0006__1"/>
      <sheetName val="tj定额"/>
      <sheetName val="기초단가"/>
      <sheetName val="영흥TL(UP,DOWN) "/>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지원시설 내역서(154kV)"/>
      <sheetName val="Form 㮸"/>
      <sheetName val="Form 푨"/>
      <sheetName val="Names&amp;Cases"/>
      <sheetName val="S &amp; A"/>
      <sheetName val="Bed Class"/>
      <sheetName val="Cd"/>
      <sheetName val="Civil Works"/>
      <sheetName val="Form 6"/>
      <sheetName val="Calca"/>
      <sheetName val="내역서_耰&quot;_x000011"/>
      <sheetName val="__x001b__x0006__2"/>
      <sheetName val="내역서_(N__x000e__x000e__x000e___1"/>
      <sheetName val="내역서_ᢐ_x001f_1"/>
      <sheetName val="쬏+쫶&amp;쫹AN.XLS]______x001f__x000_4"/>
      <sheetName val="쬏+쫶&amp;쫹AN.XLS]______x001f__x000_2"/>
      <sheetName val="쬏+쫶&amp;쫹AN.XLS]______x001f__x000_3"/>
      <sheetName val="내역서_耰&quot;17"/>
      <sheetName val="내역서_耰&quot;_x000012"/>
      <sheetName val="__x001b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R"/>
      <sheetName val="EL"/>
      <sheetName val="LE_Total(G_Summ Proj)"/>
      <sheetName val="COVERUSRP"/>
      <sheetName val="Sheet261"/>
      <sheetName val="Sheet269"/>
      <sheetName val="dftr harga"/>
      <sheetName val="hrg. sat pek"/>
      <sheetName val="prhit tulangan"/>
      <sheetName val="vol pek"/>
      <sheetName val="MHR-ANLIS"/>
      <sheetName val="SENSITIVITAS"/>
      <sheetName val="LAPORAN"/>
      <sheetName val="PipeTable"/>
      <sheetName val="Rekap per-JB"/>
      <sheetName val="div 6a"/>
      <sheetName val="Rekap(Usul)"/>
      <sheetName val="TBLSKILL"/>
      <sheetName val="DATA INDUK"/>
      <sheetName val="Rinc Sewa A2B versi kenaikan"/>
      <sheetName val=" DKM"/>
      <sheetName val="COP"/>
      <sheetName val="Abstract"/>
      <sheetName val="BCDPL Certified"/>
      <sheetName val="BT3-Package 05"/>
      <sheetName val="BOQ-Civil"/>
      <sheetName val="BCDPL_Certified"/>
      <sheetName val="Old_Bars"/>
      <sheetName val="NPV"/>
      <sheetName val="DropList"/>
      <sheetName val="SPIR2"/>
      <sheetName val="건축내역서"/>
      <sheetName val="설비내역서"/>
      <sheetName val="전기내역서"/>
      <sheetName val="5사남"/>
      <sheetName val="dg-VTu"/>
      <sheetName val="내역서_(N____33"/>
      <sheetName val="PROG_1"/>
      <sheetName val="DIV_33"/>
      <sheetName val="내역서_(N____34"/>
      <sheetName val="1)_COMMON_FACILITIES2"/>
      <sheetName val="Dia_Inch1"/>
      <sheetName val="3_6M_RETAINING_WALL1"/>
      <sheetName val="Material_Groups1"/>
      <sheetName val="Material_Kind1"/>
      <sheetName val="Committed_Cost1"/>
      <sheetName val="첨부_#8_기자재_Cost_Summary1"/>
      <sheetName val="Div26_-_Elect1"/>
      <sheetName val="Bored_Pile1"/>
      <sheetName val="03-13_Anticipated1"/>
      <sheetName val="03-13_Approved1"/>
      <sheetName val="간접비_총괄표1"/>
      <sheetName val="04_09_19_Mufqi(2)1"/>
      <sheetName val="04_09_19_Winda(2)1"/>
      <sheetName val="Mufqi_29_08_191"/>
      <sheetName val="Ade_30_08_191"/>
      <sheetName val="Pramudibyo_30_08_191"/>
      <sheetName val="Aji_02_09_191"/>
      <sheetName val="Diah_02_09_191"/>
      <sheetName val="_09_191"/>
      <sheetName val="Breakdown_Instrument1"/>
      <sheetName val="Hujan_BUlanan1"/>
      <sheetName val="Issue_Log_1"/>
      <sheetName val="JP-I_5001551"/>
      <sheetName val="2__Steel_Structural1"/>
      <sheetName val="Unit_of_Measurement_1"/>
      <sheetName val="Risk_Variables1"/>
      <sheetName val="BOQ_LIST1"/>
      <sheetName val="Basic_Rate2"/>
      <sheetName val="앉음벽_(2)1"/>
      <sheetName val="5_새들부해석_및_철근배근1"/>
      <sheetName val="Executive_Summary_(Aug_25)1"/>
      <sheetName val="Named_Range1"/>
      <sheetName val="Floor_Level1"/>
      <sheetName val="19__drill_CD61"/>
      <sheetName val="MASTER_AR1"/>
      <sheetName val="P_M_별1"/>
      <sheetName val="01A__RAB1"/>
      <sheetName val="53_1"/>
      <sheetName val="MH_CIVIL1"/>
      <sheetName val="DIV_22"/>
      <sheetName val="DIV_71"/>
      <sheetName val="DIV_82"/>
      <sheetName val="DIV_34"/>
      <sheetName val="Rek_An1"/>
      <sheetName val="Rencana_Anggaran_Biaya1"/>
      <sheetName val="8&gt;한국인수당_(Master_file)1"/>
      <sheetName val="Calc_Sheet1"/>
      <sheetName val="Subcon_Rate1"/>
      <sheetName val="Sewa_Alat1"/>
      <sheetName val="BQ_ARS1"/>
      <sheetName val="DAFTAR_ISI1"/>
      <sheetName val="DAFTAR_TBL___FORM1"/>
      <sheetName val="Harga_ME_1"/>
      <sheetName val="Form_4___4_A1"/>
      <sheetName val="T-3_2_UP_Material1"/>
      <sheetName val="Analisa_STR1"/>
      <sheetName val="anal_alat1"/>
      <sheetName val="Cycle_Time1"/>
      <sheetName val="Daf_11"/>
      <sheetName val="RAB_J18_1"/>
      <sheetName val="HARGA_J181"/>
      <sheetName val="analisa_J181"/>
      <sheetName val="Cash_Out_Table1"/>
      <sheetName val="Net_Cash_Table1"/>
      <sheetName val="Data_SRL1"/>
      <sheetName val="Data_Prod_Graf1"/>
      <sheetName val="Unit_Rate1"/>
      <sheetName val="D-3_(M)1"/>
      <sheetName val="D-7_(M)1"/>
      <sheetName val="01A-_RAB1"/>
      <sheetName val="AP_'S_ANALYSIS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23_FILTH_1"/>
      <sheetName val="02_01E_coli1"/>
      <sheetName val="Deliverable_list1"/>
      <sheetName val="member_design1"/>
      <sheetName val="Data_basic_price_jgan_diprint1"/>
      <sheetName val="anal_rab1"/>
      <sheetName val="Pivot_Table1"/>
      <sheetName val="PBAC_budget1"/>
      <sheetName val="환경기계공정표_(3)1"/>
      <sheetName val="Issue_Detail_(2nd_Stage)1"/>
      <sheetName val="rekap_harga_satuan_pek1"/>
      <sheetName val="rab_j17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첨부2__물량소화계획_상세1"/>
      <sheetName val="Project_Information_In-Out1"/>
      <sheetName val="TOWER_12TON1"/>
      <sheetName val="TOWER_10TON1"/>
      <sheetName val="Cover_(sh_1)1"/>
      <sheetName val="A2-1-S-Curve and MP histogram"/>
      <sheetName val="A6-Registre Gest des risques"/>
      <sheetName val="4. S_Overall Precom &amp; Comm"/>
      <sheetName val="ENQ222394AL_NASR_Steel_Report2"/>
      <sheetName val="Dynamic_Query2"/>
      <sheetName val="FPF-Unit_Rates1"/>
      <sheetName val="PNT-Unit_Rates1"/>
      <sheetName val="AK-2004 (2)"/>
      <sheetName val="Est"/>
      <sheetName val="수량이동"/>
      <sheetName val="CEO혁신회의_r2"/>
      <sheetName val="KABULLER.XLS"/>
      <sheetName val="CCS"/>
      <sheetName val="Environment"/>
      <sheetName val="TIPO 1"/>
      <sheetName val="DPres Calc"/>
      <sheetName val="DTmpData"/>
      <sheetName val="Datas"/>
      <sheetName val="Tab_mot"/>
      <sheetName val="Power balance"/>
      <sheetName val="EAIGESEN"/>
      <sheetName val="2  "/>
      <sheetName val="내역서_(N___ 10"/>
      <sheetName val="_ ____ _"/>
      <sheetName val="Weekl__ _"/>
      <sheetName val="_ __x0"/>
      <sheetName val="선택 속성(잠금)"/>
      <sheetName val="Условия"/>
      <sheetName val="磨煤加压"/>
      <sheetName val="[SAND_x000f__x000f_»¿ª¼­ (CIVIL-7)"/>
      <sheetName val="_____x005f_x005f_x005f_x005f_x005f_x005f_x005f_x005f__2"/>
      <sheetName val="_______x005f_x005f_x005f_x005f_x005f_x005f_x005_2"/>
      <sheetName val="_x005f_x005f_x005f_x005f_x005f_x005f_x005f_x005f_x005_2"/>
      <sheetName val="PL_USD_Aver.Eligible Vendor"/>
      <sheetName val="Table-3"/>
      <sheetName val="PLANILLA FINAL"/>
      <sheetName val="表J7工程量计算表(总图)"/>
      <sheetName val="Status_Sub_System"/>
      <sheetName val="List__Flange"/>
      <sheetName val="เขตการค้าย่อย"/>
      <sheetName val="[SANDA6,31%"/>
      <sheetName val="31%"/>
      <sheetName val="[SAND"/>
      <sheetName val="주관사업"/>
      <sheetName val="Control Network Install"/>
      <sheetName val="Control Network Supply"/>
      <sheetName val="Elec Install"/>
      <sheetName val="Inst Inst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sheetData sheetId="649"/>
      <sheetData sheetId="650" refreshError="1"/>
      <sheetData sheetId="651" refreshError="1"/>
      <sheetData sheetId="652"/>
      <sheetData sheetId="653"/>
      <sheetData sheetId="654" refreshError="1"/>
      <sheetData sheetId="655" refreshError="1"/>
      <sheetData sheetId="656" refreshError="1"/>
      <sheetData sheetId="657" refreshError="1"/>
      <sheetData sheetId="658" refreshError="1"/>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refreshError="1"/>
      <sheetData sheetId="794" refreshError="1"/>
      <sheetData sheetId="795" refreshError="1"/>
      <sheetData sheetId="796" refreshError="1"/>
      <sheetData sheetId="797"/>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sheetData sheetId="845"/>
      <sheetData sheetId="846"/>
      <sheetData sheetId="847" refreshError="1"/>
      <sheetData sheetId="848" refreshError="1"/>
      <sheetData sheetId="849" refreshError="1"/>
      <sheetData sheetId="850"/>
      <sheetData sheetId="85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sheetData sheetId="866" refreshError="1"/>
      <sheetData sheetId="867" refreshError="1"/>
      <sheetData sheetId="868" refreshError="1"/>
      <sheetData sheetId="869" refreshError="1"/>
      <sheetData sheetId="870" refreshError="1"/>
      <sheetData sheetId="871" refreshError="1"/>
      <sheetData sheetId="872"/>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sheetData sheetId="887" refreshError="1"/>
      <sheetData sheetId="888"/>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sheetData sheetId="1288"/>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sheetData sheetId="133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refreshError="1"/>
      <sheetData sheetId="1615" refreshError="1"/>
      <sheetData sheetId="1616" refreshError="1"/>
      <sheetData sheetId="1617" refreshError="1"/>
      <sheetData sheetId="1618" refreshError="1"/>
      <sheetData sheetId="1619" refreshError="1"/>
      <sheetData sheetId="1620"/>
      <sheetData sheetId="1621" refreshError="1"/>
      <sheetData sheetId="1622" refreshError="1"/>
      <sheetData sheetId="1623" refreshError="1"/>
      <sheetData sheetId="1624" refreshError="1"/>
      <sheetData sheetId="1625" refreshError="1"/>
      <sheetData sheetId="1626" refreshError="1"/>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refreshError="1"/>
      <sheetData sheetId="1912" refreshError="1"/>
      <sheetData sheetId="1913"/>
      <sheetData sheetId="1914"/>
      <sheetData sheetId="1915"/>
      <sheetData sheetId="1916"/>
      <sheetData sheetId="1917"/>
      <sheetData sheetId="1918"/>
      <sheetData sheetId="1919"/>
      <sheetData sheetId="1920"/>
      <sheetData sheetId="1921"/>
      <sheetData sheetId="1922"/>
      <sheetData sheetId="1923"/>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sheetData sheetId="1934"/>
      <sheetData sheetId="1935"/>
      <sheetData sheetId="1936"/>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refreshError="1"/>
      <sheetData sheetId="1954" refreshError="1"/>
      <sheetData sheetId="1955" refreshError="1"/>
      <sheetData sheetId="1956"/>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sheetData sheetId="1974"/>
      <sheetData sheetId="1975"/>
      <sheetData sheetId="1976" refreshError="1"/>
      <sheetData sheetId="1977" refreshError="1"/>
      <sheetData sheetId="1978" refreshError="1"/>
      <sheetData sheetId="1979" refreshError="1"/>
      <sheetData sheetId="1980" refreshError="1"/>
      <sheetData sheetId="1981" refreshError="1"/>
      <sheetData sheetId="1982"/>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sheetData sheetId="2145" refreshError="1"/>
      <sheetData sheetId="2146" refreshError="1"/>
      <sheetData sheetId="2147" refreshError="1"/>
      <sheetData sheetId="2148" refreshError="1"/>
      <sheetData sheetId="2149" refreshError="1"/>
      <sheetData sheetId="2150" refreshError="1"/>
      <sheetData sheetId="2151" refreshError="1"/>
      <sheetData sheetId="2152"/>
      <sheetData sheetId="2153" refreshError="1"/>
      <sheetData sheetId="2154" refreshError="1"/>
      <sheetData sheetId="2155" refreshError="1"/>
      <sheetData sheetId="2156"/>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sheetData sheetId="2188" refreshError="1"/>
      <sheetData sheetId="2189" refreshError="1"/>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refreshError="1"/>
      <sheetData sheetId="2212" refreshError="1"/>
      <sheetData sheetId="2213"/>
      <sheetData sheetId="2214" refreshError="1"/>
      <sheetData sheetId="2215" refreshError="1"/>
      <sheetData sheetId="2216" refreshError="1"/>
      <sheetData sheetId="2217" refreshError="1"/>
      <sheetData sheetId="2218"/>
      <sheetData sheetId="2219" refreshError="1"/>
      <sheetData sheetId="2220" refreshError="1"/>
      <sheetData sheetId="2221" refreshError="1"/>
      <sheetData sheetId="2222" refreshError="1"/>
      <sheetData sheetId="2223" refreshError="1"/>
      <sheetData sheetId="2224"/>
      <sheetData sheetId="2225" refreshError="1"/>
      <sheetData sheetId="2226" refreshError="1"/>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sheetData sheetId="2449" refreshError="1"/>
      <sheetData sheetId="2450"/>
      <sheetData sheetId="2451" refreshError="1"/>
      <sheetData sheetId="2452" refreshError="1"/>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refreshError="1"/>
      <sheetData sheetId="2582"/>
      <sheetData sheetId="2583"/>
      <sheetData sheetId="2584"/>
      <sheetData sheetId="2585"/>
      <sheetData sheetId="2586" refreshError="1"/>
      <sheetData sheetId="2587" refreshError="1"/>
      <sheetData sheetId="2588"/>
      <sheetData sheetId="2589"/>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sheetData sheetId="2600" refreshError="1"/>
      <sheetData sheetId="2601" refreshError="1"/>
      <sheetData sheetId="2602" refreshError="1"/>
      <sheetData sheetId="2603"/>
      <sheetData sheetId="2604" refreshError="1"/>
      <sheetData sheetId="2605"/>
      <sheetData sheetId="2606"/>
      <sheetData sheetId="2607"/>
      <sheetData sheetId="2608"/>
      <sheetData sheetId="2609"/>
      <sheetData sheetId="2610"/>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refreshError="1"/>
      <sheetData sheetId="2638" refreshError="1"/>
      <sheetData sheetId="2639"/>
      <sheetData sheetId="2640"/>
      <sheetData sheetId="2641"/>
      <sheetData sheetId="2642"/>
      <sheetData sheetId="2643"/>
      <sheetData sheetId="2644"/>
      <sheetData sheetId="2645"/>
      <sheetData sheetId="2646"/>
      <sheetData sheetId="2647"/>
      <sheetData sheetId="2648"/>
      <sheetData sheetId="2649" refreshError="1"/>
      <sheetData sheetId="2650"/>
      <sheetData sheetId="2651"/>
      <sheetData sheetId="2652"/>
      <sheetData sheetId="2653" refreshError="1"/>
      <sheetData sheetId="2654"/>
      <sheetData sheetId="2655"/>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sheetData sheetId="2696"/>
      <sheetData sheetId="2697"/>
      <sheetData sheetId="2698"/>
      <sheetData sheetId="2699"/>
      <sheetData sheetId="2700" refreshError="1"/>
      <sheetData sheetId="2701" refreshError="1"/>
      <sheetData sheetId="2702" refreshError="1"/>
      <sheetData sheetId="2703" refreshError="1"/>
      <sheetData sheetId="2704" refreshError="1"/>
      <sheetData sheetId="2705"/>
      <sheetData sheetId="2706" refreshError="1"/>
      <sheetData sheetId="2707"/>
      <sheetData sheetId="2708"/>
      <sheetData sheetId="2709"/>
      <sheetData sheetId="2710"/>
      <sheetData sheetId="2711" refreshError="1"/>
      <sheetData sheetId="2712" refreshError="1"/>
      <sheetData sheetId="2713"/>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refreshError="1"/>
      <sheetData sheetId="3254" refreshError="1"/>
      <sheetData sheetId="3255" refreshError="1"/>
      <sheetData sheetId="3256" refreshError="1"/>
      <sheetData sheetId="3257" refreshError="1"/>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refreshError="1"/>
      <sheetData sheetId="3272"/>
      <sheetData sheetId="3273" refreshError="1"/>
      <sheetData sheetId="3274" refreshError="1"/>
      <sheetData sheetId="3275"/>
      <sheetData sheetId="3276"/>
      <sheetData sheetId="3277"/>
      <sheetData sheetId="3278"/>
      <sheetData sheetId="3279" refreshError="1"/>
      <sheetData sheetId="3280" refreshError="1"/>
      <sheetData sheetId="3281" refreshError="1"/>
      <sheetData sheetId="3282"/>
      <sheetData sheetId="3283"/>
      <sheetData sheetId="3284"/>
      <sheetData sheetId="3285"/>
      <sheetData sheetId="3286"/>
      <sheetData sheetId="3287"/>
      <sheetData sheetId="3288"/>
      <sheetData sheetId="3289"/>
      <sheetData sheetId="3290"/>
      <sheetData sheetId="3291" refreshError="1"/>
      <sheetData sheetId="3292"/>
      <sheetData sheetId="3293" refreshError="1"/>
      <sheetData sheetId="3294" refreshError="1"/>
      <sheetData sheetId="3295" refreshError="1"/>
      <sheetData sheetId="3296" refreshError="1"/>
      <sheetData sheetId="3297" refreshError="1"/>
      <sheetData sheetId="3298"/>
      <sheetData sheetId="3299"/>
      <sheetData sheetId="3300"/>
      <sheetData sheetId="3301"/>
      <sheetData sheetId="3302"/>
      <sheetData sheetId="3303"/>
      <sheetData sheetId="3304"/>
      <sheetData sheetId="3305"/>
      <sheetData sheetId="3306"/>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refreshError="1"/>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refreshError="1"/>
      <sheetData sheetId="3356" refreshError="1"/>
      <sheetData sheetId="3357" refreshError="1"/>
      <sheetData sheetId="3358" refreshError="1"/>
      <sheetData sheetId="3359" refreshError="1"/>
      <sheetData sheetId="3360"/>
      <sheetData sheetId="3361" refreshError="1"/>
      <sheetData sheetId="3362"/>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sheetData sheetId="3387"/>
      <sheetData sheetId="3388"/>
      <sheetData sheetId="3389"/>
      <sheetData sheetId="3390"/>
      <sheetData sheetId="3391" refreshError="1"/>
      <sheetData sheetId="3392" refreshError="1"/>
      <sheetData sheetId="3393" refreshError="1"/>
      <sheetData sheetId="3394"/>
      <sheetData sheetId="3395"/>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sheetData sheetId="3561"/>
      <sheetData sheetId="3562"/>
      <sheetData sheetId="3563"/>
      <sheetData sheetId="3564"/>
      <sheetData sheetId="3565"/>
      <sheetData sheetId="3566"/>
      <sheetData sheetId="3567"/>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sheetData sheetId="3654" refreshError="1"/>
      <sheetData sheetId="3655" refreshError="1"/>
      <sheetData sheetId="3656" refreshError="1"/>
      <sheetData sheetId="3657" refreshError="1"/>
      <sheetData sheetId="3658"/>
      <sheetData sheetId="3659"/>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refreshError="1"/>
      <sheetData sheetId="3919" refreshError="1"/>
      <sheetData sheetId="3920" refreshError="1"/>
      <sheetData sheetId="3921" refreshError="1"/>
      <sheetData sheetId="3922" refreshError="1"/>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refreshError="1"/>
      <sheetData sheetId="4108" refreshError="1"/>
      <sheetData sheetId="4109" refreshError="1"/>
      <sheetData sheetId="4110" refreshError="1"/>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sheetData sheetId="4303" refreshError="1"/>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refreshError="1"/>
      <sheetData sheetId="4610"/>
      <sheetData sheetId="4611" refreshError="1"/>
      <sheetData sheetId="4612" refreshError="1"/>
      <sheetData sheetId="4613" refreshError="1"/>
      <sheetData sheetId="4614" refreshError="1"/>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sheetData sheetId="5301" refreshError="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sheetData sheetId="5550"/>
      <sheetData sheetId="5551"/>
      <sheetData sheetId="5552"/>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sheetData sheetId="5565"/>
      <sheetData sheetId="5566"/>
      <sheetData sheetId="5567"/>
      <sheetData sheetId="5568"/>
      <sheetData sheetId="5569"/>
      <sheetData sheetId="5570"/>
      <sheetData sheetId="557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sheetData sheetId="5606"/>
      <sheetData sheetId="5607"/>
      <sheetData sheetId="5608"/>
      <sheetData sheetId="5609"/>
      <sheetData sheetId="5610"/>
      <sheetData sheetId="5611" refreshError="1"/>
      <sheetData sheetId="5612" refreshError="1"/>
      <sheetData sheetId="5613" refreshError="1"/>
      <sheetData sheetId="5614"/>
      <sheetData sheetId="5615"/>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sheetData sheetId="5661"/>
      <sheetData sheetId="5662"/>
      <sheetData sheetId="5663"/>
      <sheetData sheetId="5664"/>
      <sheetData sheetId="5665"/>
      <sheetData sheetId="5666" refreshError="1"/>
      <sheetData sheetId="5667" refreshError="1"/>
      <sheetData sheetId="5668"/>
      <sheetData sheetId="5669" refreshError="1"/>
      <sheetData sheetId="5670" refreshError="1"/>
      <sheetData sheetId="5671" refreshError="1"/>
      <sheetData sheetId="5672" refreshError="1"/>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refreshError="1"/>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sheetData sheetId="6007" refreshError="1"/>
      <sheetData sheetId="6008" refreshError="1"/>
      <sheetData sheetId="6009" refreshError="1"/>
      <sheetData sheetId="6010"/>
      <sheetData sheetId="6011" refreshError="1"/>
      <sheetData sheetId="6012"/>
      <sheetData sheetId="6013"/>
      <sheetData sheetId="6014"/>
      <sheetData sheetId="6015"/>
      <sheetData sheetId="6016"/>
      <sheetData sheetId="6017"/>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sheetData sheetId="6056"/>
      <sheetData sheetId="6057"/>
      <sheetData sheetId="6058"/>
      <sheetData sheetId="6059"/>
      <sheetData sheetId="6060"/>
      <sheetData sheetId="6061"/>
      <sheetData sheetId="6062"/>
      <sheetData sheetId="6063"/>
      <sheetData sheetId="6064"/>
      <sheetData sheetId="6065" refreshError="1"/>
      <sheetData sheetId="6066"/>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sheetData sheetId="6157" refreshError="1"/>
      <sheetData sheetId="6158" refreshError="1"/>
      <sheetData sheetId="6159" refreshError="1"/>
      <sheetData sheetId="6160" refreshError="1"/>
      <sheetData sheetId="6161" refreshError="1"/>
      <sheetData sheetId="6162" refreshError="1"/>
      <sheetData sheetId="6163" refreshError="1"/>
      <sheetData sheetId="6164"/>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refreshError="1"/>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sheetData sheetId="8271"/>
      <sheetData sheetId="8272"/>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refreshError="1"/>
      <sheetData sheetId="9074" refreshError="1"/>
      <sheetData sheetId="9075" refreshError="1"/>
      <sheetData sheetId="9076" refreshError="1"/>
      <sheetData sheetId="9077" refreshError="1"/>
      <sheetData sheetId="9078" refreshError="1"/>
      <sheetData sheetId="9079" refreshError="1"/>
      <sheetData sheetId="9080"/>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sheetData sheetId="9150"/>
      <sheetData sheetId="9151"/>
      <sheetData sheetId="9152"/>
      <sheetData sheetId="9153"/>
      <sheetData sheetId="9154" refreshError="1"/>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refreshError="1"/>
      <sheetData sheetId="9236" refreshError="1"/>
      <sheetData sheetId="9237" refreshError="1"/>
      <sheetData sheetId="9238" refreshError="1"/>
      <sheetData sheetId="9239" refreshError="1"/>
      <sheetData sheetId="9240"/>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sheetData sheetId="9250"/>
      <sheetData sheetId="9251"/>
      <sheetData sheetId="9252"/>
      <sheetData sheetId="9253"/>
      <sheetData sheetId="9254"/>
      <sheetData sheetId="9255" refreshError="1"/>
      <sheetData sheetId="9256" refreshError="1"/>
      <sheetData sheetId="9257" refreshError="1"/>
      <sheetData sheetId="9258" refreshError="1"/>
      <sheetData sheetId="9259" refreshError="1"/>
      <sheetData sheetId="9260" refreshError="1"/>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sheetData sheetId="9351"/>
      <sheetData sheetId="9352"/>
      <sheetData sheetId="9353"/>
      <sheetData sheetId="9354"/>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sheetData sheetId="9368"/>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sheetData sheetId="9506"/>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sheetData sheetId="9716"/>
      <sheetData sheetId="9717"/>
      <sheetData sheetId="9718"/>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refreshError="1"/>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sheetData sheetId="9834"/>
      <sheetData sheetId="9835"/>
      <sheetData sheetId="9836" refreshError="1"/>
      <sheetData sheetId="9837" refreshError="1"/>
      <sheetData sheetId="9838" refreshError="1"/>
      <sheetData sheetId="9839" refreshError="1"/>
      <sheetData sheetId="9840" refreshError="1"/>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refreshError="1"/>
      <sheetData sheetId="10733"/>
      <sheetData sheetId="10734"/>
      <sheetData sheetId="10735" refreshError="1"/>
      <sheetData sheetId="10736"/>
      <sheetData sheetId="10737" refreshError="1"/>
      <sheetData sheetId="10738" refreshError="1"/>
      <sheetData sheetId="10739" refreshError="1"/>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refreshError="1"/>
      <sheetData sheetId="10781" refreshError="1"/>
      <sheetData sheetId="10782" refreshError="1"/>
      <sheetData sheetId="10783" refreshError="1"/>
      <sheetData sheetId="10784" refreshError="1"/>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sheetData sheetId="11045"/>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sheetData sheetId="11087"/>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sheetData sheetId="11099"/>
      <sheetData sheetId="11100"/>
      <sheetData sheetId="11101" refreshError="1"/>
      <sheetData sheetId="11102" refreshError="1"/>
      <sheetData sheetId="11103" refreshError="1"/>
      <sheetData sheetId="11104" refreshError="1"/>
      <sheetData sheetId="11105"/>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sheetData sheetId="11182"/>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sheetData sheetId="11256"/>
      <sheetData sheetId="11257"/>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sheetData sheetId="11286"/>
      <sheetData sheetId="11287"/>
      <sheetData sheetId="11288" refreshError="1"/>
      <sheetData sheetId="11289"/>
      <sheetData sheetId="11290"/>
      <sheetData sheetId="11291"/>
      <sheetData sheetId="11292"/>
      <sheetData sheetId="11293"/>
      <sheetData sheetId="11294"/>
      <sheetData sheetId="11295"/>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refreshError="1"/>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refreshError="1"/>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refreshError="1"/>
      <sheetData sheetId="12430" refreshError="1"/>
      <sheetData sheetId="12431"/>
      <sheetData sheetId="12432"/>
      <sheetData sheetId="12433" refreshError="1"/>
      <sheetData sheetId="12434" refreshError="1"/>
      <sheetData sheetId="12435" refreshError="1"/>
      <sheetData sheetId="12436"/>
      <sheetData sheetId="12437"/>
      <sheetData sheetId="12438"/>
      <sheetData sheetId="12439" refreshError="1"/>
      <sheetData sheetId="12440" refreshError="1"/>
      <sheetData sheetId="12441" refreshError="1"/>
      <sheetData sheetId="12442" refreshError="1"/>
      <sheetData sheetId="12443" refreshError="1"/>
      <sheetData sheetId="12444" refreshError="1"/>
      <sheetData sheetId="12445"/>
      <sheetData sheetId="12446"/>
      <sheetData sheetId="12447"/>
      <sheetData sheetId="12448"/>
      <sheetData sheetId="12449"/>
      <sheetData sheetId="12450" refreshError="1"/>
      <sheetData sheetId="12451" refreshError="1"/>
      <sheetData sheetId="12452"/>
      <sheetData sheetId="12453"/>
      <sheetData sheetId="12454" refreshError="1"/>
      <sheetData sheetId="12455" refreshError="1"/>
      <sheetData sheetId="12456" refreshError="1"/>
      <sheetData sheetId="12457"/>
      <sheetData sheetId="12458"/>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sheetData sheetId="12484"/>
      <sheetData sheetId="12485"/>
      <sheetData sheetId="12486"/>
      <sheetData sheetId="12487"/>
      <sheetData sheetId="12488" refreshError="1"/>
      <sheetData sheetId="12489" refreshError="1"/>
      <sheetData sheetId="12490" refreshError="1"/>
      <sheetData sheetId="12491"/>
      <sheetData sheetId="12492" refreshError="1"/>
      <sheetData sheetId="12493" refreshError="1"/>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refreshError="1"/>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sheetData sheetId="12708"/>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sheetData sheetId="12737"/>
      <sheetData sheetId="12738"/>
      <sheetData sheetId="12739" refreshError="1"/>
      <sheetData sheetId="12740" refreshError="1"/>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refreshError="1"/>
      <sheetData sheetId="12757" refreshError="1"/>
      <sheetData sheetId="12758"/>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sheetData sheetId="12772"/>
      <sheetData sheetId="12773"/>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sheetData sheetId="12784" refreshError="1"/>
      <sheetData sheetId="12785"/>
      <sheetData sheetId="12786" refreshError="1"/>
      <sheetData sheetId="12787" refreshError="1"/>
      <sheetData sheetId="12788"/>
      <sheetData sheetId="12789"/>
      <sheetData sheetId="12790"/>
      <sheetData sheetId="12791"/>
      <sheetData sheetId="12792"/>
      <sheetData sheetId="12793"/>
      <sheetData sheetId="12794"/>
      <sheetData sheetId="12795"/>
      <sheetData sheetId="12796"/>
      <sheetData sheetId="12797"/>
      <sheetData sheetId="12798"/>
      <sheetData sheetId="12799" refreshError="1"/>
      <sheetData sheetId="12800"/>
      <sheetData sheetId="12801"/>
      <sheetData sheetId="12802"/>
      <sheetData sheetId="12803"/>
      <sheetData sheetId="12804" refreshError="1"/>
      <sheetData sheetId="12805" refreshError="1"/>
      <sheetData sheetId="12806"/>
      <sheetData sheetId="12807"/>
      <sheetData sheetId="12808"/>
      <sheetData sheetId="12809"/>
      <sheetData sheetId="12810"/>
      <sheetData sheetId="1281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sheetData sheetId="12932" refreshError="1"/>
      <sheetData sheetId="12933" refreshError="1"/>
      <sheetData sheetId="12934"/>
      <sheetData sheetId="12935"/>
      <sheetData sheetId="12936"/>
      <sheetData sheetId="12937"/>
      <sheetData sheetId="12938"/>
      <sheetData sheetId="12939"/>
      <sheetData sheetId="12940"/>
      <sheetData sheetId="12941"/>
      <sheetData sheetId="12942"/>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sheetData sheetId="12954"/>
      <sheetData sheetId="12955" refreshError="1"/>
      <sheetData sheetId="12956" refreshError="1"/>
      <sheetData sheetId="12957" refreshError="1"/>
      <sheetData sheetId="12958" refreshError="1"/>
      <sheetData sheetId="12959" refreshError="1"/>
      <sheetData sheetId="12960"/>
      <sheetData sheetId="12961" refreshError="1"/>
      <sheetData sheetId="12962" refreshError="1"/>
      <sheetData sheetId="12963"/>
      <sheetData sheetId="12964"/>
      <sheetData sheetId="12965"/>
      <sheetData sheetId="12966"/>
      <sheetData sheetId="12967"/>
      <sheetData sheetId="12968"/>
      <sheetData sheetId="12969"/>
      <sheetData sheetId="12970"/>
      <sheetData sheetId="1297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sheetData sheetId="13921"/>
      <sheetData sheetId="13922"/>
      <sheetData sheetId="13923"/>
      <sheetData sheetId="13924" refreshError="1"/>
      <sheetData sheetId="13925" refreshError="1"/>
      <sheetData sheetId="13926" refreshError="1"/>
      <sheetData sheetId="13927"/>
      <sheetData sheetId="13928"/>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sheetData sheetId="13947" refreshError="1"/>
      <sheetData sheetId="13948"/>
      <sheetData sheetId="13949" refreshError="1"/>
      <sheetData sheetId="13950" refreshError="1"/>
      <sheetData sheetId="13951"/>
      <sheetData sheetId="13952"/>
      <sheetData sheetId="13953"/>
      <sheetData sheetId="13954"/>
      <sheetData sheetId="13955" refreshError="1"/>
      <sheetData sheetId="13956"/>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sheetData sheetId="13968"/>
      <sheetData sheetId="13969"/>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sheetData sheetId="14003"/>
      <sheetData sheetId="14004"/>
      <sheetData sheetId="14005"/>
      <sheetData sheetId="14006"/>
      <sheetData sheetId="14007"/>
      <sheetData sheetId="14008"/>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refreshError="1"/>
      <sheetData sheetId="14043" refreshError="1"/>
      <sheetData sheetId="14044"/>
      <sheetData sheetId="14045"/>
      <sheetData sheetId="14046"/>
      <sheetData sheetId="14047"/>
      <sheetData sheetId="14048"/>
      <sheetData sheetId="14049"/>
      <sheetData sheetId="14050"/>
      <sheetData sheetId="14051"/>
      <sheetData sheetId="14052"/>
      <sheetData sheetId="14053" refreshError="1"/>
      <sheetData sheetId="14054" refreshError="1"/>
      <sheetData sheetId="14055" refreshError="1"/>
      <sheetData sheetId="14056" refreshError="1"/>
      <sheetData sheetId="14057" refreshError="1"/>
      <sheetData sheetId="14058"/>
      <sheetData sheetId="14059"/>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refreshError="1"/>
      <sheetData sheetId="14110" refreshError="1"/>
      <sheetData sheetId="14111" refreshError="1"/>
      <sheetData sheetId="14112" refreshError="1"/>
      <sheetData sheetId="14113" refreshError="1"/>
      <sheetData sheetId="14114" refreshError="1"/>
      <sheetData sheetId="14115"/>
      <sheetData sheetId="14116"/>
      <sheetData sheetId="14117"/>
      <sheetData sheetId="14118" refreshError="1"/>
      <sheetData sheetId="14119" refreshError="1"/>
      <sheetData sheetId="14120" refreshError="1"/>
      <sheetData sheetId="1412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sheetData sheetId="14501"/>
      <sheetData sheetId="14502"/>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sheetData sheetId="14533"/>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sheetData sheetId="14587"/>
      <sheetData sheetId="14588"/>
      <sheetData sheetId="14589"/>
      <sheetData sheetId="14590" refreshError="1"/>
      <sheetData sheetId="14591" refreshError="1"/>
      <sheetData sheetId="14592" refreshError="1"/>
      <sheetData sheetId="14593"/>
      <sheetData sheetId="14594"/>
      <sheetData sheetId="14595"/>
      <sheetData sheetId="14596"/>
      <sheetData sheetId="14597"/>
      <sheetData sheetId="14598"/>
      <sheetData sheetId="14599"/>
      <sheetData sheetId="14600"/>
      <sheetData sheetId="14601"/>
      <sheetData sheetId="14602"/>
      <sheetData sheetId="14603"/>
      <sheetData sheetId="14604" refreshError="1"/>
      <sheetData sheetId="14605" refreshError="1"/>
      <sheetData sheetId="14606" refreshError="1"/>
      <sheetData sheetId="14607" refreshError="1"/>
      <sheetData sheetId="14608"/>
      <sheetData sheetId="14609"/>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sheetData sheetId="14641"/>
      <sheetData sheetId="14642" refreshError="1"/>
      <sheetData sheetId="14643"/>
      <sheetData sheetId="14644" refreshError="1"/>
      <sheetData sheetId="14645"/>
      <sheetData sheetId="14646"/>
      <sheetData sheetId="14647"/>
      <sheetData sheetId="14648"/>
      <sheetData sheetId="14649" refreshError="1"/>
      <sheetData sheetId="14650"/>
      <sheetData sheetId="14651" refreshError="1"/>
      <sheetData sheetId="14652" refreshError="1"/>
      <sheetData sheetId="14653" refreshError="1"/>
      <sheetData sheetId="14654" refreshError="1"/>
      <sheetData sheetId="14655"/>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sheetData sheetId="14669"/>
      <sheetData sheetId="14670"/>
      <sheetData sheetId="1467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sheetData sheetId="14763"/>
      <sheetData sheetId="14764"/>
      <sheetData sheetId="14765"/>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sheetData sheetId="14782"/>
      <sheetData sheetId="14783"/>
      <sheetData sheetId="14784"/>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02"/>
      <sheetName val="HDS"/>
      <sheetName val="#REF"/>
      <sheetName val="index"/>
      <sheetName val="Switchboard"/>
      <sheetName val="CAB.XLS"/>
      <sheetName val="SCADO"/>
      <sheetName val="Sheet1"/>
      <sheetName val="Sheet2"/>
      <sheetName val="Sheet3"/>
      <sheetName val="MCC's"/>
      <sheetName val="Unit List"/>
      <sheetName val="Cable Type"/>
      <sheetName val="cnsinf"/>
      <sheetName val="MCC-21-1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2"/>
      <sheetName val="bal6"/>
      <sheetName val="bal11"/>
      <sheetName val="bal12"/>
      <sheetName val="ID"/>
      <sheetName val="check"/>
      <sheetName val="DESIGN"/>
      <sheetName val="WINDOW"/>
      <sheetName val="wileas"/>
      <sheetName val="suleas"/>
      <sheetName val="bal1"/>
      <sheetName val="Sheet1"/>
      <sheetName val="bal5"/>
      <sheetName val="L"/>
      <sheetName val="SV"/>
      <sheetName val="VUOTO"/>
      <sheetName val="SILICATE"/>
      <sheetName val="反応速度式検討"/>
      <sheetName val="BBSS(B-70）"/>
      <sheetName val="10241PIP1ON-SITE"/>
      <sheetName val="10241EQLIST"/>
      <sheetName val="FAB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HIEVED-REPORT"/>
      <sheetName val="PROCPLAN-TOTAL"/>
      <sheetName val="Delivery Follow  Up Plan"/>
      <sheetName val="Critical Item List"/>
      <sheetName val="Resp "/>
      <sheetName val="Delivery_Follow__Up_Plan"/>
      <sheetName val="Critical_Item_List"/>
      <sheetName val="Resp_"/>
      <sheetName val="Delivery_Follow__Up_Plan1"/>
      <sheetName val="Critical_Item_List1"/>
      <sheetName val="Resp_1"/>
      <sheetName val="OF-PD38 Summary"/>
      <sheetName val="Diffuser"/>
      <sheetName val="BEU btm nozz @ tsht"/>
      <sheetName val="Backup"/>
      <sheetName val="FIRE"/>
      <sheetName val="Summary"/>
      <sheetName val="401_1"/>
      <sheetName val="401_2"/>
      <sheetName val="401_3"/>
      <sheetName val="401_4"/>
      <sheetName val="401_5"/>
      <sheetName val="401_7"/>
      <sheetName val="Cover Sheet"/>
      <sheetName val="Notes"/>
      <sheetName val="Page 1 of 5"/>
      <sheetName val="BQMPALOC"/>
      <sheetName val="ProSteam Config"/>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 2"/>
      <sheetName val="P. 3"/>
      <sheetName val="P. 4"/>
      <sheetName val="P. 5"/>
      <sheetName val="P. 6"/>
      <sheetName val="P. 7"/>
      <sheetName val="P. 8"/>
      <sheetName val="P.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A4"/>
      <sheetName val="bal11"/>
      <sheetName val="bal12"/>
      <sheetName val="bal6"/>
      <sheetName val="SV"/>
      <sheetName val="contactor"/>
      <sheetName val="Pipe Calc"/>
      <sheetName val="B-1100C触媒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
      <sheetName val="2.0-A4"/>
      <sheetName val="bal11"/>
      <sheetName val="bal12"/>
      <sheetName val="bal6"/>
      <sheetName val="PLANT"/>
      <sheetName val="INSTRUMENT"/>
      <sheetName val="SpecITEM"/>
      <sheetName val="LINE_Sc"/>
      <sheetName val="MOTOR"/>
      <sheetName val="SILICATE"/>
      <sheetName val="Equipment List"/>
      <sheetName val="OPE_MAN"/>
      <sheetName val="04暖通"/>
      <sheetName val="反応速度式検討"/>
      <sheetName val="COA Sumry - Std Imp"/>
      <sheetName val="COA Sumry by Area"/>
      <sheetName val="COA Sumry by RG"/>
      <sheetName val="Contr TDC - Std Imp"/>
      <sheetName val="Item Sumry - Std Imp"/>
      <sheetName val="List - Equipment"/>
      <sheetName val="Proj TIC - Std Imp"/>
      <sheetName val="Project Metrics"/>
      <sheetName val="TDC COA Grp Sumry"/>
      <sheetName val="TDC COA Sumry"/>
      <sheetName val="TDC Item Dets"/>
      <sheetName val="TDC Item Dets-IPM-Full"/>
      <sheetName val="TDC Item Sumry"/>
      <sheetName val="TDC Key Qty Sumry"/>
      <sheetName val="Unit Costs - Std Imp"/>
      <sheetName val="Unit MH - Std Imp"/>
      <sheetName val="List - Components"/>
      <sheetName val="TDC Item Dets-Full"/>
      <sheetName val="COA Sumry by Contr"/>
      <sheetName val="B-1100C触媒量"/>
      <sheetName val="UOP"/>
      <sheetName val="Un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A4-COVER"/>
      <sheetName val="COVER"/>
      <sheetName val="Fluid List"/>
      <sheetName val="Unit"/>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lyleaf"/>
      <sheetName val="A4-COVER"/>
      <sheetName val="Vessels"/>
      <sheetName val="Rotating"/>
      <sheetName val="Other"/>
      <sheetName val="Parameters"/>
      <sheetName val="Notice"/>
      <sheetName val="Excel procedure"/>
      <sheetName val="Attached 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REF!"/>
      <sheetName val="RFP012"/>
      <sheetName val="NOTES"/>
      <sheetName val="MH(on site)"/>
      <sheetName val="SPEC SHEET"/>
      <sheetName val="计算稿"/>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loaddt2"/>
      <sheetName val="明细表 "/>
      <sheetName val="Summary"/>
      <sheetName val="Summary "/>
      <sheetName val="Process Piping"/>
      <sheetName val="C11-2(103)-Prelims"/>
      <sheetName val="RFP002"/>
      <sheetName val="lookups"/>
      <sheetName val="Lagerhalle"/>
      <sheetName val="加压气化606ab工艺综合单价分析表"/>
      <sheetName val="3"/>
      <sheetName val="140TT447"/>
      <sheetName val="工业炉"/>
      <sheetName val="04暖通"/>
      <sheetName val="resu"/>
      <sheetName val="373A"/>
      <sheetName val="SPEC"/>
      <sheetName val="Area"/>
      <sheetName val="PVC"/>
      <sheetName val="XLPE"/>
      <sheetName val="Estimate Details"/>
      <sheetName val="Pricing"/>
      <sheetName val="合成単価作成表-BLDG"/>
      <sheetName val="10 barg Steam_Cond"/>
      <sheetName val="mesc"/>
      <sheetName val="April"/>
      <sheetName val="CFS3"/>
      <sheetName val="Rate"/>
      <sheetName val="GPP"/>
      <sheetName val="P1260Projected.5700 Detail"/>
      <sheetName val="P852.5000 Detail"/>
      <sheetName val="P854.5000 Detail"/>
      <sheetName val="P856.5000 Detail"/>
      <sheetName val="P858.5000 Detail"/>
      <sheetName val="P860Baseline.5000 Detail"/>
      <sheetName val="401_1"/>
      <sheetName val="401_2"/>
      <sheetName val="401_3"/>
      <sheetName val="401_4"/>
      <sheetName val="401_5"/>
      <sheetName val="401_7"/>
      <sheetName val="Cover Sheet"/>
      <sheetName val="Pull-Down Menus"/>
      <sheetName val="Macro1"/>
      <sheetName val="code"/>
      <sheetName val="utility"/>
      <sheetName val="Register"/>
      <sheetName val="Piping ClASS"/>
      <sheetName val="PB for Mapping"/>
      <sheetName val="Project Data Page"/>
      <sheetName val="LINE LIST"/>
      <sheetName val="Fee Rate Summary"/>
      <sheetName val="LEGEND"/>
      <sheetName val="Details"/>
      <sheetName val="110TE001"/>
      <sheetName val="703r"/>
      <sheetName val="702r"/>
      <sheetName val="Dropdown LISTs"/>
      <sheetName val="Overall"/>
      <sheetName val="Sum"/>
      <sheetName val="A"/>
      <sheetName val="MhrCost Data"/>
      <sheetName val="Process Equipment"/>
      <sheetName val="Insulation"/>
      <sheetName val="Piping&amp;Valve Code"/>
      <sheetName val="Painting"/>
      <sheetName val="電気設備表"/>
      <sheetName val="CIV-DWG-ADA"/>
      <sheetName val="CIV-DOC-ADA"/>
      <sheetName val="基本设置"/>
      <sheetName val="Cover"/>
      <sheetName val="SPE-FJB-001"/>
      <sheetName val="SPE-FJB-101"/>
      <sheetName val="SPE-FJB-102"/>
      <sheetName val="SPE-FJB-201"/>
      <sheetName val="SPE-FJB-202"/>
      <sheetName val="SPE-FJB-203"/>
      <sheetName val="SPE-FJB-301"/>
      <sheetName val="SPE-FJB-302"/>
      <sheetName val="SPE-FJB-401"/>
      <sheetName val="SPE-FJB-402"/>
      <sheetName val="MCJB"/>
      <sheetName val="GDS"/>
      <sheetName val="无接线箱"/>
      <sheetName val="RFP003B-Piping"/>
      <sheetName val="B-1100C触媒量"/>
      <sheetName val="XLR_NoRangeSheet"/>
      <sheetName val="Contingency"/>
      <sheetName val="Cash Flow Data"/>
      <sheetName val="plOMBA"/>
      <sheetName val="plProject Info"/>
      <sheetName val="Spec-Face"/>
      <sheetName val="TDS_1"/>
      <sheetName val="2"/>
      <sheetName val="4"/>
      <sheetName val="Quotation"/>
      <sheetName val="Spec."/>
      <sheetName val="Final Price"/>
      <sheetName val="Deviation"/>
      <sheetName val="Data"/>
      <sheetName val="材料"/>
      <sheetName val="安装指标库"/>
      <sheetName val="表三甲"/>
      <sheetName val="万元指标1"/>
      <sheetName val="Units"/>
      <sheetName val="Input"/>
      <sheetName val="Data Storage"/>
      <sheetName val="Project Data"/>
      <sheetName val="Electr"/>
      <sheetName val="Services"/>
      <sheetName val="Instrum"/>
      <sheetName val="Training"/>
      <sheetName val="TankMetallic"/>
      <sheetName val="CAL."/>
      <sheetName val="CPS"/>
      <sheetName val="海盐加工装置"/>
      <sheetName val="内外控制表"/>
      <sheetName val="SP"/>
      <sheetName val="eqplist"/>
      <sheetName val="ΔVp &amp; Ω"/>
      <sheetName val="변수"/>
      <sheetName val="Factor"/>
      <sheetName val="Connections"/>
      <sheetName val="DWTables"/>
      <sheetName val="Mech"/>
      <sheetName val="Page 1"/>
      <sheetName val="Database"/>
      <sheetName val="Calc"/>
      <sheetName val="CmpName"/>
      <sheetName val="Template"/>
      <sheetName val="Functions"/>
      <sheetName val="Main"/>
      <sheetName val="Camey"/>
      <sheetName val="Safety Stock"/>
      <sheetName val="Insulation Code"/>
      <sheetName val="Pipe Class"/>
      <sheetName val="Painting Code"/>
      <sheetName val="Routing"/>
      <sheetName val="Special Item MTO"/>
      <sheetName val="评价基础数据表一"/>
      <sheetName val="固定资产投资估算计算表"/>
      <sheetName val="投资计划与资金筹措表"/>
      <sheetName val="Sammary"/>
      <sheetName val="取费表"/>
      <sheetName val="武汉丁二烯静止设备"/>
      <sheetName val="价差测算"/>
      <sheetName val="参数表"/>
      <sheetName val="Concrete Properties"/>
      <sheetName val="PV.00001"/>
      <sheetName val="蒸汽安全阀计算模板"/>
      <sheetName val="Page 3"/>
      <sheetName val="Page 2"/>
      <sheetName val="Page 4"/>
      <sheetName val="Page 5"/>
      <sheetName val="Page 7"/>
      <sheetName val="Page 8"/>
      <sheetName val="Page 9"/>
      <sheetName val="Page 10"/>
      <sheetName val="Page 11"/>
      <sheetName val="Page 6"/>
      <sheetName val="Design - Agitators"/>
      <sheetName val="Design - All Equip"/>
      <sheetName val="Design - Exchangers"/>
      <sheetName val="Design - Pumps"/>
      <sheetName val="Design - Towers"/>
      <sheetName val="Design - Vacuum"/>
      <sheetName val="Design - Vessels"/>
      <sheetName val="List - Motors"/>
      <sheetName val="Equip COA Sumry"/>
      <sheetName val="Equip COA Grp Sumry"/>
      <sheetName val="AG Pipe Qty Analysis"/>
      <sheetName val="Pipe Line List"/>
      <sheetName val="Pipe COA Sumry"/>
      <sheetName val="Pipe Item Dets"/>
      <sheetName val="Pipe Item Sumry"/>
      <sheetName val="Civil COA Sumry"/>
      <sheetName val="Civil Item Dets"/>
      <sheetName val="Civil Item Sumry"/>
      <sheetName val="Steel COA Sumry"/>
      <sheetName val="Steel COA Grp Sumry"/>
      <sheetName val="Steel Item Dets"/>
      <sheetName val="Steel Item Sumry"/>
      <sheetName val="Inst COA Sumry"/>
      <sheetName val="Inst Item Dets"/>
      <sheetName val="Inst Item Sumry"/>
      <sheetName val="Elec COA Sumry"/>
      <sheetName val="Elec Item Dets"/>
      <sheetName val="Elec Item Sumry"/>
      <sheetName val="Insul COA Sumry"/>
      <sheetName val="Insul Item Dets"/>
      <sheetName val="Insul Item Sumry"/>
      <sheetName val="Paint COA Sumry"/>
      <sheetName val="Paint Item Dets"/>
      <sheetName val="Paint Item Sumry"/>
      <sheetName val="总概"/>
      <sheetName val="综合运费"/>
      <sheetName val="初始化表格"/>
      <sheetName val="基础表格"/>
      <sheetName val="UOP"/>
      <sheetName val="300 Instrumentation "/>
      <sheetName val="공사비SUM"/>
      <sheetName val="공문"/>
      <sheetName val="Elect (3)"/>
      <sheetName val="CODE2"/>
      <sheetName val="生产成本和费用表"/>
      <sheetName val="资产负债表"/>
      <sheetName val="矿区使用费费率表"/>
      <sheetName val="固定资产投资估算表"/>
      <sheetName val="销售收入与销售税金及附加计算表"/>
      <sheetName val="SaveData"/>
      <sheetName val="损益表"/>
      <sheetName val="财务现金流量表(全部投资)"/>
      <sheetName val="财务现金流量表(自有资金)"/>
      <sheetName val="CAPEX"/>
      <sheetName val="Option Summary"/>
      <sheetName val="Summary_by_Unit"/>
      <sheetName val="Equipment Cost Split"/>
      <sheetName val="Summary  WPC_OLD"/>
      <sheetName val="Process"/>
      <sheetName val="計算本体2"/>
      <sheetName val="线槽价格计算表"/>
      <sheetName val="#REF"/>
      <sheetName val="Base"/>
      <sheetName val="价目表"/>
      <sheetName val="07 LSC only"/>
      <sheetName val="07 PBS Only"/>
      <sheetName val="土建"/>
      <sheetName val="List - Components"/>
      <sheetName val="List - Equipment"/>
      <sheetName val="Definition"/>
      <sheetName val="SORTABLE ESTIMATE"/>
      <sheetName val="piping"/>
      <sheetName val="Datasheet"/>
      <sheetName val="投资汇总"/>
      <sheetName val="投资"/>
      <sheetName val="综合概算"/>
      <sheetName val="Master_Setup"/>
      <sheetName val="P. 2"/>
      <sheetName val="P. 3"/>
      <sheetName val="간접비내역-1"/>
      <sheetName val="CALCULATION"/>
      <sheetName val="sketch"/>
      <sheetName val="Pre-EPC CDI Manhour"/>
      <sheetName val="EPCM Manhour Estimate"/>
      <sheetName val="Total Sum"/>
      <sheetName val="phase_II"/>
      <sheetName val="standard_list"/>
      <sheetName val="phase_I"/>
      <sheetName val="G_1R-Shou_COP_Gf"/>
      <sheetName val="AD_ST"/>
      <sheetName val="MH_Compensate-Nov"/>
      <sheetName val="CTRs_(HOURS)_"/>
      <sheetName val="SPEC_SHEET"/>
      <sheetName val="明细表_"/>
      <sheetName val="C5-281-CB-FF_"/>
      <sheetName val="C5-CB_Provisional"/>
      <sheetName val="C5_Provisional"/>
      <sheetName val="MH(on_site)"/>
      <sheetName val="Labor_Rates"/>
      <sheetName val="Summary_"/>
      <sheetName val="Process_Piping"/>
      <sheetName val="Estimate_Details"/>
      <sheetName val="10_barg_Steam_Cond"/>
      <sheetName val="P1260Projected_5700_Detail"/>
      <sheetName val="P852_5000_Detail"/>
      <sheetName val="P854_5000_Detail"/>
      <sheetName val="P856_5000_Detail"/>
      <sheetName val="P858_5000_Detail"/>
      <sheetName val="P860Baseline_5000_Detail"/>
      <sheetName val="Cover_Sheet"/>
      <sheetName val="Pull-Down_Menus"/>
      <sheetName val="Piping_ClASS"/>
      <sheetName val="PB_for_Mapping"/>
      <sheetName val="Project_Data_Page"/>
      <sheetName val="LINE_LIST"/>
      <sheetName val="Fee_Rate_Summary"/>
      <sheetName val="2层"/>
      <sheetName val="墙板"/>
      <sheetName val="S-03"/>
      <sheetName val="B-03"/>
      <sheetName val="Control Summary"/>
      <sheetName val="土建取费"/>
      <sheetName val="中石化安装"/>
      <sheetName val="总—标示"/>
      <sheetName val="报价单"/>
      <sheetName val="标示-次标示"/>
      <sheetName val="Change Order Details"/>
      <sheetName val="SOPMA DD"/>
      <sheetName val="镀锌构件"/>
      <sheetName val="50 Piping_ Content Strut."/>
      <sheetName val="2.0-A4"/>
      <sheetName val="Installation "/>
      <sheetName val="Fabrication"/>
      <sheetName val="Project Management Organisation"/>
      <sheetName val="for PPT"/>
      <sheetName val="steam jet ejector spec sheet"/>
      <sheetName val="Emp_Data"/>
      <sheetName val="Int Eng"/>
      <sheetName val="WBS"/>
      <sheetName val="name"/>
      <sheetName val="反応速度式検討"/>
      <sheetName val="Anlage 2"/>
      <sheetName val="_REF"/>
      <sheetName val="갑지"/>
      <sheetName val="Rate Analysis"/>
      <sheetName val="BP"/>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 Récept"/>
      <sheetName val="Liste Moteur"/>
      <sheetName val="Table"/>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sheetName val="Data Leo"/>
      <sheetName val="Annual running hours"/>
      <sheetName val="data OAU ashp"/>
      <sheetName val="OAU Qilin"/>
      <sheetName val="Data"/>
      <sheetName val="Mass balance"/>
      <sheetName val="Mass balance (no formula)"/>
      <sheetName val="Solvent_calculations"/>
      <sheetName val="Water balance"/>
      <sheetName val="Water balance (2)"/>
      <sheetName val="Properties"/>
      <sheetName val="Graphe Tv"/>
      <sheetName val="Data (leo 40 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O_HIDDEN"/>
      <sheetName val="VALVE LIST.xdo"/>
    </sheetNames>
    <sheetDataSet>
      <sheetData sheetId="0"/>
      <sheetData sheetId="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 val="PS"/>
      <sheetName val="C"/>
      <sheetName val="D"/>
      <sheetName val="G"/>
      <sheetName val="I"/>
      <sheetName val="J"/>
      <sheetName val="IJ"/>
      <sheetName val="LP"/>
      <sheetName val="P"/>
      <sheetName val="L"/>
      <sheetName val="LS"/>
      <sheetName val="LT"/>
      <sheetName val="LE"/>
      <sheetName val="N"/>
      <sheetName val="FM"/>
      <sheetName val="SF"/>
      <sheetName val="SP"/>
      <sheetName val="DW"/>
      <sheetName val="UG "/>
      <sheetName val="Synop"/>
      <sheetName val="Basis"/>
      <sheetName val="合成単価作成表-BLDG"/>
      <sheetName val="Sheet9"/>
      <sheetName val="BQMPALOC"/>
      <sheetName val="jobhist"/>
      <sheetName val="2.2 STAFF Scedule"/>
      <sheetName val=" Sum"/>
      <sheetName val="share"/>
      <sheetName val=""/>
      <sheetName val="DWG"/>
      <sheetName val="PRO"/>
      <sheetName val="수입"/>
      <sheetName val="97 사업추정(WEKI)"/>
      <sheetName val="97"/>
      <sheetName val="ANX3A11"/>
      <sheetName val="MyLists"/>
      <sheetName val="Manpower Construction"/>
      <sheetName val="summary RE &amp; CF"/>
      <sheetName val="MANP"/>
      <sheetName val="31 July 2005"/>
      <sheetName val="HSE "/>
      <sheetName val="Malaysia incl. RET"/>
      <sheetName val="Sheet1"/>
      <sheetName val="#REF"/>
      <sheetName val="Validation"/>
      <sheetName val="INSTR-A Main Work"/>
      <sheetName val="EE-SAP"/>
      <sheetName val="p.mgmt"/>
      <sheetName val="A"/>
      <sheetName val="info"/>
      <sheetName val="산근"/>
      <sheetName val="Billing amount "/>
      <sheetName val="MP-AGPip-Dir"/>
      <sheetName val="RHI GROUP"/>
      <sheetName val="RHI Konzern"/>
      <sheetName val="cov RHI GROUP"/>
      <sheetName val="PTE-Company"/>
      <sheetName val="Equipment List"/>
      <sheetName val="CAT_5"/>
      <sheetName val="pipeline-1"/>
      <sheetName val="Main"/>
      <sheetName val="TP"/>
      <sheetName val="COVER"/>
      <sheetName val="Reco"/>
      <sheetName val="bolts"/>
      <sheetName val="주관사업"/>
      <sheetName val="M_EQPT_Z"/>
      <sheetName val="NDOCBT"/>
      <sheetName val="SAP"/>
      <sheetName val="ACTLY"/>
      <sheetName val="Global"/>
      <sheetName val="summary"/>
      <sheetName val="Billing and Status Register"/>
      <sheetName val="UG_"/>
      <sheetName val="summary_RE_&amp;_CF"/>
      <sheetName val="_Sum"/>
      <sheetName val="2_2_STAFF_Scedule"/>
      <sheetName val="31_July_2005"/>
      <sheetName val="HSE_"/>
      <sheetName val="Malaysia_incl__RET"/>
      <sheetName val="INSTR-A_Main_Work"/>
      <sheetName val="p_mgmt"/>
      <sheetName val="Billing_amount_"/>
      <sheetName val="RHI_GROUP"/>
      <sheetName val="RHI_Konzern"/>
      <sheetName val="cov_RHI_GROUP"/>
      <sheetName val="Equipment_List"/>
      <sheetName val="GTC TECHNIP PS 1700.00"/>
      <sheetName val="손익차총괄2"/>
      <sheetName val="Orders &amp; Annexures"/>
      <sheetName val="UG_1"/>
      <sheetName val="summary_RE_&amp;_CF1"/>
      <sheetName val="_Sum1"/>
      <sheetName val="2_2_STAFF_Scedule1"/>
      <sheetName val="31_July_20051"/>
      <sheetName val="HSE_1"/>
      <sheetName val="Malaysia_incl__RET1"/>
      <sheetName val="INSTR-A_Main_Work1"/>
      <sheetName val="p_mgmt1"/>
      <sheetName val="Billing_amount_1"/>
      <sheetName val="RHI_GROUP1"/>
      <sheetName val="RHI_Konzern1"/>
      <sheetName val="cov_RHI_GROUP1"/>
      <sheetName val="Equipment_List1"/>
      <sheetName val="Billing_and_Status_Register"/>
      <sheetName val="GTC_TECHNIP_PS_1700_00"/>
      <sheetName val="장비"/>
      <sheetName val="노무"/>
      <sheetName val="자재"/>
      <sheetName val="산근1"/>
      <sheetName val="UG_2"/>
      <sheetName val="_Sum2"/>
      <sheetName val="summary_RE_&amp;_CF2"/>
      <sheetName val="2_2_STAFF_Scedule2"/>
      <sheetName val="31_July_20052"/>
      <sheetName val="HSE_2"/>
      <sheetName val="Malaysia_incl__RET2"/>
      <sheetName val="INSTR-A_Main_Work2"/>
      <sheetName val="p_mgmt2"/>
      <sheetName val="Billing_amount_2"/>
      <sheetName val="RHI_GROUP2"/>
      <sheetName val="RHI_Konzern2"/>
      <sheetName val="cov_RHI_GROUP2"/>
      <sheetName val="Equipment_List2"/>
      <sheetName val="Billing_and_Status_Register1"/>
      <sheetName val="GTC_TECHNIP_PS_1700_001"/>
      <sheetName val="Orders_&amp;_Annexures"/>
      <sheetName val="Link Table"/>
      <sheetName val="Weight factors"/>
      <sheetName val="SALA-002"/>
      <sheetName val="Eng."/>
      <sheetName val="6PILE  (돌출)"/>
      <sheetName val="Utility and Fire flange"/>
      <sheetName val="inter"/>
      <sheetName val="Utility_and_Fire_flange"/>
      <sheetName val="Utility_and_Fire_flange1"/>
      <sheetName val="Peak Craft (old)"/>
      <sheetName val="Thixus"/>
      <sheetName val="W1"/>
      <sheetName val="S6"/>
      <sheetName val="PL"/>
      <sheetName val="W"/>
      <sheetName val="Depl"/>
      <sheetName val="1) COMMON FACILITIES"/>
      <sheetName val="INSULATION R1"/>
      <sheetName val="UG_3"/>
      <sheetName val="2_2_STAFF_Scedule3"/>
      <sheetName val="_Sum3"/>
      <sheetName val="97_사업추정(WEKI)"/>
      <sheetName val="Manpower_Construction"/>
      <sheetName val="summary_RE_&amp;_CF3"/>
      <sheetName val="31_July_20053"/>
      <sheetName val="HSE_3"/>
      <sheetName val="Malaysia_incl__RET3"/>
      <sheetName val="INSTR-A_Main_Work3"/>
      <sheetName val="p_mgmt3"/>
      <sheetName val="Billing_amount_3"/>
      <sheetName val="RHI_GROUP3"/>
      <sheetName val="RHI_Konzern3"/>
      <sheetName val="cov_RHI_GROUP3"/>
      <sheetName val="Equipment_List3"/>
      <sheetName val="Billing_and_Status_Register2"/>
      <sheetName val="GTC_TECHNIP_PS_1700_002"/>
      <sheetName val="Orders_&amp;_Annexures1"/>
      <sheetName val="Link_Table"/>
      <sheetName val="Weight_factors"/>
      <sheetName val="Eng_"/>
      <sheetName val="6PILE__(돌출)"/>
      <sheetName val="Utility_and_Fire_flange2"/>
      <sheetName val="Peak_Craft_(old)"/>
      <sheetName val="UG_4"/>
      <sheetName val="2_2_STAFF_Scedule4"/>
      <sheetName val="_Sum4"/>
      <sheetName val="97_사업추정(WEKI)1"/>
      <sheetName val="Manpower_Construction1"/>
      <sheetName val="summary_RE_&amp;_CF4"/>
      <sheetName val="31_July_20054"/>
      <sheetName val="HSE_4"/>
      <sheetName val="Malaysia_incl__RET4"/>
      <sheetName val="INSTR-A_Main_Work4"/>
      <sheetName val="p_mgmt4"/>
      <sheetName val="Billing_amount_4"/>
      <sheetName val="RHI_GROUP4"/>
      <sheetName val="RHI_Konzern4"/>
      <sheetName val="cov_RHI_GROUP4"/>
      <sheetName val="Equipment_List4"/>
      <sheetName val="Billing_and_Status_Register3"/>
      <sheetName val="GTC_TECHNIP_PS_1700_003"/>
      <sheetName val="Orders_&amp;_Annexures2"/>
      <sheetName val="Link_Table1"/>
      <sheetName val="Weight_factors1"/>
      <sheetName val="Eng_1"/>
      <sheetName val="6PILE__(돌출)1"/>
      <sheetName val="Utility_and_Fire_flange3"/>
      <sheetName val="Peak_Craft_(old)1"/>
      <sheetName val="Benchmark"/>
      <sheetName val="Consumables"/>
      <sheetName val="33628-Rev. A"/>
      <sheetName val="inst index"/>
      <sheetName val="Jornales"/>
      <sheetName val="1)_COMMON_FACILITIES"/>
      <sheetName val="INSULATION_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sheetData sheetId="20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VUOTO"/>
      <sheetName val="2.0-A4"/>
      <sheetName val="SV"/>
      <sheetName val="contactor"/>
      <sheetName val="L"/>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Page 2 of 7"/>
      <sheetName val="Page 3 of 7"/>
      <sheetName val="Page 4 of 7"/>
      <sheetName val="Page 5 of 7"/>
      <sheetName val="Page 6 of 7"/>
      <sheetName val="Page 7 of 7"/>
      <sheetName val="Module2"/>
      <sheetName val="Module1"/>
      <sheetName val="Chains"/>
      <sheetName val="Drop Down List"/>
      <sheetName val="DropDownList YP"/>
      <sheetName val="Front_sheet"/>
      <sheetName val="Page_2_of_7"/>
      <sheetName val="Page_3_of_7"/>
      <sheetName val="Page_4_of_7"/>
      <sheetName val="Page_5_of_7"/>
      <sheetName val="Page_6_of_7"/>
      <sheetName val="Page_7_of_7"/>
      <sheetName val="Front_sheet1"/>
      <sheetName val="Page_2_of_71"/>
      <sheetName val="Page_3_of_71"/>
      <sheetName val="Page_4_of_71"/>
      <sheetName val="Page_5_of_71"/>
      <sheetName val="Page_6_of_71"/>
      <sheetName val="Page_7_of_71"/>
      <sheetName val="IS Calculation"/>
      <sheetName val="Sheet1"/>
      <sheetName val="Motor"/>
      <sheetName val="Drop down"/>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Steam Config"/>
      <sheetName val="ProSteam Calculation"/>
      <sheetName val="Cover sheet(H)"/>
    </sheetNames>
    <sheetDataSet>
      <sheetData sheetId="0"/>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Cover sheet"/>
      <sheetName val="Quantity"/>
      <sheetName val="Aboveground Erect_"/>
      <sheetName val="AG Pipe Erect - Frac &amp; Common"/>
      <sheetName val="#REF"/>
      <sheetName val="PROCESS"/>
      <sheetName val="BQ List"/>
      <sheetName val="PipWT"/>
      <sheetName val="ITEM"/>
      <sheetName val="Sheet1"/>
      <sheetName val="CALCULATION"/>
      <sheetName val="Proposal"/>
      <sheetName val="노임"/>
      <sheetName val="Total"/>
      <sheetName val="WIND"/>
      <sheetName val="PROP"/>
      <sheetName val="터널조도"/>
      <sheetName val="IN"/>
      <sheetName val="sch(data)"/>
      <sheetName val="DATA LISTS"/>
      <sheetName val="MEXICO-C"/>
      <sheetName val="MOTOR"/>
      <sheetName val="FAB별"/>
      <sheetName val="연돌일위집계"/>
      <sheetName val="정부노임단가"/>
      <sheetName val="TIE-IN"/>
      <sheetName val="Sheet5"/>
      <sheetName val="BSD (2)"/>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201 RevB Design"/>
      <sheetName val="Scénario surpression"/>
      <sheetName val="hydrogénateurs (MJ)"/>
      <sheetName val="OLDHydrogénateur"/>
      <sheetName val="Hydrogénateur modifié (Qilin)"/>
      <sheetName val="Filtration Primaire (Qilin)"/>
      <sheetName val="Filtration Secondaire"/>
      <sheetName val="Coalesceur ST  S1260"/>
      <sheetName val="Colonne Alumine"/>
      <sheetName val="Filtration S1413"/>
      <sheetName val="Filtration H2O2 S1240"/>
      <sheetName val="Coalesceur H2O2 S1245"/>
      <sheetName val="Implantation R1210"/>
      <sheetName val="Implantation R1210 revue"/>
      <sheetName val="Colonne D1220"/>
      <sheetName val="Section Charbon 1_2"/>
      <sheetName val="Section Charbon 2_2"/>
      <sheetName val="R503"/>
      <sheetName val="R250-R502  tanks"/>
      <sheetName val="Old Section Charbon"/>
      <sheetName val="OLD Compresseur C11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Calculation"/>
      <sheetName val="Pipe Dia"/>
      <sheetName val="Pipe Calc"/>
      <sheetName val="RFP002"/>
      <sheetName val="R56600 (1)"/>
      <sheetName val="合成単価作成表-BLDG"/>
      <sheetName val="IO Types"/>
      <sheetName val="Line Siz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XLS"/>
      <sheetName val="Emp. No. (2)"/>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산근"/>
      <sheetName val="[TEPC 2197-SC002-EXB-Mech-BOQ-r"/>
      <sheetName val="Saisie"/>
      <sheetName val="SYSTEM 945 Air&amp;Nitrogen"/>
      <sheetName val="TTL"/>
      <sheetName val=""/>
      <sheetName val="TEPC 2197-SC002-EXB-Mech-BOQ-re"/>
      <sheetName val="Cover_page"/>
      <sheetName val="M_11"/>
      <sheetName val="M_21A"/>
      <sheetName val="M_21B"/>
      <sheetName val="M_31A"/>
      <sheetName val="M_31B"/>
      <sheetName val="M_32A"/>
      <sheetName val="M_32B"/>
      <sheetName val="M_41A"/>
      <sheetName val="M_41B"/>
      <sheetName val="M_42A"/>
      <sheetName val="M_42B"/>
      <sheetName val="M_51"/>
      <sheetName val="M_52"/>
      <sheetName val="SYSTEM_945_Air&amp;Nitrogen"/>
      <sheetName val="Cover_page1"/>
      <sheetName val="M_111"/>
      <sheetName val="M_21A1"/>
      <sheetName val="M_21B1"/>
      <sheetName val="M_31A1"/>
      <sheetName val="M_31B1"/>
      <sheetName val="M_32A1"/>
      <sheetName val="M_32B1"/>
      <sheetName val="M_41A1"/>
      <sheetName val="M_41B1"/>
      <sheetName val="M_42A1"/>
      <sheetName val="M_42B1"/>
      <sheetName val="M_511"/>
      <sheetName val="M_521"/>
      <sheetName val="SYSTEM_945_Air&amp;Nitroge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Schematic"/>
      <sheetName val="Revised l551aeds New Logo"/>
      <sheetName val="BILAL2"/>
      <sheetName val="Pipe ID"/>
      <sheetName val="Alternator"/>
      <sheetName val="Page_1"/>
      <sheetName val="Electrical Load List"/>
      <sheetName val="IA drier Page 1"/>
      <sheetName val="C-3204"/>
      <sheetName val="MECH1"/>
      <sheetName val="Air Cooler kPa"/>
      <sheetName val="PipeSizes"/>
      <sheetName val="2STG"/>
      <sheetName val="DP"/>
      <sheetName val="DB_Gear"/>
      <sheetName val="DB_Master"/>
      <sheetName val="Fluids"/>
      <sheetName val="S0"/>
      <sheetName val="TWO PASS"/>
      <sheetName val="THREE PASS"/>
      <sheetName val="DEF"/>
      <sheetName val="Summary (rev0)"/>
      <sheetName val="Settings"/>
      <sheetName val="HMB 75 MMSCFD"/>
      <sheetName val="Calca"/>
      <sheetName val="Units"/>
      <sheetName val="Sheet2"/>
      <sheetName val="51-PSV8008L"/>
      <sheetName val="GEN"/>
      <sheetName val="Coupling"/>
      <sheetName val="Sheet1"/>
      <sheetName val="Rekap A"/>
      <sheetName val="UnitTable"/>
      <sheetName val="Data"/>
      <sheetName val="Revisions"/>
      <sheetName val="REF.ONLY"/>
      <sheetName val="Step"/>
      <sheetName val="date"/>
      <sheetName val="Form-3.3"/>
      <sheetName val="BOQ"/>
      <sheetName val="Rekap"/>
      <sheetName val="Data Cable"/>
      <sheetName val="CS_SS892"/>
      <sheetName val="CS_SS191"/>
      <sheetName val="CS_SS192"/>
      <sheetName val="CS_SS961"/>
      <sheetName val="CS_SS391"/>
      <sheetName val="CS_SS791"/>
      <sheetName val="CS_SS491"/>
      <sheetName val="CS_SS492"/>
      <sheetName val="MVCable"/>
      <sheetName val="COCable"/>
      <sheetName val="RXDATA"/>
      <sheetName val=" ratings"/>
      <sheetName val="PConsCS"/>
      <sheetName val="dia-in"/>
      <sheetName val="Break_down"/>
      <sheetName val="Equipment"/>
      <sheetName val="eq_data"/>
      <sheetName val="HVAC"/>
      <sheetName val="BM DATA SHEET"/>
      <sheetName val="summary"/>
      <sheetName val="Breakdown"/>
      <sheetName val="Page_11"/>
      <sheetName val="process data (2)"/>
      <sheetName val="Summary of BQ Material"/>
      <sheetName val="Satuan Dasar"/>
      <sheetName val="Calc"/>
      <sheetName val="Tank2"/>
      <sheetName val="Conn. Lib"/>
      <sheetName val="AOP Summary-2"/>
      <sheetName val="List Doc"/>
      <sheetName val="Material"/>
      <sheetName val="Works"/>
      <sheetName val="Services"/>
      <sheetName val="A(Rev.3)"/>
      <sheetName val="Template"/>
      <sheetName val="oil syst data shts"/>
      <sheetName val="Superstruc"/>
      <sheetName val="Price Summary (2)"/>
      <sheetName val="#REF"/>
      <sheetName val="HYDROTEST DIAGRAM"/>
      <sheetName val="WIP"/>
      <sheetName val="Spread"/>
      <sheetName val="PDMS DATA"/>
      <sheetName val="Scan Code Standards"/>
      <sheetName val="Page_12"/>
      <sheetName val="STRUKTUR"/>
      <sheetName val="VLL BAFF SDLL"/>
      <sheetName val="Pages 1-5"/>
      <sheetName val="CMP_A2series_Gland"/>
      <sheetName val="Kukdong_Cable_data"/>
      <sheetName val="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Power Balance"/>
      <sheetName val="Revision"/>
      <sheetName val="Motor list"/>
      <sheetName val="Setup"/>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VUOTO"/>
      <sheetName val="2.0-A4"/>
      <sheetName val="AD ST"/>
      <sheetName val="合成単価作成表-BLDG"/>
      <sheetName val="SILICATE"/>
      <sheetName val="Total Sum"/>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왕갑지"/>
      <sheetName val="갑지"/>
      <sheetName val="내역서"/>
      <sheetName val="산근"/>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 11"/>
      <sheetName val="Factor"/>
      <sheetName val="공문"/>
      <sheetName val="合成単価作成表-BLDG"/>
      <sheetName val="jobhist"/>
      <sheetName val="HVAC"/>
      <sheetName val="#2CDU실행"/>
      <sheetName val="w't table"/>
      <sheetName val="토목(대안)"/>
      <sheetName val="할증 "/>
      <sheetName val="#REF"/>
      <sheetName val="12CGOU"/>
      <sheetName val="뜃맟뭁돽띿맟?-BLDG"/>
      <sheetName val="단가집"/>
      <sheetName val=" Sum"/>
      <sheetName val="h-013211-2"/>
      <sheetName val="해평견적"/>
      <sheetName val="Main"/>
      <sheetName val="공정계획(내부계획25%,내부w.f)"/>
      <sheetName val="기계내역서"/>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환율표"/>
      <sheetName val="Sheet1"/>
      <sheetName val="수지표"/>
      <sheetName val="셀명"/>
      <sheetName val="PipWT"/>
      <sheetName val="inter"/>
      <sheetName val="PIPE"/>
      <sheetName val="FLANGE"/>
      <sheetName val="VALVE"/>
      <sheetName val="cal"/>
      <sheetName val="2-1. 경관조명 내역총괄표"/>
      <sheetName val="CAT_5"/>
      <sheetName val="Piping Design Data"/>
      <sheetName val="뜃맟뭁돽띿맟_-BLDG"/>
      <sheetName val="원가계산"/>
      <sheetName val="재료비"/>
      <sheetName val="Price Summary Sheet (Final BQ)"/>
      <sheetName val="EQT-ESTN"/>
      <sheetName val="Currencies"/>
      <sheetName val="Chi tiet"/>
      <sheetName val="PDS U-1400"/>
      <sheetName val="PROGRESS"/>
      <sheetName val="일위대가표"/>
      <sheetName val="장비종합부표"/>
      <sheetName val="집계표_식재"/>
      <sheetName val="부표"/>
      <sheetName val="경비"/>
      <sheetName val="AREA"/>
      <sheetName val="D"/>
      <sheetName val="Summary"/>
      <sheetName val="관련부서"/>
      <sheetName val="Report"/>
      <sheetName val="추가예산"/>
      <sheetName val="갑지(추정)"/>
      <sheetName val="공통(20-91)"/>
      <sheetName val="DATE"/>
      <sheetName val="Spec1"/>
      <sheetName val="견적기준"/>
      <sheetName val="노임이"/>
      <sheetName val="공사_산출"/>
      <sheetName val="산출내역"/>
      <sheetName val="준공조서갑지"/>
      <sheetName val="PSV2701F"/>
      <sheetName val="costing_CV"/>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AILC004"/>
      <sheetName val="설계"/>
      <sheetName val="PBS"/>
      <sheetName val="편성절차"/>
      <sheetName val="SUBCON"/>
      <sheetName val="cement"/>
      <sheetName val="TOT-SUM"/>
      <sheetName val="예총"/>
      <sheetName val="UNIT PRICES"/>
      <sheetName val="주관사업"/>
      <sheetName val="견적대비표"/>
      <sheetName val="cable-data"/>
      <sheetName val="기자재집계"/>
      <sheetName val="토공개요"/>
      <sheetName val="Pile"/>
      <sheetName val="SS2"/>
      <sheetName val="TRANSFER"/>
      <sheetName val="실행내역"/>
      <sheetName val="name"/>
      <sheetName val="BQMPALOC"/>
      <sheetName val="설계명세서"/>
      <sheetName val="품셈표"/>
      <sheetName val="設計条件"/>
      <sheetName val="Precall-new"/>
      <sheetName val="BASE DE PERSONAL"/>
      <sheetName val="Facturación A"/>
      <sheetName val="TABLAS"/>
      <sheetName val="RES"/>
      <sheetName val="SILICATE"/>
      <sheetName val="Civil"/>
      <sheetName val="DB@Acess"/>
      <sheetName val="INDIRECTS"/>
      <sheetName val="DELIVERIES"/>
      <sheetName val="참고자료"/>
      <sheetName val="見積条件入力画面"/>
      <sheetName val="性能取り纏め"/>
      <sheetName val="일위대가목차"/>
      <sheetName val="노임단가"/>
      <sheetName val="전기"/>
      <sheetName val="CODE"/>
      <sheetName val="TIE-INS"/>
      <sheetName val="A01"/>
      <sheetName val="A11"/>
      <sheetName val="A16"/>
      <sheetName val="A02"/>
      <sheetName val="A03"/>
      <sheetName val="A04"/>
      <sheetName val="A05"/>
      <sheetName val="A06"/>
      <sheetName val="A07"/>
      <sheetName val="A08a"/>
      <sheetName val="A08b"/>
      <sheetName val="CE-ORG"/>
      <sheetName val="Variations"/>
      <sheetName val="laroux"/>
      <sheetName val="단중표-ST"/>
      <sheetName val="Segment"/>
      <sheetName val="실행내역서 "/>
      <sheetName val="Q5434 EQ LIST"/>
      <sheetName val="Pump"/>
      <sheetName val="MEPS Structural Steel Index 비교"/>
      <sheetName val="MEPS CS Index 비교"/>
      <sheetName val="집계표(OPTION)"/>
      <sheetName val="M"/>
      <sheetName val="98수지배부(수정)"/>
      <sheetName val="총괄표"/>
      <sheetName val="실행철강하도"/>
      <sheetName val="잡비계산"/>
      <sheetName val="AU"/>
      <sheetName val="wp DESCRIPTION"/>
      <sheetName val="Civil Boq"/>
      <sheetName val="Total"/>
      <sheetName val="대창(함평)"/>
      <sheetName val="대창(장성)"/>
      <sheetName val="경비집계"/>
      <sheetName val="ESTI."/>
      <sheetName val="DI-ESTI"/>
      <sheetName val="96.12"/>
      <sheetName val="영업소실적"/>
      <sheetName val="3514-HV-0201"/>
      <sheetName val="PROJECT"/>
      <sheetName val="eq_data"/>
      <sheetName val="COA-17"/>
      <sheetName val="C-18"/>
      <sheetName val="9-1차이내역"/>
      <sheetName val="Questions to Vendor"/>
      <sheetName val="??-BLDG"/>
      <sheetName val="KP1590_E"/>
      <sheetName val="BOX 설계"/>
      <sheetName val="1.설계조건"/>
      <sheetName val="member design"/>
      <sheetName val="design criteria"/>
      <sheetName val="working load at the btm ft."/>
      <sheetName val="plan&amp;section of foundation"/>
      <sheetName val="soil bearing check"/>
      <sheetName val="SKETCH"/>
      <sheetName val="CAL."/>
      <sheetName val="MEXICO-C"/>
      <sheetName val="15100"/>
      <sheetName val="CONSTANTES"/>
      <sheetName val="Weights"/>
      <sheetName val="당진1,2호기전선관설치및접지4차공사내역서-을지"/>
      <sheetName val="BM"/>
      <sheetName val="costing_Misc"/>
      <sheetName val="Data"/>
      <sheetName val="Utility and Fire flange"/>
      <sheetName val="Quantity"/>
      <sheetName val="__-BLDG"/>
      <sheetName val="hGH정제"/>
      <sheetName val="거래처계좌"/>
      <sheetName val="Process Piping"/>
      <sheetName val="공사비 내역 (가)"/>
      <sheetName val="2002년12월"/>
      <sheetName val="대비표"/>
      <sheetName val="POWER"/>
      <sheetName val="설명서 "/>
      <sheetName val="토목"/>
      <sheetName val="P2-Project Data"/>
      <sheetName val="C3"/>
      <sheetName val="마감집계(창고)"/>
      <sheetName val="도장면적"/>
      <sheetName val="마감산근(창고)"/>
      <sheetName val="자재단가조사표-수목"/>
      <sheetName val="건축명"/>
      <sheetName val="기계명"/>
      <sheetName val="전기명"/>
      <sheetName val="토목명"/>
      <sheetName val="수주추정"/>
      <sheetName val="차액보증"/>
      <sheetName val="H_param"/>
      <sheetName val="명세서"/>
      <sheetName val="상반기손익차2총괄"/>
      <sheetName val="Project Details"/>
      <sheetName val="steel data sheet"/>
      <sheetName val="CTEMCOST"/>
      <sheetName val="2. Project Orgarnization(Site)"/>
      <sheetName val="X17-TOTAL"/>
      <sheetName val="견"/>
      <sheetName val="FAB별"/>
      <sheetName val="XLR_NoRangeSheet"/>
      <sheetName val="자금운영"/>
      <sheetName val="골조시행"/>
      <sheetName val="부서코드표"/>
      <sheetName val="각계정원장"/>
      <sheetName val="간접비차이_PJT"/>
      <sheetName val="자바라1"/>
      <sheetName val="1100-1200-1300-1910-2140-LEV 2"/>
      <sheetName val="Det_IH"/>
      <sheetName val="w't_table"/>
      <sheetName val="할증_"/>
      <sheetName val="_REF"/>
      <sheetName val="Fax"/>
      <sheetName val="자재코드"/>
      <sheetName val="Table"/>
      <sheetName val="기초입력"/>
      <sheetName val="비주거용"/>
      <sheetName val="TENDER PROG."/>
      <sheetName val="Katsayılar"/>
      <sheetName val="COST-TZ"/>
      <sheetName val="출금실적"/>
      <sheetName val="Summary Sheets"/>
      <sheetName val="Macro"/>
      <sheetName val="Taux"/>
      <sheetName val="PI"/>
      <sheetName val="지수"/>
      <sheetName val="INVOICE_CERT EIV'S"/>
      <sheetName val="wp_DESCRIPTION"/>
      <sheetName val="INVOICE_CERT_EIV'S"/>
      <sheetName val="_Sum"/>
      <sheetName val="공정계획(내부계획25%,내부w_f)"/>
      <sheetName val="HO_ENG_MH_CAL"/>
      <sheetName val="Gia_vat_tu"/>
      <sheetName val="2-1__경관조명_내역총괄표"/>
      <sheetName val="Piping_Design_Data"/>
      <sheetName val="Price_Summary_Sheet_(Final_BQ)"/>
      <sheetName val="Chi_tiet"/>
      <sheetName val="PDS_U-1400"/>
      <sheetName val="MB(LAB_No_2)"/>
      <sheetName val="Chiet_tinh_dz35"/>
      <sheetName val="Chiet_tinh_dz22"/>
      <sheetName val="CT_Thang_Mo"/>
      <sheetName val="CT__PL"/>
      <sheetName val="UNIT_PRICES"/>
      <sheetName val="BASE_DE_PERSONAL"/>
      <sheetName val="Facturación_A"/>
      <sheetName val="Utility_and_Fire_flange"/>
      <sheetName val="실행내역서_"/>
      <sheetName val="Q5434_EQ_LIST"/>
      <sheetName val="MEPS_Structural_Steel_Index_비교"/>
      <sheetName val="MEPS_CS_Index_비교"/>
      <sheetName val="Civil_Boq"/>
      <sheetName val="ESTI_"/>
      <sheetName val="96_12"/>
      <sheetName val="Questions_to_Vendor"/>
      <sheetName val="BOX_설계"/>
      <sheetName val="1_설계조건"/>
      <sheetName val="member_design"/>
      <sheetName val="design_criteria"/>
      <sheetName val="working_load_at_the_btm_ft_"/>
      <sheetName val="plan&amp;section_of_foundation"/>
      <sheetName val="soil_bearing_check"/>
      <sheetName val="CAL_"/>
      <sheetName val="NIML"/>
      <sheetName val="BGT-00F2907"/>
      <sheetName val="COLUMN"/>
      <sheetName val="DRUM"/>
      <sheetName val="요약배부"/>
      <sheetName val="Final(1)summary"/>
      <sheetName val="Status"/>
      <sheetName val="공사비_내역_(가)"/>
      <sheetName val="5.) Time Delays"/>
      <sheetName val="데이타"/>
      <sheetName val="식재인부"/>
      <sheetName val="입력"/>
      <sheetName val="구조물철거타공정이월"/>
      <sheetName val="Testing"/>
      <sheetName val="기기리스트"/>
      <sheetName val="정부노임단가"/>
      <sheetName val="상계견적"/>
      <sheetName val="M-EQPT-Z"/>
      <sheetName val="공사개요"/>
      <sheetName val="기준"/>
      <sheetName val="pvc vent"/>
      <sheetName val="cover"/>
      <sheetName val="INGENIERÍA"/>
      <sheetName val="당초"/>
      <sheetName val="변경"/>
      <sheetName val="집계표"/>
      <sheetName val="CB"/>
      <sheetName val="cvr"/>
      <sheetName val="sum"/>
      <sheetName val="indirect"/>
      <sheetName val="bm (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환율"/>
      <sheetName val="6.현장조직도"/>
      <sheetName val="ANALYSER"/>
      <sheetName val="base"/>
      <sheetName val="산출근거#2-3"/>
      <sheetName val="BEND LOSS"/>
      <sheetName val="공사비 내역 _가_"/>
      <sheetName val="A-12"/>
      <sheetName val="MAN-Sch"/>
      <sheetName val="RING WALL"/>
      <sheetName val="Process_Piping"/>
      <sheetName val="A1 Thru A11- LUMP SUM CONSTR"/>
      <sheetName val="Dike(H=0.9m)"/>
      <sheetName val="PIPING_total"/>
      <sheetName val="static.cal"/>
      <sheetName val="가도공"/>
      <sheetName val="TO_COST_PPS_METRIC"/>
      <sheetName val="NAMES"/>
      <sheetName val="RFP009"/>
      <sheetName val="CASE A1 CPP"/>
      <sheetName val="Sheet1 (2)"/>
      <sheetName val="근거 및 가정"/>
      <sheetName val="Database"/>
      <sheetName val="NEWDRAW"/>
      <sheetName val="수목단가"/>
      <sheetName val="시설수량표"/>
      <sheetName val="식재수량표"/>
      <sheetName val="일위목록"/>
      <sheetName val="자재단가"/>
      <sheetName val="조명시설"/>
      <sheetName val="실행(ALT1)"/>
      <sheetName val="0110이후"/>
      <sheetName val="보수0831"/>
      <sheetName val="건축"/>
      <sheetName val="PROJECT DATA"/>
      <sheetName val="7-2"/>
      <sheetName val="BP"/>
      <sheetName val="INSTR"/>
      <sheetName val="찍기"/>
      <sheetName val="CoverShawIntl"/>
      <sheetName val="VS배관내역서"/>
      <sheetName val="철거산출근거"/>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ANALYSIS"/>
      <sheetName val="vlookup - do not prin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EQUIPMENT ERECTION BREAKDOWN"/>
      <sheetName val="Dike(H=0_9m)"/>
      <sheetName val="static_cal"/>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2000.11월설계내역"/>
      <sheetName val="manhour"/>
      <sheetName val="A.1.1.2 &amp; 3 Yard Fac &amp; Supp TS"/>
      <sheetName val="A(Rev.3)"/>
      <sheetName val="UnitList"/>
      <sheetName val="Macro1"/>
      <sheetName val="Aweer"/>
      <sheetName val="C-850R0.XLS"/>
      <sheetName val="Pittsburge"/>
      <sheetName val="activity"/>
      <sheetName val="1.cs sl(150)"/>
      <sheetName val="steam table"/>
      <sheetName val="GEN PROG"/>
      <sheetName val="TOTAL MHRS"/>
      <sheetName val="대치판정"/>
      <sheetName val="CC16-내역서"/>
      <sheetName val="معد .ث"/>
      <sheetName val="D-623D"/>
      <sheetName val="ASCEandUBC"/>
      <sheetName val="1단계"/>
      <sheetName val="을"/>
      <sheetName val="계약자료"/>
      <sheetName val="Panel제작명세서"/>
      <sheetName val="CA1"/>
      <sheetName val="Contents"/>
      <sheetName val="SYS_DB"/>
      <sheetName val="건축내역"/>
      <sheetName val="소화실적"/>
      <sheetName val="D-3503"/>
      <sheetName val="Eq. Mobilization"/>
      <sheetName val="PROCURE"/>
      <sheetName val="BoQ"/>
      <sheetName val="DESIGN"/>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안전장치"/>
      <sheetName val="LS - Rev.0"/>
      <sheetName val="HP-Steamdrum"/>
      <sheetName val="대공종"/>
      <sheetName val="MP Plan &amp; Costs"/>
      <sheetName val="Finansal tamamlanma Eğrisi"/>
      <sheetName val="공사내역"/>
      <sheetName val="차수"/>
      <sheetName val="118.세금과공과"/>
      <sheetName val="고정자산원본"/>
      <sheetName val="뒤차축소"/>
      <sheetName val="PropSum"/>
      <sheetName val="Sur Site"/>
      <sheetName val="Malaysia incl. RET"/>
      <sheetName val="손익차9월2"/>
      <sheetName val="REDUCER"/>
      <sheetName val="WE'T"/>
      <sheetName val="95월별매출"/>
      <sheetName val="A131neu ,CSB (S CSB=400)"/>
      <sheetName val="est"/>
      <sheetName val="S1BOQ"/>
      <sheetName val="FORM7"/>
      <sheetName val="Labour"/>
      <sheetName val="Material"/>
      <sheetName val=" CC26R Tender Stag BoQ"/>
      <sheetName val="Labor Plan"/>
      <sheetName val="Admin"/>
      <sheetName val="EXPAN-1"/>
      <sheetName val="회전율"/>
      <sheetName val="Data Summary"/>
      <sheetName val="DB_ET200(R. A)"/>
      <sheetName val="표지"/>
      <sheetName val="P-Ph3-F-002"/>
      <sheetName val="AC"/>
      <sheetName val="CASE_A1_CPP"/>
      <sheetName val="Sheet1_(2)"/>
      <sheetName val="근거_및_가정"/>
      <sheetName val="PROJECT_DATA"/>
      <sheetName val="Setup"/>
      <sheetName val="Home Office"/>
      <sheetName val="C"/>
      <sheetName val="세금자료"/>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공사비_NDE"/>
      <sheetName val="결재갑지"/>
      <sheetName val="설계기준"/>
      <sheetName val="내역1"/>
      <sheetName val="간지"/>
      <sheetName val="송전재료비"/>
      <sheetName val="단면가정"/>
      <sheetName val="LEGEND"/>
      <sheetName val="CPS"/>
      <sheetName val="PRO_A"/>
      <sheetName val="DWG"/>
      <sheetName val="ELEC_MCI"/>
      <sheetName val="INST_MCI"/>
      <sheetName val="MECH_MCI"/>
      <sheetName val="PRO"/>
      <sheetName val="D 5243-ARAMCO"/>
      <sheetName val="D-4801 OXY"/>
      <sheetName val="除灰系统表二"/>
      <sheetName val="Fin_Sched"/>
      <sheetName val="Slab_Levels"/>
      <sheetName val="Opening_Sched"/>
      <sheetName val="ESPES"/>
      <sheetName val="부대공사"/>
      <sheetName val="내역"/>
      <sheetName val="Acc Stock-INSUL"/>
      <sheetName val="4.L4-세부내역(QAR)"/>
      <sheetName val="%232CDU실행.xls"/>
      <sheetName val="BASIS"/>
      <sheetName val="Alain-Fuj"/>
      <sheetName val="BQ Working"/>
      <sheetName val="DATOS"/>
      <sheetName val="PRESUPUESTO"/>
      <sheetName val="Total Staff"/>
      <sheetName val="0. SUMMARY"/>
      <sheetName val="1. Engineering"/>
      <sheetName val="2. Check point"/>
      <sheetName val="II Changes 1"/>
      <sheetName val="III Changes 2"/>
      <sheetName val="Qty."/>
      <sheetName val="MP"/>
      <sheetName val="EQP"/>
      <sheetName val="OQC Summary"/>
      <sheetName val="6.Unit Rates"/>
      <sheetName val="Requirement(Work Crew)"/>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Material Lookup"/>
      <sheetName val="ASTM Stress Table"/>
      <sheetName val="CATEGORY"/>
      <sheetName val="GM &amp; TA"/>
      <sheetName val="Steel Structure "/>
      <sheetName val="견적서표지0204-2 (2)"/>
      <sheetName val="Piping Spool"/>
      <sheetName val="Cost Definition"/>
      <sheetName val="견적 원가 "/>
      <sheetName val="EQUIPMENT -2"/>
      <sheetName val="간접비내역-1"/>
      <sheetName val="내역서1999.8최종"/>
      <sheetName val="수량산출"/>
      <sheetName val="dongia (2)"/>
      <sheetName val="TH VL, NC, DDHT Thanhphuoc"/>
      <sheetName val="Definition"/>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fore Award"/>
      <sheetName val="After Award"/>
      <sheetName val="Expediting Level Definition"/>
      <sheetName val="L3 schedule"/>
      <sheetName val="China Holidays"/>
      <sheetName val="Thai holidays"/>
      <sheetName val="PSR"/>
      <sheetName val="Procurement progress "/>
      <sheetName val="Equipment List and MR List (3)"/>
    </sheetNames>
    <sheetDataSet>
      <sheetData sheetId="0">
        <row r="15">
          <cell r="D15">
            <v>0</v>
          </cell>
        </row>
        <row r="16">
          <cell r="D16" t="str">
            <v>Package Name</v>
          </cell>
        </row>
        <row r="17">
          <cell r="D17" t="str">
            <v>Pedestal Crane</v>
          </cell>
        </row>
        <row r="18">
          <cell r="D18" t="str">
            <v>Pedestal Crane</v>
          </cell>
        </row>
        <row r="19">
          <cell r="D19" t="str">
            <v>Pedestal Crane</v>
          </cell>
        </row>
        <row r="20">
          <cell r="D20" t="str">
            <v>Material Handling Equipment</v>
          </cell>
        </row>
        <row r="21">
          <cell r="D21" t="str">
            <v>Material Handling Equipment</v>
          </cell>
        </row>
        <row r="22">
          <cell r="D22" t="str">
            <v>Material Handling Equipment</v>
          </cell>
        </row>
        <row r="23">
          <cell r="D23" t="str">
            <v>Instrument Gas Filter Coalescer</v>
          </cell>
        </row>
        <row r="24">
          <cell r="D24" t="str">
            <v>Instrument Gas Filter Coalescer</v>
          </cell>
        </row>
        <row r="25">
          <cell r="D25" t="str">
            <v>Instrument Gas Filter Coalescer</v>
          </cell>
        </row>
        <row r="26">
          <cell r="D26" t="str">
            <v>Production &amp; Test Seperator</v>
          </cell>
        </row>
        <row r="27">
          <cell r="D27" t="str">
            <v>Production &amp; Test Seperator</v>
          </cell>
        </row>
        <row r="28">
          <cell r="D28" t="str">
            <v>Production &amp; Test Seperator</v>
          </cell>
        </row>
        <row r="29">
          <cell r="D29" t="str">
            <v>Pig Launcher and Receiver</v>
          </cell>
        </row>
        <row r="30">
          <cell r="D30" t="str">
            <v>Pig Launcher and Receiver</v>
          </cell>
        </row>
        <row r="31">
          <cell r="D31" t="str">
            <v>Pig Launcher and Receiver</v>
          </cell>
        </row>
        <row r="32">
          <cell r="D32" t="str">
            <v>Corrosion Inhibitor Injection Pump</v>
          </cell>
        </row>
        <row r="33">
          <cell r="D33">
            <v>0</v>
          </cell>
        </row>
        <row r="34">
          <cell r="D34">
            <v>0</v>
          </cell>
        </row>
        <row r="35">
          <cell r="D35" t="str">
            <v>Demulsifier/Water Clarifier Injection Pump</v>
          </cell>
        </row>
        <row r="36">
          <cell r="D36" t="str">
            <v>Demulsifier/Water Clarifier Injection Pump</v>
          </cell>
        </row>
        <row r="37">
          <cell r="D37" t="str">
            <v>Demulsifier/Water Clarifier Injection Pump</v>
          </cell>
        </row>
        <row r="38">
          <cell r="D38" t="str">
            <v>De-Oiler Hydrocyclone</v>
          </cell>
        </row>
        <row r="39">
          <cell r="D39" t="str">
            <v>De-Oiler Hydrocyclone</v>
          </cell>
        </row>
        <row r="40">
          <cell r="D40" t="str">
            <v>De-Oiler Hydrocyclone</v>
          </cell>
        </row>
        <row r="41">
          <cell r="D41" t="str">
            <v>Degasser</v>
          </cell>
        </row>
        <row r="42">
          <cell r="D42" t="str">
            <v>Degasser</v>
          </cell>
        </row>
        <row r="43">
          <cell r="D43" t="str">
            <v>Degasser</v>
          </cell>
        </row>
        <row r="44">
          <cell r="D44" t="str">
            <v>Skim Tank Vessel</v>
          </cell>
        </row>
        <row r="45">
          <cell r="D45" t="str">
            <v>Skim Tank Vessel</v>
          </cell>
        </row>
        <row r="46">
          <cell r="D46" t="str">
            <v>Skim Tank Vessel</v>
          </cell>
        </row>
        <row r="47">
          <cell r="D47" t="str">
            <v>Closed Drain Sump Vessel</v>
          </cell>
        </row>
        <row r="48">
          <cell r="D48" t="str">
            <v>Closed Drain Sump Vessel</v>
          </cell>
        </row>
        <row r="49">
          <cell r="D49" t="str">
            <v>Closed Drain Sump Vessel</v>
          </cell>
        </row>
        <row r="50">
          <cell r="D50" t="str">
            <v>Storage Tote Tank</v>
          </cell>
        </row>
        <row r="51">
          <cell r="D51" t="str">
            <v>Storage Tote Tank</v>
          </cell>
        </row>
        <row r="52">
          <cell r="D52" t="str">
            <v>Storage Tote Tank</v>
          </cell>
        </row>
        <row r="53">
          <cell r="D53" t="str">
            <v>Storage Tank</v>
          </cell>
        </row>
        <row r="54">
          <cell r="D54" t="str">
            <v>Storage Tank</v>
          </cell>
        </row>
        <row r="55">
          <cell r="D55" t="str">
            <v>Storage Tank</v>
          </cell>
        </row>
        <row r="56">
          <cell r="D56" t="str">
            <v>Closed Drain Sump Pump</v>
          </cell>
        </row>
        <row r="57">
          <cell r="D57" t="str">
            <v>Closed Drain Sump Pump</v>
          </cell>
        </row>
        <row r="58">
          <cell r="D58" t="str">
            <v>Closed Drain Sump Pump</v>
          </cell>
        </row>
        <row r="59">
          <cell r="D59" t="str">
            <v>Diesel Transfer Pump</v>
          </cell>
        </row>
        <row r="60">
          <cell r="D60" t="str">
            <v>Diesel Transfer Pump</v>
          </cell>
        </row>
        <row r="61">
          <cell r="D61" t="str">
            <v>Diesel Transfer Pump</v>
          </cell>
        </row>
        <row r="62">
          <cell r="D62" t="str">
            <v>Open Drain Caisson Pump</v>
          </cell>
        </row>
        <row r="63">
          <cell r="D63" t="str">
            <v>Open Drain Caisson Pump</v>
          </cell>
        </row>
        <row r="64">
          <cell r="D64" t="str">
            <v>Open Drain Caisson Pump</v>
          </cell>
        </row>
        <row r="65">
          <cell r="D65" t="str">
            <v>DC Distribution Board</v>
          </cell>
        </row>
        <row r="66">
          <cell r="D66" t="str">
            <v>DC Distribution Board</v>
          </cell>
        </row>
        <row r="67">
          <cell r="D67" t="str">
            <v>DC Distribution Board</v>
          </cell>
        </row>
        <row r="68">
          <cell r="D68" t="str">
            <v>Solar Power System</v>
          </cell>
        </row>
        <row r="69">
          <cell r="D69" t="str">
            <v>Solar Power System</v>
          </cell>
        </row>
        <row r="70">
          <cell r="D70" t="str">
            <v>Solar Power System</v>
          </cell>
        </row>
        <row r="71">
          <cell r="D71" t="str">
            <v>Navigation Aid System</v>
          </cell>
        </row>
        <row r="72">
          <cell r="D72" t="str">
            <v>Navigation Aid System</v>
          </cell>
        </row>
        <row r="73">
          <cell r="D73" t="str">
            <v>Navigation Aid System</v>
          </cell>
        </row>
        <row r="74">
          <cell r="D74" t="str">
            <v>External Battery Charger</v>
          </cell>
        </row>
        <row r="75">
          <cell r="D75" t="str">
            <v>External Battery Charger</v>
          </cell>
        </row>
        <row r="76">
          <cell r="D76" t="str">
            <v>External Battery Charger</v>
          </cell>
        </row>
        <row r="77">
          <cell r="D77" t="str">
            <v>Control Valve</v>
          </cell>
        </row>
        <row r="78">
          <cell r="D78" t="str">
            <v>Control Valve</v>
          </cell>
        </row>
        <row r="79">
          <cell r="D79" t="str">
            <v>Control Valve</v>
          </cell>
        </row>
        <row r="80">
          <cell r="D80" t="str">
            <v>Self Regulator Valve</v>
          </cell>
        </row>
        <row r="81">
          <cell r="D81" t="str">
            <v>Self Regulator Valve</v>
          </cell>
        </row>
        <row r="82">
          <cell r="D82" t="str">
            <v>Self Regulator Valve</v>
          </cell>
        </row>
        <row r="83">
          <cell r="D83" t="str">
            <v>Actuated Choke Valve</v>
          </cell>
        </row>
        <row r="84">
          <cell r="D84" t="str">
            <v>Actuated Choke Valve</v>
          </cell>
        </row>
        <row r="85">
          <cell r="D85" t="str">
            <v>Actuated Choke Valve</v>
          </cell>
        </row>
        <row r="86">
          <cell r="D86" t="str">
            <v>Actuated Ball Valve</v>
          </cell>
        </row>
        <row r="87">
          <cell r="D87" t="str">
            <v>Actuated Ball Valve</v>
          </cell>
        </row>
        <row r="88">
          <cell r="D88" t="str">
            <v>Actuated Ball Valve</v>
          </cell>
        </row>
        <row r="89">
          <cell r="D89" t="str">
            <v>Actuated Compact Ball Valve</v>
          </cell>
        </row>
        <row r="90">
          <cell r="D90" t="str">
            <v>Actuated Compact Ball Valve</v>
          </cell>
        </row>
        <row r="91">
          <cell r="D91" t="str">
            <v>Actuated Compact Ball Valve</v>
          </cell>
        </row>
        <row r="92">
          <cell r="D92" t="str">
            <v>Safety Relief Valves</v>
          </cell>
        </row>
        <row r="93">
          <cell r="D93" t="str">
            <v>Safety Relief Valves</v>
          </cell>
        </row>
        <row r="94">
          <cell r="D94" t="str">
            <v>Safety Relief Valves</v>
          </cell>
        </row>
        <row r="95">
          <cell r="D95" t="str">
            <v>Coriolis Flow Meters</v>
          </cell>
        </row>
        <row r="96">
          <cell r="D96" t="str">
            <v>Coriolis Flow Meters</v>
          </cell>
        </row>
        <row r="97">
          <cell r="D97" t="str">
            <v>Coriolis Flow Meters</v>
          </cell>
        </row>
        <row r="98">
          <cell r="D98" t="str">
            <v>Wellhead Control Panel (WHCP)</v>
          </cell>
        </row>
        <row r="99">
          <cell r="D99" t="str">
            <v>Wellhead Control Panel (WHCP)</v>
          </cell>
        </row>
        <row r="100">
          <cell r="D100" t="str">
            <v>Wellhead Control Panel (WHCP)</v>
          </cell>
        </row>
        <row r="101">
          <cell r="D101" t="str">
            <v>Pressure Gauge</v>
          </cell>
        </row>
        <row r="102">
          <cell r="D102" t="str">
            <v>Pressure Gauge</v>
          </cell>
        </row>
        <row r="103">
          <cell r="D103" t="str">
            <v>Pressure Gauge</v>
          </cell>
        </row>
        <row r="104">
          <cell r="D104" t="str">
            <v>Pressure Transmitter</v>
          </cell>
        </row>
        <row r="105">
          <cell r="D105" t="str">
            <v>Pressure Transmitter</v>
          </cell>
        </row>
        <row r="106">
          <cell r="D106" t="str">
            <v>Pressure Transmitter</v>
          </cell>
        </row>
        <row r="107">
          <cell r="D107" t="str">
            <v>Temperature Gauge</v>
          </cell>
        </row>
        <row r="108">
          <cell r="D108" t="str">
            <v>Temperature Gauge</v>
          </cell>
        </row>
        <row r="109">
          <cell r="D109" t="str">
            <v>Temperature Gauge</v>
          </cell>
        </row>
        <row r="110">
          <cell r="D110" t="str">
            <v>Temperature Transmitter</v>
          </cell>
        </row>
        <row r="111">
          <cell r="D111" t="str">
            <v>Temperature Transmitter</v>
          </cell>
        </row>
        <row r="112">
          <cell r="D112" t="str">
            <v>Temperature Transmitter</v>
          </cell>
        </row>
        <row r="113">
          <cell r="D113" t="str">
            <v>Vortex Flow Meter</v>
          </cell>
        </row>
        <row r="114">
          <cell r="D114" t="str">
            <v>Vortex Flow Meter</v>
          </cell>
        </row>
        <row r="115">
          <cell r="D115" t="str">
            <v>Vortex Flow Meter</v>
          </cell>
        </row>
        <row r="116">
          <cell r="D116" t="str">
            <v>Level Transmitter and Gauge</v>
          </cell>
        </row>
        <row r="117">
          <cell r="D117" t="str">
            <v>Level Transmitter and Gauge</v>
          </cell>
        </row>
        <row r="118">
          <cell r="D118" t="str">
            <v>Level Transmitter and Gauge</v>
          </cell>
        </row>
        <row r="119">
          <cell r="D119" t="str">
            <v>Pig Signaller</v>
          </cell>
        </row>
        <row r="120">
          <cell r="D120" t="str">
            <v>Pig Signaller</v>
          </cell>
        </row>
        <row r="121">
          <cell r="D121" t="str">
            <v>Pig Signaller</v>
          </cell>
        </row>
        <row r="122">
          <cell r="D122" t="str">
            <v>Rrestriction Orifice</v>
          </cell>
        </row>
        <row r="123">
          <cell r="D123" t="str">
            <v>Rrestriction Orifice</v>
          </cell>
        </row>
        <row r="124">
          <cell r="D124" t="str">
            <v>Rrestriction Orifice</v>
          </cell>
        </row>
        <row r="125">
          <cell r="D125" t="str">
            <v>PLC System</v>
          </cell>
        </row>
        <row r="126">
          <cell r="D126" t="str">
            <v>PLC System</v>
          </cell>
        </row>
        <row r="127">
          <cell r="D127" t="str">
            <v>PLC System</v>
          </cell>
        </row>
        <row r="128">
          <cell r="D128" t="str">
            <v>Fire and Gas Detector</v>
          </cell>
        </row>
        <row r="129">
          <cell r="D129" t="str">
            <v>Fire and Gas Detector</v>
          </cell>
        </row>
        <row r="130">
          <cell r="D130" t="str">
            <v>Fire and Gas Detector</v>
          </cell>
        </row>
        <row r="131">
          <cell r="D131" t="str">
            <v>Dip Tape Level Indicator</v>
          </cell>
        </row>
        <row r="132">
          <cell r="D132" t="str">
            <v>Dip Tape Level Indicator</v>
          </cell>
        </row>
        <row r="133">
          <cell r="D133" t="str">
            <v>Dip Tape Level Indicator</v>
          </cell>
        </row>
        <row r="134">
          <cell r="D134" t="str">
            <v>Position Limit Switches</v>
          </cell>
        </row>
        <row r="135">
          <cell r="D135" t="str">
            <v>Position Limit Switches</v>
          </cell>
        </row>
        <row r="136">
          <cell r="D136" t="str">
            <v>Position Limit Switches</v>
          </cell>
        </row>
        <row r="137">
          <cell r="D137" t="str">
            <v>Guided Wave Radar Level Transmitter</v>
          </cell>
        </row>
        <row r="138">
          <cell r="D138" t="str">
            <v>Guided Wave Radar Level Transmitter</v>
          </cell>
        </row>
        <row r="139">
          <cell r="D139" t="str">
            <v>Guided Wave Radar Level Transmitter</v>
          </cell>
        </row>
        <row r="140">
          <cell r="D140" t="str">
            <v>Oil in Water Analyzer</v>
          </cell>
        </row>
        <row r="141">
          <cell r="D141" t="str">
            <v>Oil in Water Analyzer</v>
          </cell>
        </row>
        <row r="142">
          <cell r="D142" t="str">
            <v>Oil in Water Analyzer</v>
          </cell>
        </row>
        <row r="143">
          <cell r="D143" t="str">
            <v>Level Switch</v>
          </cell>
        </row>
        <row r="144">
          <cell r="D144" t="str">
            <v>Level Switch</v>
          </cell>
        </row>
        <row r="145">
          <cell r="D145" t="str">
            <v>Level Switch</v>
          </cell>
        </row>
        <row r="146">
          <cell r="D146" t="str">
            <v>Flow Switch</v>
          </cell>
        </row>
        <row r="147">
          <cell r="D147" t="str">
            <v>Flow Switch</v>
          </cell>
        </row>
        <row r="148">
          <cell r="D148" t="str">
            <v>Flow Switch</v>
          </cell>
        </row>
        <row r="149">
          <cell r="D149" t="str">
            <v>SCADA System</v>
          </cell>
        </row>
        <row r="150">
          <cell r="D150" t="str">
            <v>SCADA System</v>
          </cell>
        </row>
        <row r="151">
          <cell r="D151" t="str">
            <v>SCADA System</v>
          </cell>
        </row>
        <row r="152">
          <cell r="D152" t="str">
            <v>Telecommunication System (WiMAX, Telephone, Marine Radio)</v>
          </cell>
        </row>
        <row r="153">
          <cell r="D153" t="str">
            <v>Telecommunication System (WiMAX, Telephone, Marine Radio)</v>
          </cell>
        </row>
        <row r="154">
          <cell r="D154" t="str">
            <v>Telecommunication System (WiMAX, Telephone, Marine Radio)</v>
          </cell>
        </row>
        <row r="155">
          <cell r="D155" t="str">
            <v>Marine Racon</v>
          </cell>
        </row>
        <row r="156">
          <cell r="D156" t="str">
            <v>Marine Racon</v>
          </cell>
        </row>
        <row r="157">
          <cell r="D157" t="str">
            <v>Marine Racon</v>
          </cell>
        </row>
        <row r="158">
          <cell r="D158" t="str">
            <v>BALL VALVE (FLANGE END)</v>
          </cell>
        </row>
        <row r="159">
          <cell r="D159" t="str">
            <v>BALL VALVE (FLANGE END)</v>
          </cell>
        </row>
        <row r="160">
          <cell r="D160" t="str">
            <v>BALL VALVE (FLANGE END)</v>
          </cell>
        </row>
        <row r="161">
          <cell r="D161" t="str">
            <v>GLOBE VALVE (FLANGE END)</v>
          </cell>
        </row>
        <row r="162">
          <cell r="D162" t="str">
            <v>GLOBE VALVE (FLANGE END)</v>
          </cell>
        </row>
        <row r="163">
          <cell r="D163" t="str">
            <v>GLOBE VALVE (FLANGE END)</v>
          </cell>
        </row>
        <row r="164">
          <cell r="D164" t="str">
            <v>GLOBE VALVE (WELDED END)</v>
          </cell>
        </row>
        <row r="165">
          <cell r="D165" t="str">
            <v>GLOBE VALVE (WELDED END)</v>
          </cell>
        </row>
        <row r="166">
          <cell r="D166" t="str">
            <v>GLOBE VALVE (WELDED END)</v>
          </cell>
        </row>
        <row r="167">
          <cell r="D167" t="str">
            <v>CHECK VALVE (FLANGE END)</v>
          </cell>
        </row>
        <row r="168">
          <cell r="D168" t="str">
            <v>CHECK VALVE (FLANGE END)</v>
          </cell>
        </row>
        <row r="169">
          <cell r="D169" t="str">
            <v>CHECK VALVE (FLANGE END)</v>
          </cell>
        </row>
        <row r="170">
          <cell r="D170" t="str">
            <v>CHECK VALVE (WELDED END)</v>
          </cell>
        </row>
        <row r="171">
          <cell r="D171" t="str">
            <v>CHECK VALVE (WELDED END)</v>
          </cell>
        </row>
        <row r="172">
          <cell r="D172" t="str">
            <v>CHECK VALVE (WELDED END)</v>
          </cell>
        </row>
        <row r="173">
          <cell r="D173" t="str">
            <v>COMPACT CHECK VALVE (WELDED END)</v>
          </cell>
        </row>
        <row r="174">
          <cell r="D174" t="str">
            <v>COMPACT CHECK VALVE (WELDED END)</v>
          </cell>
        </row>
        <row r="175">
          <cell r="D175" t="str">
            <v>COMPACT CHECK VALVE (WELDED END)</v>
          </cell>
        </row>
        <row r="176">
          <cell r="D176" t="str">
            <v>Primary Steel - Plates for topside</v>
          </cell>
        </row>
        <row r="177">
          <cell r="D177" t="str">
            <v>Primary Steel - Plate</v>
          </cell>
        </row>
        <row r="178">
          <cell r="D178" t="str">
            <v>Primary Steel - Plate</v>
          </cell>
        </row>
        <row r="179">
          <cell r="D179" t="str">
            <v>Primary Steel -  Joint Connection for Topside</v>
          </cell>
        </row>
        <row r="180">
          <cell r="D180">
            <v>0</v>
          </cell>
        </row>
        <row r="181">
          <cell r="D181">
            <v>0</v>
          </cell>
        </row>
        <row r="182">
          <cell r="D182" t="str">
            <v>Primary Steel - Beam for topside (Standard)</v>
          </cell>
        </row>
        <row r="183">
          <cell r="D183" t="str">
            <v>Primary Steel - Beam</v>
          </cell>
        </row>
        <row r="184">
          <cell r="D184" t="str">
            <v>Primary Steel - Beam</v>
          </cell>
        </row>
        <row r="185">
          <cell r="D185" t="str">
            <v>Primary Steel - Beam for topside (non-standard)</v>
          </cell>
        </row>
        <row r="186">
          <cell r="D186" t="str">
            <v>Primary Steel - Beam</v>
          </cell>
        </row>
        <row r="187">
          <cell r="D187" t="str">
            <v>Primary Steel - Beam</v>
          </cell>
        </row>
        <row r="188">
          <cell r="D188" t="str">
            <v>Primary Steel - Seamless Pipe for topside</v>
          </cell>
        </row>
        <row r="189">
          <cell r="D189" t="str">
            <v>Primary Steel - Seamless Pipe</v>
          </cell>
        </row>
        <row r="190">
          <cell r="D190" t="str">
            <v>Primary Steel - Seamless Pipe</v>
          </cell>
        </row>
        <row r="191">
          <cell r="D191" t="str">
            <v>Primary Steel - Tubular for topside</v>
          </cell>
        </row>
        <row r="192">
          <cell r="D192">
            <v>0</v>
          </cell>
        </row>
        <row r="193">
          <cell r="D193">
            <v>0</v>
          </cell>
        </row>
        <row r="194">
          <cell r="D194" t="str">
            <v>Primary Steel - Plates for jacket</v>
          </cell>
        </row>
        <row r="195">
          <cell r="D195" t="str">
            <v>Primary Steel - Plate</v>
          </cell>
        </row>
        <row r="196">
          <cell r="D196" t="str">
            <v>Primary Steel - Plate</v>
          </cell>
        </row>
        <row r="197">
          <cell r="D197" t="str">
            <v>Primary Steel -Beam for jacket</v>
          </cell>
        </row>
        <row r="198">
          <cell r="D198">
            <v>0</v>
          </cell>
        </row>
        <row r="199">
          <cell r="D199">
            <v>0</v>
          </cell>
        </row>
        <row r="200">
          <cell r="D200" t="str">
            <v>Primary Steel -Tubular for jacket (column)</v>
          </cell>
        </row>
        <row r="201">
          <cell r="D201">
            <v>0</v>
          </cell>
        </row>
        <row r="202">
          <cell r="D202">
            <v>0</v>
          </cell>
        </row>
        <row r="203">
          <cell r="D203" t="str">
            <v>Primary Steel -Tubular for jacket (bracing)</v>
          </cell>
        </row>
        <row r="204">
          <cell r="D204">
            <v>0</v>
          </cell>
        </row>
        <row r="205">
          <cell r="D205">
            <v>0</v>
          </cell>
        </row>
        <row r="206">
          <cell r="D206" t="str">
            <v>Primary Steel - Plates for Pile</v>
          </cell>
        </row>
        <row r="207">
          <cell r="D207" t="str">
            <v>Primary Steel - Plate</v>
          </cell>
        </row>
        <row r="208">
          <cell r="D208" t="str">
            <v>Primary Steel - Plate</v>
          </cell>
        </row>
        <row r="209">
          <cell r="D209" t="str">
            <v>Primary Steel -Tubular for Pile</v>
          </cell>
        </row>
        <row r="210">
          <cell r="D210">
            <v>0</v>
          </cell>
        </row>
        <row r="211">
          <cell r="D211">
            <v>0</v>
          </cell>
        </row>
        <row r="212">
          <cell r="D212" t="str">
            <v>Special items</v>
          </cell>
        </row>
        <row r="213">
          <cell r="D213">
            <v>0</v>
          </cell>
        </row>
        <row r="214">
          <cell r="D214">
            <v>0</v>
          </cell>
        </row>
        <row r="215">
          <cell r="D215" t="str">
            <v>SPECIAL PIPE SUPPORT</v>
          </cell>
        </row>
        <row r="216">
          <cell r="D216" t="str">
            <v>SPECIAL PIPE SUPPORT</v>
          </cell>
        </row>
        <row r="217">
          <cell r="D217" t="str">
            <v>SPECIAL PIPE SUPPORT</v>
          </cell>
        </row>
        <row r="218">
          <cell r="D218" t="str">
            <v>CS Fitting</v>
          </cell>
        </row>
        <row r="219">
          <cell r="D219" t="str">
            <v>CS Fitting</v>
          </cell>
        </row>
        <row r="220">
          <cell r="D220" t="str">
            <v>CS Fitting</v>
          </cell>
        </row>
        <row r="221">
          <cell r="D221" t="str">
            <v>SS &amp; DSS Fitting</v>
          </cell>
        </row>
        <row r="222">
          <cell r="D222" t="str">
            <v>SS &amp; DSS Fitting</v>
          </cell>
        </row>
        <row r="223">
          <cell r="D223" t="str">
            <v>SS &amp; DSS Fitting</v>
          </cell>
        </row>
        <row r="224">
          <cell r="D224" t="str">
            <v>CS Flange</v>
          </cell>
        </row>
        <row r="225">
          <cell r="D225" t="str">
            <v>CS Flange</v>
          </cell>
        </row>
        <row r="226">
          <cell r="D226" t="str">
            <v>CS Flange</v>
          </cell>
        </row>
        <row r="227">
          <cell r="D227" t="str">
            <v>SS &amp; DSS Flange</v>
          </cell>
        </row>
        <row r="228">
          <cell r="D228" t="str">
            <v>SS &amp; DSS Flange</v>
          </cell>
        </row>
        <row r="229">
          <cell r="D229" t="str">
            <v>SS &amp; DSS Flange</v>
          </cell>
        </row>
        <row r="230">
          <cell r="D230" t="str">
            <v>SAW Welded Pipe</v>
          </cell>
        </row>
        <row r="231">
          <cell r="D231" t="str">
            <v>SAW Welded Pipe</v>
          </cell>
        </row>
        <row r="232">
          <cell r="D232" t="str">
            <v>SAW Welded Pipe</v>
          </cell>
        </row>
        <row r="233">
          <cell r="D233" t="str">
            <v>CS Pipe</v>
          </cell>
        </row>
        <row r="234">
          <cell r="D234" t="str">
            <v>CS Pipe</v>
          </cell>
        </row>
        <row r="235">
          <cell r="D235" t="str">
            <v>CS Pipe</v>
          </cell>
        </row>
        <row r="236">
          <cell r="D236" t="str">
            <v>DSS Pipes</v>
          </cell>
        </row>
        <row r="237">
          <cell r="D237" t="str">
            <v>DSS Pipes</v>
          </cell>
        </row>
        <row r="238">
          <cell r="D238" t="str">
            <v>DSS Pipes</v>
          </cell>
        </row>
        <row r="239">
          <cell r="D239" t="str">
            <v>Steamless SS pipes</v>
          </cell>
        </row>
        <row r="240">
          <cell r="D240" t="str">
            <v>Steamless SS pipes</v>
          </cell>
        </row>
        <row r="241">
          <cell r="D241" t="str">
            <v>Steamless SS pipes</v>
          </cell>
        </row>
        <row r="242">
          <cell r="D242" t="str">
            <v>Bolts &amp; Nuts</v>
          </cell>
        </row>
        <row r="243">
          <cell r="D243" t="str">
            <v>Bolts &amp; Nuts</v>
          </cell>
        </row>
        <row r="244">
          <cell r="D244" t="str">
            <v>Bolts &amp; Nuts</v>
          </cell>
        </row>
        <row r="245">
          <cell r="D245" t="str">
            <v>Gasket</v>
          </cell>
        </row>
        <row r="246">
          <cell r="D246" t="str">
            <v>Gasket</v>
          </cell>
        </row>
        <row r="247">
          <cell r="D247" t="str">
            <v>Gasket</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AT417"/>
  <sheetViews>
    <sheetView tabSelected="1" view="pageBreakPreview" topLeftCell="A8" zoomScaleNormal="40" zoomScaleSheetLayoutView="100" workbookViewId="0">
      <pane xSplit="3" ySplit="11" topLeftCell="D37" activePane="bottomRight" state="frozen"/>
      <selection pane="topRight"/>
      <selection pane="bottomLeft"/>
      <selection pane="bottomRight" activeCell="P42" sqref="P42"/>
    </sheetView>
  </sheetViews>
  <sheetFormatPr defaultColWidth="9" defaultRowHeight="13.8" outlineLevelCol="1"/>
  <cols>
    <col min="1" max="1" width="6.3984375" style="271" customWidth="1"/>
    <col min="2" max="2" width="15.09765625" style="271" customWidth="1"/>
    <col min="3" max="3" width="25" style="271" customWidth="1"/>
    <col min="4" max="4" width="8.8984375" style="272" hidden="1" customWidth="1"/>
    <col min="5" max="5" width="8.8984375" style="271" hidden="1" customWidth="1"/>
    <col min="6" max="6" width="8.8984375" style="272" hidden="1" customWidth="1"/>
    <col min="7" max="7" width="7.5" style="273" hidden="1" customWidth="1"/>
    <col min="8" max="8" width="15.69921875" style="271" hidden="1" customWidth="1"/>
    <col min="9" max="9" width="12.296875" style="271" customWidth="1"/>
    <col min="10" max="10" width="12.3984375" style="271" hidden="1" customWidth="1"/>
    <col min="11" max="11" width="9.3984375" style="271" hidden="1" customWidth="1"/>
    <col min="12" max="12" width="10" style="271" customWidth="1"/>
    <col min="13" max="13" width="11.09765625" style="274" customWidth="1"/>
    <col min="14" max="14" width="13.3984375" style="271" hidden="1" customWidth="1"/>
    <col min="15" max="15" width="11.69921875" style="262" customWidth="1"/>
    <col min="16" max="16" width="11.796875" style="262" customWidth="1"/>
    <col min="17" max="17" width="10.296875" style="262" customWidth="1"/>
    <col min="18" max="18" width="10.69921875" style="262" customWidth="1"/>
    <col min="19" max="19" width="11.09765625" style="262" customWidth="1"/>
    <col min="20" max="20" width="13.296875" style="262" customWidth="1"/>
    <col min="21" max="21" width="11.296875" style="262" customWidth="1"/>
    <col min="22" max="22" width="11.3984375" style="262" customWidth="1"/>
    <col min="23" max="23" width="13.3984375" style="262" customWidth="1"/>
    <col min="24" max="24" width="14.09765625" style="271" customWidth="1"/>
    <col min="25" max="26" width="12.09765625" style="271" customWidth="1"/>
    <col min="27" max="27" width="14.09765625" style="271" customWidth="1"/>
    <col min="28" max="28" width="15.09765625" style="271" customWidth="1"/>
    <col min="29" max="29" width="15.09765625" style="271" hidden="1" customWidth="1"/>
    <col min="30" max="30" width="14.296875" style="271" hidden="1" customWidth="1"/>
    <col min="31" max="31" width="11.5" style="271" hidden="1" customWidth="1" outlineLevel="1"/>
    <col min="32" max="32" width="13.59765625" style="271" customWidth="1" collapsed="1"/>
    <col min="33" max="34" width="13.59765625" style="271" customWidth="1"/>
    <col min="35" max="35" width="16.796875" style="271" customWidth="1"/>
    <col min="36" max="36" width="10.69921875" style="271" customWidth="1"/>
    <col min="37" max="37" width="9.796875" style="272" customWidth="1"/>
    <col min="38" max="38" width="13.69921875" style="275" customWidth="1"/>
    <col min="39" max="39" width="13.69921875" style="276" customWidth="1"/>
    <col min="40" max="41" width="13.69921875" style="276" hidden="1" customWidth="1"/>
    <col min="42" max="42" width="25.3984375" style="276" hidden="1" customWidth="1"/>
    <col min="43" max="44" width="15" style="276" customWidth="1"/>
    <col min="45" max="45" width="15" style="273" customWidth="1"/>
    <col min="46" max="46" width="45.59765625" style="277" customWidth="1"/>
    <col min="47" max="16384" width="9" style="271"/>
  </cols>
  <sheetData>
    <row r="1" spans="1:46" ht="13.5" hidden="1" customHeight="1">
      <c r="AM1" s="275"/>
      <c r="AN1" s="275"/>
      <c r="AO1" s="275"/>
      <c r="AP1" s="275"/>
    </row>
    <row r="2" spans="1:46" ht="21.6" hidden="1" customHeight="1">
      <c r="B2" s="278" t="s">
        <v>0</v>
      </c>
      <c r="C2" s="278" t="s">
        <v>1</v>
      </c>
      <c r="D2" s="279"/>
      <c r="F2" s="279"/>
      <c r="AM2" s="275"/>
      <c r="AN2" s="275"/>
      <c r="AO2" s="275"/>
      <c r="AP2" s="275"/>
    </row>
    <row r="3" spans="1:46" ht="19.350000000000001" hidden="1" customHeight="1">
      <c r="C3" s="278" t="s">
        <v>2</v>
      </c>
      <c r="D3" s="279"/>
      <c r="F3" s="279"/>
      <c r="AM3" s="275"/>
      <c r="AN3" s="275"/>
      <c r="AO3" s="275"/>
      <c r="AP3" s="275"/>
    </row>
    <row r="4" spans="1:46" ht="21" hidden="1" customHeight="1">
      <c r="C4" s="278" t="s">
        <v>3</v>
      </c>
      <c r="D4" s="279"/>
      <c r="F4" s="279"/>
      <c r="AM4" s="275"/>
      <c r="AN4" s="275"/>
      <c r="AO4" s="275"/>
      <c r="AP4" s="275"/>
    </row>
    <row r="5" spans="1:46" ht="23.55" hidden="1" customHeight="1">
      <c r="B5" s="280"/>
      <c r="C5" s="278" t="s">
        <v>4</v>
      </c>
      <c r="D5" s="279"/>
      <c r="F5" s="279"/>
      <c r="AM5" s="275"/>
      <c r="AN5" s="275"/>
      <c r="AO5" s="275"/>
      <c r="AP5" s="275"/>
    </row>
    <row r="6" spans="1:46" ht="23.55" hidden="1" customHeight="1">
      <c r="B6" s="280"/>
      <c r="C6" s="278" t="s">
        <v>5</v>
      </c>
      <c r="D6" s="279"/>
      <c r="F6" s="279"/>
      <c r="AM6" s="275"/>
      <c r="AN6" s="275"/>
      <c r="AO6" s="275"/>
      <c r="AP6" s="275"/>
    </row>
    <row r="7" spans="1:46" ht="13.35" hidden="1" customHeight="1">
      <c r="AM7" s="275"/>
      <c r="AN7" s="275"/>
      <c r="AO7" s="275"/>
      <c r="AP7" s="275"/>
    </row>
    <row r="8" spans="1:46" s="262" customFormat="1" ht="13.35" customHeight="1">
      <c r="D8" s="272"/>
      <c r="F8" s="272"/>
      <c r="G8" s="281"/>
      <c r="L8" s="282" t="s">
        <v>6</v>
      </c>
      <c r="M8" s="283"/>
      <c r="N8" s="284"/>
      <c r="O8" s="284">
        <v>1</v>
      </c>
      <c r="P8" s="284">
        <v>10</v>
      </c>
      <c r="Q8" s="284">
        <v>0</v>
      </c>
      <c r="R8" s="284">
        <v>0</v>
      </c>
      <c r="S8" s="284">
        <v>0</v>
      </c>
      <c r="T8" s="284">
        <v>10</v>
      </c>
      <c r="U8" s="284">
        <v>17</v>
      </c>
      <c r="V8" s="284">
        <v>10</v>
      </c>
      <c r="W8" s="284">
        <v>9</v>
      </c>
      <c r="AK8" s="285"/>
      <c r="AL8" s="263"/>
      <c r="AM8" s="263"/>
      <c r="AN8" s="263"/>
      <c r="AO8" s="263"/>
      <c r="AP8" s="263"/>
      <c r="AQ8" s="286"/>
      <c r="AR8" s="286"/>
      <c r="AS8" s="281"/>
      <c r="AT8" s="281"/>
    </row>
    <row r="9" spans="1:46" s="262" customFormat="1" ht="13.35" customHeight="1">
      <c r="D9" s="272"/>
      <c r="F9" s="272"/>
      <c r="G9" s="281"/>
      <c r="L9" s="282" t="s">
        <v>7</v>
      </c>
      <c r="M9" s="283"/>
      <c r="N9" s="284"/>
      <c r="O9" s="284">
        <v>1</v>
      </c>
      <c r="P9" s="284">
        <v>10</v>
      </c>
      <c r="Q9" s="284">
        <v>0</v>
      </c>
      <c r="R9" s="284">
        <v>0</v>
      </c>
      <c r="S9" s="284">
        <v>0</v>
      </c>
      <c r="T9" s="284">
        <v>10</v>
      </c>
      <c r="U9" s="284">
        <v>17</v>
      </c>
      <c r="V9" s="284">
        <v>10</v>
      </c>
      <c r="W9" s="284">
        <v>9</v>
      </c>
      <c r="AK9" s="285"/>
      <c r="AL9" s="263"/>
      <c r="AM9" s="263"/>
      <c r="AN9" s="263"/>
      <c r="AO9" s="263"/>
      <c r="AP9" s="263"/>
      <c r="AQ9" s="286"/>
      <c r="AR9" s="286"/>
      <c r="AS9" s="281"/>
      <c r="AT9" s="281"/>
    </row>
    <row r="10" spans="1:46" s="262" customFormat="1" ht="13.35" customHeight="1">
      <c r="D10" s="272"/>
      <c r="F10" s="272"/>
      <c r="G10" s="281"/>
      <c r="L10" s="282" t="s">
        <v>8</v>
      </c>
      <c r="M10" s="283"/>
      <c r="N10" s="284"/>
      <c r="O10" s="284">
        <v>1</v>
      </c>
      <c r="P10" s="284">
        <v>10</v>
      </c>
      <c r="Q10" s="284">
        <v>0</v>
      </c>
      <c r="R10" s="284">
        <v>0</v>
      </c>
      <c r="S10" s="284">
        <v>0</v>
      </c>
      <c r="T10" s="284">
        <v>10</v>
      </c>
      <c r="U10" s="284">
        <v>13</v>
      </c>
      <c r="V10" s="284">
        <v>10</v>
      </c>
      <c r="W10" s="284">
        <v>9</v>
      </c>
      <c r="AK10" s="285"/>
      <c r="AL10" s="263"/>
      <c r="AM10" s="263"/>
      <c r="AN10" s="263"/>
      <c r="AO10" s="263"/>
      <c r="AP10" s="263"/>
      <c r="AQ10" s="286"/>
      <c r="AR10" s="286"/>
      <c r="AS10" s="281"/>
      <c r="AT10" s="281"/>
    </row>
    <row r="11" spans="1:46" s="262" customFormat="1" ht="13.35" customHeight="1">
      <c r="D11" s="272"/>
      <c r="F11" s="272"/>
      <c r="G11" s="281"/>
      <c r="L11" s="282" t="s">
        <v>9</v>
      </c>
      <c r="M11" s="283"/>
      <c r="N11" s="284"/>
      <c r="O11" s="284">
        <v>1</v>
      </c>
      <c r="P11" s="284">
        <v>10</v>
      </c>
      <c r="Q11" s="284">
        <v>0</v>
      </c>
      <c r="R11" s="284">
        <v>0</v>
      </c>
      <c r="S11" s="284">
        <v>0</v>
      </c>
      <c r="T11" s="284">
        <v>5</v>
      </c>
      <c r="U11" s="284">
        <v>7</v>
      </c>
      <c r="V11" s="284">
        <v>10</v>
      </c>
      <c r="W11" s="284">
        <v>5</v>
      </c>
      <c r="AK11" s="285"/>
      <c r="AL11" s="263"/>
      <c r="AM11" s="263"/>
      <c r="AN11" s="263"/>
      <c r="AO11" s="263"/>
      <c r="AP11" s="263"/>
      <c r="AQ11" s="286"/>
      <c r="AR11" s="286"/>
      <c r="AS11" s="281"/>
      <c r="AT11" s="281"/>
    </row>
    <row r="12" spans="1:46" s="262" customFormat="1" ht="20.100000000000001" customHeight="1">
      <c r="B12" s="287" t="s">
        <v>10</v>
      </c>
      <c r="D12" s="272"/>
      <c r="F12" s="272"/>
      <c r="G12" s="281"/>
      <c r="L12" s="288" t="s">
        <v>6</v>
      </c>
      <c r="M12" s="289"/>
      <c r="O12" s="47">
        <v>1</v>
      </c>
      <c r="P12" s="47">
        <v>5</v>
      </c>
      <c r="Q12" s="290">
        <v>1</v>
      </c>
      <c r="R12" s="47">
        <v>5</v>
      </c>
      <c r="T12" s="290">
        <v>10</v>
      </c>
      <c r="U12" s="47">
        <v>20</v>
      </c>
      <c r="V12" s="47">
        <v>3</v>
      </c>
      <c r="W12" s="290">
        <v>10</v>
      </c>
      <c r="X12" s="290">
        <v>2</v>
      </c>
      <c r="Y12" s="262">
        <v>5</v>
      </c>
      <c r="Z12" s="47">
        <v>20</v>
      </c>
      <c r="AA12" s="47">
        <v>10</v>
      </c>
      <c r="AE12" s="47">
        <v>5</v>
      </c>
      <c r="AF12" s="47">
        <v>5</v>
      </c>
      <c r="AG12" s="47"/>
      <c r="AH12" s="47"/>
      <c r="AI12" s="47"/>
      <c r="AK12" s="291"/>
      <c r="AL12" s="292"/>
      <c r="AM12" s="286"/>
      <c r="AN12" s="575" t="s">
        <v>11</v>
      </c>
      <c r="AO12" s="575"/>
      <c r="AP12" s="575"/>
      <c r="AQ12" s="286"/>
      <c r="AR12" s="286"/>
      <c r="AS12" s="281"/>
      <c r="AT12" s="281"/>
    </row>
    <row r="13" spans="1:46" s="262" customFormat="1" ht="12.75" customHeight="1">
      <c r="D13" s="272"/>
      <c r="F13" s="272"/>
      <c r="G13" s="281"/>
      <c r="L13" s="288" t="s">
        <v>7</v>
      </c>
      <c r="M13" s="289"/>
      <c r="O13" s="47">
        <v>1</v>
      </c>
      <c r="P13" s="47">
        <v>5</v>
      </c>
      <c r="Q13" s="290">
        <v>1</v>
      </c>
      <c r="R13" s="47">
        <v>5</v>
      </c>
      <c r="T13" s="290">
        <v>10</v>
      </c>
      <c r="U13" s="47">
        <v>20</v>
      </c>
      <c r="V13" s="47">
        <v>3</v>
      </c>
      <c r="W13" s="290">
        <v>10</v>
      </c>
      <c r="X13" s="290">
        <v>2</v>
      </c>
      <c r="Y13" s="262">
        <v>5</v>
      </c>
      <c r="Z13" s="47">
        <v>20</v>
      </c>
      <c r="AA13" s="47">
        <v>10</v>
      </c>
      <c r="AE13" s="47">
        <v>5</v>
      </c>
      <c r="AF13" s="47">
        <v>5</v>
      </c>
      <c r="AG13" s="47"/>
      <c r="AH13" s="47"/>
      <c r="AI13" s="47"/>
      <c r="AK13" s="291"/>
      <c r="AL13" s="292"/>
      <c r="AM13" s="286"/>
      <c r="AN13" s="575"/>
      <c r="AO13" s="575"/>
      <c r="AP13" s="575"/>
      <c r="AQ13" s="286"/>
      <c r="AR13" s="286"/>
      <c r="AS13" s="281"/>
      <c r="AT13" s="281"/>
    </row>
    <row r="14" spans="1:46" s="262" customFormat="1" ht="12.75" customHeight="1">
      <c r="D14" s="272"/>
      <c r="F14" s="272"/>
      <c r="G14" s="281"/>
      <c r="L14" s="288" t="s">
        <v>8</v>
      </c>
      <c r="M14" s="289"/>
      <c r="O14" s="47">
        <v>3</v>
      </c>
      <c r="P14" s="293">
        <v>5</v>
      </c>
      <c r="Q14" s="290">
        <v>1</v>
      </c>
      <c r="R14" s="293">
        <v>5</v>
      </c>
      <c r="T14" s="290">
        <v>10</v>
      </c>
      <c r="U14" s="47">
        <v>15</v>
      </c>
      <c r="V14" s="293">
        <v>3</v>
      </c>
      <c r="W14" s="290">
        <v>10</v>
      </c>
      <c r="X14" s="290">
        <v>2</v>
      </c>
      <c r="Y14" s="262">
        <v>5</v>
      </c>
      <c r="Z14" s="47">
        <v>15</v>
      </c>
      <c r="AA14" s="47">
        <v>10</v>
      </c>
      <c r="AE14" s="47">
        <v>5</v>
      </c>
      <c r="AF14" s="47">
        <v>5</v>
      </c>
      <c r="AG14" s="47"/>
      <c r="AH14" s="47"/>
      <c r="AI14" s="47"/>
      <c r="AK14" s="291"/>
      <c r="AL14" s="292"/>
      <c r="AM14" s="286"/>
      <c r="AN14" s="575"/>
      <c r="AO14" s="575"/>
      <c r="AP14" s="575"/>
      <c r="AQ14" s="286"/>
      <c r="AR14" s="286"/>
      <c r="AS14" s="281"/>
      <c r="AT14" s="281"/>
    </row>
    <row r="15" spans="1:46" s="262" customFormat="1" ht="12.75" customHeight="1">
      <c r="D15" s="272"/>
      <c r="F15" s="272"/>
      <c r="G15" s="281"/>
      <c r="L15" s="288" t="s">
        <v>9</v>
      </c>
      <c r="M15" s="289"/>
      <c r="O15" s="47">
        <v>3</v>
      </c>
      <c r="P15" s="47">
        <v>5</v>
      </c>
      <c r="Q15" s="290">
        <v>1</v>
      </c>
      <c r="R15" s="47">
        <v>3</v>
      </c>
      <c r="T15" s="290">
        <v>5</v>
      </c>
      <c r="U15" s="47">
        <v>7</v>
      </c>
      <c r="V15" s="47">
        <v>2</v>
      </c>
      <c r="W15" s="290">
        <v>5</v>
      </c>
      <c r="X15" s="290">
        <v>2</v>
      </c>
      <c r="Y15" s="262">
        <v>5</v>
      </c>
      <c r="Z15" s="47">
        <v>10</v>
      </c>
      <c r="AA15" s="47">
        <v>10</v>
      </c>
      <c r="AE15" s="294">
        <v>5</v>
      </c>
      <c r="AF15" s="294">
        <v>5</v>
      </c>
      <c r="AG15" s="294"/>
      <c r="AH15" s="47"/>
      <c r="AI15" s="47"/>
      <c r="AK15" s="291"/>
      <c r="AL15" s="292"/>
      <c r="AM15" s="286"/>
      <c r="AN15" s="575"/>
      <c r="AO15" s="575"/>
      <c r="AP15" s="575"/>
      <c r="AQ15" s="286"/>
      <c r="AR15" s="286"/>
      <c r="AS15" s="281"/>
      <c r="AT15" s="281"/>
    </row>
    <row r="16" spans="1:46" s="262" customFormat="1" ht="48.75" customHeight="1">
      <c r="A16" s="295" t="s">
        <v>12</v>
      </c>
      <c r="B16" s="295" t="s">
        <v>13</v>
      </c>
      <c r="C16" s="295" t="s">
        <v>14</v>
      </c>
      <c r="D16" s="296" t="s">
        <v>15</v>
      </c>
      <c r="E16" s="295" t="s">
        <v>16</v>
      </c>
      <c r="F16" s="296" t="s">
        <v>17</v>
      </c>
      <c r="G16" s="295" t="s">
        <v>18</v>
      </c>
      <c r="H16" s="295" t="s">
        <v>19</v>
      </c>
      <c r="I16" s="295" t="s">
        <v>20</v>
      </c>
      <c r="J16" s="295" t="s">
        <v>21</v>
      </c>
      <c r="K16" s="295" t="s">
        <v>22</v>
      </c>
      <c r="L16" s="295" t="s">
        <v>23</v>
      </c>
      <c r="M16" s="295"/>
      <c r="N16" s="295" t="s">
        <v>24</v>
      </c>
      <c r="O16" s="295" t="s">
        <v>25</v>
      </c>
      <c r="P16" s="295" t="s">
        <v>26</v>
      </c>
      <c r="Q16" s="297" t="s">
        <v>27</v>
      </c>
      <c r="R16" s="295" t="s">
        <v>28</v>
      </c>
      <c r="S16" s="295" t="s">
        <v>29</v>
      </c>
      <c r="T16" s="295" t="s">
        <v>30</v>
      </c>
      <c r="U16" s="297" t="s">
        <v>31</v>
      </c>
      <c r="V16" s="295" t="s">
        <v>32</v>
      </c>
      <c r="W16" s="297" t="s">
        <v>33</v>
      </c>
      <c r="X16" s="295" t="s">
        <v>34</v>
      </c>
      <c r="Y16" s="295" t="s">
        <v>35</v>
      </c>
      <c r="Z16" s="297" t="s">
        <v>36</v>
      </c>
      <c r="AA16" s="297" t="s">
        <v>37</v>
      </c>
      <c r="AB16" s="297" t="s">
        <v>38</v>
      </c>
      <c r="AC16" s="295" t="s">
        <v>39</v>
      </c>
      <c r="AD16" s="295" t="s">
        <v>40</v>
      </c>
      <c r="AE16" s="298" t="s">
        <v>41</v>
      </c>
      <c r="AF16" s="297" t="s">
        <v>42</v>
      </c>
      <c r="AG16" s="297" t="s">
        <v>43</v>
      </c>
      <c r="AH16" s="297" t="s">
        <v>44</v>
      </c>
      <c r="AI16" s="297" t="s">
        <v>45</v>
      </c>
      <c r="AJ16" s="295" t="s">
        <v>16</v>
      </c>
      <c r="AK16" s="295" t="s">
        <v>46</v>
      </c>
      <c r="AL16" s="295" t="s">
        <v>47</v>
      </c>
      <c r="AM16" s="295" t="s">
        <v>48</v>
      </c>
      <c r="AN16" s="299" t="s">
        <v>49</v>
      </c>
      <c r="AO16" s="299" t="s">
        <v>50</v>
      </c>
      <c r="AP16" s="299" t="s">
        <v>51</v>
      </c>
      <c r="AQ16" s="295" t="s">
        <v>18</v>
      </c>
      <c r="AR16" s="295"/>
      <c r="AS16" s="295"/>
      <c r="AT16" s="295" t="s">
        <v>51</v>
      </c>
    </row>
    <row r="17" spans="1:46" s="262" customFormat="1" ht="15.75" customHeight="1">
      <c r="A17" s="300"/>
      <c r="B17" s="300"/>
      <c r="C17" s="300"/>
      <c r="D17" s="301"/>
      <c r="E17" s="302"/>
      <c r="F17" s="301"/>
      <c r="G17" s="302"/>
      <c r="H17" s="300"/>
      <c r="I17" s="300"/>
      <c r="J17" s="300"/>
      <c r="K17" s="300"/>
      <c r="L17" s="300"/>
      <c r="M17" s="65" t="s">
        <v>52</v>
      </c>
      <c r="N17" s="300"/>
      <c r="O17" s="300"/>
      <c r="P17" s="300"/>
      <c r="Q17" s="300"/>
      <c r="R17" s="300"/>
      <c r="S17" s="300"/>
      <c r="T17" s="300"/>
      <c r="U17" s="300"/>
      <c r="V17" s="300"/>
      <c r="W17" s="300"/>
      <c r="X17" s="300"/>
      <c r="Y17" s="302"/>
      <c r="Z17" s="302"/>
      <c r="AA17" s="302"/>
      <c r="AB17" s="302"/>
      <c r="AC17" s="302"/>
      <c r="AD17" s="302"/>
      <c r="AE17" s="302"/>
      <c r="AF17" s="302"/>
      <c r="AG17" s="302"/>
      <c r="AH17" s="302"/>
      <c r="AI17" s="302"/>
      <c r="AJ17" s="302"/>
      <c r="AK17" s="302"/>
      <c r="AL17" s="302"/>
      <c r="AM17" s="302"/>
      <c r="AN17" s="302"/>
      <c r="AO17" s="302"/>
      <c r="AP17" s="302"/>
      <c r="AQ17" s="302"/>
      <c r="AR17" s="302"/>
      <c r="AS17" s="302"/>
      <c r="AT17" s="302" t="s">
        <v>53</v>
      </c>
    </row>
    <row r="18" spans="1:46" s="263" customFormat="1" ht="15.75" customHeight="1">
      <c r="A18" s="303"/>
      <c r="B18" s="303"/>
      <c r="C18" s="303"/>
      <c r="D18" s="304"/>
      <c r="E18" s="305"/>
      <c r="F18" s="304"/>
      <c r="G18" s="305"/>
      <c r="H18" s="303"/>
      <c r="I18" s="303"/>
      <c r="J18" s="303"/>
      <c r="K18" s="303"/>
      <c r="L18" s="303"/>
      <c r="M18" s="306" t="s">
        <v>54</v>
      </c>
      <c r="N18" s="307" t="s">
        <v>55</v>
      </c>
      <c r="O18" s="303" t="s">
        <v>56</v>
      </c>
      <c r="P18" s="303" t="s">
        <v>56</v>
      </c>
      <c r="Q18" s="303" t="s">
        <v>55</v>
      </c>
      <c r="R18" s="303" t="s">
        <v>56</v>
      </c>
      <c r="S18" s="303"/>
      <c r="T18" s="303" t="s">
        <v>55</v>
      </c>
      <c r="U18" s="303" t="s">
        <v>56</v>
      </c>
      <c r="V18" s="303" t="s">
        <v>56</v>
      </c>
      <c r="W18" s="303" t="s">
        <v>55</v>
      </c>
      <c r="X18" s="303" t="s">
        <v>55</v>
      </c>
      <c r="Y18" s="303" t="s">
        <v>55</v>
      </c>
      <c r="Z18" s="305" t="s">
        <v>55</v>
      </c>
      <c r="AA18" s="305" t="s">
        <v>56</v>
      </c>
      <c r="AB18" s="305"/>
      <c r="AC18" s="305"/>
      <c r="AD18" s="305"/>
      <c r="AE18" s="305"/>
      <c r="AF18" s="305"/>
      <c r="AG18" s="305"/>
      <c r="AH18" s="305"/>
      <c r="AI18" s="305"/>
      <c r="AJ18" s="305"/>
      <c r="AK18" s="305"/>
      <c r="AL18" s="305"/>
      <c r="AM18" s="305"/>
      <c r="AN18" s="305"/>
      <c r="AO18" s="305"/>
      <c r="AP18" s="305"/>
      <c r="AQ18" s="305"/>
      <c r="AR18" s="305"/>
      <c r="AS18" s="305"/>
      <c r="AT18" s="305"/>
    </row>
    <row r="19" spans="1:46" s="264" customFormat="1" ht="25.05" customHeight="1">
      <c r="A19" s="491">
        <v>1</v>
      </c>
      <c r="B19" s="308" t="s">
        <v>57</v>
      </c>
      <c r="C19" s="308" t="s">
        <v>58</v>
      </c>
      <c r="D19" s="504">
        <v>46</v>
      </c>
      <c r="E19" s="541">
        <v>50</v>
      </c>
      <c r="F19" s="548">
        <f>E19-D19</f>
        <v>4</v>
      </c>
      <c r="G19" s="309"/>
      <c r="H19" s="310"/>
      <c r="I19" s="311" t="s">
        <v>59</v>
      </c>
      <c r="J19" s="308" t="s">
        <v>60</v>
      </c>
      <c r="K19" s="312">
        <f>K22</f>
        <v>2</v>
      </c>
      <c r="L19" s="308" t="s">
        <v>6</v>
      </c>
      <c r="M19" s="313" t="s">
        <v>61</v>
      </c>
      <c r="N19" s="314">
        <f>WORKDAY.INTL(O19,-INDEX(O$12:O$15,MATCH($L19,$L$12:$L$15,0)),1,IF(N$18="China",'China Holidays'!$A$2:$A$82,'Thai Holidays'!$A$2:$A$63))</f>
        <v>46121</v>
      </c>
      <c r="O19" s="315">
        <v>46122</v>
      </c>
      <c r="P19" s="315">
        <v>46136</v>
      </c>
      <c r="Q19" s="315">
        <v>46139</v>
      </c>
      <c r="R19" s="315">
        <v>46148</v>
      </c>
      <c r="S19" s="315">
        <f>R19+1</f>
        <v>46149</v>
      </c>
      <c r="T19" s="315">
        <v>46162</v>
      </c>
      <c r="U19" s="315">
        <v>46192</v>
      </c>
      <c r="V19" s="315">
        <v>46197</v>
      </c>
      <c r="W19" s="315">
        <v>46211</v>
      </c>
      <c r="X19" s="315">
        <v>46213</v>
      </c>
      <c r="Y19" s="315">
        <v>46220</v>
      </c>
      <c r="Z19" s="315">
        <v>46248</v>
      </c>
      <c r="AA19" s="315">
        <v>46262</v>
      </c>
      <c r="AB19" s="315">
        <f>AA19+45</f>
        <v>46307</v>
      </c>
      <c r="AC19" s="315">
        <f>AB19+3</f>
        <v>46310</v>
      </c>
      <c r="AD19" s="315">
        <f>AC19+3</f>
        <v>46313</v>
      </c>
      <c r="AE19" s="315">
        <f>AF19-30</f>
        <v>46517</v>
      </c>
      <c r="AF19" s="315">
        <f>AG19-14</f>
        <v>46547</v>
      </c>
      <c r="AG19" s="315">
        <v>46561</v>
      </c>
      <c r="AH19" s="315">
        <v>46575</v>
      </c>
      <c r="AI19" s="315">
        <v>46591</v>
      </c>
      <c r="AJ19" s="316">
        <v>47</v>
      </c>
      <c r="AK19" s="317"/>
      <c r="AL19" s="315">
        <v>46561</v>
      </c>
      <c r="AM19" s="318"/>
      <c r="AN19" s="318"/>
      <c r="AO19" s="318"/>
      <c r="AP19" s="318"/>
      <c r="AQ19" s="309"/>
      <c r="AR19" s="319"/>
      <c r="AS19" s="320" t="s">
        <v>62</v>
      </c>
      <c r="AT19" s="321">
        <v>46568</v>
      </c>
    </row>
    <row r="20" spans="1:46" s="264" customFormat="1" ht="25.05" customHeight="1">
      <c r="A20" s="491"/>
      <c r="B20" s="308" t="str">
        <f>B19</f>
        <v>RFQ-MEC-001</v>
      </c>
      <c r="C20" s="308" t="s">
        <v>58</v>
      </c>
      <c r="D20" s="505"/>
      <c r="E20" s="542"/>
      <c r="F20" s="549"/>
      <c r="G20" s="309"/>
      <c r="H20" s="310"/>
      <c r="I20" s="311" t="s">
        <v>59</v>
      </c>
      <c r="J20" s="308"/>
      <c r="K20" s="322"/>
      <c r="L20" s="308"/>
      <c r="M20" s="323" t="s">
        <v>63</v>
      </c>
      <c r="N20" s="324"/>
      <c r="O20" s="325">
        <v>46122</v>
      </c>
      <c r="P20" s="325">
        <v>46145</v>
      </c>
      <c r="Q20" s="325">
        <v>46145</v>
      </c>
      <c r="R20" s="325">
        <v>46145</v>
      </c>
      <c r="S20" s="325">
        <v>46145</v>
      </c>
      <c r="T20" s="325">
        <v>46157</v>
      </c>
      <c r="U20" s="325">
        <v>46184</v>
      </c>
      <c r="V20" s="325">
        <v>46198</v>
      </c>
      <c r="W20" s="325">
        <v>46211</v>
      </c>
      <c r="X20" s="325">
        <v>46213</v>
      </c>
      <c r="Y20" s="325">
        <v>46220</v>
      </c>
      <c r="Z20" s="325">
        <v>46248</v>
      </c>
      <c r="AA20" s="325">
        <v>46262</v>
      </c>
      <c r="AB20" s="325">
        <v>46307</v>
      </c>
      <c r="AC20" s="325">
        <v>46310</v>
      </c>
      <c r="AD20" s="325">
        <v>46313</v>
      </c>
      <c r="AE20" s="325">
        <v>46496</v>
      </c>
      <c r="AF20" s="325">
        <v>46526</v>
      </c>
      <c r="AG20" s="325">
        <v>46540</v>
      </c>
      <c r="AH20" s="325">
        <v>46554</v>
      </c>
      <c r="AI20" s="325">
        <v>46570</v>
      </c>
      <c r="AJ20" s="316"/>
      <c r="AK20" s="326"/>
      <c r="AL20" s="325">
        <f>W20+AK21</f>
        <v>46540</v>
      </c>
      <c r="AM20" s="327">
        <f>AM21</f>
        <v>46565</v>
      </c>
      <c r="AN20" s="327"/>
      <c r="AO20" s="327"/>
      <c r="AP20" s="327"/>
      <c r="AQ20" s="328">
        <f>AM21-AL20</f>
        <v>25</v>
      </c>
      <c r="AR20" s="329"/>
      <c r="AS20" s="330"/>
      <c r="AT20" s="331"/>
    </row>
    <row r="21" spans="1:46" s="265" customFormat="1" ht="25.05" customHeight="1">
      <c r="A21" s="491"/>
      <c r="B21" s="308" t="str">
        <f>B19</f>
        <v>RFQ-MEC-001</v>
      </c>
      <c r="C21" s="308" t="s">
        <v>58</v>
      </c>
      <c r="D21" s="506"/>
      <c r="E21" s="543"/>
      <c r="F21" s="550"/>
      <c r="G21" s="309">
        <v>4</v>
      </c>
      <c r="H21" s="332" t="s">
        <v>64</v>
      </c>
      <c r="I21" s="309" t="s">
        <v>59</v>
      </c>
      <c r="J21" s="333" t="s">
        <v>60</v>
      </c>
      <c r="K21" s="333">
        <f>K22</f>
        <v>2</v>
      </c>
      <c r="L21" s="333" t="s">
        <v>6</v>
      </c>
      <c r="M21" s="334" t="s">
        <v>65</v>
      </c>
      <c r="N21" s="315">
        <v>46121</v>
      </c>
      <c r="O21" s="315">
        <v>46122</v>
      </c>
      <c r="P21" s="315">
        <v>46145</v>
      </c>
      <c r="Q21" s="315">
        <f>WORKDAY.INTL(P21,INDEX(Q$8:Q$11,MATCH($L21,$L$8:$L$11,0)),1,IF(Q$18="China",'China Holidays'!$A$2:$A$82,'Thai Holidays'!$A$2:$A$63))</f>
        <v>46145</v>
      </c>
      <c r="R21" s="315">
        <f>WORKDAY.INTL(Q21,INDEX(R$8:R$11,MATCH($L21,$L$8:$L$11,0)),1,IF(R$18="China",'China Holidays'!$A$2:$A$82,'Thai Holidays'!$A$2:$A$63))</f>
        <v>46145</v>
      </c>
      <c r="S21" s="315">
        <f>WORKDAY.INTL(R21,INDEX(S$8:S$11,MATCH($L21,$L$8:$L$11,0)),1,IF(S$18="China",'China Holidays'!$A$2:$A$82,'Thai Holidays'!$A$2:$A$63))</f>
        <v>46145</v>
      </c>
      <c r="T21" s="315">
        <f>WORKDAY.INTL(S21,INDEX(T$8:T$11,MATCH($L21,$L$8:$L$11,0)),1,IF(T$18="China",'China Holidays'!$A$2:$A$82,'Thai Holidays'!$A$2:$A$63))</f>
        <v>46157</v>
      </c>
      <c r="U21" s="315">
        <f>WORKDAY.INTL(T21,INDEX(U$8:U$11,MATCH($L21,$L$8:$L$11,0)),1,IF(U$18="China",'China Holidays'!$A$2:$A$82,'Thai Holidays'!$A$2:$A$63))</f>
        <v>46184</v>
      </c>
      <c r="V21" s="315">
        <f>WORKDAY.INTL(U21,INDEX(V$8:V$11,MATCH($L21,$L$8:$L$11,0)),1,IF(V$18="China",'China Holidays'!$A$2:$A$82,'Thai Holidays'!$A$2:$A$63))</f>
        <v>46198</v>
      </c>
      <c r="W21" s="315">
        <f>WORKDAY.INTL(V21,INDEX(W$8:W$11,MATCH($L21,$L$8:$L$11,0)),1,IF(W$18="China",'China Holidays'!$A$2:$A$82,'Thai Holidays'!$A$2:$A$63))</f>
        <v>46211</v>
      </c>
      <c r="X21" s="315">
        <f>WORKDAY.INTL(W21,INDEX(X$12:X$15,MATCH($L21,$L$12:$L$15,0)),1,IF(X$18="China",'China Holidays'!$A$2:$A$82,'Thai Holidays'!$A$2:$A$63))</f>
        <v>46213</v>
      </c>
      <c r="Y21" s="315">
        <f>WORKDAY.INTL(X21,INDEX(Y$12:Y$15,MATCH($L21,$L$12:$L$15,0)),1,IF(Y$18="China",'China Holidays'!$A$2:$A$82,'Thai Holidays'!$A$2:$A$63))</f>
        <v>46220</v>
      </c>
      <c r="Z21" s="315">
        <f>WORKDAY.INTL(Y21,INDEX(Z$12:Z$15,MATCH($L21,$L$12:$L$15,0)),1,IF(Z$18="China",'China Holidays'!$A$2:$A$82,'Thai Holidays'!$A$2:$A$63))</f>
        <v>46248</v>
      </c>
      <c r="AA21" s="315">
        <f>WORKDAY.INTL(Z21,INDEX(AA$12:AA$15,MATCH($L21,$L$12:$L$15,0)),1,IF(AA$18="China",'China Holidays'!$A$2:$A$82,'Thai Holidays'!$A$2:$A$63))</f>
        <v>46262</v>
      </c>
      <c r="AB21" s="315">
        <f>AA21+45</f>
        <v>46307</v>
      </c>
      <c r="AC21" s="315">
        <f>AB21+3</f>
        <v>46310</v>
      </c>
      <c r="AD21" s="315">
        <f>AC21+3</f>
        <v>46313</v>
      </c>
      <c r="AE21" s="315">
        <f>AF21-30</f>
        <v>46496</v>
      </c>
      <c r="AF21" s="315">
        <f>AG21-14</f>
        <v>46526</v>
      </c>
      <c r="AG21" s="315">
        <f>AL21</f>
        <v>46540</v>
      </c>
      <c r="AH21" s="315">
        <f>AL21+14</f>
        <v>46554</v>
      </c>
      <c r="AI21" s="315">
        <f>AL21+30</f>
        <v>46570</v>
      </c>
      <c r="AJ21" s="335"/>
      <c r="AK21" s="317">
        <f>AJ19*7</f>
        <v>329</v>
      </c>
      <c r="AL21" s="315">
        <f>W21+AK21</f>
        <v>46540</v>
      </c>
      <c r="AM21" s="318">
        <f>AT19-3</f>
        <v>46565</v>
      </c>
      <c r="AN21" s="318">
        <f>AO21-7</f>
        <v>46561</v>
      </c>
      <c r="AO21" s="318">
        <v>46568</v>
      </c>
      <c r="AP21" s="336"/>
      <c r="AQ21" s="309">
        <f>AM21-AL21</f>
        <v>25</v>
      </c>
      <c r="AR21" s="309">
        <f>AN21-AL21</f>
        <v>21</v>
      </c>
      <c r="AS21" s="320" t="s">
        <v>66</v>
      </c>
      <c r="AT21" s="321">
        <v>46574</v>
      </c>
    </row>
    <row r="22" spans="1:46" s="264" customFormat="1" ht="25.05" customHeight="1">
      <c r="A22" s="492"/>
      <c r="B22" s="337" t="str">
        <f>B19</f>
        <v>RFQ-MEC-001</v>
      </c>
      <c r="C22" s="337" t="s">
        <v>58</v>
      </c>
      <c r="D22" s="507"/>
      <c r="E22" s="544"/>
      <c r="F22" s="551"/>
      <c r="G22" s="338"/>
      <c r="H22" s="339"/>
      <c r="I22" s="340" t="s">
        <v>59</v>
      </c>
      <c r="J22" s="337" t="s">
        <v>60</v>
      </c>
      <c r="K22" s="308">
        <v>2</v>
      </c>
      <c r="L22" s="337" t="s">
        <v>6</v>
      </c>
      <c r="M22" s="341" t="s">
        <v>67</v>
      </c>
      <c r="N22" s="342">
        <v>46120</v>
      </c>
      <c r="O22" s="342">
        <v>46122</v>
      </c>
      <c r="P22" s="342">
        <v>46139</v>
      </c>
      <c r="Q22" s="342">
        <f>P22</f>
        <v>46139</v>
      </c>
      <c r="R22" s="342">
        <f>Q22</f>
        <v>46139</v>
      </c>
      <c r="S22" s="342">
        <f>R22</f>
        <v>46139</v>
      </c>
      <c r="T22" s="342">
        <v>46143</v>
      </c>
      <c r="U22" s="342">
        <v>46185</v>
      </c>
      <c r="V22" s="342">
        <v>46190</v>
      </c>
      <c r="W22" s="340">
        <f>W19-W21</f>
        <v>0</v>
      </c>
      <c r="X22" s="342"/>
      <c r="Y22" s="342"/>
      <c r="Z22" s="342"/>
      <c r="AA22" s="342"/>
      <c r="AB22" s="343"/>
      <c r="AC22" s="343"/>
      <c r="AD22" s="343"/>
      <c r="AE22" s="343"/>
      <c r="AF22" s="343"/>
      <c r="AG22" s="343"/>
      <c r="AH22" s="343"/>
      <c r="AI22" s="343"/>
      <c r="AJ22" s="344"/>
      <c r="AK22" s="345"/>
      <c r="AL22" s="342"/>
      <c r="AM22" s="346"/>
      <c r="AN22" s="346"/>
      <c r="AO22" s="346"/>
      <c r="AP22" s="346" t="s">
        <v>68</v>
      </c>
      <c r="AQ22" s="338"/>
      <c r="AR22" s="347"/>
      <c r="AS22" s="348"/>
      <c r="AT22" s="349"/>
    </row>
    <row r="23" spans="1:46" s="264" customFormat="1" ht="25.05" customHeight="1">
      <c r="A23" s="493">
        <f>A19+1</f>
        <v>2</v>
      </c>
      <c r="B23" s="308" t="s">
        <v>69</v>
      </c>
      <c r="C23" s="308" t="s">
        <v>70</v>
      </c>
      <c r="D23" s="508">
        <v>14</v>
      </c>
      <c r="E23" s="541">
        <v>25</v>
      </c>
      <c r="F23" s="518"/>
      <c r="G23" s="311"/>
      <c r="H23" s="310"/>
      <c r="I23" s="311" t="s">
        <v>59</v>
      </c>
      <c r="J23" s="308" t="s">
        <v>71</v>
      </c>
      <c r="K23" s="312">
        <f>K26</f>
        <v>4</v>
      </c>
      <c r="L23" s="308" t="s">
        <v>8</v>
      </c>
      <c r="M23" s="313" t="s">
        <v>61</v>
      </c>
      <c r="N23" s="350">
        <f>WORKDAY.INTL(O23,-INDEX(O$12:O$15,MATCH($L23,$L$12:$L$15,0)),1,IF(N$18="China",'China Holidays'!$A$2:$A$82,'Thai Holidays'!$A$2:$A$63))</f>
        <v>46184</v>
      </c>
      <c r="O23" s="350">
        <v>46189</v>
      </c>
      <c r="P23" s="350">
        <v>46196</v>
      </c>
      <c r="Q23" s="350">
        <v>46197</v>
      </c>
      <c r="R23" s="350">
        <v>46204</v>
      </c>
      <c r="S23" s="350">
        <f>R23+1</f>
        <v>46205</v>
      </c>
      <c r="T23" s="350">
        <v>46218</v>
      </c>
      <c r="U23" s="350">
        <v>46241</v>
      </c>
      <c r="V23" s="350">
        <v>46247</v>
      </c>
      <c r="W23" s="350">
        <v>46261</v>
      </c>
      <c r="X23" s="350">
        <v>46265</v>
      </c>
      <c r="Y23" s="350">
        <v>46272</v>
      </c>
      <c r="Z23" s="350">
        <v>46293</v>
      </c>
      <c r="AA23" s="350">
        <v>46307</v>
      </c>
      <c r="AB23" s="350">
        <v>46352</v>
      </c>
      <c r="AC23" s="350">
        <v>46355</v>
      </c>
      <c r="AD23" s="350">
        <v>46356</v>
      </c>
      <c r="AE23" s="350">
        <v>46392</v>
      </c>
      <c r="AF23" s="350">
        <v>46422</v>
      </c>
      <c r="AG23" s="350">
        <v>46436</v>
      </c>
      <c r="AH23" s="350">
        <v>46450</v>
      </c>
      <c r="AI23" s="350">
        <v>46466</v>
      </c>
      <c r="AJ23" s="316">
        <v>25</v>
      </c>
      <c r="AK23" s="351"/>
      <c r="AL23" s="350">
        <v>46436</v>
      </c>
      <c r="AM23" s="327"/>
      <c r="AN23" s="327"/>
      <c r="AO23" s="327"/>
      <c r="AP23" s="327"/>
      <c r="AQ23" s="311"/>
      <c r="AR23" s="329"/>
      <c r="AS23" s="330" t="s">
        <v>62</v>
      </c>
      <c r="AT23" s="331">
        <v>46568</v>
      </c>
    </row>
    <row r="24" spans="1:46" s="264" customFormat="1" ht="25.05" customHeight="1">
      <c r="A24" s="491"/>
      <c r="B24" s="308" t="str">
        <f>B23</f>
        <v>RFQ-MEC-002</v>
      </c>
      <c r="C24" s="308" t="s">
        <v>70</v>
      </c>
      <c r="D24" s="505"/>
      <c r="E24" s="542"/>
      <c r="F24" s="519"/>
      <c r="G24" s="311"/>
      <c r="H24" s="310"/>
      <c r="I24" s="311" t="s">
        <v>59</v>
      </c>
      <c r="J24" s="308"/>
      <c r="K24" s="322"/>
      <c r="L24" s="308"/>
      <c r="M24" s="323" t="s">
        <v>63</v>
      </c>
      <c r="N24" s="325"/>
      <c r="O24" s="325">
        <v>46203</v>
      </c>
      <c r="P24" s="325">
        <v>46217</v>
      </c>
      <c r="Q24" s="325">
        <v>46217</v>
      </c>
      <c r="R24" s="325">
        <v>46217</v>
      </c>
      <c r="S24" s="325">
        <v>46217</v>
      </c>
      <c r="T24" s="325">
        <v>46231</v>
      </c>
      <c r="U24" s="325">
        <v>46252</v>
      </c>
      <c r="V24" s="325">
        <v>46266</v>
      </c>
      <c r="W24" s="325">
        <v>46279</v>
      </c>
      <c r="X24" s="325">
        <v>46281</v>
      </c>
      <c r="Y24" s="325">
        <v>46288</v>
      </c>
      <c r="Z24" s="325">
        <v>46317</v>
      </c>
      <c r="AA24" s="325">
        <v>46332</v>
      </c>
      <c r="AB24" s="325">
        <v>46377</v>
      </c>
      <c r="AC24" s="325">
        <v>46380</v>
      </c>
      <c r="AD24" s="325">
        <v>46381</v>
      </c>
      <c r="AE24" s="325">
        <v>46410</v>
      </c>
      <c r="AF24" s="325">
        <v>46440</v>
      </c>
      <c r="AG24" s="325">
        <v>46454</v>
      </c>
      <c r="AH24" s="325">
        <v>46468</v>
      </c>
      <c r="AI24" s="325">
        <v>46484</v>
      </c>
      <c r="AJ24" s="316"/>
      <c r="AK24" s="326"/>
      <c r="AL24" s="325">
        <f>W24+AK25</f>
        <v>46454</v>
      </c>
      <c r="AM24" s="327"/>
      <c r="AN24" s="327"/>
      <c r="AO24" s="327"/>
      <c r="AP24" s="327"/>
      <c r="AQ24" s="328">
        <f>AM25-AL24</f>
        <v>111</v>
      </c>
      <c r="AR24" s="329"/>
      <c r="AS24" s="330"/>
      <c r="AT24" s="331"/>
    </row>
    <row r="25" spans="1:46" s="265" customFormat="1" ht="25.05" customHeight="1">
      <c r="A25" s="491"/>
      <c r="B25" s="308" t="str">
        <f>B23</f>
        <v>RFQ-MEC-002</v>
      </c>
      <c r="C25" s="308" t="s">
        <v>70</v>
      </c>
      <c r="D25" s="506"/>
      <c r="E25" s="543"/>
      <c r="F25" s="552"/>
      <c r="G25" s="309">
        <v>111</v>
      </c>
      <c r="H25" s="332" t="s">
        <v>72</v>
      </c>
      <c r="I25" s="309" t="s">
        <v>59</v>
      </c>
      <c r="J25" s="333" t="s">
        <v>71</v>
      </c>
      <c r="K25" s="333">
        <f>K26</f>
        <v>4</v>
      </c>
      <c r="L25" s="333" t="s">
        <v>8</v>
      </c>
      <c r="M25" s="334" t="s">
        <v>65</v>
      </c>
      <c r="N25" s="315">
        <f>WORKDAY.INTL(O25,-INDEX(O$12:O$15,MATCH($L25,$L$12:$L$15,0)),1,IF(N$18="China",'China Holidays'!$A$2:$A$82,'Thai Holidays'!$A$2:$A$63))</f>
        <v>46198</v>
      </c>
      <c r="O25" s="315">
        <v>46203</v>
      </c>
      <c r="P25" s="315">
        <f>WORKDAY.INTL(O25,INDEX(P$8:P$11,MATCH($L25,$L$8:$L$11,0)),1,IF(P$18="China",'China Holidays'!$A$2:$A$82,'Thai Holidays'!$A$2:$A$63))</f>
        <v>46217</v>
      </c>
      <c r="Q25" s="315">
        <f>WORKDAY.INTL(P25,INDEX(Q$8:Q$11,MATCH($L25,$L$8:$L$11,0)),1,IF(Q$18="China",'China Holidays'!$A$2:$A$82,'Thai Holidays'!$A$2:$A$63))</f>
        <v>46217</v>
      </c>
      <c r="R25" s="315">
        <f>WORKDAY.INTL(Q25,INDEX(R$8:R$11,MATCH($L25,$L$8:$L$11,0)),1,IF(R$18="China",'China Holidays'!$A$2:$A$82,'Thai Holidays'!$A$2:$A$63))</f>
        <v>46217</v>
      </c>
      <c r="S25" s="315">
        <f>WORKDAY.INTL(R25,INDEX(S$8:S$11,MATCH($L25,$L$8:$L$11,0)),1,IF(S$18="China",'China Holidays'!$A$2:$A$82,'Thai Holidays'!$A$2:$A$63))</f>
        <v>46217</v>
      </c>
      <c r="T25" s="315">
        <f>WORKDAY.INTL(S25,INDEX(T$8:T$11,MATCH($L25,$L$8:$L$11,0)),1,IF(T$18="China",'China Holidays'!$A$2:$A$82,'Thai Holidays'!$A$2:$A$63))</f>
        <v>46231</v>
      </c>
      <c r="U25" s="315">
        <f>WORKDAY.INTL(T25,INDEX(U$8:U$11,MATCH($L25,$L$8:$L$11,0)),1,IF(U$18="China",'China Holidays'!$A$2:$A$82,'Thai Holidays'!$A$2:$A$63))</f>
        <v>46252</v>
      </c>
      <c r="V25" s="315">
        <f>WORKDAY.INTL(U25,INDEX(V$8:V$11,MATCH($L25,$L$8:$L$11,0)),1,IF(V$18="China",'China Holidays'!$A$2:$A$82,'Thai Holidays'!$A$2:$A$63))</f>
        <v>46266</v>
      </c>
      <c r="W25" s="315">
        <f>WORKDAY.INTL(V25,INDEX(W$8:W$11,MATCH($L25,$L$8:$L$11,0)),1,IF(W$18="China",'China Holidays'!$A$2:$A$82,'Thai Holidays'!$A$2:$A$63))</f>
        <v>46279</v>
      </c>
      <c r="X25" s="315">
        <f>WORKDAY.INTL(W25,INDEX(X$12:X$15,MATCH($L25,$L$12:$L$15,0)),1,IF(X$18="China",'China Holidays'!$A$2:$A$82,'Thai Holidays'!$A$2:$A$63))</f>
        <v>46281</v>
      </c>
      <c r="Y25" s="315">
        <f>WORKDAY.INTL(X25,INDEX(Y$12:Y$15,MATCH($L25,$L$12:$L$15,0)),1,IF(Y$18="China",'China Holidays'!$A$2:$A$82,'Thai Holidays'!$A$2:$A$63))</f>
        <v>46288</v>
      </c>
      <c r="Z25" s="315">
        <f>WORKDAY.INTL(Y25,INDEX(Z$12:Z$15,MATCH($L25,$L$12:$L$15,0)),1,IF(Z$18="China",'China Holidays'!$A$2:$A$82,'Thai Holidays'!$A$2:$A$63))</f>
        <v>46317</v>
      </c>
      <c r="AA25" s="315">
        <f>WORKDAY.INTL(Z25,INDEX(AA$12:AA$15,MATCH($L25,$L$12:$L$15,0)),1,IF(AA$18="China",'China Holidays'!$A$2:$A$82,'Thai Holidays'!$A$2:$A$63))</f>
        <v>46332</v>
      </c>
      <c r="AB25" s="315">
        <f>AA25+45</f>
        <v>46377</v>
      </c>
      <c r="AC25" s="315">
        <f>AB25+3</f>
        <v>46380</v>
      </c>
      <c r="AD25" s="315">
        <f>AC25+1</f>
        <v>46381</v>
      </c>
      <c r="AE25" s="315">
        <f>AF25-30</f>
        <v>46410</v>
      </c>
      <c r="AF25" s="315">
        <f>AG25-14</f>
        <v>46440</v>
      </c>
      <c r="AG25" s="315">
        <f>AL25</f>
        <v>46454</v>
      </c>
      <c r="AH25" s="315">
        <f>AL25+14</f>
        <v>46468</v>
      </c>
      <c r="AI25" s="315">
        <f>AL25+30</f>
        <v>46484</v>
      </c>
      <c r="AJ25" s="352"/>
      <c r="AK25" s="317">
        <f>AJ23*7</f>
        <v>175</v>
      </c>
      <c r="AL25" s="315">
        <f>W25+AK25</f>
        <v>46454</v>
      </c>
      <c r="AM25" s="318">
        <f>AT23-3</f>
        <v>46565</v>
      </c>
      <c r="AN25" s="318"/>
      <c r="AO25" s="318"/>
      <c r="AP25" s="318" t="s">
        <v>73</v>
      </c>
      <c r="AQ25" s="309">
        <f>AM25-AL25</f>
        <v>111</v>
      </c>
      <c r="AR25" s="319"/>
      <c r="AS25" s="320" t="s">
        <v>66</v>
      </c>
      <c r="AT25" s="321">
        <v>46574</v>
      </c>
    </row>
    <row r="26" spans="1:46" s="264" customFormat="1" ht="25.05" customHeight="1">
      <c r="A26" s="492"/>
      <c r="B26" s="337" t="str">
        <f>B23</f>
        <v>RFQ-MEC-002</v>
      </c>
      <c r="C26" s="337" t="s">
        <v>70</v>
      </c>
      <c r="D26" s="507"/>
      <c r="E26" s="544"/>
      <c r="F26" s="520"/>
      <c r="G26" s="340"/>
      <c r="H26" s="339"/>
      <c r="I26" s="340" t="s">
        <v>59</v>
      </c>
      <c r="J26" s="337" t="s">
        <v>71</v>
      </c>
      <c r="K26" s="308">
        <v>4</v>
      </c>
      <c r="L26" s="337" t="s">
        <v>8</v>
      </c>
      <c r="M26" s="341" t="s">
        <v>67</v>
      </c>
      <c r="N26" s="340"/>
      <c r="O26" s="343">
        <v>46170</v>
      </c>
      <c r="P26" s="343">
        <v>46188</v>
      </c>
      <c r="Q26" s="343">
        <v>46188</v>
      </c>
      <c r="R26" s="343">
        <v>46188</v>
      </c>
      <c r="S26" s="343">
        <v>46191</v>
      </c>
      <c r="T26" s="343"/>
      <c r="U26" s="343"/>
      <c r="V26" s="343"/>
      <c r="W26" s="340">
        <f>W23-W25</f>
        <v>-18</v>
      </c>
      <c r="X26" s="343"/>
      <c r="Y26" s="343"/>
      <c r="Z26" s="343"/>
      <c r="AA26" s="343"/>
      <c r="AB26" s="343"/>
      <c r="AC26" s="343"/>
      <c r="AD26" s="343"/>
      <c r="AE26" s="343"/>
      <c r="AF26" s="343"/>
      <c r="AG26" s="343"/>
      <c r="AH26" s="343"/>
      <c r="AI26" s="343"/>
      <c r="AJ26" s="353"/>
      <c r="AK26" s="354"/>
      <c r="AL26" s="343"/>
      <c r="AM26" s="355"/>
      <c r="AN26" s="355"/>
      <c r="AO26" s="355"/>
      <c r="AP26" s="355"/>
      <c r="AQ26" s="340"/>
      <c r="AR26" s="356"/>
      <c r="AS26" s="357"/>
      <c r="AT26" s="356"/>
    </row>
    <row r="27" spans="1:46" s="264" customFormat="1" ht="25.05" customHeight="1">
      <c r="A27" s="493">
        <f t="shared" ref="A27" si="0">A23+1</f>
        <v>3</v>
      </c>
      <c r="B27" s="308" t="s">
        <v>74</v>
      </c>
      <c r="C27" s="308" t="s">
        <v>75</v>
      </c>
      <c r="D27" s="509">
        <v>26</v>
      </c>
      <c r="E27" s="545">
        <v>25.714285714285701</v>
      </c>
      <c r="F27" s="553">
        <f>E27-D27</f>
        <v>-0.28571428571429891</v>
      </c>
      <c r="G27" s="309"/>
      <c r="H27" s="310"/>
      <c r="I27" s="311" t="s">
        <v>59</v>
      </c>
      <c r="J27" s="308" t="s">
        <v>60</v>
      </c>
      <c r="K27" s="312">
        <f>K30</f>
        <v>3</v>
      </c>
      <c r="L27" s="308" t="s">
        <v>6</v>
      </c>
      <c r="M27" s="313" t="s">
        <v>61</v>
      </c>
      <c r="N27" s="315">
        <f>WORKDAY.INTL(O27,-INDEX(O$12:O$15,MATCH($L27,$L$12:$L$15,0)),1,IF(N$18="China",'China Holidays'!$A$2:$A$82,'Thai Holidays'!$A$2:$A$63))</f>
        <v>46169</v>
      </c>
      <c r="O27" s="315">
        <v>46170</v>
      </c>
      <c r="P27" s="315">
        <v>46181</v>
      </c>
      <c r="Q27" s="315">
        <v>46182</v>
      </c>
      <c r="R27" s="315">
        <v>46189</v>
      </c>
      <c r="S27" s="315">
        <f>R27+1</f>
        <v>46190</v>
      </c>
      <c r="T27" s="315">
        <v>46204</v>
      </c>
      <c r="U27" s="315">
        <v>46234</v>
      </c>
      <c r="V27" s="315">
        <v>46239</v>
      </c>
      <c r="W27" s="315">
        <v>46253</v>
      </c>
      <c r="X27" s="315">
        <v>46255</v>
      </c>
      <c r="Y27" s="315">
        <v>46262</v>
      </c>
      <c r="Z27" s="315">
        <v>46290</v>
      </c>
      <c r="AA27" s="315">
        <v>46304</v>
      </c>
      <c r="AB27" s="350">
        <v>46364</v>
      </c>
      <c r="AC27" s="350">
        <v>46367</v>
      </c>
      <c r="AD27" s="350">
        <v>46368</v>
      </c>
      <c r="AE27" s="315">
        <v>46402</v>
      </c>
      <c r="AF27" s="315">
        <v>46432</v>
      </c>
      <c r="AG27" s="315">
        <v>46433</v>
      </c>
      <c r="AH27" s="315">
        <v>46447</v>
      </c>
      <c r="AI27" s="315">
        <v>46463</v>
      </c>
      <c r="AJ27" s="335">
        <v>25.714285714285701</v>
      </c>
      <c r="AK27" s="358"/>
      <c r="AL27" s="315">
        <v>46433</v>
      </c>
      <c r="AM27" s="318"/>
      <c r="AN27" s="318"/>
      <c r="AO27" s="318"/>
      <c r="AP27" s="318"/>
      <c r="AQ27" s="309"/>
      <c r="AR27" s="319"/>
      <c r="AS27" s="320" t="s">
        <v>62</v>
      </c>
      <c r="AT27" s="321">
        <v>46443</v>
      </c>
    </row>
    <row r="28" spans="1:46" s="264" customFormat="1" ht="25.05" customHeight="1">
      <c r="A28" s="491"/>
      <c r="B28" s="308" t="str">
        <f>B27</f>
        <v>RFQ-MEC-003</v>
      </c>
      <c r="C28" s="308" t="s">
        <v>75</v>
      </c>
      <c r="D28" s="510"/>
      <c r="E28" s="543"/>
      <c r="F28" s="554"/>
      <c r="G28" s="309"/>
      <c r="H28" s="310"/>
      <c r="I28" s="311" t="s">
        <v>59</v>
      </c>
      <c r="J28" s="308"/>
      <c r="K28" s="322"/>
      <c r="L28" s="308"/>
      <c r="M28" s="323" t="s">
        <v>63</v>
      </c>
      <c r="N28" s="315"/>
      <c r="O28" s="325">
        <v>46170</v>
      </c>
      <c r="P28" s="325">
        <v>46181</v>
      </c>
      <c r="Q28" s="325">
        <v>46182</v>
      </c>
      <c r="R28" s="325">
        <v>46189</v>
      </c>
      <c r="S28" s="325">
        <v>46190</v>
      </c>
      <c r="T28" s="325">
        <v>46204</v>
      </c>
      <c r="U28" s="325">
        <v>46224</v>
      </c>
      <c r="V28" s="325">
        <v>46240</v>
      </c>
      <c r="W28" s="325">
        <v>46253</v>
      </c>
      <c r="X28" s="325">
        <v>46255</v>
      </c>
      <c r="Y28" s="325">
        <v>46262</v>
      </c>
      <c r="Z28" s="325">
        <v>46293</v>
      </c>
      <c r="AA28" s="325">
        <v>46307</v>
      </c>
      <c r="AB28" s="325">
        <v>46367</v>
      </c>
      <c r="AC28" s="325">
        <v>46370</v>
      </c>
      <c r="AD28" s="325">
        <v>46371</v>
      </c>
      <c r="AE28" s="325">
        <v>46402</v>
      </c>
      <c r="AF28" s="325">
        <v>46432</v>
      </c>
      <c r="AG28" s="325">
        <v>46433</v>
      </c>
      <c r="AH28" s="325">
        <v>46447</v>
      </c>
      <c r="AI28" s="325">
        <v>46463</v>
      </c>
      <c r="AJ28" s="335"/>
      <c r="AK28" s="317"/>
      <c r="AL28" s="325">
        <f>W28+AK29</f>
        <v>46433</v>
      </c>
      <c r="AM28" s="318"/>
      <c r="AN28" s="318"/>
      <c r="AO28" s="318"/>
      <c r="AP28" s="318"/>
      <c r="AQ28" s="328">
        <f>AM29-AL28</f>
        <v>7</v>
      </c>
      <c r="AR28" s="319"/>
      <c r="AS28" s="320"/>
      <c r="AT28" s="321"/>
    </row>
    <row r="29" spans="1:46" s="264" customFormat="1" ht="25.05" customHeight="1">
      <c r="A29" s="491"/>
      <c r="B29" s="308" t="str">
        <f>B27</f>
        <v>RFQ-MEC-003</v>
      </c>
      <c r="C29" s="308" t="s">
        <v>75</v>
      </c>
      <c r="D29" s="511"/>
      <c r="E29" s="542"/>
      <c r="F29" s="555"/>
      <c r="G29" s="311">
        <v>7</v>
      </c>
      <c r="H29" s="310" t="s">
        <v>76</v>
      </c>
      <c r="I29" s="311" t="s">
        <v>59</v>
      </c>
      <c r="J29" s="308" t="s">
        <v>60</v>
      </c>
      <c r="K29" s="308">
        <f>K30</f>
        <v>3</v>
      </c>
      <c r="L29" s="308" t="s">
        <v>6</v>
      </c>
      <c r="M29" s="313" t="s">
        <v>65</v>
      </c>
      <c r="N29" s="350"/>
      <c r="O29" s="350">
        <v>46168</v>
      </c>
      <c r="P29" s="350">
        <f>WORKDAY.INTL(O29,INDEX(P$8:P$11,MATCH($L29,$L$8:$L$11,0)),1,IF(P$18="China",'China Holidays'!$A$2:$A$82,'Thai Holidays'!$A$2:$A$63))</f>
        <v>46184</v>
      </c>
      <c r="Q29" s="350">
        <f>WORKDAY.INTL(P29,INDEX(Q$8:Q$11,MATCH($L29,$L$8:$L$11,0)),1,IF(Q$18="China",'China Holidays'!$A$2:$A$82,'Thai Holidays'!$A$2:$A$63))</f>
        <v>46184</v>
      </c>
      <c r="R29" s="350">
        <f>WORKDAY.INTL(Q29,INDEX(R$8:R$11,MATCH($L29,$L$8:$L$11,0)),1,IF(R$18="China",'China Holidays'!$A$2:$A$82,'Thai Holidays'!$A$2:$A$63))</f>
        <v>46184</v>
      </c>
      <c r="S29" s="350">
        <f>WORKDAY.INTL(R29,INDEX(S$8:S$11,MATCH($L29,$L$8:$L$11,0)),1,IF(S$18="China",'China Holidays'!$A$2:$A$82,'Thai Holidays'!$A$2:$A$63))</f>
        <v>46184</v>
      </c>
      <c r="T29" s="350">
        <f>WORKDAY.INTL(S29,INDEX(T$8:T$11,MATCH($L29,$L$8:$L$11,0)),1,IF(T$18="China",'China Holidays'!$A$2:$A$82,'Thai Holidays'!$A$2:$A$63))</f>
        <v>46199</v>
      </c>
      <c r="U29" s="350">
        <f>WORKDAY.INTL(T29,INDEX(U$8:U$11,MATCH($L29,$L$8:$L$11,0)),1,IF(U$18="China",'China Holidays'!$A$2:$A$82,'Thai Holidays'!$A$2:$A$63))</f>
        <v>46224</v>
      </c>
      <c r="V29" s="350">
        <f>WORKDAY.INTL(U29,INDEX(V$8:V$11,MATCH($L29,$L$8:$L$11,0)),1,IF(V$18="China",'China Holidays'!$A$2:$A$82,'Thai Holidays'!$A$2:$A$63))</f>
        <v>46240</v>
      </c>
      <c r="W29" s="350">
        <f>WORKDAY.INTL(V29,INDEX(W$8:W$11,MATCH($L29,$L$8:$L$11,0)),1,IF(W$18="China",'China Holidays'!$A$2:$A$82,'Thai Holidays'!$A$2:$A$63))</f>
        <v>46253</v>
      </c>
      <c r="X29" s="350">
        <f>WORKDAY.INTL(W29,INDEX(X$12:X$15,MATCH($L29,$L$12:$L$15,0)),1,IF(X$18="China",'China Holidays'!$A$2:$A$82,'Thai Holidays'!$A$2:$A$63))</f>
        <v>46255</v>
      </c>
      <c r="Y29" s="350">
        <f>WORKDAY.INTL(X29,INDEX(Y$12:Y$15,MATCH($L29,$L$12:$L$15,0)),1,IF(Y$18="China",'China Holidays'!$A$2:$A$82,'Thai Holidays'!$A$2:$A$63))</f>
        <v>46262</v>
      </c>
      <c r="Z29" s="350">
        <f>WORKDAY.INTL(Y29,INDEX(Z$12:Z$15,MATCH($L29,$L$12:$L$15,0)),1,IF(Z$18="China",'China Holidays'!$A$2:$A$82,'Thai Holidays'!$A$2:$A$63))</f>
        <v>46293</v>
      </c>
      <c r="AA29" s="350">
        <f>WORKDAY.INTL(Z29,INDEX(AA$12:AA$15,MATCH($L29,$L$12:$L$15,0)),1,IF(AA$18="China",'China Holidays'!$A$2:$A$82,'Thai Holidays'!$A$2:$A$63))</f>
        <v>46307</v>
      </c>
      <c r="AB29" s="350">
        <f>AA29+60</f>
        <v>46367</v>
      </c>
      <c r="AC29" s="350">
        <f>AB29+3</f>
        <v>46370</v>
      </c>
      <c r="AD29" s="350">
        <f>AC29+1</f>
        <v>46371</v>
      </c>
      <c r="AE29" s="350">
        <f>AF29-30</f>
        <v>46402</v>
      </c>
      <c r="AF29" s="350">
        <f>AG29-1</f>
        <v>46432</v>
      </c>
      <c r="AG29" s="350">
        <f>AL29</f>
        <v>46433</v>
      </c>
      <c r="AH29" s="350">
        <f>AL29+14</f>
        <v>46447</v>
      </c>
      <c r="AI29" s="350">
        <f>AL29+30</f>
        <v>46463</v>
      </c>
      <c r="AJ29" s="362"/>
      <c r="AK29" s="326">
        <f>AJ27*7</f>
        <v>179.99999999999991</v>
      </c>
      <c r="AL29" s="350">
        <f>W29+AK29</f>
        <v>46433</v>
      </c>
      <c r="AM29" s="327">
        <f>AT27-3</f>
        <v>46440</v>
      </c>
      <c r="AN29" s="327">
        <f>AO29-7</f>
        <v>46440</v>
      </c>
      <c r="AO29" s="327">
        <v>46447</v>
      </c>
      <c r="AP29" s="327"/>
      <c r="AQ29" s="311">
        <f>AM29-AL29</f>
        <v>7</v>
      </c>
      <c r="AR29" s="329"/>
      <c r="AS29" s="330" t="s">
        <v>66</v>
      </c>
      <c r="AT29" s="331">
        <v>46464</v>
      </c>
    </row>
    <row r="30" spans="1:46" s="264" customFormat="1" ht="25.05" customHeight="1">
      <c r="A30" s="492"/>
      <c r="B30" s="337" t="str">
        <f>B27</f>
        <v>RFQ-MEC-003</v>
      </c>
      <c r="C30" s="337" t="s">
        <v>75</v>
      </c>
      <c r="D30" s="512"/>
      <c r="E30" s="546"/>
      <c r="F30" s="556"/>
      <c r="G30" s="338"/>
      <c r="H30" s="339"/>
      <c r="I30" s="340" t="s">
        <v>59</v>
      </c>
      <c r="J30" s="337" t="s">
        <v>60</v>
      </c>
      <c r="K30" s="308">
        <v>3</v>
      </c>
      <c r="L30" s="337" t="s">
        <v>6</v>
      </c>
      <c r="M30" s="341" t="s">
        <v>67</v>
      </c>
      <c r="N30" s="342">
        <v>46136</v>
      </c>
      <c r="O30" s="342">
        <v>46165</v>
      </c>
      <c r="P30" s="342">
        <v>46183</v>
      </c>
      <c r="Q30" s="342">
        <v>46183</v>
      </c>
      <c r="R30" s="342">
        <v>46183</v>
      </c>
      <c r="S30" s="342">
        <v>46183</v>
      </c>
      <c r="T30" s="342">
        <v>46192</v>
      </c>
      <c r="U30" s="342"/>
      <c r="V30" s="342"/>
      <c r="W30" s="340">
        <f>W27-W29</f>
        <v>0</v>
      </c>
      <c r="X30" s="342"/>
      <c r="Y30" s="342"/>
      <c r="Z30" s="342"/>
      <c r="AA30" s="342"/>
      <c r="AB30" s="343"/>
      <c r="AC30" s="343"/>
      <c r="AD30" s="343"/>
      <c r="AE30" s="343"/>
      <c r="AF30" s="343"/>
      <c r="AG30" s="343"/>
      <c r="AH30" s="343"/>
      <c r="AI30" s="343"/>
      <c r="AJ30" s="344"/>
      <c r="AK30" s="345"/>
      <c r="AL30" s="342"/>
      <c r="AM30" s="346"/>
      <c r="AN30" s="346"/>
      <c r="AO30" s="346"/>
      <c r="AP30" s="346" t="s">
        <v>77</v>
      </c>
      <c r="AQ30" s="338"/>
      <c r="AR30" s="347"/>
      <c r="AS30" s="348"/>
      <c r="AT30" s="347"/>
    </row>
    <row r="31" spans="1:46" s="264" customFormat="1" ht="25.05" customHeight="1">
      <c r="A31" s="493">
        <f t="shared" ref="A31" si="1">A27+1</f>
        <v>4</v>
      </c>
      <c r="B31" s="308" t="s">
        <v>78</v>
      </c>
      <c r="C31" s="308" t="s">
        <v>79</v>
      </c>
      <c r="D31" s="513">
        <v>34</v>
      </c>
      <c r="E31" s="541">
        <v>30</v>
      </c>
      <c r="F31" s="557">
        <f>E31-D31</f>
        <v>-4</v>
      </c>
      <c r="G31" s="311"/>
      <c r="H31" s="310"/>
      <c r="I31" s="311" t="s">
        <v>59</v>
      </c>
      <c r="J31" s="308" t="s">
        <v>60</v>
      </c>
      <c r="K31" s="312">
        <f>K34</f>
        <v>2</v>
      </c>
      <c r="L31" s="308" t="s">
        <v>6</v>
      </c>
      <c r="M31" s="313" t="s">
        <v>61</v>
      </c>
      <c r="N31" s="364">
        <f>WORKDAY.INTL(O31,-INDEX(O$12:O$15,MATCH($L31,$L$12:$L$15,0)),1,IF(N$18="China",'China Holidays'!$A$2:$A$82,'Thai Holidays'!$A$2:$A$63))</f>
        <v>46153</v>
      </c>
      <c r="O31" s="350">
        <v>46154</v>
      </c>
      <c r="P31" s="350">
        <v>46161</v>
      </c>
      <c r="Q31" s="350">
        <v>46162</v>
      </c>
      <c r="R31" s="350">
        <v>46169</v>
      </c>
      <c r="S31" s="350">
        <f>R31+1</f>
        <v>46170</v>
      </c>
      <c r="T31" s="350">
        <v>46183</v>
      </c>
      <c r="U31" s="350">
        <v>46211</v>
      </c>
      <c r="V31" s="350">
        <v>46216</v>
      </c>
      <c r="W31" s="350">
        <v>46230</v>
      </c>
      <c r="X31" s="350">
        <v>46232</v>
      </c>
      <c r="Y31" s="350">
        <v>46239</v>
      </c>
      <c r="Z31" s="350">
        <v>46267</v>
      </c>
      <c r="AA31" s="350">
        <v>46281</v>
      </c>
      <c r="AB31" s="350">
        <v>46341</v>
      </c>
      <c r="AC31" s="350">
        <v>46344</v>
      </c>
      <c r="AD31" s="350">
        <v>46345</v>
      </c>
      <c r="AE31" s="350">
        <v>46430</v>
      </c>
      <c r="AF31" s="350">
        <v>46460</v>
      </c>
      <c r="AG31" s="350">
        <v>46461</v>
      </c>
      <c r="AH31" s="350">
        <v>46475</v>
      </c>
      <c r="AI31" s="350">
        <v>46491</v>
      </c>
      <c r="AJ31" s="365">
        <v>30</v>
      </c>
      <c r="AK31" s="351"/>
      <c r="AL31" s="366" t="str">
        <f>TEXT(AL33,"dd-mmm-yy")</f>
        <v>22-Feb-27</v>
      </c>
      <c r="AM31" s="327"/>
      <c r="AN31" s="327"/>
      <c r="AO31" s="327"/>
      <c r="AP31" s="327"/>
      <c r="AQ31" s="311"/>
      <c r="AR31" s="329"/>
      <c r="AS31" s="330" t="s">
        <v>62</v>
      </c>
      <c r="AT31" s="331">
        <v>46450</v>
      </c>
    </row>
    <row r="32" spans="1:46" s="264" customFormat="1" ht="24" customHeight="1">
      <c r="A32" s="491"/>
      <c r="B32" s="308" t="str">
        <f>B31</f>
        <v>RFQ-MEC-004</v>
      </c>
      <c r="C32" s="308" t="s">
        <v>79</v>
      </c>
      <c r="D32" s="514"/>
      <c r="E32" s="543"/>
      <c r="F32" s="554"/>
      <c r="G32" s="311"/>
      <c r="H32" s="310"/>
      <c r="I32" s="311" t="s">
        <v>59</v>
      </c>
      <c r="J32" s="308"/>
      <c r="K32" s="322"/>
      <c r="L32" s="308"/>
      <c r="M32" s="323" t="s">
        <v>63</v>
      </c>
      <c r="N32" s="367"/>
      <c r="O32" s="325">
        <v>46154</v>
      </c>
      <c r="P32" s="325">
        <v>46161</v>
      </c>
      <c r="Q32" s="325">
        <v>46162</v>
      </c>
      <c r="R32" s="325">
        <v>46169</v>
      </c>
      <c r="S32" s="325">
        <v>46170</v>
      </c>
      <c r="T32" s="325">
        <v>46183</v>
      </c>
      <c r="U32" s="325">
        <v>46211</v>
      </c>
      <c r="V32" s="325">
        <v>46216</v>
      </c>
      <c r="W32" s="325">
        <v>46230</v>
      </c>
      <c r="X32" s="325">
        <v>46232</v>
      </c>
      <c r="Y32" s="325">
        <v>46239</v>
      </c>
      <c r="Z32" s="325">
        <v>46267</v>
      </c>
      <c r="AA32" s="325">
        <v>46281</v>
      </c>
      <c r="AB32" s="325">
        <v>46341</v>
      </c>
      <c r="AC32" s="325">
        <v>46344</v>
      </c>
      <c r="AD32" s="325">
        <v>46345</v>
      </c>
      <c r="AE32" s="325">
        <v>46430</v>
      </c>
      <c r="AF32" s="325">
        <v>46460</v>
      </c>
      <c r="AG32" s="325">
        <v>46461</v>
      </c>
      <c r="AH32" s="325">
        <v>46475</v>
      </c>
      <c r="AI32" s="325">
        <v>46491</v>
      </c>
      <c r="AJ32" s="365"/>
      <c r="AK32" s="326"/>
      <c r="AL32" s="325">
        <f>W32+AK33</f>
        <v>46440</v>
      </c>
      <c r="AM32" s="327"/>
      <c r="AN32" s="327"/>
      <c r="AO32" s="327"/>
      <c r="AP32" s="327"/>
      <c r="AQ32" s="328">
        <f>AM33-AL32</f>
        <v>7</v>
      </c>
      <c r="AR32" s="329"/>
      <c r="AS32" s="330"/>
      <c r="AT32" s="331"/>
    </row>
    <row r="33" spans="1:46" s="264" customFormat="1" ht="25.05" customHeight="1">
      <c r="A33" s="491"/>
      <c r="B33" s="308" t="str">
        <f>B31</f>
        <v>RFQ-MEC-004</v>
      </c>
      <c r="C33" s="308" t="s">
        <v>79</v>
      </c>
      <c r="D33" s="515"/>
      <c r="E33" s="542"/>
      <c r="F33" s="555"/>
      <c r="G33" s="311">
        <v>7</v>
      </c>
      <c r="H33" s="310" t="s">
        <v>80</v>
      </c>
      <c r="I33" s="311" t="s">
        <v>59</v>
      </c>
      <c r="J33" s="308" t="s">
        <v>60</v>
      </c>
      <c r="K33" s="308">
        <f>K34</f>
        <v>2</v>
      </c>
      <c r="L33" s="308" t="s">
        <v>6</v>
      </c>
      <c r="M33" s="313" t="s">
        <v>65</v>
      </c>
      <c r="N33" s="350"/>
      <c r="O33" s="350">
        <v>46154</v>
      </c>
      <c r="P33" s="350">
        <f>WORKDAY.INTL(O33,INDEX(P$8:P$11,MATCH($L33,$L$8:$L$11,0)),1,IF(P$18="China",'China Holidays'!$A$2:$A$82,'Thai Holidays'!$A$2:$A$63))</f>
        <v>46168</v>
      </c>
      <c r="Q33" s="350">
        <f>WORKDAY.INTL(P33,INDEX(Q$8:Q$11,MATCH($L33,$L$8:$L$11,0)),1,IF(Q$18="China",'China Holidays'!$A$2:$A$82,'Thai Holidays'!$A$2:$A$63))</f>
        <v>46168</v>
      </c>
      <c r="R33" s="350">
        <f>WORKDAY.INTL(Q33,INDEX(R$8:R$11,MATCH($L33,$L$8:$L$11,0)),1,IF(R$18="China",'China Holidays'!$A$2:$A$82,'Thai Holidays'!$A$2:$A$63))</f>
        <v>46168</v>
      </c>
      <c r="S33" s="350">
        <f>WORKDAY.INTL(R33,INDEX(S$8:S$11,MATCH($L33,$L$8:$L$11,0)),1,IF(S$18="China",'China Holidays'!$A$2:$A$82,'Thai Holidays'!$A$2:$A$63))</f>
        <v>46168</v>
      </c>
      <c r="T33" s="350">
        <f>WORKDAY.INTL(S33,INDEX(T$8:T$11,MATCH($L33,$L$8:$L$11,0)),1,IF(T$18="China",'China Holidays'!$A$2:$A$82,'Thai Holidays'!$A$2:$A$63))</f>
        <v>46182</v>
      </c>
      <c r="U33" s="350">
        <v>46203</v>
      </c>
      <c r="V33" s="350">
        <f>WORKDAY.INTL(U33,INDEX(V$8:V$11,MATCH($L33,$L$8:$L$11,0)),1,IF(V$18="China",'China Holidays'!$A$2:$A$82,'Thai Holidays'!$A$2:$A$63))</f>
        <v>46217</v>
      </c>
      <c r="W33" s="350">
        <f>WORKDAY.INTL(V33,INDEX(W$8:W$11,MATCH($L33,$L$8:$L$11,0)),1,IF(W$18="China",'China Holidays'!$A$2:$A$82,'Thai Holidays'!$A$2:$A$63))</f>
        <v>46230</v>
      </c>
      <c r="X33" s="350">
        <f>WORKDAY.INTL(W33,INDEX(X$12:X$15,MATCH($L33,$L$12:$L$15,0)),1,IF(X$18="China",'China Holidays'!$A$2:$A$82,'Thai Holidays'!$A$2:$A$63))</f>
        <v>46232</v>
      </c>
      <c r="Y33" s="350">
        <f>WORKDAY.INTL(X33,INDEX(Y$12:Y$15,MATCH($L33,$L$12:$L$15,0)),1,IF(Y$18="China",'China Holidays'!$A$2:$A$82,'Thai Holidays'!$A$2:$A$63))</f>
        <v>46239</v>
      </c>
      <c r="Z33" s="350">
        <f>WORKDAY.INTL(Y33,INDEX(Z$12:Z$15,MATCH($L33,$L$12:$L$15,0)),1,IF(Z$18="China",'China Holidays'!$A$2:$A$82,'Thai Holidays'!$A$2:$A$63))</f>
        <v>46267</v>
      </c>
      <c r="AA33" s="350">
        <f>WORKDAY.INTL(Z33,INDEX(AA$12:AA$15,MATCH($L33,$L$12:$L$15,0)),1,IF(AA$18="China",'China Holidays'!$A$2:$A$82,'Thai Holidays'!$A$2:$A$63))</f>
        <v>46281</v>
      </c>
      <c r="AB33" s="350">
        <f>AA33+60</f>
        <v>46341</v>
      </c>
      <c r="AC33" s="350">
        <f>AB33+3</f>
        <v>46344</v>
      </c>
      <c r="AD33" s="350">
        <f>AC33+1</f>
        <v>46345</v>
      </c>
      <c r="AE33" s="350">
        <f>AF33-30</f>
        <v>46409</v>
      </c>
      <c r="AF33" s="350">
        <f>AG33-1</f>
        <v>46439</v>
      </c>
      <c r="AG33" s="350">
        <f>AL33</f>
        <v>46440</v>
      </c>
      <c r="AH33" s="350">
        <f>AL33+14</f>
        <v>46454</v>
      </c>
      <c r="AI33" s="350">
        <f>AL33+30</f>
        <v>46470</v>
      </c>
      <c r="AJ33" s="362"/>
      <c r="AK33" s="326">
        <f>AJ31*7</f>
        <v>210</v>
      </c>
      <c r="AL33" s="350">
        <f>W33+AK33</f>
        <v>46440</v>
      </c>
      <c r="AM33" s="327">
        <f>AT31-3</f>
        <v>46447</v>
      </c>
      <c r="AN33" s="327">
        <f>AO33-7</f>
        <v>46440</v>
      </c>
      <c r="AO33" s="327">
        <v>46447</v>
      </c>
      <c r="AP33" s="327"/>
      <c r="AQ33" s="311">
        <f>AM33-AL33</f>
        <v>7</v>
      </c>
      <c r="AR33" s="329"/>
      <c r="AS33" s="330" t="s">
        <v>66</v>
      </c>
      <c r="AT33" s="331">
        <v>46464</v>
      </c>
    </row>
    <row r="34" spans="1:46" s="264" customFormat="1" ht="25.05" customHeight="1">
      <c r="A34" s="492"/>
      <c r="B34" s="337" t="str">
        <f>B31</f>
        <v>RFQ-MEC-004</v>
      </c>
      <c r="C34" s="337" t="s">
        <v>79</v>
      </c>
      <c r="D34" s="516"/>
      <c r="E34" s="544"/>
      <c r="F34" s="558"/>
      <c r="G34" s="340"/>
      <c r="H34" s="339"/>
      <c r="I34" s="340" t="s">
        <v>59</v>
      </c>
      <c r="J34" s="337" t="s">
        <v>60</v>
      </c>
      <c r="K34" s="308">
        <v>2</v>
      </c>
      <c r="L34" s="337" t="s">
        <v>6</v>
      </c>
      <c r="M34" s="341" t="s">
        <v>67</v>
      </c>
      <c r="N34" s="343">
        <v>46136</v>
      </c>
      <c r="O34" s="343">
        <v>46157</v>
      </c>
      <c r="P34" s="343">
        <v>46182</v>
      </c>
      <c r="Q34" s="343">
        <v>46182</v>
      </c>
      <c r="R34" s="343">
        <v>46182</v>
      </c>
      <c r="S34" s="343">
        <v>46182</v>
      </c>
      <c r="T34" s="343">
        <v>46190</v>
      </c>
      <c r="U34" s="343">
        <v>46206</v>
      </c>
      <c r="V34" s="343"/>
      <c r="W34" s="340">
        <f>W31-W33</f>
        <v>0</v>
      </c>
      <c r="X34" s="343"/>
      <c r="Y34" s="343"/>
      <c r="Z34" s="343"/>
      <c r="AA34" s="343"/>
      <c r="AB34" s="343"/>
      <c r="AC34" s="343"/>
      <c r="AD34" s="343"/>
      <c r="AE34" s="343"/>
      <c r="AF34" s="343"/>
      <c r="AG34" s="343"/>
      <c r="AH34" s="343"/>
      <c r="AI34" s="343"/>
      <c r="AJ34" s="353"/>
      <c r="AK34" s="354"/>
      <c r="AL34" s="343"/>
      <c r="AM34" s="355"/>
      <c r="AN34" s="355"/>
      <c r="AO34" s="355"/>
      <c r="AP34" s="355" t="s">
        <v>77</v>
      </c>
      <c r="AQ34" s="340"/>
      <c r="AR34" s="356"/>
      <c r="AS34" s="357"/>
      <c r="AT34" s="356"/>
    </row>
    <row r="35" spans="1:46" s="264" customFormat="1" ht="25.05" customHeight="1">
      <c r="A35" s="493">
        <f t="shared" ref="A35" si="2">A31+1</f>
        <v>5</v>
      </c>
      <c r="B35" s="308" t="s">
        <v>81</v>
      </c>
      <c r="C35" s="308" t="s">
        <v>82</v>
      </c>
      <c r="D35" s="508"/>
      <c r="E35" s="545">
        <v>32</v>
      </c>
      <c r="F35" s="559"/>
      <c r="G35" s="308"/>
      <c r="H35" s="310"/>
      <c r="I35" s="308" t="s">
        <v>83</v>
      </c>
      <c r="J35" s="308" t="s">
        <v>60</v>
      </c>
      <c r="K35" s="312">
        <f>K38</f>
        <v>2</v>
      </c>
      <c r="L35" s="308" t="s">
        <v>6</v>
      </c>
      <c r="M35" s="313" t="s">
        <v>61</v>
      </c>
      <c r="N35" s="369">
        <f>WORKDAY.INTL(O35,-INDEX(O$12:O$15,MATCH($L35,$L$12:$L$15,0)),1,IF(N$18="China",'China Holidays'!$A$2:$A$82,'Thai Holidays'!$A$2:$A$63))</f>
        <v>46156</v>
      </c>
      <c r="O35" s="366">
        <v>46157</v>
      </c>
      <c r="P35" s="366">
        <v>46164</v>
      </c>
      <c r="Q35" s="366">
        <v>46167</v>
      </c>
      <c r="R35" s="366">
        <v>46175</v>
      </c>
      <c r="S35" s="366">
        <f>R35+1</f>
        <v>46176</v>
      </c>
      <c r="T35" s="366">
        <v>46189</v>
      </c>
      <c r="U35" s="366">
        <v>46217</v>
      </c>
      <c r="V35" s="366">
        <v>46220</v>
      </c>
      <c r="W35" s="366">
        <v>46234</v>
      </c>
      <c r="X35" s="366">
        <v>46238</v>
      </c>
      <c r="Y35" s="366">
        <v>46245</v>
      </c>
      <c r="Z35" s="366">
        <v>46273</v>
      </c>
      <c r="AA35" s="366">
        <v>46287</v>
      </c>
      <c r="AB35" s="366">
        <v>46347</v>
      </c>
      <c r="AC35" s="366">
        <v>46350</v>
      </c>
      <c r="AD35" s="366">
        <v>46351</v>
      </c>
      <c r="AE35" s="366">
        <v>46427</v>
      </c>
      <c r="AF35" s="366">
        <v>46457</v>
      </c>
      <c r="AG35" s="366">
        <v>46458</v>
      </c>
      <c r="AH35" s="366">
        <v>46472</v>
      </c>
      <c r="AI35" s="366">
        <v>46488</v>
      </c>
      <c r="AJ35" s="362">
        <v>32</v>
      </c>
      <c r="AK35" s="351"/>
      <c r="AL35" s="366" t="str">
        <f>TEXT(AL37,"dd-mmm-yy")</f>
        <v>12-Mar-27</v>
      </c>
      <c r="AM35" s="370"/>
      <c r="AN35" s="370"/>
      <c r="AO35" s="370"/>
      <c r="AP35" s="370"/>
      <c r="AQ35" s="308"/>
      <c r="AR35" s="310"/>
      <c r="AS35" s="330" t="s">
        <v>62</v>
      </c>
      <c r="AT35" s="331">
        <v>46471</v>
      </c>
    </row>
    <row r="36" spans="1:46" s="264" customFormat="1" ht="25.05" customHeight="1">
      <c r="A36" s="491"/>
      <c r="B36" s="308" t="str">
        <f>B35</f>
        <v>RFQ-PIP-005</v>
      </c>
      <c r="C36" s="308" t="s">
        <v>82</v>
      </c>
      <c r="D36" s="514"/>
      <c r="E36" s="543"/>
      <c r="F36" s="554"/>
      <c r="G36" s="311"/>
      <c r="H36" s="310"/>
      <c r="I36" s="308" t="s">
        <v>83</v>
      </c>
      <c r="J36" s="308"/>
      <c r="K36" s="322"/>
      <c r="L36" s="308"/>
      <c r="M36" s="323" t="s">
        <v>63</v>
      </c>
      <c r="N36" s="367"/>
      <c r="O36" s="325">
        <v>46157</v>
      </c>
      <c r="P36" s="325">
        <v>46164</v>
      </c>
      <c r="Q36" s="325">
        <v>46167</v>
      </c>
      <c r="R36" s="325">
        <v>46175</v>
      </c>
      <c r="S36" s="325">
        <v>46176</v>
      </c>
      <c r="T36" s="325">
        <v>46189</v>
      </c>
      <c r="U36" s="325">
        <v>46217</v>
      </c>
      <c r="V36" s="325">
        <v>46220</v>
      </c>
      <c r="W36" s="325">
        <v>46234</v>
      </c>
      <c r="X36" s="325">
        <v>46238</v>
      </c>
      <c r="Y36" s="325">
        <v>46245</v>
      </c>
      <c r="Z36" s="325">
        <v>46273</v>
      </c>
      <c r="AA36" s="325">
        <v>46287</v>
      </c>
      <c r="AB36" s="325">
        <v>46347</v>
      </c>
      <c r="AC36" s="350">
        <v>46350</v>
      </c>
      <c r="AD36" s="350">
        <v>46351</v>
      </c>
      <c r="AE36" s="325">
        <v>46427</v>
      </c>
      <c r="AF36" s="325">
        <v>46457</v>
      </c>
      <c r="AG36" s="325">
        <v>46458</v>
      </c>
      <c r="AH36" s="325">
        <v>46472</v>
      </c>
      <c r="AI36" s="325">
        <v>46488</v>
      </c>
      <c r="AJ36" s="365"/>
      <c r="AK36" s="326"/>
      <c r="AL36" s="325">
        <f>W36+AK37</f>
        <v>46458</v>
      </c>
      <c r="AM36" s="327"/>
      <c r="AN36" s="327"/>
      <c r="AO36" s="327"/>
      <c r="AP36" s="327"/>
      <c r="AQ36" s="328">
        <f>AM37-AL36</f>
        <v>10</v>
      </c>
      <c r="AR36" s="329"/>
      <c r="AS36" s="330"/>
      <c r="AT36" s="331"/>
    </row>
    <row r="37" spans="1:46" s="264" customFormat="1" ht="25.05" customHeight="1">
      <c r="A37" s="491"/>
      <c r="B37" s="308" t="str">
        <f>B35</f>
        <v>RFQ-PIP-005</v>
      </c>
      <c r="C37" s="308" t="s">
        <v>82</v>
      </c>
      <c r="D37" s="505"/>
      <c r="E37" s="543"/>
      <c r="F37" s="560"/>
      <c r="G37" s="308">
        <v>10</v>
      </c>
      <c r="H37" s="310" t="s">
        <v>84</v>
      </c>
      <c r="I37" s="308" t="s">
        <v>83</v>
      </c>
      <c r="J37" s="308" t="s">
        <v>60</v>
      </c>
      <c r="K37" s="308">
        <f>K38</f>
        <v>2</v>
      </c>
      <c r="L37" s="308" t="s">
        <v>6</v>
      </c>
      <c r="M37" s="313" t="s">
        <v>65</v>
      </c>
      <c r="N37" s="366">
        <f>N35</f>
        <v>46156</v>
      </c>
      <c r="O37" s="366">
        <f>WORKDAY.INTL(N37,INDEX(O$8:O$11,MATCH($L37,$L$8:$L$11,0)),1,IF(O$18="China",'China Holidays'!$A$2:$A$82,'Thai Holidays'!$A$2:$A$63))</f>
        <v>46157</v>
      </c>
      <c r="P37" s="366">
        <f>WORKDAY.INTL(O37,INDEX(P$8:P$11,MATCH($L37,$L$8:$L$11,0)),1,IF(P$18="China",'China Holidays'!$A$2:$A$82,'Thai Holidays'!$A$2:$A$63))</f>
        <v>46171</v>
      </c>
      <c r="Q37" s="366">
        <f>WORKDAY.INTL(P37,INDEX(Q$8:Q$11,MATCH($L37,$L$8:$L$11,0)),1,IF(Q$18="China",'China Holidays'!$A$2:$A$82,'Thai Holidays'!$A$2:$A$63))</f>
        <v>46171</v>
      </c>
      <c r="R37" s="366">
        <f>WORKDAY.INTL(Q37,INDEX(R$8:R$11,MATCH($L37,$L$8:$L$11,0)),1,IF(R$18="China",'China Holidays'!$A$2:$A$82,'Thai Holidays'!$A$2:$A$63))</f>
        <v>46171</v>
      </c>
      <c r="S37" s="366">
        <f>WORKDAY.INTL(R37,INDEX(S$8:S$11,MATCH($L37,$L$8:$L$11,0)),1,IF(S$18="China",'China Holidays'!$A$2:$A$82,'Thai Holidays'!$A$2:$A$63))</f>
        <v>46171</v>
      </c>
      <c r="T37" s="366">
        <f>WORKDAY.INTL(S37,INDEX(T$8:T$11,MATCH($L37,$L$8:$L$11,0)),1,IF(T$18="China",'China Holidays'!$A$2:$A$82,'Thai Holidays'!$A$2:$A$63))</f>
        <v>46185</v>
      </c>
      <c r="U37" s="366">
        <v>46209</v>
      </c>
      <c r="V37" s="366">
        <f>WORKDAY.INTL(U37,INDEX(V$8:V$11,MATCH($L37,$L$8:$L$11,0)),1,IF(V$18="China",'China Holidays'!$A$2:$A$82,'Thai Holidays'!$A$2:$A$63))</f>
        <v>46223</v>
      </c>
      <c r="W37" s="366">
        <f>WORKDAY.INTL(V37,INDEX(W$8:W$11,MATCH($L37,$L$8:$L$11,0)),1,IF(W$18="China",'China Holidays'!$A$2:$A$82,'Thai Holidays'!$A$2:$A$63))</f>
        <v>46234</v>
      </c>
      <c r="X37" s="366">
        <f>WORKDAY.INTL(W37,INDEX(X$12:X$15,MATCH($L37,$L$12:$L$15,0)),1,IF(X$18="China",'China Holidays'!$A$2:$A$82,'Thai Holidays'!$A$2:$A$63))</f>
        <v>46238</v>
      </c>
      <c r="Y37" s="366">
        <f>WORKDAY.INTL(X37,INDEX(Y$12:Y$15,MATCH($L37,$L$12:$L$15,0)),1,IF(Y$18="China",'China Holidays'!$A$2:$A$82,'Thai Holidays'!$A$2:$A$63))</f>
        <v>46245</v>
      </c>
      <c r="Z37" s="366">
        <f>WORKDAY.INTL(Y37,INDEX(Z$12:Z$15,MATCH($L37,$L$12:$L$15,0)),1,IF(Z$18="China",'China Holidays'!$A$2:$A$82,'Thai Holidays'!$A$2:$A$63))</f>
        <v>46273</v>
      </c>
      <c r="AA37" s="366">
        <f>WORKDAY.INTL(Z37,INDEX(AA$12:AA$15,MATCH($L37,$L$12:$L$15,0)),1,IF(AA$18="China",'China Holidays'!$A$2:$A$82,'Thai Holidays'!$A$2:$A$63))</f>
        <v>46287</v>
      </c>
      <c r="AB37" s="366">
        <f>AA37+60</f>
        <v>46347</v>
      </c>
      <c r="AC37" s="366">
        <f>AB37+3</f>
        <v>46350</v>
      </c>
      <c r="AD37" s="366">
        <f>AC37+1</f>
        <v>46351</v>
      </c>
      <c r="AE37" s="366">
        <f>AF37-30</f>
        <v>46427</v>
      </c>
      <c r="AF37" s="366">
        <f>AG37-1</f>
        <v>46457</v>
      </c>
      <c r="AG37" s="366">
        <f>AL37</f>
        <v>46458</v>
      </c>
      <c r="AH37" s="366">
        <f>AL37+14</f>
        <v>46472</v>
      </c>
      <c r="AI37" s="366">
        <f>AL37+30</f>
        <v>46488</v>
      </c>
      <c r="AJ37" s="362"/>
      <c r="AK37" s="326">
        <f>AJ35*7</f>
        <v>224</v>
      </c>
      <c r="AL37" s="366">
        <f>W37+AK37</f>
        <v>46458</v>
      </c>
      <c r="AM37" s="327">
        <f>AT35-3</f>
        <v>46468</v>
      </c>
      <c r="AN37" s="327">
        <f>AO37-7</f>
        <v>46464</v>
      </c>
      <c r="AO37" s="327">
        <v>46471</v>
      </c>
      <c r="AP37" s="327" t="s">
        <v>77</v>
      </c>
      <c r="AQ37" s="308">
        <f>AM37-AL37</f>
        <v>10</v>
      </c>
      <c r="AR37" s="310"/>
      <c r="AS37" s="330" t="s">
        <v>66</v>
      </c>
      <c r="AT37" s="331">
        <v>46472</v>
      </c>
    </row>
    <row r="38" spans="1:46" s="264" customFormat="1" ht="25.05" customHeight="1">
      <c r="A38" s="492"/>
      <c r="B38" s="337" t="str">
        <f>B35</f>
        <v>RFQ-PIP-005</v>
      </c>
      <c r="C38" s="308" t="s">
        <v>82</v>
      </c>
      <c r="D38" s="507"/>
      <c r="E38" s="546"/>
      <c r="F38" s="561"/>
      <c r="G38" s="337"/>
      <c r="H38" s="339"/>
      <c r="I38" s="337" t="s">
        <v>83</v>
      </c>
      <c r="J38" s="337" t="s">
        <v>60</v>
      </c>
      <c r="K38" s="308">
        <v>2</v>
      </c>
      <c r="L38" s="337" t="s">
        <v>6</v>
      </c>
      <c r="M38" s="341" t="s">
        <v>67</v>
      </c>
      <c r="N38" s="371">
        <v>46136</v>
      </c>
      <c r="O38" s="371">
        <v>46163</v>
      </c>
      <c r="P38" s="343">
        <v>46182</v>
      </c>
      <c r="Q38" s="343">
        <v>46182</v>
      </c>
      <c r="R38" s="343">
        <v>46182</v>
      </c>
      <c r="S38" s="343">
        <v>46182</v>
      </c>
      <c r="T38" s="371">
        <v>46206</v>
      </c>
      <c r="U38" s="371"/>
      <c r="V38" s="371"/>
      <c r="W38" s="340">
        <f>W35-W37</f>
        <v>0</v>
      </c>
      <c r="X38" s="371"/>
      <c r="Y38" s="371"/>
      <c r="Z38" s="371"/>
      <c r="AA38" s="371"/>
      <c r="AB38" s="371"/>
      <c r="AC38" s="371"/>
      <c r="AD38" s="371"/>
      <c r="AE38" s="371"/>
      <c r="AF38" s="371"/>
      <c r="AG38" s="371"/>
      <c r="AH38" s="371"/>
      <c r="AI38" s="371"/>
      <c r="AJ38" s="353"/>
      <c r="AK38" s="354"/>
      <c r="AL38" s="371"/>
      <c r="AM38" s="372"/>
      <c r="AN38" s="372"/>
      <c r="AO38" s="372"/>
      <c r="AP38" s="372"/>
      <c r="AQ38" s="337"/>
      <c r="AR38" s="339"/>
      <c r="AS38" s="373"/>
      <c r="AT38" s="356"/>
    </row>
    <row r="39" spans="1:46" s="264" customFormat="1" ht="25.05" customHeight="1">
      <c r="A39" s="493">
        <f t="shared" ref="A39" si="3">A35+1</f>
        <v>6</v>
      </c>
      <c r="B39" s="308" t="s">
        <v>85</v>
      </c>
      <c r="C39" s="308" t="s">
        <v>86</v>
      </c>
      <c r="D39" s="517">
        <v>32</v>
      </c>
      <c r="E39" s="541">
        <v>34</v>
      </c>
      <c r="F39" s="562">
        <f>E39-D39</f>
        <v>2</v>
      </c>
      <c r="G39" s="311"/>
      <c r="H39" s="310"/>
      <c r="I39" s="311" t="s">
        <v>59</v>
      </c>
      <c r="J39" s="308" t="s">
        <v>60</v>
      </c>
      <c r="K39" s="312">
        <f>K42</f>
        <v>3</v>
      </c>
      <c r="L39" s="308" t="s">
        <v>6</v>
      </c>
      <c r="M39" s="313" t="s">
        <v>61</v>
      </c>
      <c r="N39" s="364">
        <f>WORKDAY.INTL(O39,-INDEX(O$12:O$15,MATCH($L39,$L$12:$L$15,0)),1,IF(N$18="China",'China Holidays'!$A$2:$A$82,'Thai Holidays'!$A$2:$A$63))</f>
        <v>46150</v>
      </c>
      <c r="O39" s="350">
        <v>46153</v>
      </c>
      <c r="P39" s="350">
        <v>46160</v>
      </c>
      <c r="Q39" s="350">
        <v>46161</v>
      </c>
      <c r="R39" s="350">
        <v>46168</v>
      </c>
      <c r="S39" s="350">
        <f>R39+1</f>
        <v>46169</v>
      </c>
      <c r="T39" s="350">
        <v>46182</v>
      </c>
      <c r="U39" s="350">
        <v>46210</v>
      </c>
      <c r="V39" s="350">
        <v>46213</v>
      </c>
      <c r="W39" s="350">
        <v>46227</v>
      </c>
      <c r="X39" s="350">
        <v>46231</v>
      </c>
      <c r="Y39" s="350">
        <v>46238</v>
      </c>
      <c r="Z39" s="350">
        <v>46266</v>
      </c>
      <c r="AA39" s="350">
        <v>46280</v>
      </c>
      <c r="AB39" s="350">
        <v>46392</v>
      </c>
      <c r="AC39" s="350">
        <v>46395</v>
      </c>
      <c r="AD39" s="350">
        <v>46396</v>
      </c>
      <c r="AE39" s="350">
        <v>46421</v>
      </c>
      <c r="AF39" s="350">
        <v>46451</v>
      </c>
      <c r="AG39" s="350">
        <v>46465</v>
      </c>
      <c r="AH39" s="350">
        <v>46479</v>
      </c>
      <c r="AI39" s="350">
        <v>46495</v>
      </c>
      <c r="AJ39" s="365">
        <v>32</v>
      </c>
      <c r="AK39" s="351"/>
      <c r="AL39" s="350" t="str">
        <f>TEXT(AL41,"dd-mmm-yy")</f>
        <v>05-Mar-27</v>
      </c>
      <c r="AM39" s="327"/>
      <c r="AN39" s="327"/>
      <c r="AO39" s="327"/>
      <c r="AP39" s="327"/>
      <c r="AQ39" s="311"/>
      <c r="AR39" s="329"/>
      <c r="AS39" s="330" t="s">
        <v>62</v>
      </c>
      <c r="AT39" s="331">
        <v>46472</v>
      </c>
    </row>
    <row r="40" spans="1:46" s="264" customFormat="1" ht="25.05" customHeight="1">
      <c r="A40" s="491"/>
      <c r="B40" s="308" t="str">
        <f>B39</f>
        <v>RFQ-MEC-006</v>
      </c>
      <c r="C40" s="308" t="s">
        <v>86</v>
      </c>
      <c r="D40" s="514"/>
      <c r="E40" s="543"/>
      <c r="F40" s="554"/>
      <c r="G40" s="311"/>
      <c r="H40" s="310"/>
      <c r="I40" s="311" t="s">
        <v>59</v>
      </c>
      <c r="J40" s="308"/>
      <c r="K40" s="322"/>
      <c r="L40" s="308"/>
      <c r="M40" s="323" t="s">
        <v>63</v>
      </c>
      <c r="N40" s="367"/>
      <c r="O40" s="325">
        <v>46153</v>
      </c>
      <c r="P40" s="325">
        <v>46160</v>
      </c>
      <c r="Q40" s="325">
        <v>46161</v>
      </c>
      <c r="R40" s="325">
        <v>46168</v>
      </c>
      <c r="S40" s="325">
        <v>46169</v>
      </c>
      <c r="T40" s="325">
        <v>46182</v>
      </c>
      <c r="U40" s="325">
        <v>46210</v>
      </c>
      <c r="V40" s="325">
        <v>46213</v>
      </c>
      <c r="W40" s="325">
        <v>46227</v>
      </c>
      <c r="X40" s="325">
        <v>46231</v>
      </c>
      <c r="Y40" s="325">
        <v>46238</v>
      </c>
      <c r="Z40" s="325">
        <v>46266</v>
      </c>
      <c r="AA40" s="325">
        <v>46280</v>
      </c>
      <c r="AB40" s="325">
        <v>46392</v>
      </c>
      <c r="AC40" s="325">
        <v>46395</v>
      </c>
      <c r="AD40" s="325">
        <v>46396</v>
      </c>
      <c r="AE40" s="325">
        <v>46421</v>
      </c>
      <c r="AF40" s="325">
        <v>46451</v>
      </c>
      <c r="AG40" s="325">
        <v>46465</v>
      </c>
      <c r="AH40" s="325">
        <v>46479</v>
      </c>
      <c r="AI40" s="325">
        <v>46495</v>
      </c>
      <c r="AJ40" s="365"/>
      <c r="AK40" s="326"/>
      <c r="AL40" s="325">
        <f>W40+AK41</f>
        <v>46451</v>
      </c>
      <c r="AM40" s="327"/>
      <c r="AN40" s="327"/>
      <c r="AO40" s="327"/>
      <c r="AP40" s="327"/>
      <c r="AQ40" s="328">
        <f>AM41-AL40</f>
        <v>18</v>
      </c>
      <c r="AR40" s="329"/>
      <c r="AS40" s="330"/>
      <c r="AT40" s="331"/>
    </row>
    <row r="41" spans="1:46" s="264" customFormat="1" ht="25.05" customHeight="1">
      <c r="A41" s="491"/>
      <c r="B41" s="308" t="str">
        <f>B39</f>
        <v>RFQ-MEC-006</v>
      </c>
      <c r="C41" s="308" t="s">
        <v>86</v>
      </c>
      <c r="D41" s="505"/>
      <c r="E41" s="543"/>
      <c r="F41" s="549"/>
      <c r="G41" s="311">
        <v>4</v>
      </c>
      <c r="H41" s="310" t="s">
        <v>87</v>
      </c>
      <c r="I41" s="311" t="s">
        <v>59</v>
      </c>
      <c r="J41" s="308" t="s">
        <v>60</v>
      </c>
      <c r="K41" s="308">
        <f>K42</f>
        <v>3</v>
      </c>
      <c r="L41" s="308" t="s">
        <v>6</v>
      </c>
      <c r="M41" s="313" t="s">
        <v>65</v>
      </c>
      <c r="N41" s="350"/>
      <c r="O41" s="350">
        <v>46157</v>
      </c>
      <c r="P41" s="366">
        <f>WORKDAY.INTL(O41,INDEX(P$8:P$11,MATCH($L41,$L$8:$L$11,0)),1,IF(P$18="China",'China Holidays'!$A$2:$A$82,'Thai Holidays'!$A$2:$A$63))</f>
        <v>46171</v>
      </c>
      <c r="Q41" s="350">
        <f>WORKDAY.INTL(P41,INDEX(Q$8:Q$11,MATCH($L41,$L$8:$L$11,0)),1,IF(Q$18="China",'China Holidays'!$A$2:$A$82,'Thai Holidays'!$A$2:$A$63))</f>
        <v>46171</v>
      </c>
      <c r="R41" s="350">
        <f>WORKDAY.INTL(Q41,INDEX(R$8:R$11,MATCH($L41,$L$8:$L$11,0)),1,IF(R$18="China",'China Holidays'!$A$2:$A$82,'Thai Holidays'!$A$2:$A$63))</f>
        <v>46171</v>
      </c>
      <c r="S41" s="350">
        <f>WORKDAY.INTL(R41,INDEX(S$8:S$11,MATCH($L41,$L$8:$L$11,0)),1,IF(S$18="China",'China Holidays'!$A$2:$A$82,'Thai Holidays'!$A$2:$A$63))</f>
        <v>46171</v>
      </c>
      <c r="T41" s="350">
        <f>WORKDAY.INTL(S41,INDEX(T$8:T$11,MATCH($L41,$L$8:$L$11,0)),1,IF(T$18="China",'China Holidays'!$A$2:$A$82,'Thai Holidays'!$A$2:$A$63))</f>
        <v>46185</v>
      </c>
      <c r="U41" s="350">
        <v>46202</v>
      </c>
      <c r="V41" s="350">
        <f>WORKDAY.INTL(U41,INDEX(V$8:V$11,MATCH($L41,$L$8:$L$11,0)),1,IF(V$18="China",'China Holidays'!$A$2:$A$82,'Thai Holidays'!$A$2:$A$63))</f>
        <v>46216</v>
      </c>
      <c r="W41" s="350">
        <f>WORKDAY.INTL(V41,INDEX(W$8:W$11,MATCH($L41,$L$8:$L$11,0)),1,IF(W$18="China",'China Holidays'!$A$2:$A$82,'Thai Holidays'!$A$2:$A$63))</f>
        <v>46227</v>
      </c>
      <c r="X41" s="350">
        <f>WORKDAY.INTL(W41,INDEX(X$12:X$15,MATCH($L41,$L$12:$L$15,0)),1,IF(X$18="China",'China Holidays'!$A$2:$A$82,'Thai Holidays'!$A$2:$A$63))</f>
        <v>46231</v>
      </c>
      <c r="Y41" s="350">
        <f>WORKDAY.INTL(X41,INDEX(Y$12:Y$15,MATCH($L41,$L$12:$L$15,0)),1,IF(Y$18="China",'China Holidays'!$A$2:$A$82,'Thai Holidays'!$A$2:$A$63))</f>
        <v>46238</v>
      </c>
      <c r="Z41" s="350">
        <f>WORKDAY.INTL(Y41,INDEX(Z$12:Z$15,MATCH($L41,$L$12:$L$15,0)),1,IF(Z$18="China",'China Holidays'!$A$2:$A$82,'Thai Holidays'!$A$2:$A$63))</f>
        <v>46266</v>
      </c>
      <c r="AA41" s="350">
        <f>WORKDAY.INTL(Z41,INDEX(AA$12:AA$15,MATCH($L41,$L$12:$L$15,0)),1,IF(AA$18="China",'China Holidays'!$A$2:$A$82,'Thai Holidays'!$A$2:$A$63))</f>
        <v>46280</v>
      </c>
      <c r="AB41" s="350">
        <f>AA41+16*7</f>
        <v>46392</v>
      </c>
      <c r="AC41" s="350">
        <f>AB41+3</f>
        <v>46395</v>
      </c>
      <c r="AD41" s="350">
        <f>AC41+1</f>
        <v>46396</v>
      </c>
      <c r="AE41" s="350">
        <f>AF41-30</f>
        <v>46407</v>
      </c>
      <c r="AF41" s="350">
        <f>AG41-14</f>
        <v>46437</v>
      </c>
      <c r="AG41" s="350">
        <f>AL41</f>
        <v>46451</v>
      </c>
      <c r="AH41" s="350">
        <f>AL41+14</f>
        <v>46465</v>
      </c>
      <c r="AI41" s="350">
        <f>AL41+30</f>
        <v>46481</v>
      </c>
      <c r="AJ41" s="362"/>
      <c r="AK41" s="326">
        <f>AJ39*7</f>
        <v>224</v>
      </c>
      <c r="AL41" s="350">
        <f>W41+AK41</f>
        <v>46451</v>
      </c>
      <c r="AM41" s="327">
        <f>AT39-3</f>
        <v>46469</v>
      </c>
      <c r="AN41" s="318">
        <f>AO41-7</f>
        <v>46465</v>
      </c>
      <c r="AO41" s="318">
        <v>46472</v>
      </c>
      <c r="AP41" s="327"/>
      <c r="AQ41" s="311">
        <f>AM41-AL41</f>
        <v>18</v>
      </c>
      <c r="AR41" s="329"/>
      <c r="AS41" s="330" t="s">
        <v>66</v>
      </c>
      <c r="AT41" s="331">
        <v>46477</v>
      </c>
    </row>
    <row r="42" spans="1:46" s="264" customFormat="1" ht="25.05" customHeight="1">
      <c r="A42" s="492"/>
      <c r="B42" s="337" t="str">
        <f>B39</f>
        <v>RFQ-MEC-006</v>
      </c>
      <c r="C42" s="337" t="s">
        <v>86</v>
      </c>
      <c r="D42" s="507"/>
      <c r="E42" s="546"/>
      <c r="F42" s="551"/>
      <c r="G42" s="340"/>
      <c r="H42" s="339"/>
      <c r="I42" s="340" t="s">
        <v>59</v>
      </c>
      <c r="J42" s="337" t="s">
        <v>60</v>
      </c>
      <c r="K42" s="308">
        <v>3</v>
      </c>
      <c r="L42" s="337" t="s">
        <v>6</v>
      </c>
      <c r="M42" s="341" t="s">
        <v>67</v>
      </c>
      <c r="N42" s="343">
        <v>46133</v>
      </c>
      <c r="O42" s="343">
        <v>46157</v>
      </c>
      <c r="P42" s="343">
        <v>46182</v>
      </c>
      <c r="Q42" s="343">
        <v>46182</v>
      </c>
      <c r="R42" s="343">
        <v>46182</v>
      </c>
      <c r="S42" s="343">
        <v>46182</v>
      </c>
      <c r="T42" s="343">
        <v>46183</v>
      </c>
      <c r="U42" s="343">
        <v>46206</v>
      </c>
      <c r="V42" s="343"/>
      <c r="W42" s="340">
        <f>W39-W41</f>
        <v>0</v>
      </c>
      <c r="X42" s="343"/>
      <c r="Y42" s="343"/>
      <c r="Z42" s="343"/>
      <c r="AA42" s="343"/>
      <c r="AB42" s="343"/>
      <c r="AC42" s="343"/>
      <c r="AD42" s="343"/>
      <c r="AE42" s="343"/>
      <c r="AF42" s="343"/>
      <c r="AG42" s="343"/>
      <c r="AH42" s="343"/>
      <c r="AI42" s="343"/>
      <c r="AJ42" s="353"/>
      <c r="AK42" s="354"/>
      <c r="AL42" s="343"/>
      <c r="AM42" s="355"/>
      <c r="AN42" s="355"/>
      <c r="AO42" s="355"/>
      <c r="AP42" s="346" t="s">
        <v>77</v>
      </c>
      <c r="AQ42" s="340"/>
      <c r="AR42" s="356"/>
      <c r="AS42" s="357"/>
      <c r="AT42" s="356"/>
    </row>
    <row r="43" spans="1:46" s="266" customFormat="1" ht="25.05" customHeight="1">
      <c r="A43" s="494">
        <f t="shared" ref="A43" si="4">A39+1</f>
        <v>7</v>
      </c>
      <c r="B43" s="374" t="s">
        <v>88</v>
      </c>
      <c r="C43" s="374" t="s">
        <v>89</v>
      </c>
      <c r="D43" s="518"/>
      <c r="E43" s="375">
        <v>34</v>
      </c>
      <c r="F43" s="563"/>
      <c r="G43" s="374"/>
      <c r="H43" s="376"/>
      <c r="I43" s="374" t="s">
        <v>59</v>
      </c>
      <c r="J43" s="374" t="s">
        <v>60</v>
      </c>
      <c r="K43" s="377">
        <f>K45</f>
        <v>3</v>
      </c>
      <c r="L43" s="374" t="s">
        <v>6</v>
      </c>
      <c r="M43" s="378" t="s">
        <v>61</v>
      </c>
      <c r="N43" s="379">
        <f>WORKDAY.INTL(O43,-INDEX(O$12:O$15,MATCH($L43,$L$12:$L$15,0)),1,IF(N$18="China",'China Holidays'!$A$2:$A$82,'Thai Holidays'!$A$2:$A$63))</f>
        <v>46150</v>
      </c>
      <c r="O43" s="380">
        <v>46153</v>
      </c>
      <c r="P43" s="380">
        <v>46160</v>
      </c>
      <c r="Q43" s="380">
        <v>46161</v>
      </c>
      <c r="R43" s="380">
        <v>46168</v>
      </c>
      <c r="S43" s="380">
        <f>R43+1</f>
        <v>46169</v>
      </c>
      <c r="T43" s="380">
        <v>46182</v>
      </c>
      <c r="U43" s="380">
        <v>46210</v>
      </c>
      <c r="V43" s="380">
        <v>46213</v>
      </c>
      <c r="W43" s="380">
        <v>46227</v>
      </c>
      <c r="X43" s="380">
        <v>46231</v>
      </c>
      <c r="Y43" s="380">
        <v>46238</v>
      </c>
      <c r="Z43" s="380">
        <v>46266</v>
      </c>
      <c r="AA43" s="380">
        <v>46280</v>
      </c>
      <c r="AB43" s="380">
        <v>46392</v>
      </c>
      <c r="AC43" s="380">
        <v>46395</v>
      </c>
      <c r="AD43" s="380">
        <v>46396</v>
      </c>
      <c r="AE43" s="380">
        <v>46421</v>
      </c>
      <c r="AF43" s="380">
        <v>46451</v>
      </c>
      <c r="AG43" s="380">
        <v>46465</v>
      </c>
      <c r="AH43" s="380">
        <v>46479</v>
      </c>
      <c r="AI43" s="380">
        <v>46495</v>
      </c>
      <c r="AJ43" s="375">
        <v>34</v>
      </c>
      <c r="AK43" s="381"/>
      <c r="AL43" s="380" t="str">
        <f>TEXT(AL44,"dd-mmm-yy")</f>
        <v>19-Mar-27</v>
      </c>
      <c r="AM43" s="382"/>
      <c r="AN43" s="382"/>
      <c r="AO43" s="382"/>
      <c r="AP43" s="382"/>
      <c r="AQ43" s="374"/>
      <c r="AR43" s="376"/>
      <c r="AS43" s="383"/>
      <c r="AT43" s="587" t="s">
        <v>90</v>
      </c>
    </row>
    <row r="44" spans="1:46" s="266" customFormat="1" ht="25.05" customHeight="1">
      <c r="A44" s="495"/>
      <c r="B44" s="374" t="str">
        <f>B43</f>
        <v>RFQ-MEC-007</v>
      </c>
      <c r="C44" s="374" t="s">
        <v>89</v>
      </c>
      <c r="D44" s="519"/>
      <c r="E44" s="375"/>
      <c r="F44" s="564"/>
      <c r="G44" s="374">
        <v>12</v>
      </c>
      <c r="H44" s="376" t="s">
        <v>91</v>
      </c>
      <c r="I44" s="374" t="s">
        <v>59</v>
      </c>
      <c r="J44" s="374" t="s">
        <v>60</v>
      </c>
      <c r="K44" s="374">
        <f>K45</f>
        <v>3</v>
      </c>
      <c r="L44" s="374" t="s">
        <v>6</v>
      </c>
      <c r="M44" s="378" t="s">
        <v>65</v>
      </c>
      <c r="N44" s="380">
        <f>N43</f>
        <v>46150</v>
      </c>
      <c r="O44" s="380">
        <v>46157</v>
      </c>
      <c r="P44" s="380">
        <f>WORKDAY.INTL(O44,INDEX(P$8:P$11,MATCH($L44,$L$8:$L$11,0)),1,IF(P$18="China",'China Holidays'!$A$2:$A$82,'Thai Holidays'!$A$2:$A$63))</f>
        <v>46171</v>
      </c>
      <c r="Q44" s="380">
        <f>WORKDAY.INTL(P44,INDEX(Q$8:Q$11,MATCH($L44,$L$8:$L$11,0)),1,IF(Q$18="China",'China Holidays'!$A$2:$A$82,'Thai Holidays'!$A$2:$A$63))</f>
        <v>46171</v>
      </c>
      <c r="R44" s="380">
        <f>WORKDAY.INTL(Q44,INDEX(R$8:R$11,MATCH($L44,$L$8:$L$11,0)),1,IF(R$18="China",'China Holidays'!$A$2:$A$82,'Thai Holidays'!$A$2:$A$63))</f>
        <v>46171</v>
      </c>
      <c r="S44" s="380">
        <f>WORKDAY.INTL(R44,INDEX(S$8:S$11,MATCH($L44,$L$8:$L$11,0)),1,IF(S$18="China",'China Holidays'!$A$2:$A$82,'Thai Holidays'!$A$2:$A$63))</f>
        <v>46171</v>
      </c>
      <c r="T44" s="380">
        <f>WORKDAY.INTL(S44,INDEX(T$8:T$11,MATCH($L44,$L$8:$L$11,0)),1,IF(T$18="China",'China Holidays'!$A$2:$A$82,'Thai Holidays'!$A$2:$A$63))</f>
        <v>46185</v>
      </c>
      <c r="U44" s="380">
        <v>46202</v>
      </c>
      <c r="V44" s="380">
        <f>WORKDAY.INTL(U44,INDEX(V$8:V$11,MATCH($L44,$L$8:$L$11,0)),1,IF(V$18="China",'China Holidays'!$A$2:$A$82,'Thai Holidays'!$A$2:$A$63))</f>
        <v>46216</v>
      </c>
      <c r="W44" s="380">
        <f>WORKDAY.INTL(V44,INDEX(W$8:W$11,MATCH($L44,$L$8:$L$11,0)),1,IF(W$18="China",'China Holidays'!$A$2:$A$82,'Thai Holidays'!$A$2:$A$63))</f>
        <v>46227</v>
      </c>
      <c r="X44" s="380">
        <f>WORKDAY.INTL(W44,INDEX(X$12:X$15,MATCH($L44,$L$12:$L$15,0)),1,IF(X$18="China",'China Holidays'!$A$2:$A$82,'Thai Holidays'!$A$2:$A$63))</f>
        <v>46231</v>
      </c>
      <c r="Y44" s="380">
        <f>WORKDAY.INTL(X44,INDEX(Y$12:Y$15,MATCH($L44,$L$12:$L$15,0)),1,IF(Y$18="China",'China Holidays'!$A$2:$A$82,'Thai Holidays'!$A$2:$A$63))</f>
        <v>46238</v>
      </c>
      <c r="Z44" s="380">
        <f>WORKDAY.INTL(Y44,INDEX(Z$12:Z$15,MATCH($L44,$L$12:$L$15,0)),1,IF(Z$18="China",'China Holidays'!$A$2:$A$82,'Thai Holidays'!$A$2:$A$63))</f>
        <v>46266</v>
      </c>
      <c r="AA44" s="380">
        <f>WORKDAY.INTL(Z44,INDEX(AA$12:AA$15,MATCH($L44,$L$12:$L$15,0)),1,IF(AA$18="China",'China Holidays'!$A$2:$A$82,'Thai Holidays'!$A$2:$A$63))</f>
        <v>46280</v>
      </c>
      <c r="AB44" s="380">
        <f>AA44+16*7</f>
        <v>46392</v>
      </c>
      <c r="AC44" s="380">
        <f>AB44+3</f>
        <v>46395</v>
      </c>
      <c r="AD44" s="380">
        <f>AC44+1</f>
        <v>46396</v>
      </c>
      <c r="AE44" s="380">
        <f>AF44-30</f>
        <v>46421</v>
      </c>
      <c r="AF44" s="380">
        <f>AG44-14</f>
        <v>46451</v>
      </c>
      <c r="AG44" s="380">
        <f>AL44</f>
        <v>46465</v>
      </c>
      <c r="AH44" s="380">
        <f>AL44+14</f>
        <v>46479</v>
      </c>
      <c r="AI44" s="380">
        <f>AL44+30</f>
        <v>46495</v>
      </c>
      <c r="AJ44" s="375"/>
      <c r="AK44" s="384">
        <v>238</v>
      </c>
      <c r="AL44" s="380">
        <f>W44+AK44</f>
        <v>46465</v>
      </c>
      <c r="AM44" s="382">
        <v>46477</v>
      </c>
      <c r="AN44" s="382"/>
      <c r="AO44" s="382"/>
      <c r="AP44" s="382"/>
      <c r="AQ44" s="374">
        <f>AM44-AL44</f>
        <v>12</v>
      </c>
      <c r="AR44" s="376"/>
      <c r="AS44" s="383"/>
      <c r="AT44" s="588"/>
    </row>
    <row r="45" spans="1:46" s="267" customFormat="1" ht="25.05" customHeight="1">
      <c r="A45" s="496"/>
      <c r="B45" s="385" t="str">
        <f>B43</f>
        <v>RFQ-MEC-007</v>
      </c>
      <c r="C45" s="385" t="s">
        <v>89</v>
      </c>
      <c r="D45" s="520"/>
      <c r="E45" s="386"/>
      <c r="F45" s="565"/>
      <c r="G45" s="387"/>
      <c r="H45" s="388"/>
      <c r="I45" s="387" t="s">
        <v>59</v>
      </c>
      <c r="J45" s="385" t="s">
        <v>60</v>
      </c>
      <c r="K45" s="374">
        <v>3</v>
      </c>
      <c r="L45" s="385" t="s">
        <v>6</v>
      </c>
      <c r="M45" s="389" t="s">
        <v>67</v>
      </c>
      <c r="N45" s="390">
        <v>46133</v>
      </c>
      <c r="O45" s="390">
        <v>46157</v>
      </c>
      <c r="P45" s="390">
        <v>46182</v>
      </c>
      <c r="Q45" s="390">
        <v>46182</v>
      </c>
      <c r="R45" s="390">
        <v>46182</v>
      </c>
      <c r="S45" s="390">
        <v>46182</v>
      </c>
      <c r="T45" s="390"/>
      <c r="U45" s="390"/>
      <c r="V45" s="390"/>
      <c r="W45" s="387">
        <f>W43-W44</f>
        <v>0</v>
      </c>
      <c r="X45" s="390"/>
      <c r="Y45" s="390"/>
      <c r="Z45" s="390"/>
      <c r="AA45" s="390"/>
      <c r="AB45" s="390"/>
      <c r="AC45" s="390"/>
      <c r="AD45" s="390"/>
      <c r="AE45" s="390"/>
      <c r="AF45" s="390"/>
      <c r="AG45" s="390"/>
      <c r="AH45" s="390"/>
      <c r="AI45" s="390"/>
      <c r="AJ45" s="386"/>
      <c r="AK45" s="391"/>
      <c r="AL45" s="390"/>
      <c r="AM45" s="392"/>
      <c r="AN45" s="392"/>
      <c r="AO45" s="392"/>
      <c r="AP45" s="392"/>
      <c r="AQ45" s="387"/>
      <c r="AR45" s="393"/>
      <c r="AS45" s="394"/>
      <c r="AT45" s="589"/>
    </row>
    <row r="46" spans="1:46" s="264" customFormat="1" ht="25.05" customHeight="1">
      <c r="A46" s="493">
        <f>A43+1</f>
        <v>8</v>
      </c>
      <c r="B46" s="308" t="s">
        <v>92</v>
      </c>
      <c r="C46" s="308" t="s">
        <v>93</v>
      </c>
      <c r="D46" s="521">
        <v>34</v>
      </c>
      <c r="E46" s="541">
        <v>26</v>
      </c>
      <c r="F46" s="557">
        <f>E46-D46</f>
        <v>-8</v>
      </c>
      <c r="G46" s="311"/>
      <c r="H46" s="310"/>
      <c r="I46" s="311" t="s">
        <v>59</v>
      </c>
      <c r="J46" s="308" t="s">
        <v>60</v>
      </c>
      <c r="K46" s="312">
        <f>K49</f>
        <v>2</v>
      </c>
      <c r="L46" s="308" t="s">
        <v>6</v>
      </c>
      <c r="M46" s="313" t="s">
        <v>61</v>
      </c>
      <c r="N46" s="364">
        <f>WORKDAY.INTL(O46,-INDEX(O$12:O$15,MATCH($L46,$L$12:$L$15,0)),1,IF(N$18="China",'China Holidays'!$A$2:$A$82,'Thai Holidays'!$A$2:$A$63))</f>
        <v>46140</v>
      </c>
      <c r="O46" s="350">
        <v>46141</v>
      </c>
      <c r="P46" s="350">
        <v>46150</v>
      </c>
      <c r="Q46" s="350">
        <v>46153</v>
      </c>
      <c r="R46" s="350">
        <v>46160</v>
      </c>
      <c r="S46" s="350">
        <f>R46+1</f>
        <v>46161</v>
      </c>
      <c r="T46" s="350">
        <v>46174</v>
      </c>
      <c r="U46" s="350">
        <v>46203</v>
      </c>
      <c r="V46" s="350">
        <v>46206</v>
      </c>
      <c r="W46" s="350">
        <v>46220</v>
      </c>
      <c r="X46" s="350">
        <v>46224</v>
      </c>
      <c r="Y46" s="350">
        <v>46231</v>
      </c>
      <c r="Z46" s="350">
        <v>46259</v>
      </c>
      <c r="AA46" s="350">
        <v>46273</v>
      </c>
      <c r="AB46" s="350">
        <v>46333</v>
      </c>
      <c r="AC46" s="350">
        <v>46336</v>
      </c>
      <c r="AD46" s="350">
        <v>46337</v>
      </c>
      <c r="AE46" s="350">
        <v>46371</v>
      </c>
      <c r="AF46" s="350">
        <v>46401</v>
      </c>
      <c r="AG46" s="350">
        <v>46402</v>
      </c>
      <c r="AH46" s="350">
        <v>46416</v>
      </c>
      <c r="AI46" s="350">
        <v>46432</v>
      </c>
      <c r="AJ46" s="316">
        <v>34</v>
      </c>
      <c r="AK46" s="351"/>
      <c r="AL46" s="350" t="str">
        <f>TEXT(AL48,"dd-mmm-yy")</f>
        <v>12-Mar-27</v>
      </c>
      <c r="AM46" s="327"/>
      <c r="AN46" s="327"/>
      <c r="AO46" s="327"/>
      <c r="AP46" s="327"/>
      <c r="AQ46" s="311"/>
      <c r="AR46" s="329"/>
      <c r="AS46" s="330" t="s">
        <v>62</v>
      </c>
      <c r="AT46" s="331" t="s">
        <v>94</v>
      </c>
    </row>
    <row r="47" spans="1:46" s="264" customFormat="1" ht="25.05" customHeight="1">
      <c r="A47" s="491"/>
      <c r="B47" s="308" t="str">
        <f>B46</f>
        <v>RFQ-MEC-008</v>
      </c>
      <c r="C47" s="308" t="s">
        <v>93</v>
      </c>
      <c r="D47" s="514"/>
      <c r="E47" s="543"/>
      <c r="F47" s="554"/>
      <c r="G47" s="311"/>
      <c r="H47" s="310"/>
      <c r="I47" s="311" t="s">
        <v>59</v>
      </c>
      <c r="J47" s="308"/>
      <c r="K47" s="322"/>
      <c r="L47" s="308"/>
      <c r="M47" s="323" t="s">
        <v>63</v>
      </c>
      <c r="N47" s="367"/>
      <c r="O47" s="325">
        <v>46141</v>
      </c>
      <c r="P47" s="325">
        <v>46150</v>
      </c>
      <c r="Q47" s="325">
        <v>46153</v>
      </c>
      <c r="R47" s="325">
        <v>46160</v>
      </c>
      <c r="S47" s="325">
        <v>46161</v>
      </c>
      <c r="T47" s="325">
        <v>46174</v>
      </c>
      <c r="U47" s="325">
        <v>46203</v>
      </c>
      <c r="V47" s="325">
        <v>46206</v>
      </c>
      <c r="W47" s="325">
        <v>46220</v>
      </c>
      <c r="X47" s="325">
        <v>46224</v>
      </c>
      <c r="Y47" s="325">
        <v>46231</v>
      </c>
      <c r="Z47" s="325">
        <v>46259</v>
      </c>
      <c r="AA47" s="325">
        <v>46273</v>
      </c>
      <c r="AB47" s="325">
        <v>46333</v>
      </c>
      <c r="AC47" s="325">
        <v>46336</v>
      </c>
      <c r="AD47" s="325">
        <v>46337</v>
      </c>
      <c r="AE47" s="325">
        <v>46371</v>
      </c>
      <c r="AF47" s="325">
        <v>46401</v>
      </c>
      <c r="AG47" s="325">
        <v>46402</v>
      </c>
      <c r="AH47" s="325">
        <v>46416</v>
      </c>
      <c r="AI47" s="325">
        <v>46432</v>
      </c>
      <c r="AJ47" s="365"/>
      <c r="AK47" s="326"/>
      <c r="AL47" s="325">
        <f>W47+AK48</f>
        <v>46458</v>
      </c>
      <c r="AM47" s="327"/>
      <c r="AN47" s="327"/>
      <c r="AO47" s="327"/>
      <c r="AP47" s="327"/>
      <c r="AQ47" s="328">
        <f>AM48-AL47</f>
        <v>9</v>
      </c>
      <c r="AR47" s="329"/>
      <c r="AS47" s="330"/>
      <c r="AT47" s="331"/>
    </row>
    <row r="48" spans="1:46" s="264" customFormat="1" ht="25.05" customHeight="1">
      <c r="A48" s="491"/>
      <c r="B48" s="308" t="str">
        <f>B46</f>
        <v>RFQ-MEC-008</v>
      </c>
      <c r="C48" s="308" t="s">
        <v>93</v>
      </c>
      <c r="D48" s="522"/>
      <c r="E48" s="543"/>
      <c r="F48" s="554"/>
      <c r="G48" s="309">
        <v>65</v>
      </c>
      <c r="H48" s="310" t="s">
        <v>95</v>
      </c>
      <c r="I48" s="311" t="s">
        <v>59</v>
      </c>
      <c r="J48" s="308" t="s">
        <v>60</v>
      </c>
      <c r="K48" s="308">
        <f>K49</f>
        <v>2</v>
      </c>
      <c r="L48" s="308" t="s">
        <v>6</v>
      </c>
      <c r="M48" s="313" t="s">
        <v>65</v>
      </c>
      <c r="N48" s="315"/>
      <c r="O48" s="315">
        <v>46139</v>
      </c>
      <c r="P48" s="315">
        <f>WORKDAY.INTL(O48,INDEX(P$8:P$11,MATCH($L48,$L$8:$L$11,0)),1,IF(P$18="China",'China Holidays'!$A$2:$A$82,'Thai Holidays'!$A$2:$A$63))</f>
        <v>46155</v>
      </c>
      <c r="Q48" s="315">
        <f>WORKDAY.INTL(P48,INDEX(Q$8:Q$11,MATCH($L48,$L$8:$L$11,0)),1,IF(Q$18="China",'China Holidays'!$A$2:$A$82,'Thai Holidays'!$A$2:$A$63))</f>
        <v>46155</v>
      </c>
      <c r="R48" s="315">
        <f>WORKDAY.INTL(Q48,INDEX(R$8:R$11,MATCH($L48,$L$8:$L$11,0)),1,IF(R$18="China",'China Holidays'!$A$2:$A$82,'Thai Holidays'!$A$2:$A$63))</f>
        <v>46155</v>
      </c>
      <c r="S48" s="315">
        <f>WORKDAY.INTL(R48,INDEX(S$8:S$11,MATCH($L48,$L$8:$L$11,0)),1,IF(S$18="China",'China Holidays'!$A$2:$A$82,'Thai Holidays'!$A$2:$A$63))</f>
        <v>46155</v>
      </c>
      <c r="T48" s="350">
        <v>46168</v>
      </c>
      <c r="U48" s="315">
        <f>WORKDAY.INTL(T48,INDEX(U$8:U$11,MATCH($L48,$L$8:$L$11,0)),1,IF(U$18="China",'China Holidays'!$A$2:$A$82,'Thai Holidays'!$A$2:$A$63))</f>
        <v>46195</v>
      </c>
      <c r="V48" s="315">
        <f>WORKDAY.INTL(U48,INDEX(V$8:V$11,MATCH($L48,$L$8:$L$11,0)),1,IF(V$18="China",'China Holidays'!$A$2:$A$82,'Thai Holidays'!$A$2:$A$63))</f>
        <v>46209</v>
      </c>
      <c r="W48" s="350">
        <f>WORKDAY.INTL(V48,INDEX(W$8:W$11,MATCH($L48,$L$8:$L$11,0)),1,IF(W$18="China",'China Holidays'!$A$2:$A$82,'Thai Holidays'!$A$2:$A$63))</f>
        <v>46220</v>
      </c>
      <c r="X48" s="315">
        <f>WORKDAY.INTL(W48,INDEX(X$12:X$15,MATCH($L48,$L$12:$L$15,0)),1,IF(X$18="China",'China Holidays'!$A$2:$A$82,'Thai Holidays'!$A$2:$A$63))</f>
        <v>46224</v>
      </c>
      <c r="Y48" s="315">
        <f>WORKDAY.INTL(X48,INDEX(Y$12:Y$15,MATCH($L48,$L$12:$L$15,0)),1,IF(Y$18="China",'China Holidays'!$A$2:$A$82,'Thai Holidays'!$A$2:$A$63))</f>
        <v>46231</v>
      </c>
      <c r="Z48" s="315">
        <f>WORKDAY.INTL(Y48,INDEX(Z$12:Z$15,MATCH($L48,$L$12:$L$15,0)),1,IF(Z$18="China",'China Holidays'!$A$2:$A$82,'Thai Holidays'!$A$2:$A$63))</f>
        <v>46259</v>
      </c>
      <c r="AA48" s="315">
        <f>WORKDAY.INTL(Z48,INDEX(AA$12:AA$15,MATCH($L48,$L$12:$L$15,0)),1,IF(AA$18="China",'China Holidays'!$A$2:$A$82,'Thai Holidays'!$A$2:$A$63))</f>
        <v>46273</v>
      </c>
      <c r="AB48" s="315">
        <f>AA48+60</f>
        <v>46333</v>
      </c>
      <c r="AC48" s="315">
        <f>AB48+3</f>
        <v>46336</v>
      </c>
      <c r="AD48" s="315">
        <f>AC48+1</f>
        <v>46337</v>
      </c>
      <c r="AE48" s="315">
        <f>AF48-30</f>
        <v>46427</v>
      </c>
      <c r="AF48" s="315">
        <f>AG48-1</f>
        <v>46457</v>
      </c>
      <c r="AG48" s="315">
        <f>AL48</f>
        <v>46458</v>
      </c>
      <c r="AH48" s="315">
        <f>AL48+14</f>
        <v>46472</v>
      </c>
      <c r="AI48" s="315">
        <f>AL48+30</f>
        <v>46488</v>
      </c>
      <c r="AJ48" s="352"/>
      <c r="AK48" s="317">
        <f>AJ46*7</f>
        <v>238</v>
      </c>
      <c r="AL48" s="315">
        <f>W48+AK48</f>
        <v>46458</v>
      </c>
      <c r="AM48" s="318">
        <f>AT48-3</f>
        <v>46467</v>
      </c>
      <c r="AN48" s="318">
        <f>AO48-7</f>
        <v>46463</v>
      </c>
      <c r="AO48" s="318">
        <v>46470</v>
      </c>
      <c r="AP48" s="327" t="s">
        <v>96</v>
      </c>
      <c r="AQ48" s="309">
        <f>AM48-AL48</f>
        <v>9</v>
      </c>
      <c r="AR48" s="319"/>
      <c r="AS48" s="320" t="s">
        <v>66</v>
      </c>
      <c r="AT48" s="321">
        <v>46470</v>
      </c>
    </row>
    <row r="49" spans="1:46" s="264" customFormat="1" ht="25.05" customHeight="1">
      <c r="A49" s="492"/>
      <c r="B49" s="337" t="str">
        <f>B46</f>
        <v>RFQ-MEC-008</v>
      </c>
      <c r="C49" s="337" t="s">
        <v>93</v>
      </c>
      <c r="D49" s="523"/>
      <c r="E49" s="546"/>
      <c r="F49" s="556"/>
      <c r="G49" s="338"/>
      <c r="H49" s="339"/>
      <c r="I49" s="340" t="s">
        <v>59</v>
      </c>
      <c r="J49" s="337" t="s">
        <v>60</v>
      </c>
      <c r="K49" s="308">
        <v>2</v>
      </c>
      <c r="L49" s="337" t="s">
        <v>6</v>
      </c>
      <c r="M49" s="341" t="s">
        <v>67</v>
      </c>
      <c r="N49" s="342">
        <v>46136</v>
      </c>
      <c r="O49" s="342">
        <v>46139</v>
      </c>
      <c r="P49" s="342">
        <v>46153</v>
      </c>
      <c r="Q49" s="342">
        <v>46153</v>
      </c>
      <c r="R49" s="342">
        <f>P49</f>
        <v>46153</v>
      </c>
      <c r="S49" s="342">
        <f>P49</f>
        <v>46153</v>
      </c>
      <c r="T49" s="342">
        <v>46182</v>
      </c>
      <c r="U49" s="343">
        <v>46200</v>
      </c>
      <c r="V49" s="342">
        <v>46202</v>
      </c>
      <c r="W49" s="340">
        <f>W46-W48</f>
        <v>0</v>
      </c>
      <c r="X49" s="342"/>
      <c r="Y49" s="342"/>
      <c r="Z49" s="342"/>
      <c r="AA49" s="342"/>
      <c r="AB49" s="343"/>
      <c r="AC49" s="343"/>
      <c r="AD49" s="343"/>
      <c r="AE49" s="343"/>
      <c r="AF49" s="343"/>
      <c r="AG49" s="343"/>
      <c r="AH49" s="343"/>
      <c r="AI49" s="343"/>
      <c r="AJ49" s="344"/>
      <c r="AK49" s="345"/>
      <c r="AL49" s="342"/>
      <c r="AM49" s="346"/>
      <c r="AN49" s="346"/>
      <c r="AO49" s="355"/>
      <c r="AP49" s="346" t="s">
        <v>77</v>
      </c>
      <c r="AQ49" s="338"/>
      <c r="AR49" s="347"/>
      <c r="AS49" s="348"/>
      <c r="AT49" s="347"/>
    </row>
    <row r="50" spans="1:46" s="264" customFormat="1" ht="25.05" customHeight="1">
      <c r="A50" s="493">
        <f>A46+1</f>
        <v>9</v>
      </c>
      <c r="B50" s="308" t="s">
        <v>97</v>
      </c>
      <c r="C50" s="308" t="s">
        <v>98</v>
      </c>
      <c r="D50" s="521">
        <v>30</v>
      </c>
      <c r="E50" s="541">
        <v>27.8571428571429</v>
      </c>
      <c r="F50" s="557">
        <f>E50-D50</f>
        <v>-2.1428571428570997</v>
      </c>
      <c r="G50" s="311"/>
      <c r="H50" s="310"/>
      <c r="I50" s="311" t="s">
        <v>59</v>
      </c>
      <c r="J50" s="308" t="s">
        <v>60</v>
      </c>
      <c r="K50" s="312">
        <f>K53</f>
        <v>2</v>
      </c>
      <c r="L50" s="308" t="s">
        <v>6</v>
      </c>
      <c r="M50" s="313" t="s">
        <v>61</v>
      </c>
      <c r="N50" s="364">
        <f>WORKDAY.INTL(O50,-INDEX(O$12:O$15,MATCH($L50,$L$12:$L$15,0)),1,IF(N$18="China",'China Holidays'!$A$2:$A$82,'Thai Holidays'!$A$2:$A$63))</f>
        <v>46133</v>
      </c>
      <c r="O50" s="350">
        <v>46134</v>
      </c>
      <c r="P50" s="350">
        <v>46141</v>
      </c>
      <c r="Q50" s="350">
        <v>46142</v>
      </c>
      <c r="R50" s="350">
        <v>46153</v>
      </c>
      <c r="S50" s="350">
        <f>R50+1</f>
        <v>46154</v>
      </c>
      <c r="T50" s="350">
        <v>46167</v>
      </c>
      <c r="U50" s="350">
        <v>46197</v>
      </c>
      <c r="V50" s="350">
        <v>46202</v>
      </c>
      <c r="W50" s="350">
        <v>46216</v>
      </c>
      <c r="X50" s="350">
        <v>46218</v>
      </c>
      <c r="Y50" s="350">
        <v>46225</v>
      </c>
      <c r="Z50" s="350">
        <v>46253</v>
      </c>
      <c r="AA50" s="350">
        <v>46267</v>
      </c>
      <c r="AB50" s="350">
        <v>46327</v>
      </c>
      <c r="AC50" s="350">
        <v>46330</v>
      </c>
      <c r="AD50" s="350">
        <v>46331</v>
      </c>
      <c r="AE50" s="350">
        <v>46380</v>
      </c>
      <c r="AF50" s="350">
        <v>46410</v>
      </c>
      <c r="AG50" s="350">
        <v>46411</v>
      </c>
      <c r="AH50" s="350">
        <v>46425</v>
      </c>
      <c r="AI50" s="350">
        <v>46441</v>
      </c>
      <c r="AJ50" s="316">
        <v>30</v>
      </c>
      <c r="AK50" s="351"/>
      <c r="AL50" s="350" t="str">
        <f>TEXT(AL52,"dd-mmm-yy")</f>
        <v>08-Feb-27</v>
      </c>
      <c r="AM50" s="327"/>
      <c r="AN50" s="327"/>
      <c r="AO50" s="327"/>
      <c r="AP50" s="327"/>
      <c r="AQ50" s="311"/>
      <c r="AR50" s="329"/>
      <c r="AS50" s="330" t="s">
        <v>62</v>
      </c>
      <c r="AT50" s="331" t="s">
        <v>94</v>
      </c>
    </row>
    <row r="51" spans="1:46" s="264" customFormat="1" ht="25.05" customHeight="1">
      <c r="A51" s="491"/>
      <c r="B51" s="308" t="str">
        <f>B50</f>
        <v>RFQ-MEC-009</v>
      </c>
      <c r="C51" s="308" t="s">
        <v>98</v>
      </c>
      <c r="D51" s="515"/>
      <c r="E51" s="543"/>
      <c r="F51" s="554"/>
      <c r="G51" s="311"/>
      <c r="H51" s="310"/>
      <c r="I51" s="309" t="s">
        <v>59</v>
      </c>
      <c r="J51" s="308"/>
      <c r="K51" s="322"/>
      <c r="L51" s="308"/>
      <c r="M51" s="323" t="s">
        <v>63</v>
      </c>
      <c r="N51" s="367"/>
      <c r="O51" s="325">
        <v>46134</v>
      </c>
      <c r="P51" s="325">
        <v>46141</v>
      </c>
      <c r="Q51" s="325">
        <v>46142</v>
      </c>
      <c r="R51" s="325">
        <v>46153</v>
      </c>
      <c r="S51" s="325">
        <v>46154</v>
      </c>
      <c r="T51" s="325">
        <v>46167</v>
      </c>
      <c r="U51" s="325">
        <v>46197</v>
      </c>
      <c r="V51" s="325">
        <v>46202</v>
      </c>
      <c r="W51" s="325">
        <v>46216</v>
      </c>
      <c r="X51" s="325">
        <v>46218</v>
      </c>
      <c r="Y51" s="325">
        <v>46225</v>
      </c>
      <c r="Z51" s="325">
        <v>46253</v>
      </c>
      <c r="AA51" s="325">
        <v>46267</v>
      </c>
      <c r="AB51" s="325">
        <v>46327</v>
      </c>
      <c r="AC51" s="325">
        <v>46330</v>
      </c>
      <c r="AD51" s="325">
        <v>46331</v>
      </c>
      <c r="AE51" s="325">
        <v>46380</v>
      </c>
      <c r="AF51" s="325">
        <v>46410</v>
      </c>
      <c r="AG51" s="325">
        <v>46411</v>
      </c>
      <c r="AH51" s="325">
        <v>46425</v>
      </c>
      <c r="AI51" s="325">
        <v>46441</v>
      </c>
      <c r="AJ51" s="365"/>
      <c r="AK51" s="326"/>
      <c r="AL51" s="325">
        <f>W51+AK52</f>
        <v>46426</v>
      </c>
      <c r="AM51" s="327"/>
      <c r="AN51" s="327"/>
      <c r="AO51" s="327"/>
      <c r="AP51" s="327"/>
      <c r="AQ51" s="328">
        <f>AM52-AL51</f>
        <v>36</v>
      </c>
      <c r="AR51" s="329"/>
      <c r="AS51" s="330"/>
      <c r="AT51" s="331"/>
    </row>
    <row r="52" spans="1:46" s="264" customFormat="1" ht="25.05" customHeight="1">
      <c r="A52" s="491"/>
      <c r="B52" s="308" t="str">
        <f>B50</f>
        <v>RFQ-MEC-009</v>
      </c>
      <c r="C52" s="308" t="s">
        <v>98</v>
      </c>
      <c r="D52" s="511"/>
      <c r="E52" s="543"/>
      <c r="F52" s="554"/>
      <c r="G52" s="309">
        <v>54</v>
      </c>
      <c r="H52" s="332" t="s">
        <v>99</v>
      </c>
      <c r="I52" s="309" t="s">
        <v>59</v>
      </c>
      <c r="J52" s="333" t="s">
        <v>60</v>
      </c>
      <c r="K52" s="333">
        <f>K53</f>
        <v>2</v>
      </c>
      <c r="L52" s="333" t="s">
        <v>6</v>
      </c>
      <c r="M52" s="334" t="s">
        <v>65</v>
      </c>
      <c r="N52" s="315"/>
      <c r="O52" s="315">
        <v>46135</v>
      </c>
      <c r="P52" s="315">
        <f>WORKDAY.INTL(O52,INDEX(P$8:P$11,MATCH($L52,$L$8:$L$11,0)),1,IF(P$18="China",'China Holidays'!$A$2:$A$82,'Thai Holidays'!$A$2:$A$63))</f>
        <v>46153</v>
      </c>
      <c r="Q52" s="315">
        <f>WORKDAY.INTL(P52,INDEX(Q$8:Q$11,MATCH($L52,$L$8:$L$11,0)),1,IF(Q$18="China",'China Holidays'!$A$2:$A$82,'Thai Holidays'!$A$2:$A$63))</f>
        <v>46153</v>
      </c>
      <c r="R52" s="315">
        <f>WORKDAY.INTL(Q52,INDEX(R$8:R$11,MATCH($L52,$L$8:$L$11,0)),1,IF(R$18="China",'China Holidays'!$A$2:$A$82,'Thai Holidays'!$A$2:$A$63))</f>
        <v>46153</v>
      </c>
      <c r="S52" s="315">
        <f>WORKDAY.INTL(R52,INDEX(S$8:S$11,MATCH($L52,$L$8:$L$11,0)),1,IF(S$18="China",'China Holidays'!$A$2:$A$82,'Thai Holidays'!$A$2:$A$63))</f>
        <v>46153</v>
      </c>
      <c r="T52" s="350">
        <v>46162</v>
      </c>
      <c r="U52" s="315">
        <f>WORKDAY.INTL(T52,INDEX(U$8:U$11,MATCH($L52,$L$8:$L$11,0)),1,IF(U$18="China",'China Holidays'!$A$2:$A$82,'Thai Holidays'!$A$2:$A$63))</f>
        <v>46189</v>
      </c>
      <c r="V52" s="315">
        <f>WORKDAY.INTL(U52,INDEX(V$8:V$11,MATCH($L52,$L$8:$L$11,0)),1,IF(V$18="China",'China Holidays'!$A$2:$A$82,'Thai Holidays'!$A$2:$A$63))</f>
        <v>46203</v>
      </c>
      <c r="W52" s="350">
        <f>WORKDAY.INTL(V52,INDEX(W$8:W$11,MATCH($L52,$L$8:$L$11,0)),1,IF(W$18="China",'China Holidays'!$A$2:$A$82,'Thai Holidays'!$A$2:$A$63))</f>
        <v>46216</v>
      </c>
      <c r="X52" s="315">
        <f>WORKDAY.INTL(W52,INDEX(X$12:X$15,MATCH($L52,$L$12:$L$15,0)),1,IF(X$18="China",'China Holidays'!$A$2:$A$82,'Thai Holidays'!$A$2:$A$63))</f>
        <v>46218</v>
      </c>
      <c r="Y52" s="315">
        <f>WORKDAY.INTL(X52,INDEX(Y$12:Y$15,MATCH($L52,$L$12:$L$15,0)),1,IF(Y$18="China",'China Holidays'!$A$2:$A$82,'Thai Holidays'!$A$2:$A$63))</f>
        <v>46225</v>
      </c>
      <c r="Z52" s="315">
        <f>WORKDAY.INTL(Y52,INDEX(Z$12:Z$15,MATCH($L52,$L$12:$L$15,0)),1,IF(Z$18="China",'China Holidays'!$A$2:$A$82,'Thai Holidays'!$A$2:$A$63))</f>
        <v>46253</v>
      </c>
      <c r="AA52" s="315">
        <f>WORKDAY.INTL(Z52,INDEX(AA$12:AA$15,MATCH($L52,$L$12:$L$15,0)),1,IF(AA$18="China",'China Holidays'!$A$2:$A$82,'Thai Holidays'!$A$2:$A$63))</f>
        <v>46267</v>
      </c>
      <c r="AB52" s="315">
        <f>AA52+60</f>
        <v>46327</v>
      </c>
      <c r="AC52" s="315">
        <f>AB52+3</f>
        <v>46330</v>
      </c>
      <c r="AD52" s="315">
        <f>AC52+1</f>
        <v>46331</v>
      </c>
      <c r="AE52" s="315">
        <f>AF52-30</f>
        <v>46395</v>
      </c>
      <c r="AF52" s="315">
        <f>AG52-1</f>
        <v>46425</v>
      </c>
      <c r="AG52" s="315">
        <f>AL52</f>
        <v>46426</v>
      </c>
      <c r="AH52" s="315">
        <f>AL52+14</f>
        <v>46440</v>
      </c>
      <c r="AI52" s="315">
        <f>AL52+30</f>
        <v>46456</v>
      </c>
      <c r="AJ52" s="352"/>
      <c r="AK52" s="317">
        <f>AJ50*7</f>
        <v>210</v>
      </c>
      <c r="AL52" s="315">
        <f>W52+AK52</f>
        <v>46426</v>
      </c>
      <c r="AM52" s="318">
        <f>AT52-3</f>
        <v>46462</v>
      </c>
      <c r="AN52" s="318">
        <f>AO52-7</f>
        <v>46457</v>
      </c>
      <c r="AO52" s="318">
        <v>46464</v>
      </c>
      <c r="AP52" s="327" t="s">
        <v>96</v>
      </c>
      <c r="AQ52" s="309">
        <f>AM52-AL52</f>
        <v>36</v>
      </c>
      <c r="AR52" s="319"/>
      <c r="AS52" s="320" t="s">
        <v>66</v>
      </c>
      <c r="AT52" s="321">
        <v>46465</v>
      </c>
    </row>
    <row r="53" spans="1:46" s="264" customFormat="1" ht="25.05" customHeight="1">
      <c r="A53" s="492"/>
      <c r="B53" s="337" t="str">
        <f>B50</f>
        <v>RFQ-MEC-009</v>
      </c>
      <c r="C53" s="337" t="s">
        <v>98</v>
      </c>
      <c r="D53" s="524"/>
      <c r="E53" s="546"/>
      <c r="F53" s="556"/>
      <c r="G53" s="338"/>
      <c r="H53" s="396"/>
      <c r="I53" s="338" t="s">
        <v>59</v>
      </c>
      <c r="J53" s="397" t="s">
        <v>60</v>
      </c>
      <c r="K53" s="333">
        <v>2</v>
      </c>
      <c r="L53" s="397" t="s">
        <v>6</v>
      </c>
      <c r="M53" s="398" t="s">
        <v>67</v>
      </c>
      <c r="N53" s="342">
        <v>46135</v>
      </c>
      <c r="O53" s="342">
        <v>46135</v>
      </c>
      <c r="P53" s="342">
        <v>46151</v>
      </c>
      <c r="Q53" s="342">
        <v>46151</v>
      </c>
      <c r="R53" s="342">
        <f>P53</f>
        <v>46151</v>
      </c>
      <c r="S53" s="342">
        <f>P53</f>
        <v>46151</v>
      </c>
      <c r="T53" s="342">
        <v>46181</v>
      </c>
      <c r="U53" s="343">
        <v>46202</v>
      </c>
      <c r="V53" s="342">
        <v>46204</v>
      </c>
      <c r="W53" s="340">
        <f>W50-W52</f>
        <v>0</v>
      </c>
      <c r="X53" s="342"/>
      <c r="Y53" s="342"/>
      <c r="Z53" s="342"/>
      <c r="AA53" s="342"/>
      <c r="AB53" s="343"/>
      <c r="AC53" s="343"/>
      <c r="AD53" s="343"/>
      <c r="AE53" s="343"/>
      <c r="AF53" s="343"/>
      <c r="AG53" s="343"/>
      <c r="AH53" s="343"/>
      <c r="AI53" s="343"/>
      <c r="AJ53" s="344"/>
      <c r="AK53" s="345"/>
      <c r="AL53" s="342"/>
      <c r="AM53" s="346"/>
      <c r="AN53" s="346"/>
      <c r="AO53" s="355"/>
      <c r="AP53" s="346" t="s">
        <v>77</v>
      </c>
      <c r="AQ53" s="338"/>
      <c r="AR53" s="347"/>
      <c r="AS53" s="348"/>
      <c r="AT53" s="347"/>
    </row>
    <row r="54" spans="1:46" s="264" customFormat="1" ht="25.05" customHeight="1">
      <c r="A54" s="493">
        <f>A50+1</f>
        <v>10</v>
      </c>
      <c r="B54" s="308" t="s">
        <v>100</v>
      </c>
      <c r="C54" s="308" t="s">
        <v>101</v>
      </c>
      <c r="D54" s="521">
        <v>32</v>
      </c>
      <c r="E54" s="541">
        <v>26</v>
      </c>
      <c r="F54" s="557">
        <f>E54-D54</f>
        <v>-6</v>
      </c>
      <c r="G54" s="311"/>
      <c r="H54" s="310"/>
      <c r="I54" s="311" t="s">
        <v>59</v>
      </c>
      <c r="J54" s="308" t="s">
        <v>60</v>
      </c>
      <c r="K54" s="312">
        <f>K57</f>
        <v>2</v>
      </c>
      <c r="L54" s="308" t="s">
        <v>6</v>
      </c>
      <c r="M54" s="313" t="s">
        <v>61</v>
      </c>
      <c r="N54" s="364">
        <f>WORKDAY.INTL(O54,-INDEX(O$12:O$15,MATCH($L54,$L$12:$L$15,0)),1,IF(N$18="China",'China Holidays'!$A$2:$A$82,'Thai Holidays'!$A$2:$A$63))</f>
        <v>46146</v>
      </c>
      <c r="O54" s="350">
        <v>46147</v>
      </c>
      <c r="P54" s="350">
        <v>46154</v>
      </c>
      <c r="Q54" s="350">
        <v>46155</v>
      </c>
      <c r="R54" s="350">
        <v>46162</v>
      </c>
      <c r="S54" s="350">
        <f>R54+1</f>
        <v>46163</v>
      </c>
      <c r="T54" s="350">
        <v>46176</v>
      </c>
      <c r="U54" s="350">
        <v>46204</v>
      </c>
      <c r="V54" s="350">
        <v>46209</v>
      </c>
      <c r="W54" s="350">
        <v>46223</v>
      </c>
      <c r="X54" s="350">
        <v>46225</v>
      </c>
      <c r="Y54" s="350">
        <v>46232</v>
      </c>
      <c r="Z54" s="350">
        <v>46260</v>
      </c>
      <c r="AA54" s="350">
        <v>46274</v>
      </c>
      <c r="AB54" s="350">
        <v>46334</v>
      </c>
      <c r="AC54" s="350">
        <v>46337</v>
      </c>
      <c r="AD54" s="350">
        <v>46338</v>
      </c>
      <c r="AE54" s="350">
        <v>46374</v>
      </c>
      <c r="AF54" s="350">
        <v>46404</v>
      </c>
      <c r="AG54" s="350">
        <v>46405</v>
      </c>
      <c r="AH54" s="350">
        <v>46419</v>
      </c>
      <c r="AI54" s="350">
        <v>46435</v>
      </c>
      <c r="AJ54" s="316">
        <v>32</v>
      </c>
      <c r="AK54" s="351"/>
      <c r="AL54" s="350" t="str">
        <f>TEXT(AL56,"dd-mmm-yy")</f>
        <v>01-Mar-27</v>
      </c>
      <c r="AM54" s="327"/>
      <c r="AN54" s="327"/>
      <c r="AO54" s="327"/>
      <c r="AP54" s="327"/>
      <c r="AQ54" s="311"/>
      <c r="AR54" s="329"/>
      <c r="AS54" s="330" t="s">
        <v>62</v>
      </c>
      <c r="AT54" s="331" t="s">
        <v>94</v>
      </c>
    </row>
    <row r="55" spans="1:46" s="264" customFormat="1" ht="25.05" customHeight="1">
      <c r="A55" s="491"/>
      <c r="B55" s="308" t="str">
        <f>B54</f>
        <v>RFQ-MEC-010</v>
      </c>
      <c r="C55" s="308" t="s">
        <v>101</v>
      </c>
      <c r="D55" s="515"/>
      <c r="E55" s="543"/>
      <c r="F55" s="554"/>
      <c r="G55" s="311"/>
      <c r="H55" s="310"/>
      <c r="I55" s="309" t="s">
        <v>59</v>
      </c>
      <c r="J55" s="308"/>
      <c r="K55" s="322"/>
      <c r="L55" s="308"/>
      <c r="M55" s="323" t="s">
        <v>63</v>
      </c>
      <c r="N55" s="367"/>
      <c r="O55" s="325">
        <v>46147</v>
      </c>
      <c r="P55" s="325">
        <v>46154</v>
      </c>
      <c r="Q55" s="325">
        <v>46155</v>
      </c>
      <c r="R55" s="325">
        <v>46162</v>
      </c>
      <c r="S55" s="325">
        <v>46163</v>
      </c>
      <c r="T55" s="325">
        <v>46176</v>
      </c>
      <c r="U55" s="325">
        <v>46204</v>
      </c>
      <c r="V55" s="325">
        <v>46209</v>
      </c>
      <c r="W55" s="325">
        <v>46223</v>
      </c>
      <c r="X55" s="325">
        <v>46225</v>
      </c>
      <c r="Y55" s="325">
        <v>46232</v>
      </c>
      <c r="Z55" s="325">
        <v>46260</v>
      </c>
      <c r="AA55" s="325">
        <v>46274</v>
      </c>
      <c r="AB55" s="325">
        <v>46334</v>
      </c>
      <c r="AC55" s="325">
        <v>46337</v>
      </c>
      <c r="AD55" s="325">
        <v>46338</v>
      </c>
      <c r="AE55" s="325">
        <v>46374</v>
      </c>
      <c r="AF55" s="325">
        <v>46404</v>
      </c>
      <c r="AG55" s="325">
        <v>46405</v>
      </c>
      <c r="AH55" s="325">
        <v>46419</v>
      </c>
      <c r="AI55" s="325">
        <v>46435</v>
      </c>
      <c r="AJ55" s="365"/>
      <c r="AK55" s="326"/>
      <c r="AL55" s="325">
        <f>W55+AK56</f>
        <v>46447</v>
      </c>
      <c r="AM55" s="327"/>
      <c r="AN55" s="327"/>
      <c r="AO55" s="327"/>
      <c r="AP55" s="327"/>
      <c r="AQ55" s="328">
        <f>AM56-AL55</f>
        <v>18</v>
      </c>
      <c r="AR55" s="329"/>
      <c r="AS55" s="330"/>
      <c r="AT55" s="331"/>
    </row>
    <row r="56" spans="1:46" s="264" customFormat="1" ht="25.05" customHeight="1">
      <c r="A56" s="491"/>
      <c r="B56" s="308" t="str">
        <f>B54</f>
        <v>RFQ-MEC-010</v>
      </c>
      <c r="C56" s="308" t="s">
        <v>101</v>
      </c>
      <c r="D56" s="511"/>
      <c r="E56" s="543"/>
      <c r="F56" s="554"/>
      <c r="G56" s="311">
        <v>60</v>
      </c>
      <c r="H56" s="310" t="s">
        <v>102</v>
      </c>
      <c r="I56" s="311" t="s">
        <v>59</v>
      </c>
      <c r="J56" s="308" t="s">
        <v>60</v>
      </c>
      <c r="K56" s="308">
        <f>K57</f>
        <v>2</v>
      </c>
      <c r="L56" s="308" t="s">
        <v>6</v>
      </c>
      <c r="M56" s="313" t="s">
        <v>65</v>
      </c>
      <c r="N56" s="350"/>
      <c r="O56" s="350">
        <v>46150</v>
      </c>
      <c r="P56" s="350">
        <f>WORKDAY.INTL(O56,INDEX(P$8:P$11,MATCH($L56,$L$8:$L$11,0)),1,IF(P$18="China",'China Holidays'!$A$2:$A$82,'Thai Holidays'!$A$2:$A$63))</f>
        <v>46164</v>
      </c>
      <c r="Q56" s="350">
        <f>WORKDAY.INTL(P56,INDEX(Q$8:Q$11,MATCH($L56,$L$8:$L$11,0)),1,IF(Q$18="China",'China Holidays'!$A$2:$A$82,'Thai Holidays'!$A$2:$A$63))</f>
        <v>46164</v>
      </c>
      <c r="R56" s="350">
        <f>WORKDAY.INTL(Q56,INDEX(R$8:R$11,MATCH($L56,$L$8:$L$11,0)),1,IF(R$18="China",'China Holidays'!$A$2:$A$82,'Thai Holidays'!$A$2:$A$63))</f>
        <v>46164</v>
      </c>
      <c r="S56" s="350">
        <f>WORKDAY.INTL(R56,INDEX(S$8:S$11,MATCH($L56,$L$8:$L$11,0)),1,IF(S$18="China",'China Holidays'!$A$2:$A$82,'Thai Holidays'!$A$2:$A$63))</f>
        <v>46164</v>
      </c>
      <c r="T56" s="350">
        <f>WORKDAY.INTL(S56,INDEX(T$8:T$11,MATCH($L56,$L$8:$L$11,0)),1,IF(T$18="China",'China Holidays'!$A$2:$A$82,'Thai Holidays'!$A$2:$A$63))</f>
        <v>46178</v>
      </c>
      <c r="U56" s="350">
        <v>46196</v>
      </c>
      <c r="V56" s="350">
        <f>WORKDAY.INTL(U56,INDEX(V$8:V$11,MATCH($L56,$L$8:$L$11,0)),1,IF(V$18="China",'China Holidays'!$A$2:$A$82,'Thai Holidays'!$A$2:$A$63))</f>
        <v>46210</v>
      </c>
      <c r="W56" s="350">
        <f>WORKDAY.INTL(V56,INDEX(W$8:W$11,MATCH($L56,$L$8:$L$11,0)),1,IF(W$18="China",'China Holidays'!$A$2:$A$82,'Thai Holidays'!$A$2:$A$63))</f>
        <v>46223</v>
      </c>
      <c r="X56" s="350">
        <f>WORKDAY.INTL(W56,INDEX(X$12:X$15,MATCH($L56,$L$12:$L$15,0)),1,IF(X$18="China",'China Holidays'!$A$2:$A$82,'Thai Holidays'!$A$2:$A$63))</f>
        <v>46225</v>
      </c>
      <c r="Y56" s="350">
        <f>WORKDAY.INTL(X56,INDEX(Y$12:Y$15,MATCH($L56,$L$12:$L$15,0)),1,IF(Y$18="China",'China Holidays'!$A$2:$A$82,'Thai Holidays'!$A$2:$A$63))</f>
        <v>46232</v>
      </c>
      <c r="Z56" s="350">
        <f>WORKDAY.INTL(Y56,INDEX(Z$12:Z$15,MATCH($L56,$L$12:$L$15,0)),1,IF(Z$18="China",'China Holidays'!$A$2:$A$82,'Thai Holidays'!$A$2:$A$63))</f>
        <v>46260</v>
      </c>
      <c r="AA56" s="350">
        <f>WORKDAY.INTL(Z56,INDEX(AA$12:AA$15,MATCH($L56,$L$12:$L$15,0)),1,IF(AA$18="China",'China Holidays'!$A$2:$A$82,'Thai Holidays'!$A$2:$A$63))</f>
        <v>46274</v>
      </c>
      <c r="AB56" s="350">
        <f>AA56+60</f>
        <v>46334</v>
      </c>
      <c r="AC56" s="350">
        <f>AB56+3</f>
        <v>46337</v>
      </c>
      <c r="AD56" s="350">
        <f>AC56+1</f>
        <v>46338</v>
      </c>
      <c r="AE56" s="350">
        <f>AF56-30</f>
        <v>46416</v>
      </c>
      <c r="AF56" s="350">
        <f>AG56-1</f>
        <v>46446</v>
      </c>
      <c r="AG56" s="350">
        <f>AL56</f>
        <v>46447</v>
      </c>
      <c r="AH56" s="350">
        <f>AL56+14</f>
        <v>46461</v>
      </c>
      <c r="AI56" s="350">
        <f>AL56+30</f>
        <v>46477</v>
      </c>
      <c r="AJ56" s="362"/>
      <c r="AK56" s="317">
        <f>AJ54*7</f>
        <v>224</v>
      </c>
      <c r="AL56" s="350">
        <f>W56+AK56</f>
        <v>46447</v>
      </c>
      <c r="AM56" s="327">
        <f>AT56-3</f>
        <v>46465</v>
      </c>
      <c r="AN56" s="318">
        <f>AO56-7</f>
        <v>46454</v>
      </c>
      <c r="AO56" s="318">
        <v>46461</v>
      </c>
      <c r="AP56" s="327" t="s">
        <v>96</v>
      </c>
      <c r="AQ56" s="311">
        <f>AM56-AL56</f>
        <v>18</v>
      </c>
      <c r="AR56" s="329"/>
      <c r="AS56" s="330" t="s">
        <v>66</v>
      </c>
      <c r="AT56" s="331">
        <v>46468</v>
      </c>
    </row>
    <row r="57" spans="1:46" s="264" customFormat="1" ht="25.05" customHeight="1">
      <c r="A57" s="492"/>
      <c r="B57" s="337" t="str">
        <f>B54</f>
        <v>RFQ-MEC-010</v>
      </c>
      <c r="C57" s="337" t="s">
        <v>101</v>
      </c>
      <c r="D57" s="524"/>
      <c r="E57" s="546"/>
      <c r="F57" s="556"/>
      <c r="G57" s="340"/>
      <c r="H57" s="339"/>
      <c r="I57" s="340" t="s">
        <v>59</v>
      </c>
      <c r="J57" s="337" t="s">
        <v>60</v>
      </c>
      <c r="K57" s="308">
        <v>2</v>
      </c>
      <c r="L57" s="337" t="s">
        <v>6</v>
      </c>
      <c r="M57" s="341" t="s">
        <v>67</v>
      </c>
      <c r="N57" s="343">
        <v>46136</v>
      </c>
      <c r="O57" s="343">
        <v>46150</v>
      </c>
      <c r="P57" s="343">
        <v>46167</v>
      </c>
      <c r="Q57" s="343">
        <v>46167</v>
      </c>
      <c r="R57" s="343">
        <v>46167</v>
      </c>
      <c r="S57" s="343">
        <v>46167</v>
      </c>
      <c r="T57" s="343">
        <v>46190</v>
      </c>
      <c r="U57" s="343">
        <v>46206</v>
      </c>
      <c r="V57" s="343"/>
      <c r="W57" s="340">
        <f>W54-W56</f>
        <v>0</v>
      </c>
      <c r="X57" s="343"/>
      <c r="Y57" s="343"/>
      <c r="Z57" s="343"/>
      <c r="AA57" s="343"/>
      <c r="AB57" s="343"/>
      <c r="AC57" s="343"/>
      <c r="AD57" s="343"/>
      <c r="AE57" s="343"/>
      <c r="AF57" s="343"/>
      <c r="AG57" s="343"/>
      <c r="AH57" s="343"/>
      <c r="AI57" s="343"/>
      <c r="AJ57" s="353"/>
      <c r="AK57" s="354"/>
      <c r="AL57" s="343"/>
      <c r="AM57" s="355"/>
      <c r="AN57" s="355"/>
      <c r="AO57" s="355"/>
      <c r="AP57" s="346" t="s">
        <v>77</v>
      </c>
      <c r="AQ57" s="340"/>
      <c r="AR57" s="356"/>
      <c r="AS57" s="357"/>
      <c r="AT57" s="356"/>
    </row>
    <row r="58" spans="1:46" s="264" customFormat="1" ht="25.05" customHeight="1">
      <c r="A58" s="493">
        <f>A54+1</f>
        <v>11</v>
      </c>
      <c r="B58" s="308" t="s">
        <v>103</v>
      </c>
      <c r="C58" s="308" t="s">
        <v>104</v>
      </c>
      <c r="D58" s="525">
        <v>26</v>
      </c>
      <c r="E58" s="545">
        <v>26</v>
      </c>
      <c r="F58" s="553">
        <f>E58-D58</f>
        <v>0</v>
      </c>
      <c r="G58" s="311"/>
      <c r="H58" s="310"/>
      <c r="I58" s="311" t="s">
        <v>59</v>
      </c>
      <c r="J58" s="308" t="s">
        <v>60</v>
      </c>
      <c r="K58" s="312">
        <f>K61</f>
        <v>3</v>
      </c>
      <c r="L58" s="308" t="s">
        <v>6</v>
      </c>
      <c r="M58" s="313" t="s">
        <v>61</v>
      </c>
      <c r="N58" s="364">
        <f>WORKDAY.INTL(O58,-INDEX(O$12:O$15,MATCH($L58,$L$12:$L$15,0)),1,IF(N$18="China",'China Holidays'!$A$2:$A$82,'Thai Holidays'!$A$2:$A$63))</f>
        <v>46154</v>
      </c>
      <c r="O58" s="350">
        <v>46155</v>
      </c>
      <c r="P58" s="350">
        <v>46162</v>
      </c>
      <c r="Q58" s="350">
        <v>46163</v>
      </c>
      <c r="R58" s="350">
        <v>46170</v>
      </c>
      <c r="S58" s="350">
        <f>R58+1</f>
        <v>46171</v>
      </c>
      <c r="T58" s="350">
        <v>46184</v>
      </c>
      <c r="U58" s="350">
        <v>46212</v>
      </c>
      <c r="V58" s="350">
        <v>46217</v>
      </c>
      <c r="W58" s="350">
        <v>46231</v>
      </c>
      <c r="X58" s="350">
        <v>46233</v>
      </c>
      <c r="Y58" s="350">
        <v>46240</v>
      </c>
      <c r="Z58" s="350">
        <v>46268</v>
      </c>
      <c r="AA58" s="350">
        <v>46282</v>
      </c>
      <c r="AB58" s="350">
        <v>46342</v>
      </c>
      <c r="AC58" s="350">
        <v>46345</v>
      </c>
      <c r="AD58" s="350">
        <v>46346</v>
      </c>
      <c r="AE58" s="350">
        <v>46382</v>
      </c>
      <c r="AF58" s="350">
        <v>46412</v>
      </c>
      <c r="AG58" s="350">
        <v>46413</v>
      </c>
      <c r="AH58" s="350">
        <v>46427</v>
      </c>
      <c r="AI58" s="350">
        <v>46443</v>
      </c>
      <c r="AJ58" s="316">
        <v>26</v>
      </c>
      <c r="AK58" s="351"/>
      <c r="AL58" s="350" t="str">
        <f>TEXT(AL60,"dd-mmm-yy")</f>
        <v>26-Jan-27</v>
      </c>
      <c r="AM58" s="327"/>
      <c r="AN58" s="327"/>
      <c r="AO58" s="327"/>
      <c r="AP58" s="327"/>
      <c r="AQ58" s="311"/>
      <c r="AR58" s="329"/>
      <c r="AS58" s="330" t="s">
        <v>62</v>
      </c>
      <c r="AT58" s="331">
        <v>46420</v>
      </c>
    </row>
    <row r="59" spans="1:46" s="264" customFormat="1" ht="25.05" customHeight="1">
      <c r="A59" s="491"/>
      <c r="B59" s="308" t="str">
        <f>B58</f>
        <v>RFQ-MEC-011</v>
      </c>
      <c r="C59" s="308" t="s">
        <v>104</v>
      </c>
      <c r="D59" s="515"/>
      <c r="E59" s="543"/>
      <c r="F59" s="554"/>
      <c r="G59" s="311"/>
      <c r="H59" s="310"/>
      <c r="I59" s="309" t="s">
        <v>59</v>
      </c>
      <c r="J59" s="308"/>
      <c r="K59" s="322"/>
      <c r="L59" s="308"/>
      <c r="M59" s="323" t="s">
        <v>63</v>
      </c>
      <c r="N59" s="367"/>
      <c r="O59" s="325">
        <v>46155</v>
      </c>
      <c r="P59" s="325">
        <v>46162</v>
      </c>
      <c r="Q59" s="325">
        <v>46163</v>
      </c>
      <c r="R59" s="325">
        <v>46170</v>
      </c>
      <c r="S59" s="325">
        <v>46171</v>
      </c>
      <c r="T59" s="325">
        <v>46184</v>
      </c>
      <c r="U59" s="325">
        <v>46212</v>
      </c>
      <c r="V59" s="325">
        <v>46217</v>
      </c>
      <c r="W59" s="325">
        <v>46231</v>
      </c>
      <c r="X59" s="325">
        <v>46233</v>
      </c>
      <c r="Y59" s="325">
        <v>46240</v>
      </c>
      <c r="Z59" s="325">
        <v>46268</v>
      </c>
      <c r="AA59" s="325">
        <v>46282</v>
      </c>
      <c r="AB59" s="325">
        <v>46342</v>
      </c>
      <c r="AC59" s="325">
        <v>46345</v>
      </c>
      <c r="AD59" s="325">
        <v>46346</v>
      </c>
      <c r="AE59" s="325">
        <v>46382</v>
      </c>
      <c r="AF59" s="325">
        <v>46412</v>
      </c>
      <c r="AG59" s="325">
        <v>46413</v>
      </c>
      <c r="AH59" s="325">
        <v>46427</v>
      </c>
      <c r="AI59" s="325">
        <v>46443</v>
      </c>
      <c r="AJ59" s="365"/>
      <c r="AK59" s="326"/>
      <c r="AL59" s="325">
        <f>W59+AK60</f>
        <v>46413</v>
      </c>
      <c r="AM59" s="327"/>
      <c r="AN59" s="327"/>
      <c r="AO59" s="327"/>
      <c r="AP59" s="327"/>
      <c r="AQ59" s="328">
        <f>AM60-AL59</f>
        <v>4</v>
      </c>
      <c r="AR59" s="329"/>
      <c r="AS59" s="330"/>
      <c r="AT59" s="331"/>
    </row>
    <row r="60" spans="1:46" s="264" customFormat="1" ht="25.05" customHeight="1">
      <c r="A60" s="491"/>
      <c r="B60" s="308" t="str">
        <f>B58</f>
        <v>RFQ-MEC-011</v>
      </c>
      <c r="C60" s="308" t="s">
        <v>104</v>
      </c>
      <c r="D60" s="526"/>
      <c r="E60" s="543"/>
      <c r="F60" s="554"/>
      <c r="G60" s="311">
        <v>22</v>
      </c>
      <c r="H60" s="310" t="s">
        <v>105</v>
      </c>
      <c r="I60" s="311" t="s">
        <v>59</v>
      </c>
      <c r="J60" s="308" t="s">
        <v>60</v>
      </c>
      <c r="K60" s="308">
        <f>K61</f>
        <v>3</v>
      </c>
      <c r="L60" s="308" t="s">
        <v>6</v>
      </c>
      <c r="M60" s="313" t="s">
        <v>65</v>
      </c>
      <c r="N60" s="350"/>
      <c r="O60" s="350">
        <v>46157</v>
      </c>
      <c r="P60" s="350">
        <f>WORKDAY.INTL(O60,INDEX(P$8:P$11,MATCH($L60,$L$8:$L$11,0)),1,IF(P$18="China",'China Holidays'!$A$2:$A$82,'Thai Holidays'!$A$2:$A$63))</f>
        <v>46171</v>
      </c>
      <c r="Q60" s="350">
        <f>WORKDAY.INTL(P60,INDEX(Q$8:Q$11,MATCH($L60,$L$8:$L$11,0)),1,IF(Q$18="China",'China Holidays'!$A$2:$A$82,'Thai Holidays'!$A$2:$A$63))</f>
        <v>46171</v>
      </c>
      <c r="R60" s="350">
        <f>WORKDAY.INTL(Q60,INDEX(R$8:R$11,MATCH($L60,$L$8:$L$11,0)),1,IF(R$18="China",'China Holidays'!$A$2:$A$82,'Thai Holidays'!$A$2:$A$63))</f>
        <v>46171</v>
      </c>
      <c r="S60" s="350">
        <f>WORKDAY.INTL(R60,INDEX(S$8:S$11,MATCH($L60,$L$8:$L$11,0)),1,IF(S$18="China",'China Holidays'!$A$2:$A$82,'Thai Holidays'!$A$2:$A$63))</f>
        <v>46171</v>
      </c>
      <c r="T60" s="350">
        <f>WORKDAY.INTL(S60,INDEX(T$8:T$11,MATCH($L60,$L$8:$L$11,0)),1,IF(T$18="China",'China Holidays'!$A$2:$A$82,'Thai Holidays'!$A$2:$A$63))</f>
        <v>46185</v>
      </c>
      <c r="U60" s="350">
        <v>46204</v>
      </c>
      <c r="V60" s="350">
        <f>WORKDAY.INTL(U60,INDEX(V$8:V$11,MATCH($L60,$L$8:$L$11,0)),1,IF(V$18="China",'China Holidays'!$A$2:$A$82,'Thai Holidays'!$A$2:$A$63))</f>
        <v>46218</v>
      </c>
      <c r="W60" s="350">
        <f>WORKDAY.INTL(V60,INDEX(W$8:W$11,MATCH($L60,$L$8:$L$11,0)),1,IF(W$18="China",'China Holidays'!$A$2:$A$82,'Thai Holidays'!$A$2:$A$63))</f>
        <v>46231</v>
      </c>
      <c r="X60" s="350">
        <f>WORKDAY.INTL(W60,INDEX(X$12:X$15,MATCH($L60,$L$12:$L$15,0)),1,IF(X$18="China",'China Holidays'!$A$2:$A$82,'Thai Holidays'!$A$2:$A$63))</f>
        <v>46233</v>
      </c>
      <c r="Y60" s="350">
        <f>WORKDAY.INTL(X60,INDEX(Y$12:Y$15,MATCH($L60,$L$12:$L$15,0)),1,IF(Y$18="China",'China Holidays'!$A$2:$A$82,'Thai Holidays'!$A$2:$A$63))</f>
        <v>46240</v>
      </c>
      <c r="Z60" s="350">
        <f>WORKDAY.INTL(Y60,INDEX(Z$12:Z$15,MATCH($L60,$L$12:$L$15,0)),1,IF(Z$18="China",'China Holidays'!$A$2:$A$82,'Thai Holidays'!$A$2:$A$63))</f>
        <v>46268</v>
      </c>
      <c r="AA60" s="350">
        <f>WORKDAY.INTL(Z60,INDEX(AA$12:AA$15,MATCH($L60,$L$12:$L$15,0)),1,IF(AA$18="China",'China Holidays'!$A$2:$A$82,'Thai Holidays'!$A$2:$A$63))</f>
        <v>46282</v>
      </c>
      <c r="AB60" s="350">
        <f>AA60+60</f>
        <v>46342</v>
      </c>
      <c r="AC60" s="350">
        <f>AB60+3</f>
        <v>46345</v>
      </c>
      <c r="AD60" s="350">
        <f>AC60+1</f>
        <v>46346</v>
      </c>
      <c r="AE60" s="350">
        <f>AF60-30</f>
        <v>46382</v>
      </c>
      <c r="AF60" s="350">
        <f>AG60-1</f>
        <v>46412</v>
      </c>
      <c r="AG60" s="350">
        <f>AL60</f>
        <v>46413</v>
      </c>
      <c r="AH60" s="350">
        <f>AL60+14</f>
        <v>46427</v>
      </c>
      <c r="AI60" s="350">
        <f>AL60+30</f>
        <v>46443</v>
      </c>
      <c r="AJ60" s="362"/>
      <c r="AK60" s="317">
        <f>AJ58*7</f>
        <v>182</v>
      </c>
      <c r="AL60" s="350">
        <f>W60+AK60</f>
        <v>46413</v>
      </c>
      <c r="AM60" s="327">
        <f>AT58-3</f>
        <v>46417</v>
      </c>
      <c r="AN60" s="318">
        <f>AO60-7</f>
        <v>46412</v>
      </c>
      <c r="AO60" s="318">
        <v>46419</v>
      </c>
      <c r="AP60" s="327"/>
      <c r="AQ60" s="311">
        <f>AM60-AL60</f>
        <v>4</v>
      </c>
      <c r="AR60" s="329"/>
      <c r="AS60" s="330" t="s">
        <v>66</v>
      </c>
      <c r="AT60" s="331">
        <v>46451</v>
      </c>
    </row>
    <row r="61" spans="1:46" s="264" customFormat="1" ht="25.05" customHeight="1">
      <c r="A61" s="492"/>
      <c r="B61" s="337" t="str">
        <f>B58</f>
        <v>RFQ-MEC-011</v>
      </c>
      <c r="C61" s="337" t="s">
        <v>104</v>
      </c>
      <c r="D61" s="527"/>
      <c r="E61" s="546"/>
      <c r="F61" s="556"/>
      <c r="G61" s="340"/>
      <c r="H61" s="339"/>
      <c r="I61" s="340" t="s">
        <v>59</v>
      </c>
      <c r="J61" s="337" t="s">
        <v>60</v>
      </c>
      <c r="K61" s="308">
        <v>3</v>
      </c>
      <c r="L61" s="337" t="s">
        <v>6</v>
      </c>
      <c r="M61" s="341" t="s">
        <v>67</v>
      </c>
      <c r="N61" s="343">
        <v>46136</v>
      </c>
      <c r="O61" s="343">
        <v>46157</v>
      </c>
      <c r="P61" s="343">
        <v>46182</v>
      </c>
      <c r="Q61" s="343">
        <v>46182</v>
      </c>
      <c r="R61" s="343">
        <v>46182</v>
      </c>
      <c r="S61" s="343">
        <v>46182</v>
      </c>
      <c r="T61" s="343">
        <v>46185</v>
      </c>
      <c r="U61" s="343">
        <v>46206</v>
      </c>
      <c r="V61" s="343"/>
      <c r="W61" s="340">
        <f>W58-W60</f>
        <v>0</v>
      </c>
      <c r="X61" s="343"/>
      <c r="Y61" s="343"/>
      <c r="Z61" s="343"/>
      <c r="AA61" s="343"/>
      <c r="AB61" s="343"/>
      <c r="AC61" s="343"/>
      <c r="AD61" s="343"/>
      <c r="AE61" s="343"/>
      <c r="AF61" s="343"/>
      <c r="AG61" s="343"/>
      <c r="AH61" s="343"/>
      <c r="AI61" s="343"/>
      <c r="AJ61" s="353"/>
      <c r="AK61" s="354"/>
      <c r="AL61" s="343"/>
      <c r="AM61" s="355"/>
      <c r="AN61" s="355"/>
      <c r="AO61" s="355"/>
      <c r="AP61" s="346" t="s">
        <v>106</v>
      </c>
      <c r="AQ61" s="340"/>
      <c r="AR61" s="356"/>
      <c r="AS61" s="357"/>
      <c r="AT61" s="356"/>
    </row>
    <row r="62" spans="1:46" s="267" customFormat="1" ht="25.05" customHeight="1">
      <c r="A62" s="494">
        <f t="shared" ref="A62" si="5">A58+1</f>
        <v>12</v>
      </c>
      <c r="B62" s="374" t="s">
        <v>107</v>
      </c>
      <c r="C62" s="374" t="s">
        <v>108</v>
      </c>
      <c r="D62" s="528"/>
      <c r="E62" s="401">
        <v>24</v>
      </c>
      <c r="F62" s="566"/>
      <c r="G62" s="402"/>
      <c r="H62" s="376"/>
      <c r="I62" s="402" t="s">
        <v>59</v>
      </c>
      <c r="J62" s="374" t="s">
        <v>60</v>
      </c>
      <c r="K62" s="377">
        <f>K64</f>
        <v>3</v>
      </c>
      <c r="L62" s="374" t="s">
        <v>6</v>
      </c>
      <c r="M62" s="378" t="s">
        <v>61</v>
      </c>
      <c r="N62" s="403">
        <f>WORKDAY.INTL(O62,-INDEX(O$12:O$15,MATCH($L62,$L$12:$L$15,0)),1,IF(N$18="China",'China Holidays'!$A$2:$A$82,'Thai Holidays'!$A$2:$A$63))</f>
        <v>46163</v>
      </c>
      <c r="O62" s="404">
        <v>46164</v>
      </c>
      <c r="P62" s="404">
        <v>46171</v>
      </c>
      <c r="Q62" s="404">
        <v>46174</v>
      </c>
      <c r="R62" s="404">
        <v>46182</v>
      </c>
      <c r="S62" s="404">
        <f>R62+1</f>
        <v>46183</v>
      </c>
      <c r="T62" s="404">
        <v>46197</v>
      </c>
      <c r="U62" s="404">
        <v>46225</v>
      </c>
      <c r="V62" s="404">
        <v>46230</v>
      </c>
      <c r="W62" s="404">
        <v>46244</v>
      </c>
      <c r="X62" s="404">
        <v>46246</v>
      </c>
      <c r="Y62" s="404">
        <v>46253</v>
      </c>
      <c r="Z62" s="404">
        <v>46281</v>
      </c>
      <c r="AA62" s="404">
        <v>46295</v>
      </c>
      <c r="AB62" s="404">
        <v>46355</v>
      </c>
      <c r="AC62" s="404">
        <v>46358</v>
      </c>
      <c r="AD62" s="404">
        <v>46359</v>
      </c>
      <c r="AE62" s="404">
        <v>46381</v>
      </c>
      <c r="AF62" s="404">
        <v>46411</v>
      </c>
      <c r="AG62" s="404">
        <v>46412</v>
      </c>
      <c r="AH62" s="404">
        <v>46426</v>
      </c>
      <c r="AI62" s="404">
        <v>46442</v>
      </c>
      <c r="AJ62" s="401">
        <v>24</v>
      </c>
      <c r="AK62" s="381"/>
      <c r="AL62" s="404" t="str">
        <f>TEXT(AL63,"dd-mmm-yy")</f>
        <v>19-Jan-27</v>
      </c>
      <c r="AM62" s="405"/>
      <c r="AN62" s="405"/>
      <c r="AO62" s="405"/>
      <c r="AP62" s="405"/>
      <c r="AQ62" s="402"/>
      <c r="AR62" s="406"/>
      <c r="AS62" s="407" t="s">
        <v>62</v>
      </c>
      <c r="AT62" s="590" t="s">
        <v>109</v>
      </c>
    </row>
    <row r="63" spans="1:46" s="267" customFormat="1" ht="25.05" customHeight="1">
      <c r="A63" s="495"/>
      <c r="B63" s="374" t="str">
        <f>B62</f>
        <v>RFQ-MEC-012</v>
      </c>
      <c r="C63" s="374" t="s">
        <v>108</v>
      </c>
      <c r="D63" s="529"/>
      <c r="E63" s="375"/>
      <c r="F63" s="567"/>
      <c r="G63" s="402"/>
      <c r="H63" s="376" t="s">
        <v>110</v>
      </c>
      <c r="I63" s="402" t="s">
        <v>59</v>
      </c>
      <c r="J63" s="374" t="s">
        <v>60</v>
      </c>
      <c r="K63" s="374">
        <f>K64</f>
        <v>3</v>
      </c>
      <c r="L63" s="374" t="s">
        <v>6</v>
      </c>
      <c r="M63" s="378" t="s">
        <v>65</v>
      </c>
      <c r="N63" s="404"/>
      <c r="O63" s="404">
        <v>46164</v>
      </c>
      <c r="P63" s="404">
        <f>WORKDAY.INTL(O63,INDEX(P$8:P$11,MATCH($L63,$L$8:$L$11,0)),1,IF(P$18="China",'China Holidays'!$A$2:$A$82,'Thai Holidays'!$A$2:$A$63))</f>
        <v>46182</v>
      </c>
      <c r="Q63" s="404">
        <f>WORKDAY.INTL(P63,INDEX(Q$8:Q$11,MATCH($L63,$L$8:$L$11,0)),1,IF(Q$18="China",'China Holidays'!$A$2:$A$82,'Thai Holidays'!$A$2:$A$63))</f>
        <v>46182</v>
      </c>
      <c r="R63" s="404">
        <f>WORKDAY.INTL(Q63,INDEX(R$8:R$11,MATCH($L63,$L$8:$L$11,0)),1,IF(R$18="China",'China Holidays'!$A$2:$A$82,'Thai Holidays'!$A$2:$A$63))</f>
        <v>46182</v>
      </c>
      <c r="S63" s="404">
        <f>WORKDAY.INTL(R63,INDEX(S$8:S$11,MATCH($L63,$L$8:$L$11,0)),1,IF(S$18="China",'China Holidays'!$A$2:$A$82,'Thai Holidays'!$A$2:$A$63))</f>
        <v>46182</v>
      </c>
      <c r="T63" s="404">
        <f>WORKDAY.INTL(S63,INDEX(T$8:T$11,MATCH($L63,$L$8:$L$11,0)),1,IF(T$18="China",'China Holidays'!$A$2:$A$82,'Thai Holidays'!$A$2:$A$63))</f>
        <v>46197</v>
      </c>
      <c r="U63" s="404">
        <v>46216</v>
      </c>
      <c r="V63" s="404">
        <f>WORKDAY.INTL(U63,INDEX(V$8:V$11,MATCH($L63,$L$8:$L$11,0)),1,IF(V$18="China",'China Holidays'!$A$2:$A$82,'Thai Holidays'!$A$2:$A$63))</f>
        <v>46230</v>
      </c>
      <c r="W63" s="404">
        <f>WORKDAY.INTL(V63,INDEX(W$8:W$11,MATCH($L63,$L$8:$L$11,0)),1,IF(W$18="China",'China Holidays'!$A$2:$A$82,'Thai Holidays'!$A$2:$A$63))</f>
        <v>46241</v>
      </c>
      <c r="X63" s="404">
        <f>WORKDAY.INTL(W63,INDEX(X$12:X$15,MATCH($L63,$L$12:$L$15,0)),1,IF(X$18="China",'China Holidays'!$A$2:$A$82,'Thai Holidays'!$A$2:$A$63))</f>
        <v>46245</v>
      </c>
      <c r="Y63" s="404">
        <f>WORKDAY.INTL(X63,INDEX(Y$12:Y$15,MATCH($L63,$L$12:$L$15,0)),1,IF(Y$18="China",'China Holidays'!$A$2:$A$82,'Thai Holidays'!$A$2:$A$63))</f>
        <v>46252</v>
      </c>
      <c r="Z63" s="404">
        <f>WORKDAY.INTL(Y63,INDEX(Z$12:Z$15,MATCH($L63,$L$12:$L$15,0)),1,IF(Z$18="China",'China Holidays'!$A$2:$A$82,'Thai Holidays'!$A$2:$A$63))</f>
        <v>46280</v>
      </c>
      <c r="AA63" s="404">
        <f>WORKDAY.INTL(Z63,INDEX(AA$12:AA$15,MATCH($L63,$L$12:$L$15,0)),1,IF(AA$18="China",'China Holidays'!$A$2:$A$82,'Thai Holidays'!$A$2:$A$63))</f>
        <v>46294</v>
      </c>
      <c r="AB63" s="404">
        <f>AA63+60</f>
        <v>46354</v>
      </c>
      <c r="AC63" s="404">
        <f>AB63+3</f>
        <v>46357</v>
      </c>
      <c r="AD63" s="404">
        <f>AC63+1</f>
        <v>46358</v>
      </c>
      <c r="AE63" s="404">
        <f>AF63-30</f>
        <v>46375</v>
      </c>
      <c r="AF63" s="404">
        <f>AG63-1</f>
        <v>46405</v>
      </c>
      <c r="AG63" s="404">
        <f>AL63</f>
        <v>46406</v>
      </c>
      <c r="AH63" s="404">
        <f>AL63+14</f>
        <v>46420</v>
      </c>
      <c r="AI63" s="404">
        <f>AL63+30</f>
        <v>46436</v>
      </c>
      <c r="AJ63" s="375"/>
      <c r="AK63" s="384">
        <v>165</v>
      </c>
      <c r="AL63" s="404">
        <f>W63+AK63</f>
        <v>46406</v>
      </c>
      <c r="AM63" s="405"/>
      <c r="AN63" s="405"/>
      <c r="AO63" s="405"/>
      <c r="AP63" s="405"/>
      <c r="AQ63" s="402"/>
      <c r="AR63" s="406"/>
      <c r="AS63" s="407" t="s">
        <v>66</v>
      </c>
      <c r="AT63" s="591"/>
    </row>
    <row r="64" spans="1:46" s="267" customFormat="1" ht="25.05" customHeight="1">
      <c r="A64" s="496"/>
      <c r="B64" s="385" t="str">
        <f>B62</f>
        <v>RFQ-MEC-012</v>
      </c>
      <c r="C64" s="385" t="s">
        <v>108</v>
      </c>
      <c r="D64" s="530"/>
      <c r="E64" s="386"/>
      <c r="F64" s="568"/>
      <c r="G64" s="387"/>
      <c r="H64" s="388"/>
      <c r="I64" s="387" t="s">
        <v>59</v>
      </c>
      <c r="J64" s="385" t="s">
        <v>60</v>
      </c>
      <c r="K64" s="374">
        <v>3</v>
      </c>
      <c r="L64" s="385" t="s">
        <v>6</v>
      </c>
      <c r="M64" s="389" t="s">
        <v>67</v>
      </c>
      <c r="N64" s="390">
        <v>46136</v>
      </c>
      <c r="O64" s="390">
        <v>46164</v>
      </c>
      <c r="P64" s="390">
        <v>46182</v>
      </c>
      <c r="Q64" s="390">
        <v>46182</v>
      </c>
      <c r="R64" s="390"/>
      <c r="S64" s="390"/>
      <c r="T64" s="390"/>
      <c r="U64" s="390"/>
      <c r="V64" s="390"/>
      <c r="W64" s="387">
        <f>W62-W63</f>
        <v>3</v>
      </c>
      <c r="X64" s="390"/>
      <c r="Y64" s="390"/>
      <c r="Z64" s="390"/>
      <c r="AA64" s="390"/>
      <c r="AB64" s="390"/>
      <c r="AC64" s="390"/>
      <c r="AD64" s="390"/>
      <c r="AE64" s="390"/>
      <c r="AF64" s="390"/>
      <c r="AG64" s="390"/>
      <c r="AH64" s="390"/>
      <c r="AI64" s="390"/>
      <c r="AJ64" s="386"/>
      <c r="AK64" s="391"/>
      <c r="AL64" s="390"/>
      <c r="AM64" s="392"/>
      <c r="AN64" s="392"/>
      <c r="AO64" s="392"/>
      <c r="AP64" s="392"/>
      <c r="AQ64" s="387"/>
      <c r="AR64" s="393"/>
      <c r="AS64" s="394"/>
      <c r="AT64" s="592"/>
    </row>
    <row r="65" spans="1:46" s="264" customFormat="1" ht="25.05" customHeight="1">
      <c r="A65" s="493">
        <f>A62+1</f>
        <v>13</v>
      </c>
      <c r="B65" s="308" t="s">
        <v>111</v>
      </c>
      <c r="C65" s="308" t="s">
        <v>112</v>
      </c>
      <c r="D65" s="521">
        <v>24</v>
      </c>
      <c r="E65" s="541">
        <v>24</v>
      </c>
      <c r="F65" s="562">
        <f>E65-D65</f>
        <v>0</v>
      </c>
      <c r="G65" s="311"/>
      <c r="H65" s="310"/>
      <c r="I65" s="311" t="s">
        <v>59</v>
      </c>
      <c r="J65" s="308" t="s">
        <v>60</v>
      </c>
      <c r="K65" s="312">
        <f>K68</f>
        <v>3</v>
      </c>
      <c r="L65" s="308" t="s">
        <v>6</v>
      </c>
      <c r="M65" s="313" t="s">
        <v>61</v>
      </c>
      <c r="N65" s="364">
        <f>WORKDAY.INTL(O65,-INDEX(O$12:O$15,MATCH($L65,$L$12:$L$15,0)),1,IF(N$18="China",'China Holidays'!$A$2:$A$82,'Thai Holidays'!$A$2:$A$63))</f>
        <v>46163</v>
      </c>
      <c r="O65" s="350">
        <v>46164</v>
      </c>
      <c r="P65" s="350">
        <v>46171</v>
      </c>
      <c r="Q65" s="350">
        <v>46174</v>
      </c>
      <c r="R65" s="350">
        <v>46182</v>
      </c>
      <c r="S65" s="350">
        <f>R65+1</f>
        <v>46183</v>
      </c>
      <c r="T65" s="350">
        <v>46197</v>
      </c>
      <c r="U65" s="350">
        <v>46225</v>
      </c>
      <c r="V65" s="350">
        <v>46230</v>
      </c>
      <c r="W65" s="350">
        <v>46244</v>
      </c>
      <c r="X65" s="350">
        <v>46246</v>
      </c>
      <c r="Y65" s="350">
        <v>46253</v>
      </c>
      <c r="Z65" s="350">
        <v>46281</v>
      </c>
      <c r="AA65" s="350">
        <v>46295</v>
      </c>
      <c r="AB65" s="350">
        <v>46355</v>
      </c>
      <c r="AC65" s="350">
        <v>46358</v>
      </c>
      <c r="AD65" s="350">
        <v>46359</v>
      </c>
      <c r="AE65" s="350">
        <v>46381</v>
      </c>
      <c r="AF65" s="350">
        <v>46411</v>
      </c>
      <c r="AG65" s="350">
        <v>46412</v>
      </c>
      <c r="AH65" s="350">
        <v>46426</v>
      </c>
      <c r="AI65" s="350">
        <v>46442</v>
      </c>
      <c r="AJ65" s="316">
        <v>24</v>
      </c>
      <c r="AK65" s="351"/>
      <c r="AL65" s="350" t="str">
        <f>TEXT(AL67,"dd-mmm-yy")</f>
        <v>22-Jan-27</v>
      </c>
      <c r="AM65" s="327"/>
      <c r="AN65" s="327"/>
      <c r="AO65" s="327"/>
      <c r="AP65" s="327"/>
      <c r="AQ65" s="311"/>
      <c r="AR65" s="329"/>
      <c r="AS65" s="330" t="s">
        <v>62</v>
      </c>
      <c r="AT65" s="331">
        <v>46465</v>
      </c>
    </row>
    <row r="66" spans="1:46" s="264" customFormat="1" ht="25.05" customHeight="1">
      <c r="A66" s="491"/>
      <c r="B66" s="308" t="str">
        <f>B65</f>
        <v>RFQ-MEC-013</v>
      </c>
      <c r="C66" s="308" t="s">
        <v>112</v>
      </c>
      <c r="D66" s="515"/>
      <c r="E66" s="542"/>
      <c r="F66" s="555"/>
      <c r="G66" s="311"/>
      <c r="H66" s="310"/>
      <c r="I66" s="311" t="s">
        <v>59</v>
      </c>
      <c r="J66" s="308"/>
      <c r="K66" s="322"/>
      <c r="L66" s="308"/>
      <c r="M66" s="323" t="s">
        <v>63</v>
      </c>
      <c r="N66" s="367"/>
      <c r="O66" s="325">
        <v>46164</v>
      </c>
      <c r="P66" s="325">
        <v>46171</v>
      </c>
      <c r="Q66" s="325">
        <v>46174</v>
      </c>
      <c r="R66" s="325">
        <v>46182</v>
      </c>
      <c r="S66" s="325">
        <v>46183</v>
      </c>
      <c r="T66" s="325">
        <v>46197</v>
      </c>
      <c r="U66" s="325">
        <v>46225</v>
      </c>
      <c r="V66" s="325">
        <v>46230</v>
      </c>
      <c r="W66" s="325">
        <v>46244</v>
      </c>
      <c r="X66" s="325">
        <v>46246</v>
      </c>
      <c r="Y66" s="325">
        <v>46253</v>
      </c>
      <c r="Z66" s="325">
        <v>46281</v>
      </c>
      <c r="AA66" s="325">
        <v>46295</v>
      </c>
      <c r="AB66" s="325">
        <v>46355</v>
      </c>
      <c r="AC66" s="325">
        <v>46358</v>
      </c>
      <c r="AD66" s="325">
        <v>46359</v>
      </c>
      <c r="AE66" s="325">
        <v>46381</v>
      </c>
      <c r="AF66" s="325">
        <v>46411</v>
      </c>
      <c r="AG66" s="325">
        <v>46412</v>
      </c>
      <c r="AH66" s="325">
        <v>46426</v>
      </c>
      <c r="AI66" s="325">
        <v>46442</v>
      </c>
      <c r="AJ66" s="365"/>
      <c r="AK66" s="326"/>
      <c r="AL66" s="325">
        <f>W66+AK67</f>
        <v>46412</v>
      </c>
      <c r="AM66" s="327"/>
      <c r="AN66" s="327"/>
      <c r="AO66" s="327"/>
      <c r="AP66" s="327"/>
      <c r="AQ66" s="328">
        <f>AM67-AL66</f>
        <v>50</v>
      </c>
      <c r="AR66" s="329"/>
      <c r="AS66" s="330"/>
      <c r="AT66" s="331"/>
    </row>
    <row r="67" spans="1:46" s="264" customFormat="1" ht="25.05" customHeight="1">
      <c r="A67" s="491"/>
      <c r="B67" s="308" t="str">
        <f>B65</f>
        <v>RFQ-MEC-013</v>
      </c>
      <c r="C67" s="308" t="s">
        <v>112</v>
      </c>
      <c r="D67" s="511"/>
      <c r="E67" s="542"/>
      <c r="F67" s="569"/>
      <c r="G67" s="311">
        <v>53</v>
      </c>
      <c r="H67" s="310" t="s">
        <v>113</v>
      </c>
      <c r="I67" s="311" t="s">
        <v>59</v>
      </c>
      <c r="J67" s="308" t="s">
        <v>60</v>
      </c>
      <c r="K67" s="308">
        <f>K68</f>
        <v>3</v>
      </c>
      <c r="L67" s="308" t="s">
        <v>6</v>
      </c>
      <c r="M67" s="313" t="s">
        <v>65</v>
      </c>
      <c r="N67" s="350"/>
      <c r="O67" s="350">
        <v>46164</v>
      </c>
      <c r="P67" s="350">
        <f>WORKDAY.INTL(O67,INDEX(P$8:P$11,MATCH($L67,$L$8:$L$11,0)),1,IF(P$18="China",'China Holidays'!$A$2:$A$82,'Thai Holidays'!$A$2:$A$63))</f>
        <v>46182</v>
      </c>
      <c r="Q67" s="350">
        <f>WORKDAY.INTL(P67,INDEX(Q$8:Q$11,MATCH($L67,$L$8:$L$11,0)),1,IF(Q$18="China",'China Holidays'!$A$2:$A$82,'Thai Holidays'!$A$2:$A$63))</f>
        <v>46182</v>
      </c>
      <c r="R67" s="350">
        <f>WORKDAY.INTL(Q67,INDEX(R$8:R$11,MATCH($L67,$L$8:$L$11,0)),1,IF(R$18="China",'China Holidays'!$A$2:$A$82,'Thai Holidays'!$A$2:$A$63))</f>
        <v>46182</v>
      </c>
      <c r="S67" s="350">
        <f>WORKDAY.INTL(R67,INDEX(S$8:S$11,MATCH($L67,$L$8:$L$11,0)),1,IF(S$18="China",'China Holidays'!$A$2:$A$82,'Thai Holidays'!$A$2:$A$63))</f>
        <v>46182</v>
      </c>
      <c r="T67" s="350">
        <f>WORKDAY.INTL(S67,INDEX(T$8:T$11,MATCH($L67,$L$8:$L$11,0)),1,IF(T$18="China",'China Holidays'!$A$2:$A$82,'Thai Holidays'!$A$2:$A$63))</f>
        <v>46197</v>
      </c>
      <c r="U67" s="350">
        <v>46216</v>
      </c>
      <c r="V67" s="350">
        <f>WORKDAY.INTL(U67,INDEX(V$8:V$11,MATCH($L67,$L$8:$L$11,0)),1,IF(V$18="China",'China Holidays'!$A$2:$A$82,'Thai Holidays'!$A$2:$A$63))</f>
        <v>46230</v>
      </c>
      <c r="W67" s="350">
        <f>WORKDAY.INTL(V67,INDEX(W$8:W$11,MATCH($L67,$L$8:$L$11,0)),1,IF(W$18="China",'China Holidays'!$A$2:$A$82,'Thai Holidays'!$A$2:$A$63))</f>
        <v>46241</v>
      </c>
      <c r="X67" s="350">
        <f>WORKDAY.INTL(W67,INDEX(X$12:X$15,MATCH($L67,$L$12:$L$15,0)),1,IF(X$18="China",'China Holidays'!$A$2:$A$82,'Thai Holidays'!$A$2:$A$63))</f>
        <v>46245</v>
      </c>
      <c r="Y67" s="350">
        <f>WORKDAY.INTL(X67,INDEX(Y$12:Y$15,MATCH($L67,$L$12:$L$15,0)),1,IF(Y$18="China",'China Holidays'!$A$2:$A$82,'Thai Holidays'!$A$2:$A$63))</f>
        <v>46252</v>
      </c>
      <c r="Z67" s="350">
        <f>WORKDAY.INTL(Y67,INDEX(Z$12:Z$15,MATCH($L67,$L$12:$L$15,0)),1,IF(Z$18="China",'China Holidays'!$A$2:$A$82,'Thai Holidays'!$A$2:$A$63))</f>
        <v>46280</v>
      </c>
      <c r="AA67" s="350">
        <f>WORKDAY.INTL(Z67,INDEX(AA$12:AA$15,MATCH($L67,$L$12:$L$15,0)),1,IF(AA$18="China",'China Holidays'!$A$2:$A$82,'Thai Holidays'!$A$2:$A$63))</f>
        <v>46294</v>
      </c>
      <c r="AB67" s="350">
        <f>AA67+60</f>
        <v>46354</v>
      </c>
      <c r="AC67" s="350">
        <f>AB67+3</f>
        <v>46357</v>
      </c>
      <c r="AD67" s="350">
        <f>AC67+1</f>
        <v>46358</v>
      </c>
      <c r="AE67" s="350">
        <f>AF67-30</f>
        <v>46378</v>
      </c>
      <c r="AF67" s="350">
        <f>AG67-1</f>
        <v>46408</v>
      </c>
      <c r="AG67" s="350">
        <f>AL67</f>
        <v>46409</v>
      </c>
      <c r="AH67" s="350">
        <f>AL67+14</f>
        <v>46423</v>
      </c>
      <c r="AI67" s="350">
        <f>AL67+30</f>
        <v>46439</v>
      </c>
      <c r="AJ67" s="362"/>
      <c r="AK67" s="317">
        <f>AJ65*7</f>
        <v>168</v>
      </c>
      <c r="AL67" s="350">
        <f>W67+AK67</f>
        <v>46409</v>
      </c>
      <c r="AM67" s="327">
        <f>AT65-3</f>
        <v>46462</v>
      </c>
      <c r="AN67" s="318">
        <f>AO67-7</f>
        <v>46456</v>
      </c>
      <c r="AO67" s="318">
        <v>46463</v>
      </c>
      <c r="AP67" s="327"/>
      <c r="AQ67" s="311">
        <f>AM67-AL67</f>
        <v>53</v>
      </c>
      <c r="AR67" s="329"/>
      <c r="AS67" s="330" t="s">
        <v>66</v>
      </c>
      <c r="AT67" s="331">
        <v>46489</v>
      </c>
    </row>
    <row r="68" spans="1:46" s="264" customFormat="1" ht="25.05" customHeight="1">
      <c r="A68" s="492"/>
      <c r="B68" s="337" t="str">
        <f>B65</f>
        <v>RFQ-MEC-013</v>
      </c>
      <c r="C68" s="337" t="s">
        <v>112</v>
      </c>
      <c r="D68" s="524"/>
      <c r="E68" s="544"/>
      <c r="F68" s="570"/>
      <c r="G68" s="340"/>
      <c r="H68" s="339"/>
      <c r="I68" s="340" t="s">
        <v>59</v>
      </c>
      <c r="J68" s="337" t="s">
        <v>60</v>
      </c>
      <c r="K68" s="308">
        <v>3</v>
      </c>
      <c r="L68" s="337" t="s">
        <v>6</v>
      </c>
      <c r="M68" s="341" t="s">
        <v>67</v>
      </c>
      <c r="N68" s="343">
        <v>46136</v>
      </c>
      <c r="O68" s="343">
        <v>46164</v>
      </c>
      <c r="P68" s="343">
        <v>46183</v>
      </c>
      <c r="Q68" s="343">
        <v>46183</v>
      </c>
      <c r="R68" s="343">
        <v>46183</v>
      </c>
      <c r="S68" s="343">
        <v>46183</v>
      </c>
      <c r="T68" s="343">
        <v>46183</v>
      </c>
      <c r="U68" s="343"/>
      <c r="V68" s="343"/>
      <c r="W68" s="340">
        <f>W65-W67</f>
        <v>3</v>
      </c>
      <c r="X68" s="343"/>
      <c r="Y68" s="343"/>
      <c r="Z68" s="343"/>
      <c r="AA68" s="343"/>
      <c r="AB68" s="343"/>
      <c r="AC68" s="343"/>
      <c r="AD68" s="343"/>
      <c r="AE68" s="343"/>
      <c r="AF68" s="343"/>
      <c r="AG68" s="343"/>
      <c r="AH68" s="343"/>
      <c r="AI68" s="343"/>
      <c r="AJ68" s="353"/>
      <c r="AK68" s="354"/>
      <c r="AL68" s="343"/>
      <c r="AM68" s="355"/>
      <c r="AN68" s="355"/>
      <c r="AO68" s="355"/>
      <c r="AP68" s="346" t="s">
        <v>114</v>
      </c>
      <c r="AQ68" s="340"/>
      <c r="AR68" s="356"/>
      <c r="AS68" s="357"/>
      <c r="AT68" s="356"/>
    </row>
    <row r="69" spans="1:46" s="264" customFormat="1" ht="25.05" customHeight="1">
      <c r="A69" s="493">
        <f>A65+1</f>
        <v>14</v>
      </c>
      <c r="B69" s="308" t="s">
        <v>115</v>
      </c>
      <c r="C69" s="308" t="s">
        <v>116</v>
      </c>
      <c r="D69" s="517">
        <v>30</v>
      </c>
      <c r="E69" s="541">
        <v>32</v>
      </c>
      <c r="F69" s="562">
        <f>E69-D69</f>
        <v>2</v>
      </c>
      <c r="G69" s="311"/>
      <c r="H69" s="310"/>
      <c r="I69" s="311" t="s">
        <v>59</v>
      </c>
      <c r="J69" s="308" t="s">
        <v>60</v>
      </c>
      <c r="K69" s="312">
        <f>K72</f>
        <v>3</v>
      </c>
      <c r="L69" s="308" t="s">
        <v>6</v>
      </c>
      <c r="M69" s="313" t="s">
        <v>61</v>
      </c>
      <c r="N69" s="364">
        <f>WORKDAY.INTL(O69,-INDEX(O$12:O$15,MATCH($L69,$L$12:$L$15,0)),1,IF(N$18="China",'China Holidays'!$A$2:$A$82,'Thai Holidays'!$A$2:$A$63))</f>
        <v>46154</v>
      </c>
      <c r="O69" s="350">
        <v>46155</v>
      </c>
      <c r="P69" s="350">
        <v>46162</v>
      </c>
      <c r="Q69" s="350">
        <v>46163</v>
      </c>
      <c r="R69" s="350">
        <v>46170</v>
      </c>
      <c r="S69" s="350">
        <f>R69+1</f>
        <v>46171</v>
      </c>
      <c r="T69" s="350">
        <v>46184</v>
      </c>
      <c r="U69" s="350">
        <v>46212</v>
      </c>
      <c r="V69" s="350">
        <v>46217</v>
      </c>
      <c r="W69" s="350">
        <v>46231</v>
      </c>
      <c r="X69" s="350">
        <v>46233</v>
      </c>
      <c r="Y69" s="350">
        <v>46240</v>
      </c>
      <c r="Z69" s="350">
        <v>46268</v>
      </c>
      <c r="AA69" s="350">
        <v>46282</v>
      </c>
      <c r="AB69" s="350">
        <v>46394</v>
      </c>
      <c r="AC69" s="350">
        <v>46397</v>
      </c>
      <c r="AD69" s="350">
        <v>46398</v>
      </c>
      <c r="AE69" s="350">
        <v>46411</v>
      </c>
      <c r="AF69" s="350">
        <v>46441</v>
      </c>
      <c r="AG69" s="350">
        <v>46455</v>
      </c>
      <c r="AH69" s="350">
        <v>46469</v>
      </c>
      <c r="AI69" s="350">
        <v>46485</v>
      </c>
      <c r="AJ69" s="316">
        <v>32</v>
      </c>
      <c r="AK69" s="351"/>
      <c r="AL69" s="350" t="str">
        <f>TEXT(AL71,"d-mmm-yy")</f>
        <v>9-Mar-27</v>
      </c>
      <c r="AM69" s="327"/>
      <c r="AN69" s="327"/>
      <c r="AO69" s="327"/>
      <c r="AP69" s="327"/>
      <c r="AQ69" s="311"/>
      <c r="AR69" s="329"/>
      <c r="AS69" s="330" t="s">
        <v>62</v>
      </c>
      <c r="AT69" s="331">
        <v>46468</v>
      </c>
    </row>
    <row r="70" spans="1:46" s="264" customFormat="1" ht="25.05" customHeight="1">
      <c r="A70" s="491"/>
      <c r="B70" s="308" t="str">
        <f>B69</f>
        <v>RFQ-MEC-014</v>
      </c>
      <c r="C70" s="308" t="s">
        <v>116</v>
      </c>
      <c r="D70" s="515"/>
      <c r="E70" s="543"/>
      <c r="F70" s="554"/>
      <c r="G70" s="311"/>
      <c r="H70" s="310"/>
      <c r="I70" s="309" t="s">
        <v>59</v>
      </c>
      <c r="J70" s="308"/>
      <c r="K70" s="322"/>
      <c r="L70" s="308"/>
      <c r="M70" s="323" t="s">
        <v>63</v>
      </c>
      <c r="N70" s="367"/>
      <c r="O70" s="325">
        <v>46155</v>
      </c>
      <c r="P70" s="325">
        <v>46162</v>
      </c>
      <c r="Q70" s="325">
        <v>46163</v>
      </c>
      <c r="R70" s="325">
        <v>46170</v>
      </c>
      <c r="S70" s="325">
        <v>46171</v>
      </c>
      <c r="T70" s="325">
        <v>46184</v>
      </c>
      <c r="U70" s="325">
        <v>46212</v>
      </c>
      <c r="V70" s="325">
        <v>46217</v>
      </c>
      <c r="W70" s="325">
        <v>46231</v>
      </c>
      <c r="X70" s="325">
        <v>46233</v>
      </c>
      <c r="Y70" s="325">
        <v>46240</v>
      </c>
      <c r="Z70" s="325">
        <v>46268</v>
      </c>
      <c r="AA70" s="325">
        <v>46282</v>
      </c>
      <c r="AB70" s="325">
        <v>46394</v>
      </c>
      <c r="AC70" s="325">
        <v>46397</v>
      </c>
      <c r="AD70" s="325">
        <v>46398</v>
      </c>
      <c r="AE70" s="325">
        <v>46411</v>
      </c>
      <c r="AF70" s="325">
        <v>46441</v>
      </c>
      <c r="AG70" s="325">
        <v>46455</v>
      </c>
      <c r="AH70" s="325">
        <v>46469</v>
      </c>
      <c r="AI70" s="325">
        <v>46485</v>
      </c>
      <c r="AJ70" s="365"/>
      <c r="AK70" s="326"/>
      <c r="AL70" s="325">
        <f>W70+AK71</f>
        <v>46455</v>
      </c>
      <c r="AM70" s="327"/>
      <c r="AN70" s="327"/>
      <c r="AO70" s="327"/>
      <c r="AP70" s="327"/>
      <c r="AQ70" s="328">
        <f>AM71-AL70</f>
        <v>10</v>
      </c>
      <c r="AR70" s="329"/>
      <c r="AS70" s="330"/>
      <c r="AT70" s="331"/>
    </row>
    <row r="71" spans="1:46" s="264" customFormat="1" ht="25.05" customHeight="1">
      <c r="A71" s="491"/>
      <c r="B71" s="308" t="str">
        <f>B69</f>
        <v>RFQ-MEC-014</v>
      </c>
      <c r="C71" s="308" t="s">
        <v>116</v>
      </c>
      <c r="D71" s="505"/>
      <c r="E71" s="543"/>
      <c r="F71" s="549"/>
      <c r="G71" s="311">
        <v>10</v>
      </c>
      <c r="H71" s="310" t="s">
        <v>117</v>
      </c>
      <c r="I71" s="311" t="s">
        <v>59</v>
      </c>
      <c r="J71" s="308" t="s">
        <v>60</v>
      </c>
      <c r="K71" s="308">
        <f>K72</f>
        <v>3</v>
      </c>
      <c r="L71" s="308" t="s">
        <v>6</v>
      </c>
      <c r="M71" s="313" t="s">
        <v>65</v>
      </c>
      <c r="N71" s="350"/>
      <c r="O71" s="350">
        <v>46157</v>
      </c>
      <c r="P71" s="350">
        <f>WORKDAY.INTL(O71,INDEX(P$8:P$11,MATCH($L71,$L$8:$L$11,0)),1,IF(P$18="China",'China Holidays'!$A$2:$A$82,'Thai Holidays'!$A$2:$A$63))</f>
        <v>46171</v>
      </c>
      <c r="Q71" s="350">
        <f>WORKDAY.INTL(P71,INDEX(Q$8:Q$11,MATCH($L71,$L$8:$L$11,0)),1,IF(Q$18="China",'China Holidays'!$A$2:$A$82,'Thai Holidays'!$A$2:$A$63))</f>
        <v>46171</v>
      </c>
      <c r="R71" s="350">
        <f>WORKDAY.INTL(Q71,INDEX(R$8:R$11,MATCH($L71,$L$8:$L$11,0)),1,IF(R$18="China",'China Holidays'!$A$2:$A$82,'Thai Holidays'!$A$2:$A$63))</f>
        <v>46171</v>
      </c>
      <c r="S71" s="350">
        <f>WORKDAY.INTL(R71,INDEX(S$8:S$11,MATCH($L71,$L$8:$L$11,0)),1,IF(S$18="China",'China Holidays'!$A$2:$A$82,'Thai Holidays'!$A$2:$A$63))</f>
        <v>46171</v>
      </c>
      <c r="T71" s="350">
        <f>WORKDAY.INTL(S71,INDEX(T$8:T$11,MATCH($L71,$L$8:$L$11,0)),1,IF(T$18="China",'China Holidays'!$A$2:$A$82,'Thai Holidays'!$A$2:$A$63))</f>
        <v>46185</v>
      </c>
      <c r="U71" s="350">
        <v>46204</v>
      </c>
      <c r="V71" s="350">
        <f>WORKDAY.INTL(U71,INDEX(V$8:V$11,MATCH($L71,$L$8:$L$11,0)),1,IF(V$18="China",'China Holidays'!$A$2:$A$82,'Thai Holidays'!$A$2:$A$63))</f>
        <v>46218</v>
      </c>
      <c r="W71" s="350">
        <f>WORKDAY.INTL(V71,INDEX(W$8:W$11,MATCH($L71,$L$8:$L$11,0)),1,IF(W$18="China",'China Holidays'!$A$2:$A$82,'Thai Holidays'!$A$2:$A$63))</f>
        <v>46231</v>
      </c>
      <c r="X71" s="350">
        <f>WORKDAY.INTL(W71,INDEX(X$12:X$15,MATCH($L71,$L$12:$L$15,0)),1,IF(X$18="China",'China Holidays'!$A$2:$A$82,'Thai Holidays'!$A$2:$A$63))</f>
        <v>46233</v>
      </c>
      <c r="Y71" s="350">
        <f>WORKDAY.INTL(X71,INDEX(Y$12:Y$15,MATCH($L71,$L$12:$L$15,0)),1,IF(Y$18="China",'China Holidays'!$A$2:$A$82,'Thai Holidays'!$A$2:$A$63))</f>
        <v>46240</v>
      </c>
      <c r="Z71" s="350">
        <f>WORKDAY.INTL(Y71,INDEX(Z$12:Z$15,MATCH($L71,$L$12:$L$15,0)),1,IF(Z$18="China",'China Holidays'!$A$2:$A$82,'Thai Holidays'!$A$2:$A$63))</f>
        <v>46268</v>
      </c>
      <c r="AA71" s="350">
        <f>WORKDAY.INTL(Z71,INDEX(AA$12:AA$15,MATCH($L71,$L$12:$L$15,0)),1,IF(AA$18="China",'China Holidays'!$A$2:$A$82,'Thai Holidays'!$A$2:$A$63))</f>
        <v>46282</v>
      </c>
      <c r="AB71" s="350">
        <f>AA71+16*7</f>
        <v>46394</v>
      </c>
      <c r="AC71" s="350">
        <f>AB71+3</f>
        <v>46397</v>
      </c>
      <c r="AD71" s="350">
        <f>AC71+1</f>
        <v>46398</v>
      </c>
      <c r="AE71" s="350">
        <f>AF71-30</f>
        <v>46411</v>
      </c>
      <c r="AF71" s="350">
        <f>AG71-14</f>
        <v>46441</v>
      </c>
      <c r="AG71" s="350">
        <f>AL71</f>
        <v>46455</v>
      </c>
      <c r="AH71" s="350">
        <f>AL71+14</f>
        <v>46469</v>
      </c>
      <c r="AI71" s="350">
        <f>AL71+30</f>
        <v>46485</v>
      </c>
      <c r="AJ71" s="362"/>
      <c r="AK71" s="317">
        <f>AJ69*7</f>
        <v>224</v>
      </c>
      <c r="AL71" s="350">
        <f>W71+AK71</f>
        <v>46455</v>
      </c>
      <c r="AM71" s="327">
        <f>AT69-3</f>
        <v>46465</v>
      </c>
      <c r="AN71" s="318">
        <f>AO71-7</f>
        <v>46461</v>
      </c>
      <c r="AO71" s="318">
        <v>46468</v>
      </c>
      <c r="AP71" s="327"/>
      <c r="AQ71" s="311">
        <f>AM71-AL71</f>
        <v>10</v>
      </c>
      <c r="AR71" s="329"/>
      <c r="AS71" s="330" t="s">
        <v>66</v>
      </c>
      <c r="AT71" s="331">
        <v>46468</v>
      </c>
    </row>
    <row r="72" spans="1:46" s="264" customFormat="1" ht="25.05" customHeight="1">
      <c r="A72" s="492"/>
      <c r="B72" s="337" t="str">
        <f>B69</f>
        <v>RFQ-MEC-014</v>
      </c>
      <c r="C72" s="337" t="s">
        <v>116</v>
      </c>
      <c r="D72" s="507"/>
      <c r="E72" s="546"/>
      <c r="F72" s="551"/>
      <c r="G72" s="340"/>
      <c r="H72" s="339"/>
      <c r="I72" s="340" t="s">
        <v>59</v>
      </c>
      <c r="J72" s="337" t="s">
        <v>60</v>
      </c>
      <c r="K72" s="308">
        <v>3</v>
      </c>
      <c r="L72" s="337" t="s">
        <v>6</v>
      </c>
      <c r="M72" s="341" t="s">
        <v>67</v>
      </c>
      <c r="N72" s="343">
        <v>46133</v>
      </c>
      <c r="O72" s="343">
        <v>46157</v>
      </c>
      <c r="P72" s="343">
        <v>46182</v>
      </c>
      <c r="Q72" s="343">
        <v>46182</v>
      </c>
      <c r="R72" s="343">
        <v>46182</v>
      </c>
      <c r="S72" s="343">
        <v>46182</v>
      </c>
      <c r="T72" s="343">
        <v>46178</v>
      </c>
      <c r="U72" s="343">
        <v>46206</v>
      </c>
      <c r="V72" s="343"/>
      <c r="W72" s="340">
        <f>W69-W71</f>
        <v>0</v>
      </c>
      <c r="X72" s="343"/>
      <c r="Y72" s="343"/>
      <c r="Z72" s="343"/>
      <c r="AA72" s="343"/>
      <c r="AB72" s="343"/>
      <c r="AC72" s="343"/>
      <c r="AD72" s="343"/>
      <c r="AE72" s="343"/>
      <c r="AF72" s="343"/>
      <c r="AG72" s="343"/>
      <c r="AH72" s="343"/>
      <c r="AI72" s="343"/>
      <c r="AJ72" s="353"/>
      <c r="AK72" s="354"/>
      <c r="AL72" s="343"/>
      <c r="AM72" s="355"/>
      <c r="AN72" s="355"/>
      <c r="AO72" s="355"/>
      <c r="AP72" s="346" t="s">
        <v>106</v>
      </c>
      <c r="AQ72" s="340"/>
      <c r="AR72" s="356"/>
      <c r="AS72" s="357"/>
      <c r="AT72" s="356"/>
    </row>
    <row r="73" spans="1:46" s="264" customFormat="1" ht="25.05" customHeight="1">
      <c r="A73" s="493">
        <f>A69+1</f>
        <v>15</v>
      </c>
      <c r="B73" s="308" t="s">
        <v>118</v>
      </c>
      <c r="C73" s="308" t="s">
        <v>119</v>
      </c>
      <c r="D73" s="517">
        <v>30</v>
      </c>
      <c r="E73" s="541">
        <v>32</v>
      </c>
      <c r="F73" s="562">
        <f>E73-D73</f>
        <v>2</v>
      </c>
      <c r="G73" s="311"/>
      <c r="H73" s="310"/>
      <c r="I73" s="311" t="s">
        <v>59</v>
      </c>
      <c r="J73" s="308" t="s">
        <v>60</v>
      </c>
      <c r="K73" s="312">
        <f>K76</f>
        <v>3</v>
      </c>
      <c r="L73" s="308" t="s">
        <v>6</v>
      </c>
      <c r="M73" s="313" t="s">
        <v>61</v>
      </c>
      <c r="N73" s="364">
        <f>WORKDAY.INTL(O73,-INDEX(O$12:O$15,MATCH($L73,$L$12:$L$15,0)),1,IF(N$18="China",'China Holidays'!$A$2:$A$82,'Thai Holidays'!$A$2:$A$63))</f>
        <v>46176</v>
      </c>
      <c r="O73" s="350">
        <v>46177</v>
      </c>
      <c r="P73" s="350">
        <v>46184</v>
      </c>
      <c r="Q73" s="350">
        <v>46185</v>
      </c>
      <c r="R73" s="350">
        <v>46192</v>
      </c>
      <c r="S73" s="350">
        <f>R73+1</f>
        <v>46193</v>
      </c>
      <c r="T73" s="350">
        <v>46206</v>
      </c>
      <c r="U73" s="350">
        <v>46238</v>
      </c>
      <c r="V73" s="350">
        <v>46241</v>
      </c>
      <c r="W73" s="350">
        <v>46255</v>
      </c>
      <c r="X73" s="350">
        <v>46259</v>
      </c>
      <c r="Y73" s="350">
        <v>46266</v>
      </c>
      <c r="Z73" s="350">
        <v>46295</v>
      </c>
      <c r="AA73" s="350">
        <v>46310</v>
      </c>
      <c r="AB73" s="350">
        <v>46421</v>
      </c>
      <c r="AC73" s="350">
        <v>46424</v>
      </c>
      <c r="AD73" s="350">
        <v>46425</v>
      </c>
      <c r="AE73" s="350">
        <v>46435</v>
      </c>
      <c r="AF73" s="350">
        <v>46465</v>
      </c>
      <c r="AG73" s="350">
        <v>46479</v>
      </c>
      <c r="AH73" s="350">
        <v>46493</v>
      </c>
      <c r="AI73" s="350">
        <v>46509</v>
      </c>
      <c r="AJ73" s="316">
        <v>32</v>
      </c>
      <c r="AK73" s="351"/>
      <c r="AL73" s="350" t="str">
        <f>TEXT(AL75,"d-mmm-yy")</f>
        <v>2-Apr-27</v>
      </c>
      <c r="AM73" s="327"/>
      <c r="AN73" s="327"/>
      <c r="AO73" s="327"/>
      <c r="AP73" s="327"/>
      <c r="AQ73" s="311"/>
      <c r="AR73" s="329"/>
      <c r="AS73" s="330" t="s">
        <v>62</v>
      </c>
      <c r="AT73" s="331">
        <v>46483</v>
      </c>
    </row>
    <row r="74" spans="1:46" s="264" customFormat="1" ht="25.05" customHeight="1">
      <c r="A74" s="491"/>
      <c r="B74" s="308" t="str">
        <f>B73</f>
        <v>RFQ-MEC-015</v>
      </c>
      <c r="C74" s="308" t="s">
        <v>119</v>
      </c>
      <c r="D74" s="515"/>
      <c r="E74" s="542"/>
      <c r="F74" s="555"/>
      <c r="G74" s="311"/>
      <c r="H74" s="310"/>
      <c r="I74" s="309" t="s">
        <v>59</v>
      </c>
      <c r="J74" s="308"/>
      <c r="K74" s="322"/>
      <c r="L74" s="308"/>
      <c r="M74" s="323" t="s">
        <v>63</v>
      </c>
      <c r="N74" s="367"/>
      <c r="O74" s="325">
        <v>46177</v>
      </c>
      <c r="P74" s="325">
        <v>46184</v>
      </c>
      <c r="Q74" s="325">
        <v>46185</v>
      </c>
      <c r="R74" s="325">
        <v>46192</v>
      </c>
      <c r="S74" s="325">
        <v>46193</v>
      </c>
      <c r="T74" s="325">
        <v>46206</v>
      </c>
      <c r="U74" s="325">
        <v>46238</v>
      </c>
      <c r="V74" s="325">
        <v>46241</v>
      </c>
      <c r="W74" s="325">
        <v>46255</v>
      </c>
      <c r="X74" s="325">
        <v>46259</v>
      </c>
      <c r="Y74" s="325">
        <v>46266</v>
      </c>
      <c r="Z74" s="325">
        <v>46295</v>
      </c>
      <c r="AA74" s="325">
        <v>46310</v>
      </c>
      <c r="AB74" s="325">
        <v>46421</v>
      </c>
      <c r="AC74" s="325">
        <v>46424</v>
      </c>
      <c r="AD74" s="325">
        <v>46425</v>
      </c>
      <c r="AE74" s="325">
        <v>46435</v>
      </c>
      <c r="AF74" s="325">
        <v>46465</v>
      </c>
      <c r="AG74" s="325">
        <v>46479</v>
      </c>
      <c r="AH74" s="325">
        <v>46493</v>
      </c>
      <c r="AI74" s="325">
        <v>46509</v>
      </c>
      <c r="AJ74" s="365"/>
      <c r="AK74" s="326"/>
      <c r="AL74" s="325">
        <f>W74+AK75</f>
        <v>46479</v>
      </c>
      <c r="AM74" s="327"/>
      <c r="AN74" s="327"/>
      <c r="AO74" s="327"/>
      <c r="AP74" s="327"/>
      <c r="AQ74" s="328">
        <f>AM75-AL74</f>
        <v>1</v>
      </c>
      <c r="AR74" s="329"/>
      <c r="AS74" s="330"/>
      <c r="AT74" s="331"/>
    </row>
    <row r="75" spans="1:46" s="264" customFormat="1" ht="25.05" customHeight="1">
      <c r="A75" s="491"/>
      <c r="B75" s="308" t="str">
        <f>B73</f>
        <v>RFQ-MEC-015</v>
      </c>
      <c r="C75" s="308" t="s">
        <v>119</v>
      </c>
      <c r="D75" s="531"/>
      <c r="E75" s="542"/>
      <c r="F75" s="569"/>
      <c r="G75" s="311">
        <v>1</v>
      </c>
      <c r="H75" s="310" t="s">
        <v>120</v>
      </c>
      <c r="I75" s="311" t="s">
        <v>59</v>
      </c>
      <c r="J75" s="308" t="s">
        <v>60</v>
      </c>
      <c r="K75" s="308">
        <f>K76</f>
        <v>3</v>
      </c>
      <c r="L75" s="308" t="s">
        <v>6</v>
      </c>
      <c r="M75" s="313" t="s">
        <v>65</v>
      </c>
      <c r="N75" s="350">
        <f>WORKDAY.INTL(O75,-INDEX(O$12:O$15,MATCH($L75,$L$12:$L$15,0)),1,IF(N$18="China",'China Holidays'!$A$2:$A$82,'Thai Holidays'!$A$2:$A$63))</f>
        <v>46169</v>
      </c>
      <c r="O75" s="350">
        <v>46170</v>
      </c>
      <c r="P75" s="350">
        <f>WORKDAY.INTL(O75,INDEX(P$8:P$11,MATCH($L75,$L$8:$L$11,0)),1,IF(P$18="China",'China Holidays'!$A$2:$A$82,'Thai Holidays'!$A$2:$A$63))</f>
        <v>46188</v>
      </c>
      <c r="Q75" s="350">
        <f>WORKDAY.INTL(P75,INDEX(Q$8:Q$11,MATCH($L75,$L$8:$L$11,0)),1,IF(Q$18="China",'China Holidays'!$A$2:$A$82,'Thai Holidays'!$A$2:$A$63))</f>
        <v>46188</v>
      </c>
      <c r="R75" s="350">
        <f>WORKDAY.INTL(Q75,INDEX(R$8:R$11,MATCH($L75,$L$8:$L$11,0)),1,IF(R$18="China",'China Holidays'!$A$2:$A$82,'Thai Holidays'!$A$2:$A$63))</f>
        <v>46188</v>
      </c>
      <c r="S75" s="350">
        <f>WORKDAY.INTL(R75,INDEX(S$8:S$11,MATCH($L75,$L$8:$L$11,0)),1,IF(S$18="China",'China Holidays'!$A$2:$A$82,'Thai Holidays'!$A$2:$A$63))</f>
        <v>46188</v>
      </c>
      <c r="T75" s="350">
        <f>WORKDAY.INTL(S75,INDEX(T$8:T$11,MATCH($L75,$L$8:$L$11,0)),1,IF(T$18="China",'China Holidays'!$A$2:$A$82,'Thai Holidays'!$A$2:$A$63))</f>
        <v>46203</v>
      </c>
      <c r="U75" s="350">
        <f>WORKDAY.INTL(T75,INDEX(U$8:U$11,MATCH($L75,$L$8:$L$11,0)),1,IF(U$18="China",'China Holidays'!$A$2:$A$82,'Thai Holidays'!$A$2:$A$63))</f>
        <v>46226</v>
      </c>
      <c r="V75" s="350">
        <f>WORKDAY.INTL(U75,INDEX(V$8:V$11,MATCH($L75,$L$8:$L$11,0)),1,IF(V$18="China",'China Holidays'!$A$2:$A$82,'Thai Holidays'!$A$2:$A$63))</f>
        <v>46244</v>
      </c>
      <c r="W75" s="350">
        <f>WORKDAY.INTL(V75,INDEX(W$8:W$11,MATCH($L75,$L$8:$L$11,0)),1,IF(W$18="China",'China Holidays'!$A$2:$A$82,'Thai Holidays'!$A$2:$A$63))</f>
        <v>46255</v>
      </c>
      <c r="X75" s="350">
        <f>WORKDAY.INTL(W75,INDEX(X$12:X$15,MATCH($L75,$L$12:$L$15,0)),1,IF(X$18="China",'China Holidays'!$A$2:$A$82,'Thai Holidays'!$A$2:$A$63))</f>
        <v>46259</v>
      </c>
      <c r="Y75" s="350">
        <f>WORKDAY.INTL(X75,INDEX(Y$12:Y$15,MATCH($L75,$L$12:$L$15,0)),1,IF(Y$18="China",'China Holidays'!$A$2:$A$82,'Thai Holidays'!$A$2:$A$63))</f>
        <v>46266</v>
      </c>
      <c r="Z75" s="350">
        <f>WORKDAY.INTL(Y75,INDEX(Z$12:Z$15,MATCH($L75,$L$12:$L$15,0)),1,IF(Z$18="China",'China Holidays'!$A$2:$A$82,'Thai Holidays'!$A$2:$A$63))</f>
        <v>46295</v>
      </c>
      <c r="AA75" s="350">
        <f>WORKDAY.INTL(Z75,INDEX(AA$12:AA$15,MATCH($L75,$L$12:$L$15,0)),1,IF(AA$18="China",'China Holidays'!$A$2:$A$82,'Thai Holidays'!$A$2:$A$63))</f>
        <v>46310</v>
      </c>
      <c r="AB75" s="350">
        <f>AA75+16*7</f>
        <v>46422</v>
      </c>
      <c r="AC75" s="350">
        <f>AB75+3</f>
        <v>46425</v>
      </c>
      <c r="AD75" s="350">
        <f>AC75+1</f>
        <v>46426</v>
      </c>
      <c r="AE75" s="350">
        <f>AF75-30</f>
        <v>46435</v>
      </c>
      <c r="AF75" s="350">
        <f>AG75-14</f>
        <v>46465</v>
      </c>
      <c r="AG75" s="350">
        <f>AL75</f>
        <v>46479</v>
      </c>
      <c r="AH75" s="350">
        <f>AL75+14</f>
        <v>46493</v>
      </c>
      <c r="AI75" s="350">
        <f>AL75+30</f>
        <v>46509</v>
      </c>
      <c r="AJ75" s="362"/>
      <c r="AK75" s="317">
        <f>AJ73*7</f>
        <v>224</v>
      </c>
      <c r="AL75" s="350">
        <f>W75+AK75</f>
        <v>46479</v>
      </c>
      <c r="AM75" s="327">
        <f>AT73-3</f>
        <v>46480</v>
      </c>
      <c r="AN75" s="318">
        <f>AO75-7</f>
        <v>46476</v>
      </c>
      <c r="AO75" s="318">
        <v>46483</v>
      </c>
      <c r="AP75" s="327"/>
      <c r="AQ75" s="311">
        <f>AM75-AL75</f>
        <v>1</v>
      </c>
      <c r="AR75" s="329"/>
      <c r="AS75" s="330" t="s">
        <v>66</v>
      </c>
      <c r="AT75" s="331">
        <v>46486</v>
      </c>
    </row>
    <row r="76" spans="1:46" s="264" customFormat="1" ht="25.05" customHeight="1">
      <c r="A76" s="492"/>
      <c r="B76" s="337" t="str">
        <f>B73</f>
        <v>RFQ-MEC-015</v>
      </c>
      <c r="C76" s="337" t="s">
        <v>119</v>
      </c>
      <c r="D76" s="532"/>
      <c r="E76" s="544"/>
      <c r="F76" s="570"/>
      <c r="G76" s="340"/>
      <c r="H76" s="339"/>
      <c r="I76" s="340" t="s">
        <v>59</v>
      </c>
      <c r="J76" s="337" t="s">
        <v>60</v>
      </c>
      <c r="K76" s="308">
        <v>3</v>
      </c>
      <c r="L76" s="337" t="s">
        <v>6</v>
      </c>
      <c r="M76" s="341" t="s">
        <v>67</v>
      </c>
      <c r="N76" s="343"/>
      <c r="O76" s="343">
        <v>46170</v>
      </c>
      <c r="P76" s="343">
        <v>46188</v>
      </c>
      <c r="Q76" s="343">
        <v>46188</v>
      </c>
      <c r="R76" s="343">
        <v>46188</v>
      </c>
      <c r="S76" s="343">
        <v>46188</v>
      </c>
      <c r="T76" s="343">
        <v>46191</v>
      </c>
      <c r="U76" s="343"/>
      <c r="V76" s="343"/>
      <c r="W76" s="340">
        <f>W73-W75</f>
        <v>0</v>
      </c>
      <c r="X76" s="343"/>
      <c r="Y76" s="343"/>
      <c r="Z76" s="343"/>
      <c r="AA76" s="343"/>
      <c r="AB76" s="343"/>
      <c r="AC76" s="343"/>
      <c r="AD76" s="343"/>
      <c r="AE76" s="343"/>
      <c r="AF76" s="343"/>
      <c r="AG76" s="343"/>
      <c r="AH76" s="343"/>
      <c r="AI76" s="343"/>
      <c r="AJ76" s="353"/>
      <c r="AK76" s="354"/>
      <c r="AL76" s="343"/>
      <c r="AM76" s="355"/>
      <c r="AN76" s="355"/>
      <c r="AO76" s="355"/>
      <c r="AP76" s="346" t="s">
        <v>77</v>
      </c>
      <c r="AQ76" s="340"/>
      <c r="AR76" s="356"/>
      <c r="AS76" s="357"/>
      <c r="AT76" s="356"/>
    </row>
    <row r="77" spans="1:46" s="264" customFormat="1" ht="25.05" customHeight="1">
      <c r="A77" s="493">
        <f>A73+1</f>
        <v>16</v>
      </c>
      <c r="B77" s="308" t="s">
        <v>121</v>
      </c>
      <c r="C77" s="308" t="s">
        <v>122</v>
      </c>
      <c r="D77" s="517">
        <v>30</v>
      </c>
      <c r="E77" s="541">
        <v>32</v>
      </c>
      <c r="F77" s="562">
        <f>E77-D77</f>
        <v>2</v>
      </c>
      <c r="G77" s="311"/>
      <c r="H77" s="310"/>
      <c r="I77" s="311" t="s">
        <v>59</v>
      </c>
      <c r="J77" s="308" t="s">
        <v>60</v>
      </c>
      <c r="K77" s="312">
        <f>K80</f>
        <v>2</v>
      </c>
      <c r="L77" s="308" t="s">
        <v>6</v>
      </c>
      <c r="M77" s="313" t="s">
        <v>61</v>
      </c>
      <c r="N77" s="364">
        <f>WORKDAY.INTL(O77,-INDEX(O$12:O$15,MATCH($L77,$L$12:$L$15,0)),1,IF(N$18="China",'China Holidays'!$A$2:$A$82,'Thai Holidays'!$A$2:$A$63))</f>
        <v>46149</v>
      </c>
      <c r="O77" s="350">
        <v>46150</v>
      </c>
      <c r="P77" s="350">
        <v>46157</v>
      </c>
      <c r="Q77" s="350">
        <v>46160</v>
      </c>
      <c r="R77" s="350">
        <v>46167</v>
      </c>
      <c r="S77" s="350">
        <f>R77+1</f>
        <v>46168</v>
      </c>
      <c r="T77" s="350">
        <v>46181</v>
      </c>
      <c r="U77" s="350">
        <v>46209</v>
      </c>
      <c r="V77" s="350">
        <v>46212</v>
      </c>
      <c r="W77" s="350">
        <v>46226</v>
      </c>
      <c r="X77" s="350">
        <v>46230</v>
      </c>
      <c r="Y77" s="350">
        <v>46237</v>
      </c>
      <c r="Z77" s="350">
        <v>46265</v>
      </c>
      <c r="AA77" s="350">
        <v>46279</v>
      </c>
      <c r="AB77" s="350">
        <v>46391</v>
      </c>
      <c r="AC77" s="350">
        <v>46394</v>
      </c>
      <c r="AD77" s="350">
        <v>46395</v>
      </c>
      <c r="AE77" s="350">
        <v>46390</v>
      </c>
      <c r="AF77" s="350">
        <v>46420</v>
      </c>
      <c r="AG77" s="350">
        <v>46450</v>
      </c>
      <c r="AH77" s="350">
        <v>46464</v>
      </c>
      <c r="AI77" s="350">
        <v>46480</v>
      </c>
      <c r="AJ77" s="316">
        <v>32</v>
      </c>
      <c r="AK77" s="351"/>
      <c r="AL77" s="350" t="str">
        <f>TEXT(AL79,"d-mmm-yy")</f>
        <v>4-Mar-27</v>
      </c>
      <c r="AM77" s="327"/>
      <c r="AN77" s="327"/>
      <c r="AO77" s="327"/>
      <c r="AP77" s="327"/>
      <c r="AQ77" s="311"/>
      <c r="AR77" s="329"/>
      <c r="AS77" s="330" t="s">
        <v>62</v>
      </c>
      <c r="AT77" s="331" t="s">
        <v>94</v>
      </c>
    </row>
    <row r="78" spans="1:46" s="264" customFormat="1" ht="25.05" customHeight="1">
      <c r="A78" s="491"/>
      <c r="B78" s="308" t="str">
        <f>B77</f>
        <v>RFQ-MEC-016</v>
      </c>
      <c r="C78" s="308" t="s">
        <v>122</v>
      </c>
      <c r="D78" s="515"/>
      <c r="E78" s="542"/>
      <c r="F78" s="555"/>
      <c r="G78" s="311"/>
      <c r="H78" s="310"/>
      <c r="I78" s="309" t="s">
        <v>59</v>
      </c>
      <c r="J78" s="308"/>
      <c r="K78" s="322"/>
      <c r="L78" s="308"/>
      <c r="M78" s="323" t="s">
        <v>63</v>
      </c>
      <c r="N78" s="367"/>
      <c r="O78" s="325">
        <v>46150</v>
      </c>
      <c r="P78" s="325">
        <v>46157</v>
      </c>
      <c r="Q78" s="325">
        <v>46160</v>
      </c>
      <c r="R78" s="325">
        <v>46167</v>
      </c>
      <c r="S78" s="325">
        <v>46168</v>
      </c>
      <c r="T78" s="325">
        <v>46181</v>
      </c>
      <c r="U78" s="325">
        <v>46209</v>
      </c>
      <c r="V78" s="325">
        <v>46212</v>
      </c>
      <c r="W78" s="325">
        <v>46226</v>
      </c>
      <c r="X78" s="325">
        <v>46230</v>
      </c>
      <c r="Y78" s="325">
        <v>46237</v>
      </c>
      <c r="Z78" s="325">
        <v>46265</v>
      </c>
      <c r="AA78" s="325">
        <v>46279</v>
      </c>
      <c r="AB78" s="325">
        <v>46391</v>
      </c>
      <c r="AC78" s="325">
        <v>46394</v>
      </c>
      <c r="AD78" s="325">
        <v>46395</v>
      </c>
      <c r="AE78" s="325">
        <v>46390</v>
      </c>
      <c r="AF78" s="325">
        <v>46420</v>
      </c>
      <c r="AG78" s="325">
        <v>46450</v>
      </c>
      <c r="AH78" s="325">
        <v>46464</v>
      </c>
      <c r="AI78" s="325">
        <v>46480</v>
      </c>
      <c r="AJ78" s="365">
        <v>34</v>
      </c>
      <c r="AK78" s="326"/>
      <c r="AL78" s="325">
        <f>W78+AK79</f>
        <v>46450</v>
      </c>
      <c r="AM78" s="327"/>
      <c r="AN78" s="327"/>
      <c r="AO78" s="327"/>
      <c r="AP78" s="327"/>
      <c r="AQ78" s="328">
        <f>AM79-AL78</f>
        <v>121</v>
      </c>
      <c r="AR78" s="329"/>
      <c r="AS78" s="330"/>
      <c r="AT78" s="331"/>
    </row>
    <row r="79" spans="1:46" s="264" customFormat="1" ht="25.05" customHeight="1">
      <c r="A79" s="491"/>
      <c r="B79" s="308" t="str">
        <f>B77</f>
        <v>RFQ-MEC-016</v>
      </c>
      <c r="C79" s="308" t="s">
        <v>122</v>
      </c>
      <c r="D79" s="531"/>
      <c r="E79" s="542"/>
      <c r="F79" s="569"/>
      <c r="G79" s="311">
        <v>121</v>
      </c>
      <c r="H79" s="310" t="s">
        <v>123</v>
      </c>
      <c r="I79" s="311" t="s">
        <v>59</v>
      </c>
      <c r="J79" s="308" t="s">
        <v>60</v>
      </c>
      <c r="K79" s="308">
        <f>K80</f>
        <v>2</v>
      </c>
      <c r="L79" s="308" t="s">
        <v>6</v>
      </c>
      <c r="M79" s="313" t="s">
        <v>65</v>
      </c>
      <c r="N79" s="350"/>
      <c r="O79" s="350">
        <v>46152</v>
      </c>
      <c r="P79" s="350">
        <f>WORKDAY.INTL(O79,INDEX(P$8:P$11,MATCH($L79,$L$8:$L$11,0)),1,IF(P$18="China",'China Holidays'!$A$2:$A$82,'Thai Holidays'!$A$2:$A$63))</f>
        <v>46164</v>
      </c>
      <c r="Q79" s="350">
        <f>WORKDAY.INTL(P79,INDEX(Q$8:Q$11,MATCH($L79,$L$8:$L$11,0)),1,IF(Q$18="China",'China Holidays'!$A$2:$A$82,'Thai Holidays'!$A$2:$A$63))</f>
        <v>46164</v>
      </c>
      <c r="R79" s="350">
        <f>WORKDAY.INTL(Q79,INDEX(R$8:R$11,MATCH($L79,$L$8:$L$11,0)),1,IF(R$18="China",'China Holidays'!$A$2:$A$82,'Thai Holidays'!$A$2:$A$63))</f>
        <v>46164</v>
      </c>
      <c r="S79" s="350">
        <f>WORKDAY.INTL(R79,INDEX(S$8:S$11,MATCH($L79,$L$8:$L$11,0)),1,IF(S$18="China",'China Holidays'!$A$2:$A$82,'Thai Holidays'!$A$2:$A$63))</f>
        <v>46164</v>
      </c>
      <c r="T79" s="350">
        <f>WORKDAY.INTL(S79,INDEX(T$8:T$11,MATCH($L79,$L$8:$L$11,0)),1,IF(T$18="China",'China Holidays'!$A$2:$A$82,'Thai Holidays'!$A$2:$A$63))</f>
        <v>46178</v>
      </c>
      <c r="U79" s="350">
        <v>46199</v>
      </c>
      <c r="V79" s="350">
        <f>WORKDAY.INTL(U79,INDEX(V$8:V$11,MATCH($L79,$L$8:$L$11,0)),1,IF(V$18="China",'China Holidays'!$A$2:$A$82,'Thai Holidays'!$A$2:$A$63))</f>
        <v>46213</v>
      </c>
      <c r="W79" s="350">
        <f>WORKDAY.INTL(V79,INDEX(W$8:W$11,MATCH($L79,$L$8:$L$11,0)),1,IF(W$18="China",'China Holidays'!$A$2:$A$82,'Thai Holidays'!$A$2:$A$63))</f>
        <v>46226</v>
      </c>
      <c r="X79" s="350">
        <f>WORKDAY.INTL(W79,INDEX(X$12:X$15,MATCH($L79,$L$12:$L$15,0)),1,IF(X$18="China",'China Holidays'!$A$2:$A$82,'Thai Holidays'!$A$2:$A$63))</f>
        <v>46230</v>
      </c>
      <c r="Y79" s="350">
        <f>WORKDAY.INTL(X79,INDEX(Y$12:Y$15,MATCH($L79,$L$12:$L$15,0)),1,IF(Y$18="China",'China Holidays'!$A$2:$A$82,'Thai Holidays'!$A$2:$A$63))</f>
        <v>46237</v>
      </c>
      <c r="Z79" s="350">
        <f>WORKDAY.INTL(Y79,INDEX(Z$12:Z$15,MATCH($L79,$L$12:$L$15,0)),1,IF(Z$18="China",'China Holidays'!$A$2:$A$82,'Thai Holidays'!$A$2:$A$63))</f>
        <v>46265</v>
      </c>
      <c r="AA79" s="350">
        <f>WORKDAY.INTL(Z79,INDEX(AA$12:AA$15,MATCH($L79,$L$12:$L$15,0)),1,IF(AA$18="China",'China Holidays'!$A$2:$A$82,'Thai Holidays'!$A$2:$A$63))</f>
        <v>46279</v>
      </c>
      <c r="AB79" s="350">
        <f>AA79+16*7</f>
        <v>46391</v>
      </c>
      <c r="AC79" s="350">
        <f>AB79+3</f>
        <v>46394</v>
      </c>
      <c r="AD79" s="350">
        <f>AC79+1</f>
        <v>46395</v>
      </c>
      <c r="AE79" s="350">
        <f>AF79-30</f>
        <v>46390</v>
      </c>
      <c r="AF79" s="350">
        <f>AG79-30</f>
        <v>46420</v>
      </c>
      <c r="AG79" s="350">
        <f>AL79</f>
        <v>46450</v>
      </c>
      <c r="AH79" s="350">
        <f>AL79+14</f>
        <v>46464</v>
      </c>
      <c r="AI79" s="350">
        <f>AL79+30</f>
        <v>46480</v>
      </c>
      <c r="AJ79" s="362"/>
      <c r="AK79" s="317">
        <f>AJ77*7</f>
        <v>224</v>
      </c>
      <c r="AL79" s="350">
        <f>W79+AK79</f>
        <v>46450</v>
      </c>
      <c r="AM79" s="327">
        <f>AT79-3</f>
        <v>46571</v>
      </c>
      <c r="AN79" s="318">
        <f>AO79-7</f>
        <v>46479</v>
      </c>
      <c r="AO79" s="318">
        <v>46486</v>
      </c>
      <c r="AP79" s="327"/>
      <c r="AQ79" s="311">
        <f>AM79-AL79</f>
        <v>121</v>
      </c>
      <c r="AR79" s="329"/>
      <c r="AS79" s="330" t="s">
        <v>66</v>
      </c>
      <c r="AT79" s="331">
        <v>46574</v>
      </c>
    </row>
    <row r="80" spans="1:46" s="264" customFormat="1" ht="25.05" customHeight="1">
      <c r="A80" s="492"/>
      <c r="B80" s="337" t="str">
        <f>B77</f>
        <v>RFQ-MEC-016</v>
      </c>
      <c r="C80" s="337" t="s">
        <v>122</v>
      </c>
      <c r="D80" s="532"/>
      <c r="E80" s="544"/>
      <c r="F80" s="570"/>
      <c r="G80" s="340"/>
      <c r="H80" s="339"/>
      <c r="I80" s="340" t="s">
        <v>59</v>
      </c>
      <c r="J80" s="337" t="s">
        <v>60</v>
      </c>
      <c r="K80" s="409">
        <v>2</v>
      </c>
      <c r="L80" s="337" t="s">
        <v>6</v>
      </c>
      <c r="M80" s="341" t="s">
        <v>67</v>
      </c>
      <c r="N80" s="343">
        <v>46133</v>
      </c>
      <c r="O80" s="343">
        <v>46152</v>
      </c>
      <c r="P80" s="343">
        <v>46167</v>
      </c>
      <c r="Q80" s="343">
        <v>46167</v>
      </c>
      <c r="R80" s="343">
        <v>46167</v>
      </c>
      <c r="S80" s="343">
        <v>46167</v>
      </c>
      <c r="T80" s="343">
        <v>46184</v>
      </c>
      <c r="U80" s="343"/>
      <c r="V80" s="343"/>
      <c r="W80" s="340">
        <f>W77-W79</f>
        <v>0</v>
      </c>
      <c r="X80" s="343"/>
      <c r="Y80" s="343"/>
      <c r="Z80" s="343"/>
      <c r="AA80" s="343"/>
      <c r="AB80" s="343"/>
      <c r="AC80" s="343"/>
      <c r="AD80" s="343"/>
      <c r="AE80" s="343"/>
      <c r="AF80" s="343"/>
      <c r="AG80" s="343"/>
      <c r="AH80" s="343"/>
      <c r="AI80" s="343"/>
      <c r="AJ80" s="353"/>
      <c r="AK80" s="354"/>
      <c r="AL80" s="343"/>
      <c r="AM80" s="355"/>
      <c r="AN80" s="355"/>
      <c r="AO80" s="355"/>
      <c r="AP80" s="346" t="s">
        <v>73</v>
      </c>
      <c r="AQ80" s="340"/>
      <c r="AR80" s="356"/>
      <c r="AS80" s="357"/>
      <c r="AT80" s="356"/>
    </row>
    <row r="81" spans="1:46" s="264" customFormat="1" ht="25.05" customHeight="1">
      <c r="A81" s="493">
        <f t="shared" ref="A81" si="6">A77+1</f>
        <v>17</v>
      </c>
      <c r="B81" s="308" t="s">
        <v>124</v>
      </c>
      <c r="C81" s="308" t="s">
        <v>125</v>
      </c>
      <c r="D81" s="517">
        <v>32</v>
      </c>
      <c r="E81" s="541">
        <v>37</v>
      </c>
      <c r="F81" s="562">
        <f t="shared" ref="F81" si="7">E81-D81</f>
        <v>5</v>
      </c>
      <c r="G81" s="311"/>
      <c r="H81" s="310"/>
      <c r="I81" s="311" t="s">
        <v>126</v>
      </c>
      <c r="J81" s="308" t="s">
        <v>60</v>
      </c>
      <c r="K81" s="312">
        <f>K84</f>
        <v>3</v>
      </c>
      <c r="L81" s="308" t="s">
        <v>7</v>
      </c>
      <c r="M81" s="313" t="s">
        <v>61</v>
      </c>
      <c r="N81" s="364">
        <f>WORKDAY.INTL(O81,-INDEX(O$12:O$15,MATCH($L81,$L$12:$L$15,0)),1,IF(N$18="China",'China Holidays'!$A$2:$A$82,'Thai Holidays'!$A$2:$A$63))</f>
        <v>46135</v>
      </c>
      <c r="O81" s="350">
        <v>46136</v>
      </c>
      <c r="P81" s="350">
        <v>46147</v>
      </c>
      <c r="Q81" s="350">
        <v>46148</v>
      </c>
      <c r="R81" s="350">
        <v>46155</v>
      </c>
      <c r="S81" s="350">
        <f>R81+1</f>
        <v>46156</v>
      </c>
      <c r="T81" s="350">
        <v>46169</v>
      </c>
      <c r="U81" s="350">
        <v>46199</v>
      </c>
      <c r="V81" s="350">
        <v>46204</v>
      </c>
      <c r="W81" s="350">
        <v>46218</v>
      </c>
      <c r="X81" s="350">
        <v>46220</v>
      </c>
      <c r="Y81" s="350">
        <v>46227</v>
      </c>
      <c r="Z81" s="350">
        <v>46255</v>
      </c>
      <c r="AA81" s="350">
        <v>46269</v>
      </c>
      <c r="AB81" s="350">
        <v>46289</v>
      </c>
      <c r="AC81" s="350">
        <v>46292</v>
      </c>
      <c r="AD81" s="350">
        <v>46293</v>
      </c>
      <c r="AE81" s="350">
        <v>46471</v>
      </c>
      <c r="AF81" s="350">
        <v>46491</v>
      </c>
      <c r="AG81" s="350">
        <v>46498</v>
      </c>
      <c r="AH81" s="350">
        <v>46512</v>
      </c>
      <c r="AI81" s="350">
        <v>46528</v>
      </c>
      <c r="AJ81" s="316">
        <v>36</v>
      </c>
      <c r="AK81" s="351"/>
      <c r="AL81" s="350" t="str">
        <f>TEXT(AL83,"d-mmm-yy")</f>
        <v>1-Apr-27</v>
      </c>
      <c r="AM81" s="327"/>
      <c r="AN81" s="327"/>
      <c r="AO81" s="327"/>
      <c r="AP81" s="327"/>
      <c r="AQ81" s="311"/>
      <c r="AR81" s="329"/>
      <c r="AS81" s="330" t="s">
        <v>62</v>
      </c>
      <c r="AT81" s="331">
        <v>46505</v>
      </c>
    </row>
    <row r="82" spans="1:46" s="264" customFormat="1" ht="25.05" customHeight="1">
      <c r="A82" s="491"/>
      <c r="B82" s="308" t="str">
        <f>B81</f>
        <v>RFQ-ELE-017</v>
      </c>
      <c r="C82" s="308" t="s">
        <v>125</v>
      </c>
      <c r="D82" s="515"/>
      <c r="E82" s="542"/>
      <c r="F82" s="555"/>
      <c r="G82" s="311"/>
      <c r="H82" s="310"/>
      <c r="I82" s="311" t="s">
        <v>126</v>
      </c>
      <c r="J82" s="308"/>
      <c r="K82" s="322"/>
      <c r="L82" s="308"/>
      <c r="M82" s="323" t="s">
        <v>63</v>
      </c>
      <c r="N82" s="367"/>
      <c r="O82" s="325">
        <v>46139</v>
      </c>
      <c r="P82" s="325">
        <v>46155</v>
      </c>
      <c r="Q82" s="325">
        <v>46155</v>
      </c>
      <c r="R82" s="325">
        <v>46155</v>
      </c>
      <c r="S82" s="325">
        <v>46155</v>
      </c>
      <c r="T82" s="325">
        <v>46164</v>
      </c>
      <c r="U82" s="325">
        <v>46199</v>
      </c>
      <c r="V82" s="325">
        <v>46213</v>
      </c>
      <c r="W82" s="325">
        <v>46226</v>
      </c>
      <c r="X82" s="325">
        <v>46230</v>
      </c>
      <c r="Y82" s="325">
        <v>46237</v>
      </c>
      <c r="Z82" s="325">
        <v>46265</v>
      </c>
      <c r="AA82" s="325">
        <v>46279</v>
      </c>
      <c r="AB82" s="325">
        <v>46299</v>
      </c>
      <c r="AC82" s="350">
        <v>46302</v>
      </c>
      <c r="AD82" s="350">
        <v>46303</v>
      </c>
      <c r="AE82" s="325">
        <v>46458</v>
      </c>
      <c r="AF82" s="325">
        <v>46478</v>
      </c>
      <c r="AG82" s="325">
        <v>46485</v>
      </c>
      <c r="AH82" s="325">
        <v>46499</v>
      </c>
      <c r="AI82" s="325">
        <v>46515</v>
      </c>
      <c r="AJ82" s="362"/>
      <c r="AK82" s="326"/>
      <c r="AL82" s="325">
        <f>W82+AK83</f>
        <v>46478</v>
      </c>
      <c r="AM82" s="327"/>
      <c r="AN82" s="327"/>
      <c r="AO82" s="327"/>
      <c r="AP82" s="327"/>
      <c r="AQ82" s="328">
        <f>AM83-AL82</f>
        <v>20</v>
      </c>
      <c r="AR82" s="329"/>
      <c r="AS82" s="330"/>
      <c r="AT82" s="331"/>
    </row>
    <row r="83" spans="1:46" s="264" customFormat="1" ht="25.05" customHeight="1">
      <c r="A83" s="491"/>
      <c r="B83" s="308" t="str">
        <f>B81</f>
        <v>RFQ-ELE-017</v>
      </c>
      <c r="C83" s="308" t="s">
        <v>125</v>
      </c>
      <c r="D83" s="531"/>
      <c r="E83" s="542"/>
      <c r="F83" s="569"/>
      <c r="G83" s="311">
        <v>0</v>
      </c>
      <c r="H83" s="310" t="s">
        <v>127</v>
      </c>
      <c r="I83" s="311" t="s">
        <v>126</v>
      </c>
      <c r="J83" s="308" t="s">
        <v>60</v>
      </c>
      <c r="K83" s="308">
        <f>K84</f>
        <v>3</v>
      </c>
      <c r="L83" s="308" t="s">
        <v>7</v>
      </c>
      <c r="M83" s="313" t="s">
        <v>65</v>
      </c>
      <c r="N83" s="350"/>
      <c r="O83" s="350">
        <v>46139</v>
      </c>
      <c r="P83" s="350">
        <f>WORKDAY.INTL(O83,INDEX(P$8:P$11,MATCH($L83,$L$8:$L$11,0)),1,IF(P$18="China",'China Holidays'!$A$2:$A$82,'Thai Holidays'!$A$2:$A$63))</f>
        <v>46155</v>
      </c>
      <c r="Q83" s="350">
        <f>WORKDAY.INTL(P83,INDEX(Q$8:Q$11,MATCH($L83,$L$8:$L$11,0)),1,IF(Q$18="China",'China Holidays'!$A$2:$A$82,'Thai Holidays'!$A$2:$A$63))</f>
        <v>46155</v>
      </c>
      <c r="R83" s="350">
        <f>WORKDAY.INTL(Q83,INDEX(R$8:R$11,MATCH($L83,$L$8:$L$11,0)),1,IF(R$18="China",'China Holidays'!$A$2:$A$82,'Thai Holidays'!$A$2:$A$63))</f>
        <v>46155</v>
      </c>
      <c r="S83" s="350">
        <f>WORKDAY.INTL(R83,INDEX(S$8:S$11,MATCH($L83,$L$8:$L$11,0)),1,IF(S$18="China",'China Holidays'!$A$2:$A$82,'Thai Holidays'!$A$2:$A$63))</f>
        <v>46155</v>
      </c>
      <c r="T83" s="350">
        <v>46164</v>
      </c>
      <c r="U83" s="410">
        <v>46199</v>
      </c>
      <c r="V83" s="350">
        <f>WORKDAY.INTL(U83,INDEX(V$8:V$11,MATCH($L83,$L$8:$L$11,0)),1,IF(V$18="China",'China Holidays'!$A$2:$A$82,'Thai Holidays'!$A$2:$A$63))</f>
        <v>46213</v>
      </c>
      <c r="W83" s="350">
        <f>WORKDAY.INTL(V83,INDEX(W$8:W$11,MATCH($L83,$L$8:$L$11,0)),1,IF(W$18="China",'China Holidays'!$A$2:$A$82,'Thai Holidays'!$A$2:$A$63))</f>
        <v>46226</v>
      </c>
      <c r="X83" s="350">
        <f>WORKDAY.INTL(W83,INDEX(X$12:X$15,MATCH($L83,$L$12:$L$15,0)),1,IF(X$18="China",'China Holidays'!$A$2:$A$82,'Thai Holidays'!$A$2:$A$63))</f>
        <v>46230</v>
      </c>
      <c r="Y83" s="350">
        <f>WORKDAY.INTL(X83,INDEX(Y$12:Y$15,MATCH($L83,$L$12:$L$15,0)),1,IF(Y$18="China",'China Holidays'!$A$2:$A$82,'Thai Holidays'!$A$2:$A$63))</f>
        <v>46237</v>
      </c>
      <c r="Z83" s="350">
        <f>WORKDAY.INTL(Y83,INDEX(Z$12:Z$15,MATCH($L83,$L$12:$L$15,0)),1,IF(Z$18="China",'China Holidays'!$A$2:$A$82,'Thai Holidays'!$A$2:$A$63))</f>
        <v>46265</v>
      </c>
      <c r="AA83" s="350">
        <f>WORKDAY.INTL(Z83,INDEX(AA$12:AA$15,MATCH($L83,$L$12:$L$15,0)),1,IF(AA$18="China",'China Holidays'!$A$2:$A$82,'Thai Holidays'!$A$2:$A$63))</f>
        <v>46279</v>
      </c>
      <c r="AB83" s="350">
        <f>AA83+20</f>
        <v>46299</v>
      </c>
      <c r="AC83" s="350">
        <f>AB83+3</f>
        <v>46302</v>
      </c>
      <c r="AD83" s="350">
        <f>AC83+1</f>
        <v>46303</v>
      </c>
      <c r="AE83" s="350">
        <f>AF83-20</f>
        <v>46451</v>
      </c>
      <c r="AF83" s="350">
        <f>AG83-7</f>
        <v>46471</v>
      </c>
      <c r="AG83" s="350">
        <f>AL83</f>
        <v>46478</v>
      </c>
      <c r="AH83" s="350">
        <f>AL83+14</f>
        <v>46492</v>
      </c>
      <c r="AI83" s="350">
        <f>AL83+30</f>
        <v>46508</v>
      </c>
      <c r="AK83" s="317">
        <f>AJ81*7</f>
        <v>252</v>
      </c>
      <c r="AL83" s="350">
        <f>W83+AK83</f>
        <v>46478</v>
      </c>
      <c r="AM83" s="327">
        <f>AT81-7</f>
        <v>46498</v>
      </c>
      <c r="AN83" s="327">
        <f>AO83-7</f>
        <v>46498</v>
      </c>
      <c r="AO83" s="327">
        <v>46505</v>
      </c>
      <c r="AP83" s="327"/>
      <c r="AQ83" s="311">
        <f>AM83-AL83</f>
        <v>20</v>
      </c>
      <c r="AR83" s="329"/>
      <c r="AS83" s="330" t="s">
        <v>66</v>
      </c>
      <c r="AT83" s="331">
        <v>46518</v>
      </c>
    </row>
    <row r="84" spans="1:46" s="264" customFormat="1" ht="25.05" customHeight="1">
      <c r="A84" s="492"/>
      <c r="B84" s="337" t="str">
        <f>B81</f>
        <v>RFQ-ELE-017</v>
      </c>
      <c r="C84" s="337" t="s">
        <v>125</v>
      </c>
      <c r="D84" s="532"/>
      <c r="E84" s="544"/>
      <c r="F84" s="570"/>
      <c r="G84" s="340"/>
      <c r="H84" s="339"/>
      <c r="I84" s="340" t="s">
        <v>126</v>
      </c>
      <c r="J84" s="337" t="s">
        <v>60</v>
      </c>
      <c r="K84" s="409">
        <v>3</v>
      </c>
      <c r="L84" s="337" t="s">
        <v>7</v>
      </c>
      <c r="M84" s="341" t="s">
        <v>67</v>
      </c>
      <c r="N84" s="343">
        <v>46133</v>
      </c>
      <c r="O84" s="343">
        <v>46139</v>
      </c>
      <c r="P84" s="343">
        <v>46156</v>
      </c>
      <c r="Q84" s="343">
        <v>46156</v>
      </c>
      <c r="R84" s="343">
        <v>46156</v>
      </c>
      <c r="S84" s="343">
        <v>46156</v>
      </c>
      <c r="T84" s="343">
        <v>46164</v>
      </c>
      <c r="U84" s="343">
        <v>46206</v>
      </c>
      <c r="V84" s="343"/>
      <c r="W84" s="340">
        <f>W81-W83</f>
        <v>-8</v>
      </c>
      <c r="X84" s="343"/>
      <c r="Y84" s="343"/>
      <c r="Z84" s="343"/>
      <c r="AA84" s="343"/>
      <c r="AB84" s="343"/>
      <c r="AC84" s="343"/>
      <c r="AD84" s="343"/>
      <c r="AE84" s="343"/>
      <c r="AF84" s="343"/>
      <c r="AG84" s="343"/>
      <c r="AH84" s="343"/>
      <c r="AI84" s="343"/>
      <c r="AJ84" s="353"/>
      <c r="AK84" s="354"/>
      <c r="AL84" s="343"/>
      <c r="AM84" s="355"/>
      <c r="AN84" s="355"/>
      <c r="AO84" s="355"/>
      <c r="AP84" s="355"/>
      <c r="AQ84" s="340"/>
      <c r="AR84" s="356"/>
      <c r="AS84" s="357"/>
      <c r="AT84" s="411" t="s">
        <v>128</v>
      </c>
    </row>
    <row r="85" spans="1:46" s="264" customFormat="1" ht="25.05" customHeight="1">
      <c r="A85" s="493">
        <f>A81+1</f>
        <v>18</v>
      </c>
      <c r="B85" s="308" t="s">
        <v>129</v>
      </c>
      <c r="C85" s="308" t="s">
        <v>130</v>
      </c>
      <c r="D85" s="517">
        <v>32</v>
      </c>
      <c r="E85" s="541">
        <v>40</v>
      </c>
      <c r="F85" s="562">
        <f t="shared" ref="F85" si="8">E85-D85</f>
        <v>8</v>
      </c>
      <c r="G85" s="311"/>
      <c r="H85" s="310"/>
      <c r="I85" s="311" t="s">
        <v>126</v>
      </c>
      <c r="J85" s="308" t="s">
        <v>60</v>
      </c>
      <c r="K85" s="312">
        <f>K88</f>
        <v>2</v>
      </c>
      <c r="L85" s="308" t="s">
        <v>6</v>
      </c>
      <c r="M85" s="313" t="s">
        <v>61</v>
      </c>
      <c r="N85" s="364">
        <f>WORKDAY.INTL(O85,-INDEX(O$12:O$15,MATCH($L85,$L$12:$L$15,0)),1,IF(N$18="China",'China Holidays'!$A$2:$A$82,'Thai Holidays'!$A$2:$A$63))</f>
        <v>46135</v>
      </c>
      <c r="O85" s="350">
        <v>46136</v>
      </c>
      <c r="P85" s="350">
        <v>46147</v>
      </c>
      <c r="Q85" s="350">
        <v>46148</v>
      </c>
      <c r="R85" s="350">
        <v>46155</v>
      </c>
      <c r="S85" s="350">
        <f>R85+1</f>
        <v>46156</v>
      </c>
      <c r="T85" s="350">
        <v>46169</v>
      </c>
      <c r="U85" s="350">
        <v>46199</v>
      </c>
      <c r="V85" s="350">
        <v>46204</v>
      </c>
      <c r="W85" s="350">
        <v>46218</v>
      </c>
      <c r="X85" s="350">
        <v>46220</v>
      </c>
      <c r="Y85" s="350">
        <v>46227</v>
      </c>
      <c r="Z85" s="350">
        <v>46255</v>
      </c>
      <c r="AA85" s="350">
        <v>46269</v>
      </c>
      <c r="AB85" s="350">
        <v>46289</v>
      </c>
      <c r="AC85" s="350">
        <v>46292</v>
      </c>
      <c r="AD85" s="350">
        <v>46293</v>
      </c>
      <c r="AE85" s="350">
        <v>46471</v>
      </c>
      <c r="AF85" s="350">
        <v>46491</v>
      </c>
      <c r="AG85" s="350">
        <v>46498</v>
      </c>
      <c r="AH85" s="350">
        <v>46512</v>
      </c>
      <c r="AI85" s="350">
        <v>46528</v>
      </c>
      <c r="AJ85" s="316">
        <v>37</v>
      </c>
      <c r="AK85" s="351"/>
      <c r="AL85" s="350" t="str">
        <f>TEXT(AL87,"d-mmm-yy")</f>
        <v>8-Apr-27</v>
      </c>
      <c r="AM85" s="327"/>
      <c r="AN85" s="327"/>
      <c r="AO85" s="327"/>
      <c r="AP85" s="327"/>
      <c r="AQ85" s="311"/>
      <c r="AR85" s="329"/>
      <c r="AS85" s="330" t="s">
        <v>62</v>
      </c>
      <c r="AT85" s="331">
        <v>46505</v>
      </c>
    </row>
    <row r="86" spans="1:46" s="264" customFormat="1" ht="25.05" customHeight="1">
      <c r="A86" s="491"/>
      <c r="B86" s="308" t="str">
        <f>B85</f>
        <v>RFQ-ELE-018</v>
      </c>
      <c r="C86" s="308" t="s">
        <v>130</v>
      </c>
      <c r="D86" s="515"/>
      <c r="E86" s="542"/>
      <c r="F86" s="555"/>
      <c r="G86" s="311"/>
      <c r="H86" s="310"/>
      <c r="I86" s="311" t="s">
        <v>126</v>
      </c>
      <c r="J86" s="308"/>
      <c r="K86" s="322"/>
      <c r="L86" s="308"/>
      <c r="M86" s="323" t="s">
        <v>63</v>
      </c>
      <c r="N86" s="367"/>
      <c r="O86" s="325">
        <v>46139</v>
      </c>
      <c r="P86" s="325">
        <v>46155</v>
      </c>
      <c r="Q86" s="325">
        <v>46155</v>
      </c>
      <c r="R86" s="325">
        <v>46155</v>
      </c>
      <c r="S86" s="325">
        <v>46155</v>
      </c>
      <c r="T86" s="325">
        <v>46164</v>
      </c>
      <c r="U86" s="325">
        <v>46199</v>
      </c>
      <c r="V86" s="325">
        <v>46213</v>
      </c>
      <c r="W86" s="325">
        <v>46226</v>
      </c>
      <c r="X86" s="325">
        <v>46230</v>
      </c>
      <c r="Y86" s="325">
        <v>46237</v>
      </c>
      <c r="Z86" s="325">
        <v>46265</v>
      </c>
      <c r="AA86" s="325">
        <v>46279</v>
      </c>
      <c r="AB86" s="325">
        <v>46299</v>
      </c>
      <c r="AC86" s="325">
        <v>46302</v>
      </c>
      <c r="AD86" s="325">
        <v>46303</v>
      </c>
      <c r="AE86" s="325">
        <v>46458</v>
      </c>
      <c r="AF86" s="325">
        <v>46478</v>
      </c>
      <c r="AG86" s="325">
        <v>46485</v>
      </c>
      <c r="AH86" s="325">
        <v>46499</v>
      </c>
      <c r="AI86" s="325">
        <v>46515</v>
      </c>
      <c r="AJ86" s="365"/>
      <c r="AK86" s="326"/>
      <c r="AL86" s="325">
        <f>W86+AK87</f>
        <v>46485</v>
      </c>
      <c r="AM86" s="327"/>
      <c r="AN86" s="327"/>
      <c r="AO86" s="327"/>
      <c r="AP86" s="327"/>
      <c r="AQ86" s="328">
        <f>AM87-AL86</f>
        <v>13</v>
      </c>
      <c r="AR86" s="329"/>
      <c r="AS86" s="330"/>
      <c r="AT86" s="331"/>
    </row>
    <row r="87" spans="1:46" s="264" customFormat="1" ht="25.05" customHeight="1">
      <c r="A87" s="491"/>
      <c r="B87" s="308" t="str">
        <f>B85</f>
        <v>RFQ-ELE-018</v>
      </c>
      <c r="C87" s="308" t="s">
        <v>130</v>
      </c>
      <c r="D87" s="531"/>
      <c r="E87" s="542"/>
      <c r="F87" s="569"/>
      <c r="G87" s="311">
        <v>0</v>
      </c>
      <c r="H87" s="310" t="s">
        <v>131</v>
      </c>
      <c r="I87" s="311" t="s">
        <v>126</v>
      </c>
      <c r="J87" s="308" t="s">
        <v>60</v>
      </c>
      <c r="K87" s="308">
        <f>K88</f>
        <v>2</v>
      </c>
      <c r="L87" s="308" t="s">
        <v>6</v>
      </c>
      <c r="M87" s="313" t="s">
        <v>65</v>
      </c>
      <c r="N87" s="350"/>
      <c r="O87" s="350">
        <v>46139</v>
      </c>
      <c r="P87" s="350">
        <f>WORKDAY.INTL(O87,INDEX(P$8:P$11,MATCH($L87,$L$8:$L$11,0)),1,IF(P$18="China",'China Holidays'!$A$2:$A$82,'Thai Holidays'!$A$2:$A$63))</f>
        <v>46155</v>
      </c>
      <c r="Q87" s="350">
        <f>WORKDAY.INTL(P87,INDEX(Q$8:Q$11,MATCH($L87,$L$8:$L$11,0)),1,IF(Q$18="China",'China Holidays'!$A$2:$A$82,'Thai Holidays'!$A$2:$A$63))</f>
        <v>46155</v>
      </c>
      <c r="R87" s="350">
        <f>WORKDAY.INTL(Q87,INDEX(R$8:R$11,MATCH($L87,$L$8:$L$11,0)),1,IF(R$18="China",'China Holidays'!$A$2:$A$82,'Thai Holidays'!$A$2:$A$63))</f>
        <v>46155</v>
      </c>
      <c r="S87" s="350">
        <f>WORKDAY.INTL(R87,INDEX(S$8:S$11,MATCH($L87,$L$8:$L$11,0)),1,IF(S$18="China",'China Holidays'!$A$2:$A$82,'Thai Holidays'!$A$2:$A$63))</f>
        <v>46155</v>
      </c>
      <c r="T87" s="350">
        <v>46164</v>
      </c>
      <c r="U87" s="410">
        <v>46199</v>
      </c>
      <c r="V87" s="350">
        <f>WORKDAY.INTL(U87,INDEX(V$8:V$11,MATCH($L87,$L$8:$L$11,0)),1,IF(V$18="China",'China Holidays'!$A$2:$A$82,'Thai Holidays'!$A$2:$A$63))</f>
        <v>46213</v>
      </c>
      <c r="W87" s="350">
        <f>WORKDAY.INTL(V87,INDEX(W$8:W$11,MATCH($L87,$L$8:$L$11,0)),1,IF(W$18="China",'China Holidays'!$A$2:$A$82,'Thai Holidays'!$A$2:$A$63))</f>
        <v>46226</v>
      </c>
      <c r="X87" s="350">
        <f>WORKDAY.INTL(W87,INDEX(X$12:X$15,MATCH($L87,$L$12:$L$15,0)),1,IF(X$18="China",'China Holidays'!$A$2:$A$82,'Thai Holidays'!$A$2:$A$63))</f>
        <v>46230</v>
      </c>
      <c r="Y87" s="350">
        <f>WORKDAY.INTL(X87,INDEX(Y$12:Y$15,MATCH($L87,$L$12:$L$15,0)),1,IF(Y$18="China",'China Holidays'!$A$2:$A$82,'Thai Holidays'!$A$2:$A$63))</f>
        <v>46237</v>
      </c>
      <c r="Z87" s="350">
        <f>WORKDAY.INTL(Y87,INDEX(Z$12:Z$15,MATCH($L87,$L$12:$L$15,0)),1,IF(Z$18="China",'China Holidays'!$A$2:$A$82,'Thai Holidays'!$A$2:$A$63))</f>
        <v>46265</v>
      </c>
      <c r="AA87" s="350">
        <f>WORKDAY.INTL(Z87,INDEX(AA$12:AA$15,MATCH($L87,$L$12:$L$15,0)),1,IF(AA$18="China",'China Holidays'!$A$2:$A$82,'Thai Holidays'!$A$2:$A$63))</f>
        <v>46279</v>
      </c>
      <c r="AB87" s="350">
        <f>AA87+20</f>
        <v>46299</v>
      </c>
      <c r="AC87" s="350">
        <f>AB87+3</f>
        <v>46302</v>
      </c>
      <c r="AD87" s="350">
        <f>AC87+1</f>
        <v>46303</v>
      </c>
      <c r="AE87" s="350">
        <f>AF87-20</f>
        <v>46458</v>
      </c>
      <c r="AF87" s="350">
        <f>AG87-7</f>
        <v>46478</v>
      </c>
      <c r="AG87" s="350">
        <f>AL87</f>
        <v>46485</v>
      </c>
      <c r="AH87" s="350">
        <f>AL87+14</f>
        <v>46499</v>
      </c>
      <c r="AI87" s="350">
        <f>AL87+30</f>
        <v>46515</v>
      </c>
      <c r="AJ87" s="362"/>
      <c r="AK87" s="326">
        <f>AJ85*7</f>
        <v>259</v>
      </c>
      <c r="AL87" s="350">
        <f>W87+AK87</f>
        <v>46485</v>
      </c>
      <c r="AM87" s="327">
        <f>AT85-7</f>
        <v>46498</v>
      </c>
      <c r="AN87" s="327">
        <f>AO87-7</f>
        <v>46498</v>
      </c>
      <c r="AO87" s="327">
        <v>46505</v>
      </c>
      <c r="AP87" s="327"/>
      <c r="AQ87" s="311">
        <f>AM87-AL87</f>
        <v>13</v>
      </c>
      <c r="AR87" s="329"/>
      <c r="AS87" s="330" t="s">
        <v>66</v>
      </c>
      <c r="AT87" s="331">
        <v>46518</v>
      </c>
    </row>
    <row r="88" spans="1:46" s="264" customFormat="1" ht="25.05" customHeight="1">
      <c r="A88" s="492"/>
      <c r="B88" s="337" t="str">
        <f>B85</f>
        <v>RFQ-ELE-018</v>
      </c>
      <c r="C88" s="337" t="s">
        <v>130</v>
      </c>
      <c r="D88" s="532"/>
      <c r="E88" s="544"/>
      <c r="F88" s="570"/>
      <c r="G88" s="340"/>
      <c r="H88" s="339"/>
      <c r="I88" s="340" t="s">
        <v>126</v>
      </c>
      <c r="J88" s="337" t="s">
        <v>60</v>
      </c>
      <c r="K88" s="409">
        <v>2</v>
      </c>
      <c r="L88" s="337" t="s">
        <v>6</v>
      </c>
      <c r="M88" s="341" t="s">
        <v>67</v>
      </c>
      <c r="N88" s="343">
        <v>46133</v>
      </c>
      <c r="O88" s="343">
        <v>46139</v>
      </c>
      <c r="P88" s="343">
        <v>46156</v>
      </c>
      <c r="Q88" s="343">
        <v>46156</v>
      </c>
      <c r="R88" s="343">
        <v>46156</v>
      </c>
      <c r="S88" s="343">
        <v>46156</v>
      </c>
      <c r="T88" s="343">
        <v>46164</v>
      </c>
      <c r="U88" s="343">
        <v>46206</v>
      </c>
      <c r="V88" s="343"/>
      <c r="W88" s="340">
        <f>W85-W87</f>
        <v>-8</v>
      </c>
      <c r="X88" s="343"/>
      <c r="Y88" s="343"/>
      <c r="Z88" s="343"/>
      <c r="AA88" s="343"/>
      <c r="AB88" s="343"/>
      <c r="AC88" s="343"/>
      <c r="AD88" s="343"/>
      <c r="AE88" s="343"/>
      <c r="AF88" s="343"/>
      <c r="AG88" s="343"/>
      <c r="AH88" s="343"/>
      <c r="AI88" s="343"/>
      <c r="AJ88" s="353"/>
      <c r="AK88" s="354"/>
      <c r="AL88" s="343"/>
      <c r="AM88" s="355"/>
      <c r="AN88" s="355"/>
      <c r="AO88" s="355"/>
      <c r="AP88" s="355"/>
      <c r="AQ88" s="340"/>
      <c r="AR88" s="356"/>
      <c r="AS88" s="357"/>
      <c r="AT88" s="356"/>
    </row>
    <row r="89" spans="1:46" s="264" customFormat="1" ht="25.05" customHeight="1">
      <c r="A89" s="493">
        <f>A85+1</f>
        <v>19</v>
      </c>
      <c r="B89" s="308" t="s">
        <v>132</v>
      </c>
      <c r="C89" s="308" t="s">
        <v>133</v>
      </c>
      <c r="D89" s="517">
        <v>36</v>
      </c>
      <c r="E89" s="541">
        <v>42</v>
      </c>
      <c r="F89" s="562">
        <f t="shared" ref="F89" si="9">E89-D89</f>
        <v>6</v>
      </c>
      <c r="G89" s="311"/>
      <c r="H89" s="310"/>
      <c r="I89" s="311" t="s">
        <v>126</v>
      </c>
      <c r="J89" s="308" t="s">
        <v>60</v>
      </c>
      <c r="K89" s="312">
        <f>K92</f>
        <v>4</v>
      </c>
      <c r="L89" s="308" t="s">
        <v>7</v>
      </c>
      <c r="M89" s="313" t="s">
        <v>61</v>
      </c>
      <c r="N89" s="364">
        <f>WORKDAY.INTL(O89,-INDEX(O$12:O$15,MATCH($L89,$L$12:$L$15,0)),1,IF(N$18="China",'China Holidays'!$A$2:$A$82,'Thai Holidays'!$A$2:$A$63))</f>
        <v>46147</v>
      </c>
      <c r="O89" s="350">
        <v>46148</v>
      </c>
      <c r="P89" s="350">
        <v>46155</v>
      </c>
      <c r="Q89" s="350">
        <v>46156</v>
      </c>
      <c r="R89" s="350">
        <v>46163</v>
      </c>
      <c r="S89" s="350">
        <f>R89+1</f>
        <v>46164</v>
      </c>
      <c r="T89" s="350">
        <v>46177</v>
      </c>
      <c r="U89" s="350">
        <v>46205</v>
      </c>
      <c r="V89" s="350">
        <v>46210</v>
      </c>
      <c r="W89" s="350">
        <v>46224</v>
      </c>
      <c r="X89" s="350">
        <v>46226</v>
      </c>
      <c r="Y89" s="350">
        <v>46233</v>
      </c>
      <c r="Z89" s="350">
        <v>46261</v>
      </c>
      <c r="AA89" s="350">
        <v>46275</v>
      </c>
      <c r="AB89" s="350">
        <v>46295</v>
      </c>
      <c r="AC89" s="350">
        <v>46295</v>
      </c>
      <c r="AD89" s="350">
        <v>46298</v>
      </c>
      <c r="AE89" s="350">
        <v>46491</v>
      </c>
      <c r="AF89" s="350">
        <v>46511</v>
      </c>
      <c r="AG89" s="350">
        <v>46518</v>
      </c>
      <c r="AH89" s="350">
        <v>46532</v>
      </c>
      <c r="AI89" s="350">
        <v>46548</v>
      </c>
      <c r="AJ89" s="316">
        <v>36</v>
      </c>
      <c r="AK89" s="351"/>
      <c r="AL89" s="350" t="str">
        <f>TEXT(AL91,"d-mmm-yy")</f>
        <v>22-Apr-27</v>
      </c>
      <c r="AM89" s="327"/>
      <c r="AN89" s="327"/>
      <c r="AO89" s="327"/>
      <c r="AP89" s="327"/>
      <c r="AQ89" s="311"/>
      <c r="AR89" s="329"/>
      <c r="AS89" s="330" t="s">
        <v>62</v>
      </c>
      <c r="AT89" s="331">
        <v>46537</v>
      </c>
    </row>
    <row r="90" spans="1:46" s="264" customFormat="1" ht="25.05" customHeight="1">
      <c r="A90" s="491"/>
      <c r="B90" s="308" t="str">
        <f>B89</f>
        <v>RFQ-ELE-019</v>
      </c>
      <c r="C90" s="308" t="s">
        <v>133</v>
      </c>
      <c r="D90" s="515"/>
      <c r="E90" s="542"/>
      <c r="F90" s="555"/>
      <c r="G90" s="311"/>
      <c r="H90" s="310"/>
      <c r="I90" s="311" t="s">
        <v>126</v>
      </c>
      <c r="J90" s="308"/>
      <c r="K90" s="322"/>
      <c r="L90" s="308"/>
      <c r="M90" s="323" t="s">
        <v>63</v>
      </c>
      <c r="N90" s="367"/>
      <c r="O90" s="325">
        <v>46150</v>
      </c>
      <c r="P90" s="325">
        <v>46164</v>
      </c>
      <c r="Q90" s="325">
        <v>46164</v>
      </c>
      <c r="R90" s="325">
        <v>46164</v>
      </c>
      <c r="S90" s="325">
        <v>46164</v>
      </c>
      <c r="T90" s="325">
        <v>46171</v>
      </c>
      <c r="U90" s="325">
        <v>46218</v>
      </c>
      <c r="V90" s="325">
        <v>46234</v>
      </c>
      <c r="W90" s="325">
        <v>46247</v>
      </c>
      <c r="X90" s="325">
        <v>46251</v>
      </c>
      <c r="Y90" s="325">
        <v>46258</v>
      </c>
      <c r="Z90" s="325">
        <v>46286</v>
      </c>
      <c r="AA90" s="325">
        <v>46300</v>
      </c>
      <c r="AB90" s="325">
        <v>46320</v>
      </c>
      <c r="AC90" s="325">
        <v>46320</v>
      </c>
      <c r="AD90" s="325">
        <v>46323</v>
      </c>
      <c r="AE90" s="325">
        <v>46472</v>
      </c>
      <c r="AF90" s="325">
        <v>46492</v>
      </c>
      <c r="AG90" s="325">
        <v>46499</v>
      </c>
      <c r="AH90" s="325">
        <v>46513</v>
      </c>
      <c r="AI90" s="325">
        <v>46529</v>
      </c>
      <c r="AJ90" s="365"/>
      <c r="AK90" s="326"/>
      <c r="AL90" s="325">
        <f>W90+AK91</f>
        <v>46499</v>
      </c>
      <c r="AM90" s="327"/>
      <c r="AN90" s="327"/>
      <c r="AO90" s="327"/>
      <c r="AP90" s="327"/>
      <c r="AQ90" s="328">
        <f>AM91-AL90</f>
        <v>31</v>
      </c>
      <c r="AR90" s="329"/>
      <c r="AS90" s="330"/>
      <c r="AT90" s="331"/>
    </row>
    <row r="91" spans="1:46" s="264" customFormat="1" ht="25.05" customHeight="1">
      <c r="A91" s="491"/>
      <c r="B91" s="308" t="str">
        <f>B89</f>
        <v>RFQ-ELE-019</v>
      </c>
      <c r="C91" s="308" t="s">
        <v>133</v>
      </c>
      <c r="D91" s="531"/>
      <c r="E91" s="542"/>
      <c r="F91" s="569"/>
      <c r="G91" s="311">
        <v>12</v>
      </c>
      <c r="H91" s="310" t="s">
        <v>134</v>
      </c>
      <c r="I91" s="311" t="s">
        <v>126</v>
      </c>
      <c r="J91" s="308" t="s">
        <v>60</v>
      </c>
      <c r="K91" s="308">
        <f>K92</f>
        <v>4</v>
      </c>
      <c r="L91" s="308" t="s">
        <v>7</v>
      </c>
      <c r="M91" s="313" t="s">
        <v>65</v>
      </c>
      <c r="N91" s="350"/>
      <c r="O91" s="350">
        <v>46150</v>
      </c>
      <c r="P91" s="350">
        <f>WORKDAY.INTL(O91,INDEX(P$8:P$11,MATCH($L91,$L$8:$L$11,0)),1,IF(P$18="China",'China Holidays'!$A$2:$A$82,'Thai Holidays'!$A$2:$A$63))</f>
        <v>46164</v>
      </c>
      <c r="Q91" s="350">
        <f>WORKDAY.INTL(P91,INDEX(Q$8:Q$11,MATCH($L91,$L$8:$L$11,0)),1,IF(Q$18="China",'China Holidays'!$A$2:$A$82,'Thai Holidays'!$A$2:$A$63))</f>
        <v>46164</v>
      </c>
      <c r="R91" s="350">
        <f>WORKDAY.INTL(Q91,INDEX(R$8:R$11,MATCH($L91,$L$8:$L$11,0)),1,IF(R$18="China",'China Holidays'!$A$2:$A$82,'Thai Holidays'!$A$2:$A$63))</f>
        <v>46164</v>
      </c>
      <c r="S91" s="350">
        <f>WORKDAY.INTL(R91,INDEX(S$8:S$11,MATCH($L91,$L$8:$L$11,0)),1,IF(S$18="China",'China Holidays'!$A$2:$A$82,'Thai Holidays'!$A$2:$A$63))</f>
        <v>46164</v>
      </c>
      <c r="T91" s="350">
        <v>46171</v>
      </c>
      <c r="U91" s="350">
        <v>46218</v>
      </c>
      <c r="V91" s="350">
        <f>WORKDAY.INTL(U91,INDEX(V$8:V$11,MATCH($L91,$L$8:$L$11,0)),1,IF(V$18="China",'China Holidays'!$A$2:$A$82,'Thai Holidays'!$A$2:$A$63))</f>
        <v>46234</v>
      </c>
      <c r="W91" s="350">
        <f>WORKDAY.INTL(V91,INDEX(W$8:W$11,MATCH($L91,$L$8:$L$11,0)),1,IF(W$18="China",'China Holidays'!$A$2:$A$82,'Thai Holidays'!$A$2:$A$63))</f>
        <v>46247</v>
      </c>
      <c r="X91" s="350">
        <f>WORKDAY.INTL(W91,INDEX(X$12:X$15,MATCH($L91,$L$12:$L$15,0)),1,IF(X$18="China",'China Holidays'!$A$2:$A$82,'Thai Holidays'!$A$2:$A$63))</f>
        <v>46251</v>
      </c>
      <c r="Y91" s="350">
        <f>WORKDAY.INTL(X91,INDEX(Y$12:Y$15,MATCH($L91,$L$12:$L$15,0)),1,IF(Y$18="China",'China Holidays'!$A$2:$A$82,'Thai Holidays'!$A$2:$A$63))</f>
        <v>46258</v>
      </c>
      <c r="Z91" s="350">
        <f>WORKDAY.INTL(Y91,INDEX(Z$12:Z$15,MATCH($L91,$L$12:$L$15,0)),1,IF(Z$18="China",'China Holidays'!$A$2:$A$82,'Thai Holidays'!$A$2:$A$63))</f>
        <v>46286</v>
      </c>
      <c r="AA91" s="350">
        <f>WORKDAY.INTL(Z91,INDEX(AA$12:AA$15,MATCH($L91,$L$12:$L$15,0)),1,IF(AA$18="China",'China Holidays'!$A$2:$A$82,'Thai Holidays'!$A$2:$A$63))</f>
        <v>46300</v>
      </c>
      <c r="AB91" s="350">
        <f>AA91+20</f>
        <v>46320</v>
      </c>
      <c r="AC91" s="350">
        <f>AB91</f>
        <v>46320</v>
      </c>
      <c r="AD91" s="350">
        <f>AC91+3</f>
        <v>46323</v>
      </c>
      <c r="AE91" s="350">
        <f>AF91-20</f>
        <v>46472</v>
      </c>
      <c r="AF91" s="350">
        <f>AG91-7</f>
        <v>46492</v>
      </c>
      <c r="AG91" s="350">
        <f>AL91</f>
        <v>46499</v>
      </c>
      <c r="AH91" s="350">
        <f>AL91+14</f>
        <v>46513</v>
      </c>
      <c r="AI91" s="350">
        <f>AL91+30</f>
        <v>46529</v>
      </c>
      <c r="AJ91" s="362"/>
      <c r="AK91" s="326">
        <f>AJ89*7</f>
        <v>252</v>
      </c>
      <c r="AL91" s="350">
        <f>W91+AK91</f>
        <v>46499</v>
      </c>
      <c r="AM91" s="327">
        <f>AT89-7</f>
        <v>46530</v>
      </c>
      <c r="AN91" s="327">
        <f>AO91-7</f>
        <v>46530</v>
      </c>
      <c r="AO91" s="327">
        <v>46537</v>
      </c>
      <c r="AP91" s="327"/>
      <c r="AQ91" s="311">
        <f>AM91-AL91</f>
        <v>31</v>
      </c>
      <c r="AR91" s="329"/>
      <c r="AS91" s="330" t="s">
        <v>66</v>
      </c>
      <c r="AT91" s="331">
        <v>46537</v>
      </c>
    </row>
    <row r="92" spans="1:46" s="264" customFormat="1" ht="25.05" customHeight="1">
      <c r="A92" s="492"/>
      <c r="B92" s="337" t="str">
        <f>B89</f>
        <v>RFQ-ELE-019</v>
      </c>
      <c r="C92" s="337" t="s">
        <v>133</v>
      </c>
      <c r="D92" s="532"/>
      <c r="E92" s="544"/>
      <c r="F92" s="570"/>
      <c r="G92" s="340"/>
      <c r="H92" s="339"/>
      <c r="I92" s="340" t="s">
        <v>126</v>
      </c>
      <c r="J92" s="337" t="s">
        <v>60</v>
      </c>
      <c r="K92" s="409">
        <v>4</v>
      </c>
      <c r="L92" s="337" t="s">
        <v>7</v>
      </c>
      <c r="M92" s="341" t="s">
        <v>67</v>
      </c>
      <c r="N92" s="343">
        <v>46133</v>
      </c>
      <c r="O92" s="343">
        <v>46150</v>
      </c>
      <c r="P92" s="343">
        <v>46170</v>
      </c>
      <c r="Q92" s="343">
        <v>46170</v>
      </c>
      <c r="R92" s="343">
        <v>46170</v>
      </c>
      <c r="S92" s="343">
        <v>46170</v>
      </c>
      <c r="T92" s="343">
        <v>46171</v>
      </c>
      <c r="U92" s="343"/>
      <c r="V92" s="343"/>
      <c r="W92" s="340">
        <f>W89-W91</f>
        <v>-23</v>
      </c>
      <c r="X92" s="343"/>
      <c r="Y92" s="343"/>
      <c r="Z92" s="343"/>
      <c r="AA92" s="343"/>
      <c r="AB92" s="343"/>
      <c r="AC92" s="343"/>
      <c r="AD92" s="343"/>
      <c r="AE92" s="343"/>
      <c r="AF92" s="343"/>
      <c r="AG92" s="343"/>
      <c r="AH92" s="343"/>
      <c r="AI92" s="343"/>
      <c r="AJ92" s="353"/>
      <c r="AK92" s="354"/>
      <c r="AL92" s="343"/>
      <c r="AM92" s="355"/>
      <c r="AN92" s="355"/>
      <c r="AO92" s="355"/>
      <c r="AP92" s="355"/>
      <c r="AQ92" s="340"/>
      <c r="AR92" s="356"/>
      <c r="AS92" s="357"/>
      <c r="AT92" s="356"/>
    </row>
    <row r="93" spans="1:46" s="264" customFormat="1" ht="25.05" customHeight="1">
      <c r="A93" s="493">
        <f>A89+1</f>
        <v>20</v>
      </c>
      <c r="B93" s="308" t="s">
        <v>135</v>
      </c>
      <c r="C93" s="308" t="s">
        <v>136</v>
      </c>
      <c r="D93" s="517">
        <v>32</v>
      </c>
      <c r="E93" s="545">
        <v>40</v>
      </c>
      <c r="F93" s="571">
        <f t="shared" ref="F93" si="10">E93-D93</f>
        <v>8</v>
      </c>
      <c r="G93" s="311"/>
      <c r="H93" s="310"/>
      <c r="I93" s="311" t="s">
        <v>126</v>
      </c>
      <c r="J93" s="308" t="s">
        <v>71</v>
      </c>
      <c r="K93" s="312">
        <f>K96</f>
        <v>3</v>
      </c>
      <c r="L93" s="308" t="s">
        <v>8</v>
      </c>
      <c r="M93" s="313" t="s">
        <v>61</v>
      </c>
      <c r="N93" s="364">
        <f>WORKDAY.INTL(O93,-INDEX(O$12:O$15,MATCH($L93,$L$12:$L$15,0)),1,IF(N$18="China",'China Holidays'!$A$2:$A$82,'Thai Holidays'!$A$2:$A$63))</f>
        <v>46133</v>
      </c>
      <c r="O93" s="350">
        <v>46136</v>
      </c>
      <c r="P93" s="350">
        <v>46147</v>
      </c>
      <c r="Q93" s="350">
        <v>46148</v>
      </c>
      <c r="R93" s="350">
        <v>46155</v>
      </c>
      <c r="S93" s="350">
        <f>R93+1</f>
        <v>46156</v>
      </c>
      <c r="T93" s="350">
        <v>46169</v>
      </c>
      <c r="U93" s="350">
        <v>46199</v>
      </c>
      <c r="V93" s="350">
        <v>46204</v>
      </c>
      <c r="W93" s="350">
        <v>46218</v>
      </c>
      <c r="X93" s="350">
        <v>46220</v>
      </c>
      <c r="Y93" s="350">
        <v>46227</v>
      </c>
      <c r="Z93" s="350">
        <v>46255</v>
      </c>
      <c r="AA93" s="350">
        <v>46269</v>
      </c>
      <c r="AB93" s="350">
        <v>46289</v>
      </c>
      <c r="AC93" s="350">
        <v>46292</v>
      </c>
      <c r="AD93" s="350">
        <v>46293</v>
      </c>
      <c r="AE93" s="350">
        <v>46471</v>
      </c>
      <c r="AF93" s="350">
        <v>46491</v>
      </c>
      <c r="AG93" s="350">
        <v>46498</v>
      </c>
      <c r="AH93" s="350">
        <v>46512</v>
      </c>
      <c r="AI93" s="350">
        <v>46528</v>
      </c>
      <c r="AJ93" s="316">
        <v>37</v>
      </c>
      <c r="AK93" s="351"/>
      <c r="AL93" s="350" t="str">
        <f>TEXT(AL95,"d-mmm-yy")</f>
        <v>8-Apr-27</v>
      </c>
      <c r="AM93" s="327"/>
      <c r="AN93" s="327"/>
      <c r="AO93" s="327"/>
      <c r="AP93" s="327"/>
      <c r="AQ93" s="311"/>
      <c r="AR93" s="329"/>
      <c r="AS93" s="330" t="s">
        <v>62</v>
      </c>
      <c r="AT93" s="331">
        <v>46505</v>
      </c>
    </row>
    <row r="94" spans="1:46" s="264" customFormat="1" ht="25.05" customHeight="1">
      <c r="A94" s="491"/>
      <c r="B94" s="308" t="str">
        <f>B93</f>
        <v>RFQ-ELE-020</v>
      </c>
      <c r="C94" s="308" t="s">
        <v>136</v>
      </c>
      <c r="D94" s="515"/>
      <c r="E94" s="543"/>
      <c r="F94" s="554"/>
      <c r="G94" s="311"/>
      <c r="H94" s="310"/>
      <c r="I94" s="311" t="s">
        <v>126</v>
      </c>
      <c r="J94" s="308"/>
      <c r="K94" s="322"/>
      <c r="L94" s="308"/>
      <c r="M94" s="323" t="s">
        <v>63</v>
      </c>
      <c r="N94" s="367"/>
      <c r="O94" s="325">
        <v>46136</v>
      </c>
      <c r="P94" s="325">
        <v>46147</v>
      </c>
      <c r="Q94" s="325">
        <v>46148</v>
      </c>
      <c r="R94" s="325">
        <v>46155</v>
      </c>
      <c r="S94" s="325">
        <v>46156</v>
      </c>
      <c r="T94" s="325">
        <v>46169</v>
      </c>
      <c r="U94" s="325">
        <v>46199</v>
      </c>
      <c r="V94" s="325">
        <v>46213</v>
      </c>
      <c r="W94" s="325">
        <v>46226</v>
      </c>
      <c r="X94" s="325">
        <v>46230</v>
      </c>
      <c r="Y94" s="325">
        <v>46237</v>
      </c>
      <c r="Z94" s="325">
        <v>46265</v>
      </c>
      <c r="AA94" s="325">
        <v>46279</v>
      </c>
      <c r="AB94" s="325">
        <v>46299</v>
      </c>
      <c r="AC94" s="325">
        <v>46458</v>
      </c>
      <c r="AD94" s="325">
        <v>46478</v>
      </c>
      <c r="AE94" s="325">
        <v>46485</v>
      </c>
      <c r="AF94" s="325">
        <v>46499</v>
      </c>
      <c r="AG94" s="325">
        <v>46515</v>
      </c>
      <c r="AH94" s="325">
        <f>AG94+14</f>
        <v>46529</v>
      </c>
      <c r="AI94" s="325">
        <v>46529</v>
      </c>
      <c r="AJ94" s="365"/>
      <c r="AK94" s="326"/>
      <c r="AL94" s="325">
        <f>W94+AK95</f>
        <v>46485</v>
      </c>
      <c r="AM94" s="327"/>
      <c r="AN94" s="327"/>
      <c r="AO94" s="327"/>
      <c r="AP94" s="327"/>
      <c r="AQ94" s="328">
        <f>AM95-AL94</f>
        <v>13</v>
      </c>
      <c r="AR94" s="329"/>
      <c r="AS94" s="330"/>
      <c r="AT94" s="331"/>
    </row>
    <row r="95" spans="1:46" s="264" customFormat="1" ht="25.05" customHeight="1">
      <c r="A95" s="491"/>
      <c r="B95" s="308" t="str">
        <f>B93</f>
        <v>RFQ-ELE-020</v>
      </c>
      <c r="C95" s="308" t="s">
        <v>136</v>
      </c>
      <c r="D95" s="531"/>
      <c r="E95" s="542"/>
      <c r="F95" s="569"/>
      <c r="G95" s="311">
        <v>6</v>
      </c>
      <c r="H95" s="310" t="s">
        <v>131</v>
      </c>
      <c r="I95" s="311" t="s">
        <v>126</v>
      </c>
      <c r="J95" s="308" t="s">
        <v>71</v>
      </c>
      <c r="K95" s="308">
        <f>K96</f>
        <v>3</v>
      </c>
      <c r="L95" s="308" t="s">
        <v>8</v>
      </c>
      <c r="M95" s="313" t="s">
        <v>65</v>
      </c>
      <c r="N95" s="350"/>
      <c r="O95" s="350">
        <v>46139</v>
      </c>
      <c r="P95" s="350">
        <f>WORKDAY.INTL(O95,INDEX(P$8:P$11,MATCH($L95,$L$8:$L$11,0)),1,IF(P$18="China",'China Holidays'!$A$2:$A$82,'Thai Holidays'!$A$2:$A$63))</f>
        <v>46155</v>
      </c>
      <c r="Q95" s="350">
        <f>WORKDAY.INTL(P95,INDEX(Q$8:Q$11,MATCH($L95,$L$8:$L$11,0)),1,IF(Q$18="China",'China Holidays'!$A$2:$A$82,'Thai Holidays'!$A$2:$A$63))</f>
        <v>46155</v>
      </c>
      <c r="R95" s="350">
        <f>WORKDAY.INTL(Q95,INDEX(R$8:R$11,MATCH($L95,$L$8:$L$11,0)),1,IF(R$18="China",'China Holidays'!$A$2:$A$82,'Thai Holidays'!$A$2:$A$63))</f>
        <v>46155</v>
      </c>
      <c r="S95" s="350">
        <f>WORKDAY.INTL(R95,INDEX(S$8:S$11,MATCH($L95,$L$8:$L$11,0)),1,IF(S$18="China",'China Holidays'!$A$2:$A$82,'Thai Holidays'!$A$2:$A$63))</f>
        <v>46155</v>
      </c>
      <c r="T95" s="350">
        <v>46164</v>
      </c>
      <c r="U95" s="410">
        <v>46199</v>
      </c>
      <c r="V95" s="350">
        <v>46213</v>
      </c>
      <c r="W95" s="350">
        <v>46226</v>
      </c>
      <c r="X95" s="350">
        <v>46230</v>
      </c>
      <c r="Y95" s="350">
        <v>46237</v>
      </c>
      <c r="Z95" s="350">
        <v>46265</v>
      </c>
      <c r="AA95" s="350">
        <v>46279</v>
      </c>
      <c r="AB95" s="350">
        <v>46299</v>
      </c>
      <c r="AC95" s="350">
        <v>46458</v>
      </c>
      <c r="AD95" s="350">
        <v>46478</v>
      </c>
      <c r="AE95" s="350">
        <v>46485</v>
      </c>
      <c r="AF95" s="350">
        <v>46499</v>
      </c>
      <c r="AG95" s="350">
        <v>46515</v>
      </c>
      <c r="AH95" s="362"/>
      <c r="AI95" s="326">
        <v>259</v>
      </c>
      <c r="AJ95" s="362"/>
      <c r="AK95" s="326">
        <f>AJ93*7</f>
        <v>259</v>
      </c>
      <c r="AL95" s="350">
        <f>W95+AK95</f>
        <v>46485</v>
      </c>
      <c r="AM95" s="327">
        <f>AT93-7</f>
        <v>46498</v>
      </c>
      <c r="AN95" s="327">
        <f>AO95-7</f>
        <v>46498</v>
      </c>
      <c r="AO95" s="327">
        <v>46505</v>
      </c>
      <c r="AP95" s="327"/>
      <c r="AQ95" s="311">
        <f>AM95-AL95</f>
        <v>13</v>
      </c>
      <c r="AR95" s="329"/>
      <c r="AS95" s="330" t="s">
        <v>66</v>
      </c>
      <c r="AT95" s="331">
        <v>46518</v>
      </c>
    </row>
    <row r="96" spans="1:46" s="264" customFormat="1" ht="25.05" customHeight="1">
      <c r="A96" s="492"/>
      <c r="B96" s="337" t="str">
        <f>B93</f>
        <v>RFQ-ELE-020</v>
      </c>
      <c r="C96" s="337" t="s">
        <v>136</v>
      </c>
      <c r="D96" s="532"/>
      <c r="E96" s="546"/>
      <c r="F96" s="551"/>
      <c r="G96" s="340"/>
      <c r="H96" s="339"/>
      <c r="I96" s="340" t="s">
        <v>126</v>
      </c>
      <c r="J96" s="337" t="s">
        <v>71</v>
      </c>
      <c r="K96" s="409">
        <v>3</v>
      </c>
      <c r="L96" s="337" t="s">
        <v>8</v>
      </c>
      <c r="M96" s="341" t="s">
        <v>67</v>
      </c>
      <c r="N96" s="343">
        <v>46133</v>
      </c>
      <c r="O96" s="343">
        <v>46139</v>
      </c>
      <c r="P96" s="343">
        <v>46156</v>
      </c>
      <c r="Q96" s="343">
        <v>46156</v>
      </c>
      <c r="R96" s="343">
        <v>46156</v>
      </c>
      <c r="S96" s="343">
        <v>46156</v>
      </c>
      <c r="T96" s="343">
        <v>46164</v>
      </c>
      <c r="U96" s="343"/>
      <c r="V96" s="343"/>
      <c r="W96" s="340">
        <f>W93-W95</f>
        <v>-8</v>
      </c>
      <c r="X96" s="343"/>
      <c r="Y96" s="343"/>
      <c r="Z96" s="343"/>
      <c r="AA96" s="343"/>
      <c r="AB96" s="343"/>
      <c r="AC96" s="343"/>
      <c r="AD96" s="343"/>
      <c r="AE96" s="343"/>
      <c r="AF96" s="343"/>
      <c r="AG96" s="343"/>
      <c r="AH96" s="412"/>
      <c r="AI96" s="343"/>
      <c r="AJ96" s="353"/>
      <c r="AK96" s="354"/>
      <c r="AL96" s="343"/>
      <c r="AM96" s="355"/>
      <c r="AN96" s="355"/>
      <c r="AO96" s="355"/>
      <c r="AP96" s="355"/>
      <c r="AQ96" s="340"/>
      <c r="AR96" s="356"/>
      <c r="AS96" s="357"/>
      <c r="AT96" s="411" t="s">
        <v>128</v>
      </c>
    </row>
    <row r="97" spans="1:46" s="264" customFormat="1" ht="25.05" customHeight="1">
      <c r="A97" s="493">
        <f>A93+1</f>
        <v>21</v>
      </c>
      <c r="B97" s="308" t="s">
        <v>137</v>
      </c>
      <c r="C97" s="308" t="s">
        <v>138</v>
      </c>
      <c r="D97" s="513">
        <v>30</v>
      </c>
      <c r="E97" s="541">
        <v>33</v>
      </c>
      <c r="F97" s="572"/>
      <c r="G97" s="311"/>
      <c r="H97" s="310"/>
      <c r="I97" s="311" t="s">
        <v>139</v>
      </c>
      <c r="J97" s="308" t="s">
        <v>71</v>
      </c>
      <c r="K97" s="312">
        <f>K100</f>
        <v>2</v>
      </c>
      <c r="L97" s="308" t="s">
        <v>7</v>
      </c>
      <c r="M97" s="313" t="s">
        <v>61</v>
      </c>
      <c r="N97" s="364">
        <f>WORKDAY.INTL(O97,-INDEX(O$12:O$15,MATCH($L97,$L$12:$L$15,0)),1,IF(N$18="China",'China Holidays'!$A$2:$A$82,'Thai Holidays'!$A$2:$A$63))</f>
        <v>46163</v>
      </c>
      <c r="O97" s="350">
        <v>46164</v>
      </c>
      <c r="P97" s="350">
        <v>46171</v>
      </c>
      <c r="Q97" s="350">
        <v>46174</v>
      </c>
      <c r="R97" s="350">
        <v>46182</v>
      </c>
      <c r="S97" s="350">
        <f>R97+1</f>
        <v>46183</v>
      </c>
      <c r="T97" s="350">
        <v>46197</v>
      </c>
      <c r="U97" s="350">
        <v>46225</v>
      </c>
      <c r="V97" s="350">
        <v>46230</v>
      </c>
      <c r="W97" s="350">
        <v>46244</v>
      </c>
      <c r="X97" s="350">
        <v>46246</v>
      </c>
      <c r="Y97" s="350">
        <v>46253</v>
      </c>
      <c r="Z97" s="350">
        <v>46281</v>
      </c>
      <c r="AA97" s="350">
        <v>46295</v>
      </c>
      <c r="AB97" s="350">
        <v>46355</v>
      </c>
      <c r="AC97" s="350">
        <v>46358</v>
      </c>
      <c r="AD97" s="350">
        <v>46359</v>
      </c>
      <c r="AE97" s="350">
        <v>46454</v>
      </c>
      <c r="AF97" s="350">
        <v>46468</v>
      </c>
      <c r="AG97" s="350">
        <v>46475</v>
      </c>
      <c r="AH97" s="350">
        <v>46489</v>
      </c>
      <c r="AI97" s="350">
        <v>46505</v>
      </c>
      <c r="AJ97" s="365">
        <v>30</v>
      </c>
      <c r="AK97" s="351"/>
      <c r="AL97" s="350" t="str">
        <f>TEXT(AL99,"d-mmm-yy")</f>
        <v>8-Mar-27</v>
      </c>
      <c r="AM97" s="327"/>
      <c r="AN97" s="327"/>
      <c r="AO97" s="327"/>
      <c r="AP97" s="327"/>
      <c r="AQ97" s="311"/>
      <c r="AR97" s="329"/>
      <c r="AS97" s="330" t="s">
        <v>62</v>
      </c>
      <c r="AT97" s="331">
        <v>46485</v>
      </c>
    </row>
    <row r="98" spans="1:46" s="264" customFormat="1" ht="25.05" customHeight="1">
      <c r="A98" s="491"/>
      <c r="B98" s="308" t="str">
        <f>B97</f>
        <v>RFQ-INS-021</v>
      </c>
      <c r="C98" s="308" t="s">
        <v>138</v>
      </c>
      <c r="D98" s="515"/>
      <c r="E98" s="542"/>
      <c r="F98" s="555"/>
      <c r="G98" s="311"/>
      <c r="H98" s="310"/>
      <c r="I98" s="311" t="s">
        <v>139</v>
      </c>
      <c r="J98" s="308"/>
      <c r="K98" s="322"/>
      <c r="L98" s="308"/>
      <c r="M98" s="323" t="s">
        <v>63</v>
      </c>
      <c r="N98" s="367"/>
      <c r="O98" s="325">
        <v>46164</v>
      </c>
      <c r="P98" s="325">
        <v>46171</v>
      </c>
      <c r="Q98" s="325">
        <v>46174</v>
      </c>
      <c r="R98" s="325">
        <v>46182</v>
      </c>
      <c r="S98" s="325">
        <v>46183</v>
      </c>
      <c r="T98" s="325">
        <v>46197</v>
      </c>
      <c r="U98" s="325">
        <v>46225</v>
      </c>
      <c r="V98" s="325">
        <v>46230</v>
      </c>
      <c r="W98" s="325">
        <v>46244</v>
      </c>
      <c r="X98" s="325">
        <v>46246</v>
      </c>
      <c r="Y98" s="325">
        <v>46253</v>
      </c>
      <c r="Z98" s="325">
        <v>46281</v>
      </c>
      <c r="AA98" s="325">
        <v>46295</v>
      </c>
      <c r="AB98" s="325">
        <v>46355</v>
      </c>
      <c r="AC98" s="325">
        <v>46358</v>
      </c>
      <c r="AD98" s="325">
        <v>46359</v>
      </c>
      <c r="AE98" s="325">
        <v>46454</v>
      </c>
      <c r="AF98" s="325">
        <v>46468</v>
      </c>
      <c r="AG98" s="325">
        <v>46475</v>
      </c>
      <c r="AH98" s="325">
        <v>46489</v>
      </c>
      <c r="AI98" s="325">
        <v>46505</v>
      </c>
      <c r="AJ98" s="365"/>
      <c r="AK98" s="326"/>
      <c r="AL98" s="325">
        <f>W98+AK99</f>
        <v>46454</v>
      </c>
      <c r="AM98" s="327"/>
      <c r="AN98" s="327"/>
      <c r="AO98" s="327"/>
      <c r="AP98" s="327"/>
      <c r="AQ98" s="328">
        <f>AM99-AL98</f>
        <v>24</v>
      </c>
      <c r="AR98" s="329"/>
      <c r="AS98" s="330"/>
      <c r="AT98" s="331"/>
    </row>
    <row r="99" spans="1:46" s="264" customFormat="1" ht="25.05" customHeight="1">
      <c r="A99" s="491"/>
      <c r="B99" s="308" t="str">
        <f>B97</f>
        <v>RFQ-INS-021</v>
      </c>
      <c r="C99" s="308" t="s">
        <v>138</v>
      </c>
      <c r="D99" s="515"/>
      <c r="E99" s="542"/>
      <c r="F99" s="573"/>
      <c r="G99" s="311">
        <v>6</v>
      </c>
      <c r="H99" s="310" t="s">
        <v>140</v>
      </c>
      <c r="I99" s="311" t="s">
        <v>139</v>
      </c>
      <c r="J99" s="308" t="s">
        <v>71</v>
      </c>
      <c r="K99" s="308">
        <f>K100</f>
        <v>2</v>
      </c>
      <c r="L99" s="308" t="s">
        <v>7</v>
      </c>
      <c r="M99" s="313" t="s">
        <v>65</v>
      </c>
      <c r="N99" s="350"/>
      <c r="O99" s="350">
        <v>46165</v>
      </c>
      <c r="P99" s="350">
        <f>WORKDAY.INTL(O99,INDEX(P$8:P$11,MATCH($L99,$L$8:$L$11,0)),1,IF(P$18="China",'China Holidays'!$A$2:$A$82,'Thai Holidays'!$A$2:$A$63))</f>
        <v>46182</v>
      </c>
      <c r="Q99" s="350">
        <f>WORKDAY.INTL(P99,INDEX(Q$8:Q$11,MATCH($L99,$L$8:$L$11,0)),1,IF(Q$18="China",'China Holidays'!$A$2:$A$82,'Thai Holidays'!$A$2:$A$63))</f>
        <v>46182</v>
      </c>
      <c r="R99" s="350">
        <f>WORKDAY.INTL(Q99,INDEX(R$8:R$11,MATCH($L99,$L$8:$L$11,0)),1,IF(R$18="China",'China Holidays'!$A$2:$A$82,'Thai Holidays'!$A$2:$A$63))</f>
        <v>46182</v>
      </c>
      <c r="S99" s="350">
        <f>WORKDAY.INTL(R99,INDEX(S$8:S$11,MATCH($L99,$L$8:$L$11,0)),1,IF(S$18="China",'China Holidays'!$A$2:$A$82,'Thai Holidays'!$A$2:$A$63))</f>
        <v>46182</v>
      </c>
      <c r="T99" s="350">
        <f>WORKDAY.INTL(S99,INDEX(T$8:T$11,MATCH($L99,$L$8:$L$11,0)),1,IF(T$18="China",'China Holidays'!$A$2:$A$82,'Thai Holidays'!$A$2:$A$63))</f>
        <v>46197</v>
      </c>
      <c r="U99" s="350">
        <v>46216</v>
      </c>
      <c r="V99" s="350">
        <f>WORKDAY.INTL(U99,INDEX(V$8:V$11,MATCH($L99,$L$8:$L$11,0)),1,IF(V$18="China",'China Holidays'!$A$2:$A$82,'Thai Holidays'!$A$2:$A$63))</f>
        <v>46230</v>
      </c>
      <c r="W99" s="350">
        <f>WORKDAY.INTL(V99,INDEX(W$8:W$11,MATCH($L99,$L$8:$L$11,0)),1,IF(W$18="China",'China Holidays'!$A$2:$A$82,'Thai Holidays'!$A$2:$A$63))</f>
        <v>46241</v>
      </c>
      <c r="X99" s="350">
        <f>WORKDAY.INTL(W99,INDEX(X$12:X$15,MATCH($L99,$L$12:$L$15,0)),1,IF(X$18="China",'China Holidays'!$A$2:$A$82,'Thai Holidays'!$A$2:$A$63))</f>
        <v>46245</v>
      </c>
      <c r="Y99" s="350">
        <f>WORKDAY.INTL(X99,INDEX(Y$12:Y$15,MATCH($L99,$L$12:$L$15,0)),1,IF(Y$18="China",'China Holidays'!$A$2:$A$82,'Thai Holidays'!$A$2:$A$63))</f>
        <v>46252</v>
      </c>
      <c r="Z99" s="350">
        <f>WORKDAY.INTL(Y99,INDEX(Z$12:Z$15,MATCH($L99,$L$12:$L$15,0)),1,IF(Z$18="China",'China Holidays'!$A$2:$A$82,'Thai Holidays'!$A$2:$A$63))</f>
        <v>46280</v>
      </c>
      <c r="AA99" s="350">
        <f>WORKDAY.INTL(Z99,INDEX(AA$12:AA$15,MATCH($L99,$L$12:$L$15,0)),1,IF(AA$18="China",'China Holidays'!$A$2:$A$82,'Thai Holidays'!$A$2:$A$63))</f>
        <v>46294</v>
      </c>
      <c r="AB99" s="350">
        <f>AA99+60</f>
        <v>46354</v>
      </c>
      <c r="AC99" s="350">
        <f>AB99+3</f>
        <v>46357</v>
      </c>
      <c r="AD99" s="350">
        <f>AC99+1</f>
        <v>46358</v>
      </c>
      <c r="AE99" s="350">
        <f>AF99-14</f>
        <v>46433</v>
      </c>
      <c r="AF99" s="350">
        <f>AG99-7</f>
        <v>46447</v>
      </c>
      <c r="AG99" s="350">
        <f>AL99</f>
        <v>46454</v>
      </c>
      <c r="AH99" s="350">
        <f>AL99+14</f>
        <v>46468</v>
      </c>
      <c r="AI99" s="350">
        <f>AL99+30</f>
        <v>46484</v>
      </c>
      <c r="AJ99" s="362"/>
      <c r="AK99" s="326">
        <f>AJ97*7</f>
        <v>210</v>
      </c>
      <c r="AL99" s="350">
        <f>W97+AK99</f>
        <v>46454</v>
      </c>
      <c r="AM99" s="327">
        <f>AT97-7</f>
        <v>46478</v>
      </c>
      <c r="AN99" s="327">
        <f>AO99-7</f>
        <v>46498</v>
      </c>
      <c r="AO99" s="327">
        <v>46505</v>
      </c>
      <c r="AP99" s="327" t="s">
        <v>141</v>
      </c>
      <c r="AQ99" s="311">
        <f>AM99-AL99</f>
        <v>24</v>
      </c>
      <c r="AR99" s="329"/>
      <c r="AS99" s="330" t="s">
        <v>66</v>
      </c>
      <c r="AT99" s="331">
        <v>46485</v>
      </c>
    </row>
    <row r="100" spans="1:46" s="264" customFormat="1" ht="25.05" customHeight="1">
      <c r="A100" s="492"/>
      <c r="B100" s="337" t="str">
        <f>B97</f>
        <v>RFQ-INS-021</v>
      </c>
      <c r="C100" s="337" t="s">
        <v>138</v>
      </c>
      <c r="D100" s="516"/>
      <c r="E100" s="544"/>
      <c r="F100" s="574"/>
      <c r="G100" s="340"/>
      <c r="H100" s="339"/>
      <c r="I100" s="340" t="s">
        <v>139</v>
      </c>
      <c r="J100" s="337" t="s">
        <v>71</v>
      </c>
      <c r="K100" s="308">
        <v>2</v>
      </c>
      <c r="L100" s="337" t="s">
        <v>7</v>
      </c>
      <c r="M100" s="341" t="s">
        <v>67</v>
      </c>
      <c r="N100" s="343">
        <v>46133</v>
      </c>
      <c r="O100" s="343">
        <v>46165</v>
      </c>
      <c r="P100" s="343">
        <v>46182</v>
      </c>
      <c r="Q100" s="343">
        <v>46182</v>
      </c>
      <c r="R100" s="343">
        <v>46182</v>
      </c>
      <c r="S100" s="343">
        <v>46182</v>
      </c>
      <c r="T100" s="343">
        <v>46188</v>
      </c>
      <c r="U100" s="343"/>
      <c r="V100" s="343"/>
      <c r="W100" s="340">
        <f>W97-W99</f>
        <v>3</v>
      </c>
      <c r="X100" s="343"/>
      <c r="Y100" s="343"/>
      <c r="Z100" s="343"/>
      <c r="AA100" s="343"/>
      <c r="AB100" s="343"/>
      <c r="AC100" s="343"/>
      <c r="AD100" s="343"/>
      <c r="AE100" s="343"/>
      <c r="AF100" s="343"/>
      <c r="AG100" s="343"/>
      <c r="AH100" s="343"/>
      <c r="AI100" s="343"/>
      <c r="AJ100" s="353"/>
      <c r="AK100" s="354"/>
      <c r="AL100" s="343"/>
      <c r="AM100" s="355"/>
      <c r="AN100" s="355"/>
      <c r="AO100" s="355"/>
      <c r="AP100" s="355"/>
      <c r="AQ100" s="340"/>
      <c r="AR100" s="356"/>
      <c r="AS100" s="357"/>
      <c r="AT100" s="356"/>
    </row>
    <row r="101" spans="1:46" s="264" customFormat="1" ht="25.05" customHeight="1">
      <c r="A101" s="493">
        <f>A97+1</f>
        <v>22</v>
      </c>
      <c r="B101" s="308" t="s">
        <v>142</v>
      </c>
      <c r="C101" s="308" t="s">
        <v>143</v>
      </c>
      <c r="D101" s="517">
        <v>32</v>
      </c>
      <c r="E101" s="541">
        <v>32</v>
      </c>
      <c r="F101" s="562">
        <f t="shared" ref="F101" si="11">E101-D101</f>
        <v>0</v>
      </c>
      <c r="G101" s="311"/>
      <c r="H101" s="310"/>
      <c r="I101" s="311" t="s">
        <v>139</v>
      </c>
      <c r="J101" s="308" t="s">
        <v>71</v>
      </c>
      <c r="K101" s="312">
        <f>K104</f>
        <v>4</v>
      </c>
      <c r="L101" s="308" t="s">
        <v>7</v>
      </c>
      <c r="M101" s="313" t="s">
        <v>61</v>
      </c>
      <c r="N101" s="364">
        <f>WORKDAY.INTL(O101,-INDEX(O$12:O$15,MATCH($L101,$L$12:$L$15,0)),1,IF(N$18="China",'China Holidays'!$A$2:$A$82,'Thai Holidays'!$A$2:$A$63))</f>
        <v>46163</v>
      </c>
      <c r="O101" s="350">
        <v>46164</v>
      </c>
      <c r="P101" s="350">
        <v>46171</v>
      </c>
      <c r="Q101" s="350">
        <v>46174</v>
      </c>
      <c r="R101" s="350">
        <v>46182</v>
      </c>
      <c r="S101" s="350">
        <f>R101+1</f>
        <v>46183</v>
      </c>
      <c r="T101" s="350">
        <v>46197</v>
      </c>
      <c r="U101" s="350">
        <v>46225</v>
      </c>
      <c r="V101" s="350">
        <v>46230</v>
      </c>
      <c r="W101" s="350">
        <v>46244</v>
      </c>
      <c r="X101" s="350">
        <v>46246</v>
      </c>
      <c r="Y101" s="350">
        <v>46253</v>
      </c>
      <c r="Z101" s="350">
        <v>46281</v>
      </c>
      <c r="AA101" s="350">
        <v>46295</v>
      </c>
      <c r="AB101" s="350">
        <v>46355</v>
      </c>
      <c r="AC101" s="350">
        <v>46358</v>
      </c>
      <c r="AD101" s="350">
        <v>46359</v>
      </c>
      <c r="AE101" s="350">
        <v>46447</v>
      </c>
      <c r="AF101" s="350">
        <v>46461</v>
      </c>
      <c r="AG101" s="350">
        <v>46468</v>
      </c>
      <c r="AH101" s="350">
        <v>46482</v>
      </c>
      <c r="AI101" s="350">
        <v>46498</v>
      </c>
      <c r="AJ101" s="316">
        <v>32</v>
      </c>
      <c r="AK101" s="351"/>
      <c r="AL101" s="350" t="str">
        <f>TEXT(AL103,"d-mmm-yy")</f>
        <v>22-Mar-27</v>
      </c>
      <c r="AM101" s="327"/>
      <c r="AN101" s="327"/>
      <c r="AO101" s="327"/>
      <c r="AP101" s="327"/>
      <c r="AQ101" s="311"/>
      <c r="AR101" s="329"/>
      <c r="AS101" s="330" t="s">
        <v>62</v>
      </c>
      <c r="AT101" s="331">
        <v>46485</v>
      </c>
    </row>
    <row r="102" spans="1:46" s="264" customFormat="1" ht="24" customHeight="1">
      <c r="A102" s="491"/>
      <c r="B102" s="308" t="str">
        <f>B101</f>
        <v>RFQ-INS-022</v>
      </c>
      <c r="C102" s="308" t="s">
        <v>143</v>
      </c>
      <c r="D102" s="515"/>
      <c r="E102" s="542"/>
      <c r="F102" s="555"/>
      <c r="G102" s="311"/>
      <c r="H102" s="310"/>
      <c r="I102" s="311" t="s">
        <v>139</v>
      </c>
      <c r="J102" s="308"/>
      <c r="K102" s="322"/>
      <c r="L102" s="308"/>
      <c r="M102" s="323" t="s">
        <v>63</v>
      </c>
      <c r="N102" s="367"/>
      <c r="O102" s="325">
        <v>46164</v>
      </c>
      <c r="P102" s="325">
        <v>46171</v>
      </c>
      <c r="Q102" s="325">
        <v>46174</v>
      </c>
      <c r="R102" s="325">
        <v>46182</v>
      </c>
      <c r="S102" s="325">
        <v>46183</v>
      </c>
      <c r="T102" s="325">
        <v>46197</v>
      </c>
      <c r="U102" s="325">
        <v>46225</v>
      </c>
      <c r="V102" s="325">
        <v>46230</v>
      </c>
      <c r="W102" s="325">
        <v>46244</v>
      </c>
      <c r="X102" s="325">
        <v>46246</v>
      </c>
      <c r="Y102" s="325">
        <v>46253</v>
      </c>
      <c r="Z102" s="325">
        <v>46281</v>
      </c>
      <c r="AA102" s="325">
        <v>46295</v>
      </c>
      <c r="AB102" s="325">
        <v>46355</v>
      </c>
      <c r="AC102" s="325">
        <v>46358</v>
      </c>
      <c r="AD102" s="325">
        <v>46359</v>
      </c>
      <c r="AE102" s="325">
        <v>46447</v>
      </c>
      <c r="AF102" s="325">
        <v>46461</v>
      </c>
      <c r="AG102" s="325">
        <v>46468</v>
      </c>
      <c r="AH102" s="325">
        <v>46482</v>
      </c>
      <c r="AI102" s="325">
        <v>46498</v>
      </c>
      <c r="AJ102" s="365"/>
      <c r="AK102" s="326"/>
      <c r="AL102" s="325">
        <f>W102+AK103</f>
        <v>46468</v>
      </c>
      <c r="AM102" s="327"/>
      <c r="AN102" s="327"/>
      <c r="AO102" s="327"/>
      <c r="AP102" s="327"/>
      <c r="AQ102" s="328">
        <f>AM103-AL102</f>
        <v>10</v>
      </c>
      <c r="AR102" s="329"/>
      <c r="AS102" s="330"/>
      <c r="AT102" s="331"/>
    </row>
    <row r="103" spans="1:46" s="264" customFormat="1" ht="25.05" customHeight="1">
      <c r="A103" s="491"/>
      <c r="B103" s="308" t="str">
        <f>B101</f>
        <v>RFQ-INS-022</v>
      </c>
      <c r="C103" s="308" t="s">
        <v>143</v>
      </c>
      <c r="D103" s="531"/>
      <c r="E103" s="542"/>
      <c r="F103" s="569"/>
      <c r="G103" s="311">
        <v>13</v>
      </c>
      <c r="H103" s="310" t="s">
        <v>144</v>
      </c>
      <c r="I103" s="311" t="s">
        <v>139</v>
      </c>
      <c r="J103" s="308" t="s">
        <v>71</v>
      </c>
      <c r="K103" s="308">
        <f>K104</f>
        <v>4</v>
      </c>
      <c r="L103" s="308" t="s">
        <v>7</v>
      </c>
      <c r="M103" s="313" t="s">
        <v>65</v>
      </c>
      <c r="N103" s="350"/>
      <c r="O103" s="350">
        <v>46165</v>
      </c>
      <c r="P103" s="350">
        <f>WORKDAY.INTL(O103,INDEX(P$8:P$11,MATCH($L103,$L$8:$L$11,0)),1,IF(P$18="China",'China Holidays'!$A$2:$A$82,'Thai Holidays'!$A$2:$A$63))</f>
        <v>46182</v>
      </c>
      <c r="Q103" s="350">
        <f>WORKDAY.INTL(P103,INDEX(Q$8:Q$11,MATCH($L103,$L$8:$L$11,0)),1,IF(Q$18="China",'China Holidays'!$A$2:$A$82,'Thai Holidays'!$A$2:$A$63))</f>
        <v>46182</v>
      </c>
      <c r="R103" s="350">
        <f>WORKDAY.INTL(Q103,INDEX(R$8:R$11,MATCH($L103,$L$8:$L$11,0)),1,IF(R$18="China",'China Holidays'!$A$2:$A$82,'Thai Holidays'!$A$2:$A$63))</f>
        <v>46182</v>
      </c>
      <c r="S103" s="350">
        <f>WORKDAY.INTL(R103,INDEX(S$8:S$11,MATCH($L103,$L$8:$L$11,0)),1,IF(S$18="China",'China Holidays'!$A$2:$A$82,'Thai Holidays'!$A$2:$A$63))</f>
        <v>46182</v>
      </c>
      <c r="T103" s="350">
        <f>WORKDAY.INTL(S103,INDEX(T$8:T$11,MATCH($L103,$L$8:$L$11,0)),1,IF(T$18="China",'China Holidays'!$A$2:$A$82,'Thai Holidays'!$A$2:$A$63))</f>
        <v>46197</v>
      </c>
      <c r="U103" s="350">
        <v>46216</v>
      </c>
      <c r="V103" s="350">
        <f>WORKDAY.INTL(U103,INDEX(V$8:V$11,MATCH($L103,$L$8:$L$11,0)),1,IF(V$18="China",'China Holidays'!$A$2:$A$82,'Thai Holidays'!$A$2:$A$63))</f>
        <v>46230</v>
      </c>
      <c r="W103" s="350">
        <f>WORKDAY.INTL(V103,INDEX(W$8:W$11,MATCH($L103,$L$8:$L$11,0)),1,IF(W$18="China",'China Holidays'!$A$2:$A$82,'Thai Holidays'!$A$2:$A$63))</f>
        <v>46241</v>
      </c>
      <c r="X103" s="350">
        <f>WORKDAY.INTL(W103,INDEX(X$12:X$15,MATCH($L103,$L$12:$L$15,0)),1,IF(X$18="China",'China Holidays'!$A$2:$A$82,'Thai Holidays'!$A$2:$A$63))</f>
        <v>46245</v>
      </c>
      <c r="Y103" s="350">
        <f>WORKDAY.INTL(X103,INDEX(Y$12:Y$15,MATCH($L103,$L$12:$L$15,0)),1,IF(Y$18="China",'China Holidays'!$A$2:$A$82,'Thai Holidays'!$A$2:$A$63))</f>
        <v>46252</v>
      </c>
      <c r="Z103" s="350">
        <f>WORKDAY.INTL(Y103,INDEX(Z$12:Z$15,MATCH($L103,$L$12:$L$15,0)),1,IF(Z$18="China",'China Holidays'!$A$2:$A$82,'Thai Holidays'!$A$2:$A$63))</f>
        <v>46280</v>
      </c>
      <c r="AA103" s="350">
        <f>WORKDAY.INTL(Z103,INDEX(AA$12:AA$15,MATCH($L103,$L$12:$L$15,0)),1,IF(AA$18="China",'China Holidays'!$A$2:$A$82,'Thai Holidays'!$A$2:$A$63))</f>
        <v>46294</v>
      </c>
      <c r="AB103" s="350">
        <f>AA103+60</f>
        <v>46354</v>
      </c>
      <c r="AC103" s="350">
        <f>AB103+3</f>
        <v>46357</v>
      </c>
      <c r="AD103" s="350">
        <f>AC103+1</f>
        <v>46358</v>
      </c>
      <c r="AE103" s="350">
        <f>AF103-14</f>
        <v>46447</v>
      </c>
      <c r="AF103" s="350">
        <f>AG103-7</f>
        <v>46461</v>
      </c>
      <c r="AG103" s="350">
        <f>AL103</f>
        <v>46468</v>
      </c>
      <c r="AH103" s="350">
        <f>AL103+14</f>
        <v>46482</v>
      </c>
      <c r="AI103" s="350">
        <f>AL103+30</f>
        <v>46498</v>
      </c>
      <c r="AJ103" s="362"/>
      <c r="AK103" s="326">
        <f>AJ101*7</f>
        <v>224</v>
      </c>
      <c r="AL103" s="350">
        <f>W101+AK103</f>
        <v>46468</v>
      </c>
      <c r="AM103" s="327">
        <f>AT101-7</f>
        <v>46478</v>
      </c>
      <c r="AN103" s="327">
        <f>AO103-7</f>
        <v>46498</v>
      </c>
      <c r="AO103" s="327">
        <v>46505</v>
      </c>
      <c r="AP103" s="327" t="s">
        <v>141</v>
      </c>
      <c r="AQ103" s="311">
        <f>AM103-AL103</f>
        <v>10</v>
      </c>
      <c r="AR103" s="329"/>
      <c r="AS103" s="330" t="s">
        <v>66</v>
      </c>
      <c r="AT103" s="331">
        <v>46485</v>
      </c>
    </row>
    <row r="104" spans="1:46" s="264" customFormat="1" ht="25.05" customHeight="1">
      <c r="A104" s="492"/>
      <c r="B104" s="337" t="str">
        <f>B101</f>
        <v>RFQ-INS-022</v>
      </c>
      <c r="C104" s="337" t="s">
        <v>143</v>
      </c>
      <c r="D104" s="533"/>
      <c r="E104" s="544"/>
      <c r="F104" s="570"/>
      <c r="G104" s="340"/>
      <c r="H104" s="339"/>
      <c r="I104" s="340" t="s">
        <v>139</v>
      </c>
      <c r="J104" s="337" t="s">
        <v>71</v>
      </c>
      <c r="K104" s="308">
        <v>4</v>
      </c>
      <c r="L104" s="337" t="s">
        <v>7</v>
      </c>
      <c r="M104" s="341" t="s">
        <v>67</v>
      </c>
      <c r="N104" s="343">
        <v>46133</v>
      </c>
      <c r="O104" s="343">
        <v>46165</v>
      </c>
      <c r="P104" s="343">
        <v>46182</v>
      </c>
      <c r="Q104" s="343">
        <v>46182</v>
      </c>
      <c r="R104" s="343">
        <v>46182</v>
      </c>
      <c r="S104" s="343">
        <v>46182</v>
      </c>
      <c r="T104" s="343">
        <v>46188</v>
      </c>
      <c r="U104" s="343"/>
      <c r="V104" s="343"/>
      <c r="W104" s="340">
        <f>W101-W103</f>
        <v>3</v>
      </c>
      <c r="X104" s="343"/>
      <c r="Y104" s="343"/>
      <c r="Z104" s="343"/>
      <c r="AA104" s="343"/>
      <c r="AB104" s="343"/>
      <c r="AC104" s="343"/>
      <c r="AD104" s="343"/>
      <c r="AE104" s="343"/>
      <c r="AF104" s="343"/>
      <c r="AG104" s="343"/>
      <c r="AH104" s="343"/>
      <c r="AI104" s="343"/>
      <c r="AJ104" s="353"/>
      <c r="AK104" s="354"/>
      <c r="AL104" s="343"/>
      <c r="AM104" s="355"/>
      <c r="AN104" s="355"/>
      <c r="AO104" s="355"/>
      <c r="AP104" s="355"/>
      <c r="AQ104" s="340"/>
      <c r="AR104" s="356"/>
      <c r="AS104" s="357"/>
      <c r="AT104" s="356"/>
    </row>
    <row r="105" spans="1:46" s="264" customFormat="1" ht="25.05" customHeight="1">
      <c r="A105" s="493">
        <f t="shared" ref="A105" si="12">A101+1</f>
        <v>23</v>
      </c>
      <c r="B105" s="308" t="s">
        <v>145</v>
      </c>
      <c r="C105" s="308" t="s">
        <v>146</v>
      </c>
      <c r="D105" s="534">
        <v>38</v>
      </c>
      <c r="E105" s="541">
        <v>40</v>
      </c>
      <c r="F105" s="562">
        <f t="shared" ref="F105" si="13">E105-D105</f>
        <v>2</v>
      </c>
      <c r="G105" s="311"/>
      <c r="H105" s="310"/>
      <c r="I105" s="311" t="s">
        <v>139</v>
      </c>
      <c r="J105" s="308" t="s">
        <v>60</v>
      </c>
      <c r="K105" s="312">
        <f>K108</f>
        <v>2</v>
      </c>
      <c r="L105" s="308" t="s">
        <v>6</v>
      </c>
      <c r="M105" s="313" t="s">
        <v>61</v>
      </c>
      <c r="N105" s="364">
        <f>WORKDAY.INTL(O105,-INDEX(O$12:O$15,MATCH($L105,$L$12:$L$15,0)),1,IF(N$18="China",'China Holidays'!$A$2:$A$82,'Thai Holidays'!$A$2:$A$63))</f>
        <v>46163</v>
      </c>
      <c r="O105" s="350">
        <v>46164</v>
      </c>
      <c r="P105" s="350">
        <v>46171</v>
      </c>
      <c r="Q105" s="350">
        <v>46174</v>
      </c>
      <c r="R105" s="350">
        <v>46182</v>
      </c>
      <c r="S105" s="350">
        <f>R105+1</f>
        <v>46183</v>
      </c>
      <c r="T105" s="350">
        <v>46197</v>
      </c>
      <c r="U105" s="350">
        <v>46225</v>
      </c>
      <c r="V105" s="350">
        <v>46230</v>
      </c>
      <c r="W105" s="350">
        <v>46244</v>
      </c>
      <c r="X105" s="350">
        <v>46246</v>
      </c>
      <c r="Y105" s="350">
        <v>46253</v>
      </c>
      <c r="Z105" s="350">
        <v>46281</v>
      </c>
      <c r="AA105" s="350">
        <v>46295</v>
      </c>
      <c r="AB105" s="350">
        <v>46355</v>
      </c>
      <c r="AC105" s="350">
        <v>46358</v>
      </c>
      <c r="AD105" s="350">
        <v>46359</v>
      </c>
      <c r="AE105" s="350">
        <v>46508</v>
      </c>
      <c r="AF105" s="350">
        <v>46522</v>
      </c>
      <c r="AG105" s="350">
        <v>46552</v>
      </c>
      <c r="AH105" s="350">
        <v>46566</v>
      </c>
      <c r="AI105" s="350">
        <v>46582</v>
      </c>
      <c r="AJ105" s="316">
        <v>40</v>
      </c>
      <c r="AK105" s="351"/>
      <c r="AL105" s="350" t="str">
        <f>TEXT(AL107,"d-mmm-yy")</f>
        <v>17-May-27</v>
      </c>
      <c r="AM105" s="327"/>
      <c r="AN105" s="327"/>
      <c r="AO105" s="327"/>
      <c r="AP105" s="327"/>
      <c r="AQ105" s="311"/>
      <c r="AR105" s="329"/>
      <c r="AS105" s="330" t="s">
        <v>62</v>
      </c>
      <c r="AT105" s="331">
        <v>46553</v>
      </c>
    </row>
    <row r="106" spans="1:46" s="264" customFormat="1" ht="25.05" customHeight="1">
      <c r="A106" s="491"/>
      <c r="B106" s="308" t="str">
        <f>B105</f>
        <v>RFQ-INS-023</v>
      </c>
      <c r="C106" s="308" t="s">
        <v>146</v>
      </c>
      <c r="D106" s="515"/>
      <c r="E106" s="542"/>
      <c r="F106" s="555"/>
      <c r="G106" s="311"/>
      <c r="H106" s="310"/>
      <c r="I106" s="311" t="s">
        <v>139</v>
      </c>
      <c r="J106" s="308"/>
      <c r="K106" s="322"/>
      <c r="L106" s="308"/>
      <c r="M106" s="323" t="s">
        <v>63</v>
      </c>
      <c r="N106" s="367"/>
      <c r="O106" s="325">
        <v>46164</v>
      </c>
      <c r="P106" s="325">
        <v>46171</v>
      </c>
      <c r="Q106" s="325">
        <v>46174</v>
      </c>
      <c r="R106" s="325">
        <v>46182</v>
      </c>
      <c r="S106" s="325">
        <v>46183</v>
      </c>
      <c r="T106" s="325">
        <v>46197</v>
      </c>
      <c r="U106" s="325">
        <v>46225</v>
      </c>
      <c r="V106" s="325">
        <v>46230</v>
      </c>
      <c r="W106" s="325">
        <v>46244</v>
      </c>
      <c r="X106" s="325">
        <v>46246</v>
      </c>
      <c r="Y106" s="325">
        <v>46253</v>
      </c>
      <c r="Z106" s="325">
        <v>46281</v>
      </c>
      <c r="AA106" s="325">
        <v>46295</v>
      </c>
      <c r="AB106" s="325">
        <v>46355</v>
      </c>
      <c r="AC106" s="325">
        <v>46358</v>
      </c>
      <c r="AD106" s="325">
        <v>46359</v>
      </c>
      <c r="AE106" s="325">
        <v>46508</v>
      </c>
      <c r="AF106" s="325">
        <v>46522</v>
      </c>
      <c r="AG106" s="325">
        <v>46552</v>
      </c>
      <c r="AH106" s="325">
        <v>46566</v>
      </c>
      <c r="AI106" s="325">
        <v>46582</v>
      </c>
      <c r="AJ106" s="365"/>
      <c r="AK106" s="326"/>
      <c r="AL106" s="325">
        <f>W106+AK107</f>
        <v>46524</v>
      </c>
      <c r="AM106" s="327"/>
      <c r="AN106" s="327"/>
      <c r="AO106" s="327"/>
      <c r="AP106" s="327"/>
      <c r="AQ106" s="328">
        <f>AM107-AL106</f>
        <v>26</v>
      </c>
      <c r="AR106" s="329"/>
      <c r="AS106" s="330"/>
      <c r="AT106" s="331"/>
    </row>
    <row r="107" spans="1:46" s="264" customFormat="1" ht="25.05" customHeight="1">
      <c r="A107" s="491"/>
      <c r="B107" s="308" t="str">
        <f>B105</f>
        <v>RFQ-INS-023</v>
      </c>
      <c r="C107" s="308" t="s">
        <v>146</v>
      </c>
      <c r="D107" s="535"/>
      <c r="E107" s="542"/>
      <c r="F107" s="569"/>
      <c r="G107" s="311">
        <v>1</v>
      </c>
      <c r="H107" s="310" t="s">
        <v>147</v>
      </c>
      <c r="I107" s="311" t="s">
        <v>139</v>
      </c>
      <c r="J107" s="308" t="s">
        <v>60</v>
      </c>
      <c r="K107" s="308">
        <f>K108</f>
        <v>2</v>
      </c>
      <c r="L107" s="308" t="s">
        <v>6</v>
      </c>
      <c r="M107" s="313" t="s">
        <v>65</v>
      </c>
      <c r="N107" s="350"/>
      <c r="O107" s="350">
        <v>46165</v>
      </c>
      <c r="P107" s="350">
        <f>WORKDAY.INTL(O107,INDEX(P$8:P$11,MATCH($L107,$L$8:$L$11,0)),1,IF(P$18="China",'China Holidays'!$A$2:$A$82,'Thai Holidays'!$A$2:$A$63))</f>
        <v>46182</v>
      </c>
      <c r="Q107" s="350">
        <f>WORKDAY.INTL(P107,INDEX(Q$8:Q$11,MATCH($L107,$L$8:$L$11,0)),1,IF(Q$18="China",'China Holidays'!$A$2:$A$82,'Thai Holidays'!$A$2:$A$63))</f>
        <v>46182</v>
      </c>
      <c r="R107" s="350">
        <f>WORKDAY.INTL(Q107,INDEX(R$8:R$11,MATCH($L107,$L$8:$L$11,0)),1,IF(R$18="China",'China Holidays'!$A$2:$A$82,'Thai Holidays'!$A$2:$A$63))</f>
        <v>46182</v>
      </c>
      <c r="S107" s="350">
        <f>WORKDAY.INTL(R107,INDEX(S$8:S$11,MATCH($L107,$L$8:$L$11,0)),1,IF(S$18="China",'China Holidays'!$A$2:$A$82,'Thai Holidays'!$A$2:$A$63))</f>
        <v>46182</v>
      </c>
      <c r="T107" s="350">
        <f>WORKDAY.INTL(S107,INDEX(T$8:T$11,MATCH($L107,$L$8:$L$11,0)),1,IF(T$18="China",'China Holidays'!$A$2:$A$82,'Thai Holidays'!$A$2:$A$63))</f>
        <v>46197</v>
      </c>
      <c r="U107" s="350">
        <v>46216</v>
      </c>
      <c r="V107" s="350">
        <f>WORKDAY.INTL(U107,INDEX(V$8:V$11,MATCH($L107,$L$8:$L$11,0)),1,IF(V$18="China",'China Holidays'!$A$2:$A$82,'Thai Holidays'!$A$2:$A$63))</f>
        <v>46230</v>
      </c>
      <c r="W107" s="350">
        <f>WORKDAY.INTL(V107,INDEX(W$8:W$11,MATCH($L107,$L$8:$L$11,0)),1,IF(W$18="China",'China Holidays'!$A$2:$A$82,'Thai Holidays'!$A$2:$A$63))</f>
        <v>46241</v>
      </c>
      <c r="X107" s="350">
        <f>WORKDAY.INTL(W107,INDEX(X$12:X$15,MATCH($L107,$L$12:$L$15,0)),1,IF(X$18="China",'China Holidays'!$A$2:$A$82,'Thai Holidays'!$A$2:$A$63))</f>
        <v>46245</v>
      </c>
      <c r="Y107" s="350">
        <f>WORKDAY.INTL(X107,INDEX(Y$12:Y$15,MATCH($L107,$L$12:$L$15,0)),1,IF(Y$18="China",'China Holidays'!$A$2:$A$82,'Thai Holidays'!$A$2:$A$63))</f>
        <v>46252</v>
      </c>
      <c r="Z107" s="350">
        <f>WORKDAY.INTL(Y107,INDEX(Z$12:Z$15,MATCH($L107,$L$12:$L$15,0)),1,IF(Z$18="China",'China Holidays'!$A$2:$A$82,'Thai Holidays'!$A$2:$A$63))</f>
        <v>46280</v>
      </c>
      <c r="AA107" s="350">
        <f>WORKDAY.INTL(Z107,INDEX(AA$12:AA$15,MATCH($L107,$L$12:$L$15,0)),1,IF(AA$18="China",'China Holidays'!$A$2:$A$82,'Thai Holidays'!$A$2:$A$63))</f>
        <v>46294</v>
      </c>
      <c r="AB107" s="350">
        <f>AA107+60</f>
        <v>46354</v>
      </c>
      <c r="AC107" s="350">
        <f>AB107+3</f>
        <v>46357</v>
      </c>
      <c r="AD107" s="350">
        <f>AC107+1</f>
        <v>46358</v>
      </c>
      <c r="AE107" s="350">
        <f>AF107-14</f>
        <v>46480</v>
      </c>
      <c r="AF107" s="350">
        <f>AG107-30</f>
        <v>46494</v>
      </c>
      <c r="AG107" s="350">
        <f>AL107</f>
        <v>46524</v>
      </c>
      <c r="AH107" s="350">
        <f>AL107+14</f>
        <v>46538</v>
      </c>
      <c r="AI107" s="350">
        <f>AL107+30</f>
        <v>46554</v>
      </c>
      <c r="AJ107" s="362"/>
      <c r="AK107" s="326">
        <f>AJ105*7</f>
        <v>280</v>
      </c>
      <c r="AL107" s="350">
        <f>W105+AK107</f>
        <v>46524</v>
      </c>
      <c r="AM107" s="413">
        <f>AT105-3</f>
        <v>46550</v>
      </c>
      <c r="AN107" s="327">
        <f>AO107-7</f>
        <v>46551</v>
      </c>
      <c r="AO107" s="327">
        <v>46558</v>
      </c>
      <c r="AP107" s="327" t="s">
        <v>141</v>
      </c>
      <c r="AQ107" s="311">
        <f>AM107-AL107</f>
        <v>26</v>
      </c>
      <c r="AR107" s="329"/>
      <c r="AS107" s="330" t="s">
        <v>66</v>
      </c>
      <c r="AT107" s="331">
        <v>46553</v>
      </c>
    </row>
    <row r="108" spans="1:46" s="264" customFormat="1" ht="25.05" customHeight="1">
      <c r="A108" s="492"/>
      <c r="B108" s="337" t="str">
        <f>B105</f>
        <v>RFQ-INS-023</v>
      </c>
      <c r="C108" s="337" t="s">
        <v>146</v>
      </c>
      <c r="D108" s="536"/>
      <c r="E108" s="544"/>
      <c r="F108" s="570"/>
      <c r="G108" s="340"/>
      <c r="H108" s="339"/>
      <c r="I108" s="340" t="s">
        <v>139</v>
      </c>
      <c r="J108" s="337" t="s">
        <v>60</v>
      </c>
      <c r="K108" s="308">
        <v>2</v>
      </c>
      <c r="L108" s="337" t="s">
        <v>6</v>
      </c>
      <c r="M108" s="341" t="s">
        <v>67</v>
      </c>
      <c r="N108" s="343">
        <v>46133</v>
      </c>
      <c r="O108" s="343">
        <v>46165</v>
      </c>
      <c r="P108" s="343">
        <v>46182</v>
      </c>
      <c r="Q108" s="343">
        <v>46182</v>
      </c>
      <c r="R108" s="343">
        <v>46182</v>
      </c>
      <c r="S108" s="343">
        <v>46182</v>
      </c>
      <c r="T108" s="343">
        <v>46191</v>
      </c>
      <c r="U108" s="343"/>
      <c r="V108" s="343"/>
      <c r="W108" s="340">
        <f>W105-W107</f>
        <v>3</v>
      </c>
      <c r="X108" s="343"/>
      <c r="Y108" s="343"/>
      <c r="Z108" s="343"/>
      <c r="AA108" s="343"/>
      <c r="AB108" s="343"/>
      <c r="AC108" s="343"/>
      <c r="AD108" s="343"/>
      <c r="AE108" s="343"/>
      <c r="AF108" s="343"/>
      <c r="AG108" s="343"/>
      <c r="AH108" s="343"/>
      <c r="AI108" s="343"/>
      <c r="AJ108" s="353"/>
      <c r="AK108" s="354"/>
      <c r="AL108" s="343"/>
      <c r="AM108" s="355"/>
      <c r="AN108" s="355"/>
      <c r="AO108" s="355"/>
      <c r="AP108" s="355"/>
      <c r="AQ108" s="340"/>
      <c r="AR108" s="356"/>
      <c r="AS108" s="357"/>
      <c r="AT108" s="356"/>
    </row>
    <row r="109" spans="1:46" s="264" customFormat="1" ht="25.05" customHeight="1">
      <c r="A109" s="493">
        <f t="shared" ref="A109" si="14">A105+1</f>
        <v>24</v>
      </c>
      <c r="B109" s="308" t="s">
        <v>148</v>
      </c>
      <c r="C109" s="308" t="s">
        <v>149</v>
      </c>
      <c r="D109" s="537">
        <v>23</v>
      </c>
      <c r="E109" s="541">
        <v>36</v>
      </c>
      <c r="F109" s="562">
        <f>E109-D109</f>
        <v>13</v>
      </c>
      <c r="G109" s="311"/>
      <c r="H109" s="310"/>
      <c r="I109" s="311" t="s">
        <v>139</v>
      </c>
      <c r="J109" s="308" t="s">
        <v>71</v>
      </c>
      <c r="K109" s="312">
        <f>K112</f>
        <v>2</v>
      </c>
      <c r="L109" s="308" t="s">
        <v>7</v>
      </c>
      <c r="M109" s="313" t="s">
        <v>61</v>
      </c>
      <c r="N109" s="364">
        <f>WORKDAY.INTL(O109,-INDEX(O$12:O$15,MATCH($L109,$L$12:$L$15,0)),1,IF(N$18="China",'China Holidays'!$A$2:$A$82,'Thai Holidays'!$A$2:$A$63))</f>
        <v>46177</v>
      </c>
      <c r="O109" s="350">
        <v>46178</v>
      </c>
      <c r="P109" s="350">
        <v>46185</v>
      </c>
      <c r="Q109" s="350">
        <v>46188</v>
      </c>
      <c r="R109" s="350">
        <v>46195</v>
      </c>
      <c r="S109" s="350">
        <f>R109+1</f>
        <v>46196</v>
      </c>
      <c r="T109" s="350">
        <v>46209</v>
      </c>
      <c r="U109" s="350">
        <v>46239</v>
      </c>
      <c r="V109" s="350">
        <v>46244</v>
      </c>
      <c r="W109" s="350">
        <v>46258</v>
      </c>
      <c r="X109" s="350">
        <v>46260</v>
      </c>
      <c r="Y109" s="350">
        <v>46267</v>
      </c>
      <c r="Z109" s="350">
        <v>46303</v>
      </c>
      <c r="AA109" s="350">
        <v>46321</v>
      </c>
      <c r="AB109" s="350">
        <v>46370</v>
      </c>
      <c r="AC109" s="350">
        <v>46373</v>
      </c>
      <c r="AD109" s="350">
        <v>46374</v>
      </c>
      <c r="AE109" s="350">
        <v>46466</v>
      </c>
      <c r="AF109" s="350">
        <v>46480</v>
      </c>
      <c r="AG109" s="350">
        <v>46510</v>
      </c>
      <c r="AH109" s="350">
        <v>46524</v>
      </c>
      <c r="AI109" s="350">
        <v>46540</v>
      </c>
      <c r="AJ109" s="316">
        <v>36</v>
      </c>
      <c r="AK109" s="351"/>
      <c r="AL109" s="350" t="str">
        <f>TEXT(AL111,"d-mmm-yy")</f>
        <v>3-May-27</v>
      </c>
      <c r="AM109" s="327"/>
      <c r="AN109" s="327"/>
      <c r="AO109" s="327"/>
      <c r="AP109" s="327"/>
      <c r="AQ109" s="311"/>
      <c r="AR109" s="329"/>
      <c r="AS109" s="330" t="s">
        <v>62</v>
      </c>
      <c r="AT109" s="331">
        <v>46537</v>
      </c>
    </row>
    <row r="110" spans="1:46" s="264" customFormat="1" ht="25.05" customHeight="1">
      <c r="A110" s="491"/>
      <c r="B110" s="308" t="str">
        <f>B109</f>
        <v>RFQ-INS-024</v>
      </c>
      <c r="C110" s="308" t="s">
        <v>149</v>
      </c>
      <c r="D110" s="515"/>
      <c r="E110" s="542"/>
      <c r="F110" s="555"/>
      <c r="G110" s="311"/>
      <c r="H110" s="310"/>
      <c r="I110" s="311" t="s">
        <v>139</v>
      </c>
      <c r="J110" s="308"/>
      <c r="K110" s="322"/>
      <c r="L110" s="308"/>
      <c r="M110" s="323" t="s">
        <v>63</v>
      </c>
      <c r="N110" s="367"/>
      <c r="O110" s="325">
        <v>46178</v>
      </c>
      <c r="P110" s="325">
        <v>46185</v>
      </c>
      <c r="Q110" s="325">
        <v>46188</v>
      </c>
      <c r="R110" s="325">
        <v>46195</v>
      </c>
      <c r="S110" s="325">
        <v>46196</v>
      </c>
      <c r="T110" s="325">
        <v>46209</v>
      </c>
      <c r="U110" s="325">
        <v>46239</v>
      </c>
      <c r="V110" s="325">
        <v>46244</v>
      </c>
      <c r="W110" s="325">
        <v>46258</v>
      </c>
      <c r="X110" s="325">
        <v>46260</v>
      </c>
      <c r="Y110" s="325">
        <v>46267</v>
      </c>
      <c r="Z110" s="325">
        <v>46303</v>
      </c>
      <c r="AA110" s="325">
        <v>46321</v>
      </c>
      <c r="AB110" s="325">
        <v>46370</v>
      </c>
      <c r="AC110" s="325">
        <v>46373</v>
      </c>
      <c r="AD110" s="325">
        <v>46374</v>
      </c>
      <c r="AE110" s="325">
        <v>46466</v>
      </c>
      <c r="AF110" s="325">
        <v>46480</v>
      </c>
      <c r="AG110" s="325">
        <v>46510</v>
      </c>
      <c r="AH110" s="325">
        <v>46524</v>
      </c>
      <c r="AI110" s="325">
        <v>46540</v>
      </c>
      <c r="AJ110" s="365"/>
      <c r="AK110" s="326"/>
      <c r="AL110" s="325">
        <f>W110+AK111</f>
        <v>46510</v>
      </c>
      <c r="AM110" s="327"/>
      <c r="AN110" s="327"/>
      <c r="AO110" s="327"/>
      <c r="AP110" s="327"/>
      <c r="AQ110" s="328">
        <f>AM111-AL110</f>
        <v>20</v>
      </c>
      <c r="AR110" s="329"/>
      <c r="AS110" s="330"/>
      <c r="AT110" s="331"/>
    </row>
    <row r="111" spans="1:46" s="264" customFormat="1" ht="25.05" customHeight="1">
      <c r="A111" s="491"/>
      <c r="B111" s="308" t="str">
        <f>B109</f>
        <v>RFQ-INS-024</v>
      </c>
      <c r="C111" s="308" t="s">
        <v>149</v>
      </c>
      <c r="D111" s="515"/>
      <c r="E111" s="542"/>
      <c r="F111" s="569"/>
      <c r="G111" s="311">
        <v>20</v>
      </c>
      <c r="H111" s="310" t="s">
        <v>150</v>
      </c>
      <c r="I111" s="311" t="s">
        <v>139</v>
      </c>
      <c r="J111" s="308" t="s">
        <v>71</v>
      </c>
      <c r="K111" s="308">
        <f>K112</f>
        <v>2</v>
      </c>
      <c r="L111" s="308" t="s">
        <v>7</v>
      </c>
      <c r="M111" s="313" t="s">
        <v>65</v>
      </c>
      <c r="N111" s="350">
        <v>46177</v>
      </c>
      <c r="O111" s="350">
        <f>WORKDAY.INTL(N111,INDEX(O$8:O$11,MATCH($L111,$L$8:$L$11,0)),1,IF(O$18="China",'China Holidays'!$A$2:$A$82,'Thai Holidays'!$A$2:$A$63))</f>
        <v>46178</v>
      </c>
      <c r="P111" s="350">
        <f>WORKDAY.INTL(O111,INDEX(P$8:P$11,MATCH($L111,$L$8:$L$11,0)),1,IF(P$18="China",'China Holidays'!$A$2:$A$82,'Thai Holidays'!$A$2:$A$63))</f>
        <v>46192</v>
      </c>
      <c r="Q111" s="350">
        <f>WORKDAY.INTL(P111,INDEX(Q$8:Q$11,MATCH($L111,$L$8:$L$11,0)),1,IF(Q$18="China",'China Holidays'!$A$2:$A$82,'Thai Holidays'!$A$2:$A$63))</f>
        <v>46192</v>
      </c>
      <c r="R111" s="350">
        <f>WORKDAY.INTL(Q111,INDEX(R$8:R$11,MATCH($L111,$L$8:$L$11,0)),1,IF(R$18="China",'China Holidays'!$A$2:$A$82,'Thai Holidays'!$A$2:$A$63))</f>
        <v>46192</v>
      </c>
      <c r="S111" s="350">
        <f>WORKDAY.INTL(R111,INDEX(S$8:S$11,MATCH($L111,$L$8:$L$11,0)),1,IF(S$18="China",'China Holidays'!$A$2:$A$82,'Thai Holidays'!$A$2:$A$63))</f>
        <v>46192</v>
      </c>
      <c r="T111" s="350">
        <f>WORKDAY.INTL(S111,INDEX(T$8:T$11,MATCH($L111,$L$8:$L$11,0)),1,IF(T$18="China",'China Holidays'!$A$2:$A$82,'Thai Holidays'!$A$2:$A$63))</f>
        <v>46206</v>
      </c>
      <c r="U111" s="350">
        <v>46228</v>
      </c>
      <c r="V111" s="350">
        <f>WORKDAY.INTL(U111,INDEX(V$8:V$11,MATCH($L111,$L$8:$L$11,0)),1,IF(V$18="China",'China Holidays'!$A$2:$A$82,'Thai Holidays'!$A$2:$A$63))</f>
        <v>46245</v>
      </c>
      <c r="W111" s="350">
        <f>WORKDAY.INTL(V111,INDEX(W$8:W$11,MATCH($L111,$L$8:$L$11,0)),1,IF(W$18="China",'China Holidays'!$A$2:$A$82,'Thai Holidays'!$A$2:$A$63))</f>
        <v>46258</v>
      </c>
      <c r="X111" s="350">
        <f>WORKDAY.INTL(W111,INDEX(X$12:X$15,MATCH($L111,$L$12:$L$15,0)),1,IF(X$18="China",'China Holidays'!$A$2:$A$82,'Thai Holidays'!$A$2:$A$63))</f>
        <v>46260</v>
      </c>
      <c r="Y111" s="350">
        <f>WORKDAY.INTL(X111,INDEX(Y$12:Y$15,MATCH($L111,$L$12:$L$15,0)),1,IF(Y$18="China",'China Holidays'!$A$2:$A$82,'Thai Holidays'!$A$2:$A$63))</f>
        <v>46267</v>
      </c>
      <c r="Z111" s="350">
        <f>WORKDAY.INTL(Y111,INDEX(Z$12:Z$15,MATCH($L111,$L$12:$L$15,0)),1,IF(Z$18="China",'China Holidays'!$A$2:$A$82,'Thai Holidays'!$A$2:$A$63))</f>
        <v>46303</v>
      </c>
      <c r="AA111" s="350">
        <f>WORKDAY.INTL(Z111,INDEX(AA$12:AA$15,MATCH($L111,$L$12:$L$15,0)),1,IF(AA$18="China",'China Holidays'!$A$2:$A$82,'Thai Holidays'!$A$2:$A$63))</f>
        <v>46321</v>
      </c>
      <c r="AB111" s="350">
        <f>AA111+60</f>
        <v>46381</v>
      </c>
      <c r="AC111" s="350">
        <f>AB111+3</f>
        <v>46384</v>
      </c>
      <c r="AD111" s="350">
        <f>AC111+1</f>
        <v>46385</v>
      </c>
      <c r="AE111" s="350">
        <f>AF111-14</f>
        <v>46466</v>
      </c>
      <c r="AF111" s="350">
        <f>AG111-30</f>
        <v>46480</v>
      </c>
      <c r="AG111" s="350">
        <f>AL111</f>
        <v>46510</v>
      </c>
      <c r="AH111" s="350">
        <f>AL111+14</f>
        <v>46524</v>
      </c>
      <c r="AI111" s="350">
        <f>AL111+30</f>
        <v>46540</v>
      </c>
      <c r="AJ111" s="362"/>
      <c r="AK111" s="326">
        <f>AJ109*7</f>
        <v>252</v>
      </c>
      <c r="AL111" s="350">
        <f>W109+AK111</f>
        <v>46510</v>
      </c>
      <c r="AM111" s="327">
        <f>AT109-7</f>
        <v>46530</v>
      </c>
      <c r="AN111" s="327">
        <f>AO111-7</f>
        <v>46530</v>
      </c>
      <c r="AO111" s="327">
        <v>46537</v>
      </c>
      <c r="AP111" s="327" t="s">
        <v>141</v>
      </c>
      <c r="AQ111" s="311">
        <f>AM111-AL111</f>
        <v>20</v>
      </c>
      <c r="AR111" s="329"/>
      <c r="AS111" s="330" t="s">
        <v>66</v>
      </c>
      <c r="AT111" s="331">
        <v>46537</v>
      </c>
    </row>
    <row r="112" spans="1:46" s="264" customFormat="1" ht="25.05" customHeight="1">
      <c r="A112" s="492"/>
      <c r="B112" s="337" t="str">
        <f>B109</f>
        <v>RFQ-INS-024</v>
      </c>
      <c r="C112" s="337" t="s">
        <v>149</v>
      </c>
      <c r="D112" s="516"/>
      <c r="E112" s="544"/>
      <c r="F112" s="570"/>
      <c r="G112" s="340"/>
      <c r="H112" s="339"/>
      <c r="I112" s="340" t="s">
        <v>139</v>
      </c>
      <c r="J112" s="337" t="s">
        <v>71</v>
      </c>
      <c r="K112" s="308">
        <v>2</v>
      </c>
      <c r="L112" s="337" t="s">
        <v>7</v>
      </c>
      <c r="M112" s="341" t="s">
        <v>67</v>
      </c>
      <c r="N112" s="343"/>
      <c r="O112" s="343">
        <v>46178</v>
      </c>
      <c r="P112" s="343">
        <v>46186</v>
      </c>
      <c r="Q112" s="343">
        <v>46186</v>
      </c>
      <c r="R112" s="343">
        <v>46186</v>
      </c>
      <c r="S112" s="343">
        <v>46186</v>
      </c>
      <c r="T112" s="343">
        <v>46196</v>
      </c>
      <c r="U112" s="343"/>
      <c r="V112" s="343"/>
      <c r="W112" s="340">
        <f>W109-W111</f>
        <v>0</v>
      </c>
      <c r="X112" s="343"/>
      <c r="Y112" s="343"/>
      <c r="Z112" s="343"/>
      <c r="AA112" s="343"/>
      <c r="AB112" s="343"/>
      <c r="AC112" s="343"/>
      <c r="AD112" s="343"/>
      <c r="AE112" s="343"/>
      <c r="AF112" s="343"/>
      <c r="AG112" s="343"/>
      <c r="AH112" s="343"/>
      <c r="AI112" s="343"/>
      <c r="AJ112" s="353"/>
      <c r="AK112" s="354"/>
      <c r="AL112" s="343"/>
      <c r="AM112" s="355"/>
      <c r="AN112" s="355"/>
      <c r="AO112" s="355"/>
      <c r="AP112" s="355"/>
      <c r="AQ112" s="340"/>
      <c r="AR112" s="356"/>
      <c r="AS112" s="357"/>
      <c r="AT112" s="356"/>
    </row>
    <row r="113" spans="1:46" s="264" customFormat="1" ht="25.05" customHeight="1">
      <c r="A113" s="493">
        <f t="shared" ref="A113" si="15">A109+1</f>
        <v>25</v>
      </c>
      <c r="B113" s="308" t="s">
        <v>151</v>
      </c>
      <c r="C113" s="308" t="s">
        <v>152</v>
      </c>
      <c r="D113" s="538">
        <v>36</v>
      </c>
      <c r="E113" s="541">
        <v>40</v>
      </c>
      <c r="F113" s="593"/>
      <c r="G113" s="311"/>
      <c r="H113" s="310"/>
      <c r="I113" s="311" t="s">
        <v>139</v>
      </c>
      <c r="J113" s="308" t="s">
        <v>60</v>
      </c>
      <c r="K113" s="312">
        <f>K116</f>
        <v>2</v>
      </c>
      <c r="L113" s="308" t="s">
        <v>7</v>
      </c>
      <c r="M113" s="313" t="s">
        <v>61</v>
      </c>
      <c r="N113" s="364">
        <f>WORKDAY.INTL(O113,-INDEX(O$12:O$15,MATCH($L113,$L$12:$L$15,0)),1,IF(N$18="China",'China Holidays'!$A$2:$A$82,'Thai Holidays'!$A$2:$A$63))</f>
        <v>46161</v>
      </c>
      <c r="O113" s="350">
        <v>46162</v>
      </c>
      <c r="P113" s="350">
        <v>46169</v>
      </c>
      <c r="Q113" s="350">
        <v>46170</v>
      </c>
      <c r="R113" s="350">
        <v>46181</v>
      </c>
      <c r="S113" s="350">
        <f>R113+1</f>
        <v>46182</v>
      </c>
      <c r="T113" s="350">
        <v>46196</v>
      </c>
      <c r="U113" s="350">
        <v>46224</v>
      </c>
      <c r="V113" s="350">
        <v>46227</v>
      </c>
      <c r="W113" s="350">
        <v>46241</v>
      </c>
      <c r="X113" s="350">
        <v>46245</v>
      </c>
      <c r="Y113" s="350">
        <v>46252</v>
      </c>
      <c r="Z113" s="350">
        <v>46280</v>
      </c>
      <c r="AA113" s="350">
        <v>46294</v>
      </c>
      <c r="AB113" s="350">
        <v>46354</v>
      </c>
      <c r="AC113" s="350">
        <v>46357</v>
      </c>
      <c r="AD113" s="350">
        <v>46358</v>
      </c>
      <c r="AE113" s="350">
        <v>46477</v>
      </c>
      <c r="AF113" s="350">
        <v>46491</v>
      </c>
      <c r="AG113" s="350">
        <v>46521</v>
      </c>
      <c r="AH113" s="350">
        <v>46535</v>
      </c>
      <c r="AI113" s="350">
        <v>46551</v>
      </c>
      <c r="AJ113" s="316">
        <v>40</v>
      </c>
      <c r="AK113" s="351"/>
      <c r="AL113" s="350" t="str">
        <f>TEXT(AL115,"d-mmm-yy")</f>
        <v>14-May-27</v>
      </c>
      <c r="AM113" s="327"/>
      <c r="AN113" s="327"/>
      <c r="AO113" s="327"/>
      <c r="AP113" s="327"/>
      <c r="AQ113" s="311"/>
      <c r="AR113" s="329"/>
      <c r="AS113" s="330" t="s">
        <v>62</v>
      </c>
      <c r="AT113" s="331">
        <v>46537</v>
      </c>
    </row>
    <row r="114" spans="1:46" s="264" customFormat="1" ht="25.05" customHeight="1">
      <c r="A114" s="491"/>
      <c r="B114" s="308" t="str">
        <f>B113</f>
        <v>RFQ-INS-025</v>
      </c>
      <c r="C114" s="308" t="s">
        <v>152</v>
      </c>
      <c r="D114" s="515"/>
      <c r="E114" s="542"/>
      <c r="F114" s="555"/>
      <c r="G114" s="311"/>
      <c r="H114" s="310"/>
      <c r="I114" s="311" t="s">
        <v>139</v>
      </c>
      <c r="J114" s="308"/>
      <c r="K114" s="322"/>
      <c r="L114" s="308"/>
      <c r="M114" s="323" t="s">
        <v>63</v>
      </c>
      <c r="N114" s="367"/>
      <c r="O114" s="325">
        <v>46162</v>
      </c>
      <c r="P114" s="325">
        <v>46169</v>
      </c>
      <c r="Q114" s="325">
        <v>46170</v>
      </c>
      <c r="R114" s="325">
        <v>46181</v>
      </c>
      <c r="S114" s="325">
        <v>46182</v>
      </c>
      <c r="T114" s="325">
        <v>46196</v>
      </c>
      <c r="U114" s="325">
        <v>46224</v>
      </c>
      <c r="V114" s="325">
        <v>46227</v>
      </c>
      <c r="W114" s="325">
        <v>46241</v>
      </c>
      <c r="X114" s="325">
        <v>46245</v>
      </c>
      <c r="Y114" s="325">
        <v>46252</v>
      </c>
      <c r="Z114" s="325">
        <v>46280</v>
      </c>
      <c r="AA114" s="325">
        <v>46294</v>
      </c>
      <c r="AB114" s="325">
        <v>46354</v>
      </c>
      <c r="AC114" s="325">
        <v>46357</v>
      </c>
      <c r="AD114" s="325">
        <v>46358</v>
      </c>
      <c r="AE114" s="325">
        <v>46477</v>
      </c>
      <c r="AF114" s="325">
        <v>46491</v>
      </c>
      <c r="AG114" s="325">
        <v>46521</v>
      </c>
      <c r="AH114" s="325">
        <v>46535</v>
      </c>
      <c r="AI114" s="325">
        <v>46551</v>
      </c>
      <c r="AJ114" s="365"/>
      <c r="AK114" s="326"/>
      <c r="AL114" s="325">
        <f>W114+AK115</f>
        <v>46521</v>
      </c>
      <c r="AM114" s="327"/>
      <c r="AN114" s="327"/>
      <c r="AO114" s="327"/>
      <c r="AP114" s="327"/>
      <c r="AQ114" s="328">
        <f>AM115-AL114</f>
        <v>9</v>
      </c>
      <c r="AR114" s="329"/>
      <c r="AS114" s="330"/>
      <c r="AT114" s="331"/>
    </row>
    <row r="115" spans="1:46" s="264" customFormat="1" ht="25.05" customHeight="1">
      <c r="A115" s="491"/>
      <c r="B115" s="308" t="str">
        <f>B113</f>
        <v>RFQ-INS-025</v>
      </c>
      <c r="C115" s="308" t="s">
        <v>152</v>
      </c>
      <c r="D115" s="539"/>
      <c r="E115" s="542"/>
      <c r="F115" s="594"/>
      <c r="G115" s="311">
        <v>9</v>
      </c>
      <c r="H115" s="310" t="s">
        <v>150</v>
      </c>
      <c r="I115" s="311" t="s">
        <v>139</v>
      </c>
      <c r="J115" s="308" t="s">
        <v>60</v>
      </c>
      <c r="K115" s="308">
        <f>K116</f>
        <v>2</v>
      </c>
      <c r="L115" s="308" t="s">
        <v>7</v>
      </c>
      <c r="M115" s="313" t="s">
        <v>65</v>
      </c>
      <c r="N115" s="350"/>
      <c r="O115" s="350">
        <v>46169</v>
      </c>
      <c r="P115" s="350">
        <f>WORKDAY.INTL(O115,INDEX(P$8:P$11,MATCH($L115,$L$8:$L$11,0)),1,IF(P$18="China",'China Holidays'!$A$2:$A$82,'Thai Holidays'!$A$2:$A$63))</f>
        <v>46185</v>
      </c>
      <c r="Q115" s="350">
        <f>WORKDAY.INTL(P115,INDEX(Q$8:Q$11,MATCH($L115,$L$8:$L$11,0)),1,IF(Q$18="China",'China Holidays'!$A$2:$A$82,'Thai Holidays'!$A$2:$A$63))</f>
        <v>46185</v>
      </c>
      <c r="R115" s="350">
        <f>WORKDAY.INTL(Q115,INDEX(R$8:R$11,MATCH($L115,$L$8:$L$11,0)),1,IF(R$18="China",'China Holidays'!$A$2:$A$82,'Thai Holidays'!$A$2:$A$63))</f>
        <v>46185</v>
      </c>
      <c r="S115" s="350">
        <f>WORKDAY.INTL(R115,INDEX(S$8:S$11,MATCH($L115,$L$8:$L$11,0)),1,IF(S$18="China",'China Holidays'!$A$2:$A$82,'Thai Holidays'!$A$2:$A$63))</f>
        <v>46185</v>
      </c>
      <c r="T115" s="350">
        <f>WORKDAY.INTL(S115,INDEX(T$8:T$11,MATCH($L115,$L$8:$L$11,0)),1,IF(T$18="China",'China Holidays'!$A$2:$A$82,'Thai Holidays'!$A$2:$A$63))</f>
        <v>46202</v>
      </c>
      <c r="U115" s="350">
        <v>46216</v>
      </c>
      <c r="V115" s="350">
        <f>WORKDAY.INTL(U115,INDEX(V$8:V$11,MATCH($L115,$L$8:$L$11,0)),1,IF(V$18="China",'China Holidays'!$A$2:$A$82,'Thai Holidays'!$A$2:$A$63))</f>
        <v>46230</v>
      </c>
      <c r="W115" s="350">
        <f>WORKDAY.INTL(V115,INDEX(W$8:W$11,MATCH($L115,$L$8:$L$11,0)),1,IF(W$18="China",'China Holidays'!$A$2:$A$82,'Thai Holidays'!$A$2:$A$63))</f>
        <v>46241</v>
      </c>
      <c r="X115" s="350">
        <f>WORKDAY.INTL(W115,INDEX(X$12:X$15,MATCH($L115,$L$12:$L$15,0)),1,IF(X$18="China",'China Holidays'!$A$2:$A$82,'Thai Holidays'!$A$2:$A$63))</f>
        <v>46245</v>
      </c>
      <c r="Y115" s="350">
        <f>WORKDAY.INTL(X115,INDEX(Y$12:Y$15,MATCH($L115,$L$12:$L$15,0)),1,IF(Y$18="China",'China Holidays'!$A$2:$A$82,'Thai Holidays'!$A$2:$A$63))</f>
        <v>46252</v>
      </c>
      <c r="Z115" s="350">
        <f>WORKDAY.INTL(Y115,INDEX(Z$12:Z$15,MATCH($L115,$L$12:$L$15,0)),1,IF(Z$18="China",'China Holidays'!$A$2:$A$82,'Thai Holidays'!$A$2:$A$63))</f>
        <v>46280</v>
      </c>
      <c r="AA115" s="350">
        <f>WORKDAY.INTL(Z115,INDEX(AA$12:AA$15,MATCH($L115,$L$12:$L$15,0)),1,IF(AA$18="China",'China Holidays'!$A$2:$A$82,'Thai Holidays'!$A$2:$A$63))</f>
        <v>46294</v>
      </c>
      <c r="AB115" s="350">
        <f>AA115+60</f>
        <v>46354</v>
      </c>
      <c r="AC115" s="350">
        <f>AB115+3</f>
        <v>46357</v>
      </c>
      <c r="AD115" s="350">
        <f>AC115+1</f>
        <v>46358</v>
      </c>
      <c r="AE115" s="350">
        <f>AF115-14</f>
        <v>46477</v>
      </c>
      <c r="AF115" s="350">
        <f>AG115-30</f>
        <v>46491</v>
      </c>
      <c r="AG115" s="350">
        <f>AL115</f>
        <v>46521</v>
      </c>
      <c r="AH115" s="350">
        <f>AL115+14</f>
        <v>46535</v>
      </c>
      <c r="AI115" s="350">
        <f>AL115+30</f>
        <v>46551</v>
      </c>
      <c r="AJ115" s="362"/>
      <c r="AK115" s="326">
        <f>AJ113*7</f>
        <v>280</v>
      </c>
      <c r="AL115" s="350">
        <f>W115+AK115</f>
        <v>46521</v>
      </c>
      <c r="AM115" s="327">
        <f>AT113-7</f>
        <v>46530</v>
      </c>
      <c r="AN115" s="327">
        <f>AO115-7</f>
        <v>46530</v>
      </c>
      <c r="AO115" s="327">
        <v>46537</v>
      </c>
      <c r="AP115" s="327" t="s">
        <v>141</v>
      </c>
      <c r="AQ115" s="311">
        <f>AM115-AL115</f>
        <v>9</v>
      </c>
      <c r="AR115" s="329"/>
      <c r="AS115" s="330" t="s">
        <v>66</v>
      </c>
      <c r="AT115" s="331">
        <v>46537</v>
      </c>
    </row>
    <row r="116" spans="1:46" s="264" customFormat="1" ht="25.05" customHeight="1">
      <c r="A116" s="492"/>
      <c r="B116" s="337" t="str">
        <f>B113</f>
        <v>RFQ-INS-025</v>
      </c>
      <c r="C116" s="337" t="s">
        <v>152</v>
      </c>
      <c r="D116" s="540"/>
      <c r="E116" s="544"/>
      <c r="F116" s="595"/>
      <c r="G116" s="340"/>
      <c r="H116" s="339"/>
      <c r="I116" s="340" t="s">
        <v>139</v>
      </c>
      <c r="J116" s="337" t="s">
        <v>60</v>
      </c>
      <c r="K116" s="308">
        <v>2</v>
      </c>
      <c r="L116" s="337" t="s">
        <v>7</v>
      </c>
      <c r="M116" s="341" t="s">
        <v>67</v>
      </c>
      <c r="N116" s="343">
        <v>46133</v>
      </c>
      <c r="O116" s="343">
        <v>46169</v>
      </c>
      <c r="P116" s="343">
        <v>46183</v>
      </c>
      <c r="Q116" s="343">
        <v>46183</v>
      </c>
      <c r="R116" s="343">
        <v>46183</v>
      </c>
      <c r="S116" s="343">
        <v>46183</v>
      </c>
      <c r="T116" s="343">
        <v>46191</v>
      </c>
      <c r="U116" s="343"/>
      <c r="V116" s="343"/>
      <c r="W116" s="340">
        <f>W113-W115</f>
        <v>0</v>
      </c>
      <c r="X116" s="343"/>
      <c r="Y116" s="343"/>
      <c r="Z116" s="343"/>
      <c r="AA116" s="343"/>
      <c r="AB116" s="343"/>
      <c r="AC116" s="343"/>
      <c r="AD116" s="343"/>
      <c r="AE116" s="343"/>
      <c r="AF116" s="343"/>
      <c r="AG116" s="343"/>
      <c r="AH116" s="343"/>
      <c r="AI116" s="343"/>
      <c r="AJ116" s="353"/>
      <c r="AK116" s="354"/>
      <c r="AL116" s="343"/>
      <c r="AM116" s="355"/>
      <c r="AN116" s="355"/>
      <c r="AO116" s="355"/>
      <c r="AP116" s="355"/>
      <c r="AQ116" s="340"/>
      <c r="AR116" s="356"/>
      <c r="AS116" s="357"/>
      <c r="AT116" s="356"/>
    </row>
    <row r="117" spans="1:46" s="264" customFormat="1" ht="25.05" customHeight="1">
      <c r="A117" s="493">
        <f t="shared" ref="A117" si="16">A113+1</f>
        <v>26</v>
      </c>
      <c r="B117" s="308" t="s">
        <v>153</v>
      </c>
      <c r="C117" s="308" t="s">
        <v>154</v>
      </c>
      <c r="D117" s="517"/>
      <c r="E117" s="541">
        <v>32</v>
      </c>
      <c r="F117" s="576"/>
      <c r="G117" s="311"/>
      <c r="H117" s="310"/>
      <c r="I117" s="311" t="s">
        <v>139</v>
      </c>
      <c r="J117" s="308" t="s">
        <v>71</v>
      </c>
      <c r="K117" s="312">
        <f>K120</f>
        <v>2</v>
      </c>
      <c r="L117" s="308" t="s">
        <v>7</v>
      </c>
      <c r="M117" s="313" t="s">
        <v>61</v>
      </c>
      <c r="N117" s="364">
        <f>WORKDAY.INTL(O117,-INDEX(O$12:O$15,MATCH($L117,$L$12:$L$15,0)),1,IF(N$18="China",'China Holidays'!$A$2:$A$82,'Thai Holidays'!$A$2:$A$63))</f>
        <v>46184</v>
      </c>
      <c r="O117" s="350">
        <v>46185</v>
      </c>
      <c r="P117" s="350">
        <v>46192</v>
      </c>
      <c r="Q117" s="350">
        <v>46195</v>
      </c>
      <c r="R117" s="350">
        <v>46202</v>
      </c>
      <c r="S117" s="350">
        <f>R117+1</f>
        <v>46203</v>
      </c>
      <c r="T117" s="350">
        <v>46216</v>
      </c>
      <c r="U117" s="350">
        <v>46247</v>
      </c>
      <c r="V117" s="350">
        <v>46252</v>
      </c>
      <c r="W117" s="350">
        <v>46266</v>
      </c>
      <c r="X117" s="350">
        <v>46268</v>
      </c>
      <c r="Y117" s="350">
        <v>46275</v>
      </c>
      <c r="Z117" s="350">
        <v>46311</v>
      </c>
      <c r="AA117" s="350">
        <v>46328</v>
      </c>
      <c r="AB117" s="350">
        <v>46385</v>
      </c>
      <c r="AC117" s="350">
        <v>46388</v>
      </c>
      <c r="AD117" s="350">
        <v>46389</v>
      </c>
      <c r="AE117" s="350">
        <v>46469</v>
      </c>
      <c r="AF117" s="350">
        <v>46483</v>
      </c>
      <c r="AG117" s="350">
        <v>46490</v>
      </c>
      <c r="AH117" s="350">
        <v>46504</v>
      </c>
      <c r="AI117" s="350">
        <v>46520</v>
      </c>
      <c r="AJ117" s="316">
        <v>32</v>
      </c>
      <c r="AK117" s="351"/>
      <c r="AL117" s="350" t="str">
        <f>TEXT(AL119,"d-mmm-yy")</f>
        <v>13-Apr-27</v>
      </c>
      <c r="AM117" s="327"/>
      <c r="AN117" s="327"/>
      <c r="AO117" s="327"/>
      <c r="AP117" s="327"/>
      <c r="AQ117" s="311"/>
      <c r="AR117" s="329"/>
      <c r="AS117" s="330" t="s">
        <v>62</v>
      </c>
      <c r="AT117" s="331">
        <v>46537</v>
      </c>
    </row>
    <row r="118" spans="1:46" s="264" customFormat="1" ht="25.05" customHeight="1">
      <c r="A118" s="491"/>
      <c r="B118" s="308" t="str">
        <f>B117</f>
        <v>RFQ-INS-026</v>
      </c>
      <c r="C118" s="308" t="s">
        <v>154</v>
      </c>
      <c r="D118" s="515"/>
      <c r="E118" s="542"/>
      <c r="F118" s="555"/>
      <c r="G118" s="311"/>
      <c r="H118" s="310"/>
      <c r="I118" s="311" t="s">
        <v>139</v>
      </c>
      <c r="J118" s="308"/>
      <c r="K118" s="322"/>
      <c r="L118" s="308"/>
      <c r="M118" s="323" t="s">
        <v>63</v>
      </c>
      <c r="N118" s="367"/>
      <c r="O118" s="325">
        <v>46185</v>
      </c>
      <c r="P118" s="325">
        <v>46192</v>
      </c>
      <c r="Q118" s="325">
        <v>46195</v>
      </c>
      <c r="R118" s="325">
        <v>46202</v>
      </c>
      <c r="S118" s="325">
        <v>46203</v>
      </c>
      <c r="T118" s="325">
        <v>46216</v>
      </c>
      <c r="U118" s="325">
        <v>46247</v>
      </c>
      <c r="V118" s="325">
        <v>46252</v>
      </c>
      <c r="W118" s="325">
        <v>46266</v>
      </c>
      <c r="X118" s="325">
        <v>46268</v>
      </c>
      <c r="Y118" s="325">
        <v>46275</v>
      </c>
      <c r="Z118" s="325">
        <v>46311</v>
      </c>
      <c r="AA118" s="325">
        <v>46328</v>
      </c>
      <c r="AB118" s="325">
        <v>46385</v>
      </c>
      <c r="AC118" s="325">
        <v>46388</v>
      </c>
      <c r="AD118" s="325">
        <v>46389</v>
      </c>
      <c r="AE118" s="325">
        <v>46469</v>
      </c>
      <c r="AF118" s="325">
        <v>46483</v>
      </c>
      <c r="AG118" s="325">
        <v>46490</v>
      </c>
      <c r="AH118" s="325">
        <v>46504</v>
      </c>
      <c r="AI118" s="325">
        <v>46520</v>
      </c>
      <c r="AJ118" s="365"/>
      <c r="AK118" s="326"/>
      <c r="AL118" s="325">
        <f>W118+AK119</f>
        <v>46490</v>
      </c>
      <c r="AM118" s="327"/>
      <c r="AN118" s="327"/>
      <c r="AO118" s="327"/>
      <c r="AP118" s="327"/>
      <c r="AQ118" s="328">
        <f>AM119-AL118</f>
        <v>40</v>
      </c>
      <c r="AR118" s="329"/>
      <c r="AS118" s="330"/>
      <c r="AT118" s="331"/>
    </row>
    <row r="119" spans="1:46" s="264" customFormat="1" ht="25.05" customHeight="1">
      <c r="A119" s="491"/>
      <c r="B119" s="308" t="str">
        <f>B117</f>
        <v>RFQ-INS-026</v>
      </c>
      <c r="C119" s="308" t="s">
        <v>154</v>
      </c>
      <c r="D119" s="531"/>
      <c r="E119" s="542"/>
      <c r="F119" s="578"/>
      <c r="G119" s="311">
        <v>40</v>
      </c>
      <c r="H119" s="310" t="s">
        <v>155</v>
      </c>
      <c r="I119" s="311" t="s">
        <v>139</v>
      </c>
      <c r="J119" s="308" t="s">
        <v>71</v>
      </c>
      <c r="K119" s="308">
        <f>K120</f>
        <v>2</v>
      </c>
      <c r="L119" s="308" t="s">
        <v>7</v>
      </c>
      <c r="M119" s="313" t="s">
        <v>65</v>
      </c>
      <c r="N119" s="350">
        <f>WORKDAY.INTL(O119,-INDEX(O$12:O$15,MATCH($L119,$L$12:$L$15,0)),1,IF(N$18="China",'China Holidays'!$A$2:$A$82,'Thai Holidays'!$A$2:$A$63))</f>
        <v>46182</v>
      </c>
      <c r="O119" s="350">
        <v>46183</v>
      </c>
      <c r="P119" s="350">
        <f>WORKDAY.INTL(O119,INDEX(P$8:P$11,MATCH($L119,$L$8:$L$11,0)),1,IF(P$18="China",'China Holidays'!$A$2:$A$82,'Thai Holidays'!$A$2:$A$63))</f>
        <v>46197</v>
      </c>
      <c r="Q119" s="350">
        <f>WORKDAY.INTL(P119,INDEX(Q$8:Q$11,MATCH($L119,$L$8:$L$11,0)),1,IF(Q$18="China",'China Holidays'!$A$2:$A$82,'Thai Holidays'!$A$2:$A$63))</f>
        <v>46197</v>
      </c>
      <c r="R119" s="350">
        <f>WORKDAY.INTL(Q119,INDEX(R$8:R$11,MATCH($L119,$L$8:$L$11,0)),1,IF(R$18="China",'China Holidays'!$A$2:$A$82,'Thai Holidays'!$A$2:$A$63))</f>
        <v>46197</v>
      </c>
      <c r="S119" s="350">
        <f>WORKDAY.INTL(R119,INDEX(S$8:S$11,MATCH($L119,$L$8:$L$11,0)),1,IF(S$18="China",'China Holidays'!$A$2:$A$82,'Thai Holidays'!$A$2:$A$63))</f>
        <v>46197</v>
      </c>
      <c r="T119" s="350">
        <f>WORKDAY.INTL(S119,INDEX(T$8:T$11,MATCH($L119,$L$8:$L$11,0)),1,IF(T$18="China",'China Holidays'!$A$2:$A$82,'Thai Holidays'!$A$2:$A$63))</f>
        <v>46211</v>
      </c>
      <c r="U119" s="350">
        <f>WORKDAY.INTL(T119,INDEX(U$8:U$11,MATCH($L119,$L$8:$L$11,0)),1,IF(U$18="China",'China Holidays'!$A$2:$A$82,'Thai Holidays'!$A$2:$A$63))</f>
        <v>46238</v>
      </c>
      <c r="V119" s="350">
        <f>WORKDAY.INTL(U119,INDEX(V$8:V$11,MATCH($L119,$L$8:$L$11,0)),1,IF(V$18="China",'China Holidays'!$A$2:$A$82,'Thai Holidays'!$A$2:$A$63))</f>
        <v>46253</v>
      </c>
      <c r="W119" s="350">
        <f>WORKDAY.INTL(V119,INDEX(W$8:W$11,MATCH($L119,$L$8:$L$11,0)),1,IF(W$18="China",'China Holidays'!$A$2:$A$82,'Thai Holidays'!$A$2:$A$63))</f>
        <v>46266</v>
      </c>
      <c r="X119" s="350">
        <f>WORKDAY.INTL(W119,INDEX(X$12:X$15,MATCH($L119,$L$12:$L$15,0)),1,IF(X$18="China",'China Holidays'!$A$2:$A$82,'Thai Holidays'!$A$2:$A$63))</f>
        <v>46268</v>
      </c>
      <c r="Y119" s="350">
        <f>WORKDAY.INTL(X119,INDEX(Y$12:Y$15,MATCH($L119,$L$12:$L$15,0)),1,IF(Y$18="China",'China Holidays'!$A$2:$A$82,'Thai Holidays'!$A$2:$A$63))</f>
        <v>46275</v>
      </c>
      <c r="Z119" s="350">
        <f>WORKDAY.INTL(Y119,INDEX(Z$12:Z$15,MATCH($L119,$L$12:$L$15,0)),1,IF(Z$18="China",'China Holidays'!$A$2:$A$82,'Thai Holidays'!$A$2:$A$63))</f>
        <v>46311</v>
      </c>
      <c r="AA119" s="350">
        <f>WORKDAY.INTL(Z119,INDEX(AA$12:AA$15,MATCH($L119,$L$12:$L$15,0)),1,IF(AA$18="China",'China Holidays'!$A$2:$A$82,'Thai Holidays'!$A$2:$A$63))</f>
        <v>46328</v>
      </c>
      <c r="AB119" s="350">
        <f>AA119+60</f>
        <v>46388</v>
      </c>
      <c r="AC119" s="350">
        <f>AB119+3</f>
        <v>46391</v>
      </c>
      <c r="AD119" s="350">
        <f>AC119+1</f>
        <v>46392</v>
      </c>
      <c r="AE119" s="350">
        <f>AF119-14</f>
        <v>46469</v>
      </c>
      <c r="AF119" s="350">
        <f>AG119-7</f>
        <v>46483</v>
      </c>
      <c r="AG119" s="350">
        <f>AL119</f>
        <v>46490</v>
      </c>
      <c r="AH119" s="350">
        <f>AL119+14</f>
        <v>46504</v>
      </c>
      <c r="AI119" s="350">
        <f>AL119+30</f>
        <v>46520</v>
      </c>
      <c r="AJ119" s="362"/>
      <c r="AK119" s="326">
        <f>AJ117*7</f>
        <v>224</v>
      </c>
      <c r="AL119" s="350">
        <f>W119+AK119</f>
        <v>46490</v>
      </c>
      <c r="AM119" s="327">
        <f>AT117-7</f>
        <v>46530</v>
      </c>
      <c r="AN119" s="327">
        <f>AO119-7</f>
        <v>46530</v>
      </c>
      <c r="AO119" s="327">
        <v>46537</v>
      </c>
      <c r="AP119" s="327" t="s">
        <v>141</v>
      </c>
      <c r="AQ119" s="311">
        <f>AM119-AL119</f>
        <v>40</v>
      </c>
      <c r="AR119" s="329"/>
      <c r="AS119" s="330" t="s">
        <v>66</v>
      </c>
      <c r="AT119" s="331">
        <v>46537</v>
      </c>
    </row>
    <row r="120" spans="1:46" s="264" customFormat="1" ht="25.05" customHeight="1">
      <c r="A120" s="492"/>
      <c r="B120" s="337" t="str">
        <f>B117</f>
        <v>RFQ-INS-026</v>
      </c>
      <c r="C120" s="337" t="s">
        <v>154</v>
      </c>
      <c r="D120" s="532"/>
      <c r="E120" s="544"/>
      <c r="F120" s="579"/>
      <c r="G120" s="340"/>
      <c r="H120" s="339"/>
      <c r="I120" s="340" t="s">
        <v>139</v>
      </c>
      <c r="J120" s="337" t="s">
        <v>71</v>
      </c>
      <c r="K120" s="308">
        <v>2</v>
      </c>
      <c r="L120" s="337" t="s">
        <v>7</v>
      </c>
      <c r="M120" s="341" t="s">
        <v>67</v>
      </c>
      <c r="N120" s="343"/>
      <c r="O120" s="343">
        <v>46189</v>
      </c>
      <c r="P120" s="343">
        <v>46203</v>
      </c>
      <c r="Q120" s="343">
        <v>46203</v>
      </c>
      <c r="R120" s="343">
        <v>46203</v>
      </c>
      <c r="S120" s="343">
        <v>46203</v>
      </c>
      <c r="T120" s="343"/>
      <c r="U120" s="343"/>
      <c r="V120" s="343"/>
      <c r="W120" s="340">
        <f>W117-W119</f>
        <v>0</v>
      </c>
      <c r="X120" s="343"/>
      <c r="Y120" s="343"/>
      <c r="Z120" s="343"/>
      <c r="AA120" s="343"/>
      <c r="AB120" s="343"/>
      <c r="AC120" s="343"/>
      <c r="AD120" s="343"/>
      <c r="AE120" s="343"/>
      <c r="AF120" s="343"/>
      <c r="AG120" s="343"/>
      <c r="AH120" s="343"/>
      <c r="AI120" s="343"/>
      <c r="AJ120" s="353"/>
      <c r="AK120" s="354"/>
      <c r="AL120" s="343"/>
      <c r="AM120" s="355"/>
      <c r="AN120" s="355"/>
      <c r="AO120" s="355"/>
      <c r="AP120" s="355"/>
      <c r="AQ120" s="340"/>
      <c r="AR120" s="356"/>
      <c r="AS120" s="357"/>
      <c r="AT120" s="356"/>
    </row>
    <row r="121" spans="1:46" s="264" customFormat="1" ht="25.05" customHeight="1">
      <c r="A121" s="493">
        <f t="shared" ref="A121" si="17">A117+1</f>
        <v>27</v>
      </c>
      <c r="B121" s="308" t="s">
        <v>156</v>
      </c>
      <c r="C121" s="308" t="s">
        <v>157</v>
      </c>
      <c r="D121" s="415"/>
      <c r="E121" s="541">
        <v>20.714285714285701</v>
      </c>
      <c r="F121" s="415"/>
      <c r="G121" s="311"/>
      <c r="H121" s="310"/>
      <c r="I121" s="311" t="s">
        <v>139</v>
      </c>
      <c r="J121" s="308" t="s">
        <v>71</v>
      </c>
      <c r="K121" s="312">
        <f>K124</f>
        <v>3</v>
      </c>
      <c r="L121" s="308" t="s">
        <v>8</v>
      </c>
      <c r="M121" s="313" t="s">
        <v>61</v>
      </c>
      <c r="N121" s="364">
        <f>WORKDAY.INTL(O121,-INDEX(O$12:O$15,MATCH($L121,$L$12:$L$15,0)),1,IF(N$18="China",'China Holidays'!$A$2:$A$82,'Thai Holidays'!$A$2:$A$63))</f>
        <v>46196</v>
      </c>
      <c r="O121" s="350">
        <v>46199</v>
      </c>
      <c r="P121" s="350">
        <v>46206</v>
      </c>
      <c r="Q121" s="350">
        <v>46209</v>
      </c>
      <c r="R121" s="350">
        <v>46216</v>
      </c>
      <c r="S121" s="350">
        <f>R121+1</f>
        <v>46217</v>
      </c>
      <c r="T121" s="350">
        <v>46230</v>
      </c>
      <c r="U121" s="350">
        <v>46254</v>
      </c>
      <c r="V121" s="350">
        <v>46259</v>
      </c>
      <c r="W121" s="350">
        <v>46273</v>
      </c>
      <c r="X121" s="350">
        <v>46275</v>
      </c>
      <c r="Y121" s="350">
        <v>46282</v>
      </c>
      <c r="Z121" s="350">
        <v>46311</v>
      </c>
      <c r="AA121" s="350">
        <v>46328</v>
      </c>
      <c r="AB121" s="350">
        <v>46340</v>
      </c>
      <c r="AC121" s="350">
        <v>46340</v>
      </c>
      <c r="AD121" s="350">
        <v>46342</v>
      </c>
      <c r="AE121" s="350">
        <v>46397</v>
      </c>
      <c r="AF121" s="350">
        <v>46411</v>
      </c>
      <c r="AG121" s="350">
        <v>46418</v>
      </c>
      <c r="AH121" s="350">
        <v>46432</v>
      </c>
      <c r="AI121" s="350">
        <v>46448</v>
      </c>
      <c r="AJ121" s="316">
        <v>20.714285714285701</v>
      </c>
      <c r="AK121" s="351"/>
      <c r="AL121" s="350" t="str">
        <f>TEXT(AL123,"d-mmm-yy")</f>
        <v>31-Jan-27</v>
      </c>
      <c r="AM121" s="327"/>
      <c r="AN121" s="327"/>
      <c r="AO121" s="327"/>
      <c r="AP121" s="327"/>
      <c r="AQ121" s="311"/>
      <c r="AR121" s="329"/>
      <c r="AS121" s="330" t="s">
        <v>62</v>
      </c>
      <c r="AT121" s="331">
        <v>46485</v>
      </c>
    </row>
    <row r="122" spans="1:46" s="264" customFormat="1" ht="25.05" customHeight="1">
      <c r="A122" s="491"/>
      <c r="B122" s="308" t="str">
        <f>B121</f>
        <v>RFQ-INS-027</v>
      </c>
      <c r="C122" s="308" t="s">
        <v>157</v>
      </c>
      <c r="D122" s="414"/>
      <c r="E122" s="542"/>
      <c r="F122" s="416"/>
      <c r="G122" s="311"/>
      <c r="H122" s="310"/>
      <c r="I122" s="311" t="s">
        <v>139</v>
      </c>
      <c r="J122" s="308"/>
      <c r="K122" s="322"/>
      <c r="L122" s="308"/>
      <c r="M122" s="323" t="s">
        <v>63</v>
      </c>
      <c r="N122" s="367"/>
      <c r="O122" s="325">
        <v>46199</v>
      </c>
      <c r="P122" s="325">
        <v>46206</v>
      </c>
      <c r="Q122" s="325">
        <v>46209</v>
      </c>
      <c r="R122" s="325">
        <v>46216</v>
      </c>
      <c r="S122" s="325">
        <v>46217</v>
      </c>
      <c r="T122" s="325">
        <v>46230</v>
      </c>
      <c r="U122" s="325">
        <v>46254</v>
      </c>
      <c r="V122" s="325">
        <v>46259</v>
      </c>
      <c r="W122" s="325">
        <v>46273</v>
      </c>
      <c r="X122" s="325">
        <v>46275</v>
      </c>
      <c r="Y122" s="325">
        <v>46282</v>
      </c>
      <c r="Z122" s="325">
        <v>46311</v>
      </c>
      <c r="AA122" s="325">
        <v>46328</v>
      </c>
      <c r="AB122" s="325">
        <v>46340</v>
      </c>
      <c r="AC122" s="325">
        <v>46340</v>
      </c>
      <c r="AD122" s="325">
        <v>46342</v>
      </c>
      <c r="AE122" s="325">
        <v>46397</v>
      </c>
      <c r="AF122" s="325">
        <v>46411</v>
      </c>
      <c r="AG122" s="325">
        <v>46418</v>
      </c>
      <c r="AH122" s="325">
        <v>46432</v>
      </c>
      <c r="AI122" s="325">
        <v>46448</v>
      </c>
      <c r="AJ122" s="365"/>
      <c r="AK122" s="326"/>
      <c r="AL122" s="325">
        <f>W122+AK123</f>
        <v>46418</v>
      </c>
      <c r="AM122" s="327"/>
      <c r="AN122" s="327"/>
      <c r="AO122" s="327"/>
      <c r="AP122" s="327"/>
      <c r="AQ122" s="328">
        <f>AM123-AL122</f>
        <v>60</v>
      </c>
      <c r="AR122" s="329"/>
      <c r="AS122" s="330"/>
      <c r="AT122" s="331"/>
    </row>
    <row r="123" spans="1:46" s="264" customFormat="1" ht="25.05" customHeight="1">
      <c r="A123" s="491"/>
      <c r="B123" s="308" t="str">
        <f>B121</f>
        <v>RFQ-INS-027</v>
      </c>
      <c r="C123" s="308" t="s">
        <v>157</v>
      </c>
      <c r="D123" s="417"/>
      <c r="E123" s="542"/>
      <c r="F123" s="417"/>
      <c r="G123" s="311">
        <v>60</v>
      </c>
      <c r="H123" s="310" t="s">
        <v>158</v>
      </c>
      <c r="I123" s="311" t="s">
        <v>139</v>
      </c>
      <c r="J123" s="308" t="s">
        <v>71</v>
      </c>
      <c r="K123" s="308">
        <f>K124</f>
        <v>3</v>
      </c>
      <c r="L123" s="308" t="s">
        <v>8</v>
      </c>
      <c r="M123" s="313" t="s">
        <v>65</v>
      </c>
      <c r="N123" s="350">
        <f>WORKDAY.INTL(O123,-INDEX(O$12:O$15,MATCH($L123,$L$12:$L$15,0)),1,IF(N$18="China",'China Holidays'!$A$2:$A$82,'Thai Holidays'!$A$2:$A$63))</f>
        <v>46190</v>
      </c>
      <c r="O123" s="350">
        <v>46196</v>
      </c>
      <c r="P123" s="350">
        <f>WORKDAY.INTL(O123,INDEX(P$8:P$11,MATCH($L123,$L$8:$L$11,0)),1,IF(P$18="China",'China Holidays'!$A$2:$A$82,'Thai Holidays'!$A$2:$A$63))</f>
        <v>46210</v>
      </c>
      <c r="Q123" s="350">
        <f>WORKDAY.INTL(P123,INDEX(Q$8:Q$11,MATCH($L123,$L$8:$L$11,0)),1,IF(Q$18="China",'China Holidays'!$A$2:$A$82,'Thai Holidays'!$A$2:$A$63))</f>
        <v>46210</v>
      </c>
      <c r="R123" s="350">
        <f>WORKDAY.INTL(Q123,INDEX(R$8:R$11,MATCH($L123,$L$8:$L$11,0)),1,IF(R$18="China",'China Holidays'!$A$2:$A$82,'Thai Holidays'!$A$2:$A$63))</f>
        <v>46210</v>
      </c>
      <c r="S123" s="350">
        <f>WORKDAY.INTL(R123,INDEX(S$8:S$11,MATCH($L123,$L$8:$L$11,0)),1,IF(S$18="China",'China Holidays'!$A$2:$A$82,'Thai Holidays'!$A$2:$A$63))</f>
        <v>46210</v>
      </c>
      <c r="T123" s="350">
        <f>WORKDAY.INTL(S123,INDEX(T$8:T$11,MATCH($L123,$L$8:$L$11,0)),1,IF(T$18="China",'China Holidays'!$A$2:$A$82,'Thai Holidays'!$A$2:$A$63))</f>
        <v>46224</v>
      </c>
      <c r="U123" s="350">
        <f>WORKDAY.INTL(T123,INDEX(U$8:U$11,MATCH($L123,$L$8:$L$11,0)),1,IF(U$18="China",'China Holidays'!$A$2:$A$82,'Thai Holidays'!$A$2:$A$63))</f>
        <v>46245</v>
      </c>
      <c r="V123" s="350">
        <f>WORKDAY.INTL(U123,INDEX(V$8:V$11,MATCH($L123,$L$8:$L$11,0)),1,IF(V$18="China",'China Holidays'!$A$2:$A$82,'Thai Holidays'!$A$2:$A$63))</f>
        <v>46260</v>
      </c>
      <c r="W123" s="350">
        <f>WORKDAY.INTL(V123,INDEX(W$8:W$11,MATCH($L123,$L$8:$L$11,0)),1,IF(W$18="China",'China Holidays'!$A$2:$A$82,'Thai Holidays'!$A$2:$A$63))</f>
        <v>46273</v>
      </c>
      <c r="X123" s="350">
        <f>WORKDAY.INTL(W123,INDEX(X$12:X$15,MATCH($L123,$L$12:$L$15,0)),1,IF(X$18="China",'China Holidays'!$A$2:$A$82,'Thai Holidays'!$A$2:$A$63))</f>
        <v>46275</v>
      </c>
      <c r="Y123" s="350">
        <f>WORKDAY.INTL(X123,INDEX(Y$12:Y$15,MATCH($L123,$L$12:$L$15,0)),1,IF(Y$18="China",'China Holidays'!$A$2:$A$82,'Thai Holidays'!$A$2:$A$63))</f>
        <v>46282</v>
      </c>
      <c r="Z123" s="350">
        <f>WORKDAY.INTL(Y123,INDEX(Z$12:Z$15,MATCH($L123,$L$12:$L$15,0)),1,IF(Z$18="China",'China Holidays'!$A$2:$A$82,'Thai Holidays'!$A$2:$A$63))</f>
        <v>46311</v>
      </c>
      <c r="AA123" s="350">
        <f>WORKDAY.INTL(Z123,INDEX(AA$12:AA$15,MATCH($L123,$L$12:$L$15,0)),1,IF(AA$18="China",'China Holidays'!$A$2:$A$82,'Thai Holidays'!$A$2:$A$63))</f>
        <v>46328</v>
      </c>
      <c r="AB123" s="350">
        <f>AA123+15</f>
        <v>46343</v>
      </c>
      <c r="AC123" s="350">
        <f>AB123</f>
        <v>46343</v>
      </c>
      <c r="AD123" s="350">
        <f>AC123+2</f>
        <v>46345</v>
      </c>
      <c r="AE123" s="350">
        <f>AF123-14</f>
        <v>46397</v>
      </c>
      <c r="AF123" s="350">
        <f>AG123-7</f>
        <v>46411</v>
      </c>
      <c r="AG123" s="350">
        <f>AL123</f>
        <v>46418</v>
      </c>
      <c r="AH123" s="350">
        <f>AL123+14</f>
        <v>46432</v>
      </c>
      <c r="AI123" s="350">
        <f>AL123+30</f>
        <v>46448</v>
      </c>
      <c r="AJ123" s="362"/>
      <c r="AK123" s="326">
        <f>AJ121*7</f>
        <v>144.99999999999991</v>
      </c>
      <c r="AL123" s="350">
        <f>W123+AK123</f>
        <v>46418</v>
      </c>
      <c r="AM123" s="327">
        <f>AT121-7</f>
        <v>46478</v>
      </c>
      <c r="AN123" s="327">
        <f>AO123-7</f>
        <v>46498</v>
      </c>
      <c r="AO123" s="327">
        <v>46505</v>
      </c>
      <c r="AP123" s="327" t="s">
        <v>141</v>
      </c>
      <c r="AQ123" s="311">
        <f>AM123-AL123</f>
        <v>60</v>
      </c>
      <c r="AR123" s="329"/>
      <c r="AS123" s="330" t="s">
        <v>66</v>
      </c>
      <c r="AT123" s="331">
        <v>46485</v>
      </c>
    </row>
    <row r="124" spans="1:46" s="264" customFormat="1" ht="25.05" customHeight="1">
      <c r="A124" s="492"/>
      <c r="B124" s="337" t="str">
        <f>B121</f>
        <v>RFQ-INS-027</v>
      </c>
      <c r="C124" s="337" t="s">
        <v>157</v>
      </c>
      <c r="D124" s="418"/>
      <c r="E124" s="544"/>
      <c r="F124" s="418"/>
      <c r="G124" s="340"/>
      <c r="H124" s="339"/>
      <c r="I124" s="340" t="s">
        <v>139</v>
      </c>
      <c r="J124" s="337" t="s">
        <v>71</v>
      </c>
      <c r="K124" s="308">
        <v>3</v>
      </c>
      <c r="L124" s="337" t="s">
        <v>8</v>
      </c>
      <c r="M124" s="341" t="s">
        <v>67</v>
      </c>
      <c r="N124" s="343"/>
      <c r="O124" s="343">
        <v>46198</v>
      </c>
      <c r="P124" s="343"/>
      <c r="Q124" s="343"/>
      <c r="R124" s="343"/>
      <c r="S124" s="343"/>
      <c r="T124" s="343"/>
      <c r="U124" s="343"/>
      <c r="V124" s="343"/>
      <c r="W124" s="340">
        <f>W121-W123</f>
        <v>0</v>
      </c>
      <c r="X124" s="343"/>
      <c r="Y124" s="343"/>
      <c r="Z124" s="343"/>
      <c r="AA124" s="343"/>
      <c r="AB124" s="343"/>
      <c r="AC124" s="343"/>
      <c r="AD124" s="343"/>
      <c r="AE124" s="343"/>
      <c r="AF124" s="343"/>
      <c r="AG124" s="343"/>
      <c r="AH124" s="343"/>
      <c r="AI124" s="343"/>
      <c r="AJ124" s="353"/>
      <c r="AK124" s="354"/>
      <c r="AL124" s="343"/>
      <c r="AM124" s="355"/>
      <c r="AN124" s="355"/>
      <c r="AO124" s="355"/>
      <c r="AP124" s="355"/>
      <c r="AQ124" s="340"/>
      <c r="AR124" s="356"/>
      <c r="AS124" s="357"/>
      <c r="AT124" s="356"/>
    </row>
    <row r="125" spans="1:46" s="264" customFormat="1" ht="25.05" customHeight="1">
      <c r="A125" s="493">
        <f t="shared" ref="A125" si="18">A121+1</f>
        <v>28</v>
      </c>
      <c r="B125" s="308" t="s">
        <v>159</v>
      </c>
      <c r="C125" s="308" t="s">
        <v>160</v>
      </c>
      <c r="D125" s="517">
        <v>36</v>
      </c>
      <c r="E125" s="541">
        <v>36</v>
      </c>
      <c r="F125" s="576"/>
      <c r="G125" s="311"/>
      <c r="H125" s="310"/>
      <c r="I125" s="311" t="s">
        <v>139</v>
      </c>
      <c r="J125" s="308" t="s">
        <v>60</v>
      </c>
      <c r="K125" s="312">
        <f>K128</f>
        <v>2</v>
      </c>
      <c r="L125" s="308" t="s">
        <v>6</v>
      </c>
      <c r="M125" s="313" t="s">
        <v>61</v>
      </c>
      <c r="N125" s="364">
        <f>WORKDAY.INTL(O125,-INDEX(O$12:O$15,MATCH($L125,$L$12:$L$15,0)),1,IF(N$18="China",'China Holidays'!$A$2:$A$82,'Thai Holidays'!$A$2:$A$63))</f>
        <v>46135</v>
      </c>
      <c r="O125" s="350">
        <v>46136</v>
      </c>
      <c r="P125" s="350">
        <v>46147</v>
      </c>
      <c r="Q125" s="350">
        <v>46148</v>
      </c>
      <c r="R125" s="350">
        <v>46155</v>
      </c>
      <c r="S125" s="350">
        <f>R125+1</f>
        <v>46156</v>
      </c>
      <c r="T125" s="350">
        <v>46169</v>
      </c>
      <c r="U125" s="350">
        <v>46199</v>
      </c>
      <c r="V125" s="350">
        <v>46204</v>
      </c>
      <c r="W125" s="350">
        <v>46218</v>
      </c>
      <c r="X125" s="350">
        <v>46220</v>
      </c>
      <c r="Y125" s="350">
        <v>46227</v>
      </c>
      <c r="Z125" s="350">
        <v>46255</v>
      </c>
      <c r="AA125" s="350">
        <v>46269</v>
      </c>
      <c r="AB125" s="350">
        <v>46309</v>
      </c>
      <c r="AC125" s="350">
        <v>46309</v>
      </c>
      <c r="AD125" s="350">
        <v>46311</v>
      </c>
      <c r="AE125" s="350">
        <v>46433</v>
      </c>
      <c r="AF125" s="350">
        <v>46463</v>
      </c>
      <c r="AG125" s="350">
        <v>46470</v>
      </c>
      <c r="AH125" s="350">
        <v>46484</v>
      </c>
      <c r="AI125" s="350">
        <v>46500</v>
      </c>
      <c r="AJ125" s="316">
        <v>36</v>
      </c>
      <c r="AK125" s="351"/>
      <c r="AL125" s="350" t="str">
        <f>TEXT(AL127,"d-mmm-yy")</f>
        <v>22-Mar-27</v>
      </c>
      <c r="AM125" s="327"/>
      <c r="AN125" s="327"/>
      <c r="AO125" s="327"/>
      <c r="AP125" s="327"/>
      <c r="AQ125" s="311"/>
      <c r="AR125" s="329"/>
      <c r="AS125" s="330" t="s">
        <v>62</v>
      </c>
      <c r="AT125" s="331">
        <v>46485</v>
      </c>
    </row>
    <row r="126" spans="1:46" s="264" customFormat="1" ht="25.05" customHeight="1">
      <c r="A126" s="491"/>
      <c r="B126" s="308" t="str">
        <f>B125</f>
        <v>RFQ-INS-028</v>
      </c>
      <c r="C126" s="308" t="s">
        <v>160</v>
      </c>
      <c r="D126" s="539"/>
      <c r="E126" s="542"/>
      <c r="F126" s="577"/>
      <c r="G126" s="311"/>
      <c r="H126" s="310"/>
      <c r="I126" s="311" t="s">
        <v>139</v>
      </c>
      <c r="J126" s="308"/>
      <c r="K126" s="322"/>
      <c r="L126" s="308"/>
      <c r="M126" s="323" t="s">
        <v>63</v>
      </c>
      <c r="N126" s="367"/>
      <c r="O126" s="325">
        <v>46136</v>
      </c>
      <c r="P126" s="325">
        <v>46147</v>
      </c>
      <c r="Q126" s="325">
        <v>46148</v>
      </c>
      <c r="R126" s="325">
        <v>46155</v>
      </c>
      <c r="S126" s="325">
        <v>46156</v>
      </c>
      <c r="T126" s="325">
        <v>46169</v>
      </c>
      <c r="U126" s="325">
        <v>46199</v>
      </c>
      <c r="V126" s="325">
        <v>46204</v>
      </c>
      <c r="W126" s="325">
        <v>46218</v>
      </c>
      <c r="X126" s="325">
        <v>46220</v>
      </c>
      <c r="Y126" s="325">
        <v>46227</v>
      </c>
      <c r="Z126" s="325">
        <v>46255</v>
      </c>
      <c r="AA126" s="325">
        <v>46269</v>
      </c>
      <c r="AB126" s="325">
        <v>46309</v>
      </c>
      <c r="AC126" s="325">
        <v>46309</v>
      </c>
      <c r="AD126" s="325">
        <v>46311</v>
      </c>
      <c r="AE126" s="325">
        <v>46433</v>
      </c>
      <c r="AF126" s="325">
        <v>46463</v>
      </c>
      <c r="AG126" s="325">
        <v>46470</v>
      </c>
      <c r="AH126" s="325">
        <v>46484</v>
      </c>
      <c r="AI126" s="325">
        <v>46500</v>
      </c>
      <c r="AJ126" s="365"/>
      <c r="AK126" s="326"/>
      <c r="AL126" s="325">
        <f>W126+AK127</f>
        <v>46470</v>
      </c>
      <c r="AM126" s="327"/>
      <c r="AN126" s="327"/>
      <c r="AO126" s="327"/>
      <c r="AP126" s="327"/>
      <c r="AQ126" s="328">
        <f>AM127-AL126</f>
        <v>8</v>
      </c>
      <c r="AR126" s="329"/>
      <c r="AS126" s="330"/>
      <c r="AT126" s="331"/>
    </row>
    <row r="127" spans="1:46" s="264" customFormat="1" ht="25.05" customHeight="1">
      <c r="A127" s="491"/>
      <c r="B127" s="308" t="str">
        <f>B125</f>
        <v>RFQ-INS-028</v>
      </c>
      <c r="C127" s="308" t="s">
        <v>160</v>
      </c>
      <c r="D127" s="531"/>
      <c r="E127" s="542"/>
      <c r="F127" s="578"/>
      <c r="G127" s="311">
        <v>10</v>
      </c>
      <c r="H127" s="310" t="s">
        <v>161</v>
      </c>
      <c r="I127" s="311" t="s">
        <v>139</v>
      </c>
      <c r="J127" s="308" t="s">
        <v>60</v>
      </c>
      <c r="K127" s="308">
        <f>K128</f>
        <v>2</v>
      </c>
      <c r="L127" s="308" t="s">
        <v>6</v>
      </c>
      <c r="M127" s="313" t="s">
        <v>65</v>
      </c>
      <c r="N127" s="350"/>
      <c r="O127" s="350">
        <v>46140</v>
      </c>
      <c r="P127" s="350">
        <f>WORKDAY.INTL(O127,INDEX(P$8:P$11,MATCH($L127,$L$8:$L$11,0)),1,IF(P$18="China",'China Holidays'!$A$2:$A$82,'Thai Holidays'!$A$2:$A$63))</f>
        <v>46156</v>
      </c>
      <c r="Q127" s="350">
        <f>WORKDAY.INTL(P127,INDEX(Q$8:Q$11,MATCH($L127,$L$8:$L$11,0)),1,IF(Q$18="China",'China Holidays'!$A$2:$A$82,'Thai Holidays'!$A$2:$A$63))</f>
        <v>46156</v>
      </c>
      <c r="R127" s="350">
        <f>WORKDAY.INTL(Q127,INDEX(R$8:R$11,MATCH($L127,$L$8:$L$11,0)),1,IF(R$18="China",'China Holidays'!$A$2:$A$82,'Thai Holidays'!$A$2:$A$63))</f>
        <v>46156</v>
      </c>
      <c r="S127" s="350">
        <f>WORKDAY.INTL(R127,INDEX(S$8:S$11,MATCH($L127,$L$8:$L$11,0)),1,IF(S$18="China",'China Holidays'!$A$2:$A$82,'Thai Holidays'!$A$2:$A$63))</f>
        <v>46156</v>
      </c>
      <c r="T127" s="350">
        <v>46162</v>
      </c>
      <c r="U127" s="350">
        <f>WORKDAY.INTL(T127,INDEX(U$8:U$11,MATCH($L127,$L$8:$L$11,0)),1,IF(U$18="China",'China Holidays'!$A$2:$A$82,'Thai Holidays'!$A$2:$A$63))</f>
        <v>46189</v>
      </c>
      <c r="V127" s="350">
        <f>WORKDAY.INTL(U127,INDEX(V$8:V$11,MATCH($L127,$L$8:$L$11,0)),1,IF(V$18="China",'China Holidays'!$A$2:$A$82,'Thai Holidays'!$A$2:$A$63))</f>
        <v>46203</v>
      </c>
      <c r="W127" s="350">
        <f>WORKDAY.INTL(V127,INDEX(W$8:W$11,MATCH($L127,$L$8:$L$11,0)),1,IF(W$18="China",'China Holidays'!$A$2:$A$82,'Thai Holidays'!$A$2:$A$63))</f>
        <v>46216</v>
      </c>
      <c r="X127" s="350">
        <f>WORKDAY.INTL(W127,INDEX(X$12:X$15,MATCH($L127,$L$12:$L$15,0)),1,IF(X$18="China",'China Holidays'!$A$2:$A$82,'Thai Holidays'!$A$2:$A$63))</f>
        <v>46218</v>
      </c>
      <c r="Y127" s="350">
        <f>WORKDAY.INTL(X127,INDEX(Y$12:Y$15,MATCH($L127,$L$12:$L$15,0)),1,IF(Y$18="China",'China Holidays'!$A$2:$A$82,'Thai Holidays'!$A$2:$A$63))</f>
        <v>46225</v>
      </c>
      <c r="Z127" s="350">
        <f>WORKDAY.INTL(Y127,INDEX(Z$12:Z$15,MATCH($L127,$L$12:$L$15,0)),1,IF(Z$18="China",'China Holidays'!$A$2:$A$82,'Thai Holidays'!$A$2:$A$63))</f>
        <v>46253</v>
      </c>
      <c r="AA127" s="350">
        <f>WORKDAY.INTL(Z127,INDEX(AA$12:AA$15,MATCH($L127,$L$12:$L$15,0)),1,IF(AA$18="China",'China Holidays'!$A$2:$A$82,'Thai Holidays'!$A$2:$A$63))</f>
        <v>46267</v>
      </c>
      <c r="AB127" s="350">
        <f>AA127+40</f>
        <v>46307</v>
      </c>
      <c r="AC127" s="350">
        <f>AB127</f>
        <v>46307</v>
      </c>
      <c r="AD127" s="350">
        <f>AC127+2</f>
        <v>46309</v>
      </c>
      <c r="AE127" s="350">
        <f>AF127-30</f>
        <v>46431</v>
      </c>
      <c r="AF127" s="350">
        <f>AG127-7</f>
        <v>46461</v>
      </c>
      <c r="AG127" s="350">
        <f>AL127</f>
        <v>46468</v>
      </c>
      <c r="AH127" s="350">
        <f>AL127+14</f>
        <v>46482</v>
      </c>
      <c r="AI127" s="350">
        <f>AL127+30</f>
        <v>46498</v>
      </c>
      <c r="AJ127" s="362"/>
      <c r="AK127" s="326">
        <f>AJ125*7</f>
        <v>252</v>
      </c>
      <c r="AL127" s="350">
        <f>W127+AK127</f>
        <v>46468</v>
      </c>
      <c r="AM127" s="327">
        <f>AT125-7</f>
        <v>46478</v>
      </c>
      <c r="AN127" s="327">
        <f>AO127-7</f>
        <v>46498</v>
      </c>
      <c r="AO127" s="327">
        <v>46505</v>
      </c>
      <c r="AP127" s="327" t="s">
        <v>141</v>
      </c>
      <c r="AQ127" s="311">
        <f>AM127-AL127</f>
        <v>10</v>
      </c>
      <c r="AR127" s="329"/>
      <c r="AS127" s="330" t="s">
        <v>66</v>
      </c>
      <c r="AT127" s="331">
        <v>46485</v>
      </c>
    </row>
    <row r="128" spans="1:46" s="264" customFormat="1" ht="25.05" customHeight="1">
      <c r="A128" s="492"/>
      <c r="B128" s="337" t="str">
        <f>B125</f>
        <v>RFQ-INS-028</v>
      </c>
      <c r="C128" s="337" t="s">
        <v>160</v>
      </c>
      <c r="D128" s="532"/>
      <c r="E128" s="544"/>
      <c r="F128" s="579"/>
      <c r="G128" s="340"/>
      <c r="H128" s="339"/>
      <c r="I128" s="340" t="s">
        <v>139</v>
      </c>
      <c r="J128" s="337" t="s">
        <v>60</v>
      </c>
      <c r="K128" s="308">
        <v>2</v>
      </c>
      <c r="L128" s="337" t="s">
        <v>6</v>
      </c>
      <c r="M128" s="341" t="s">
        <v>67</v>
      </c>
      <c r="N128" s="343">
        <v>46133</v>
      </c>
      <c r="O128" s="343">
        <v>46140</v>
      </c>
      <c r="P128" s="343">
        <v>46157</v>
      </c>
      <c r="Q128" s="343">
        <v>46157</v>
      </c>
      <c r="R128" s="343">
        <v>46157</v>
      </c>
      <c r="S128" s="343">
        <v>46157</v>
      </c>
      <c r="T128" s="343">
        <v>46162</v>
      </c>
      <c r="U128" s="343">
        <v>46206</v>
      </c>
      <c r="V128" s="343"/>
      <c r="W128" s="340">
        <f>W125-W127</f>
        <v>2</v>
      </c>
      <c r="X128" s="343"/>
      <c r="Y128" s="343"/>
      <c r="Z128" s="343"/>
      <c r="AA128" s="343"/>
      <c r="AB128" s="343"/>
      <c r="AC128" s="343"/>
      <c r="AD128" s="343"/>
      <c r="AE128" s="343"/>
      <c r="AF128" s="343"/>
      <c r="AG128" s="343"/>
      <c r="AH128" s="343"/>
      <c r="AI128" s="343"/>
      <c r="AJ128" s="353"/>
      <c r="AK128" s="354"/>
      <c r="AL128" s="343"/>
      <c r="AM128" s="355"/>
      <c r="AN128" s="355"/>
      <c r="AO128" s="355"/>
      <c r="AP128" s="355"/>
      <c r="AQ128" s="340"/>
      <c r="AR128" s="356"/>
      <c r="AS128" s="357"/>
      <c r="AT128" s="356"/>
    </row>
    <row r="129" spans="1:46" s="264" customFormat="1" ht="25.05" customHeight="1">
      <c r="A129" s="493">
        <f t="shared" ref="A129" si="19">A125+1</f>
        <v>29</v>
      </c>
      <c r="B129" s="308" t="s">
        <v>162</v>
      </c>
      <c r="C129" s="308" t="s">
        <v>163</v>
      </c>
      <c r="D129" s="419"/>
      <c r="E129" s="541">
        <v>18</v>
      </c>
      <c r="F129" s="419"/>
      <c r="G129" s="311"/>
      <c r="H129" s="310"/>
      <c r="I129" s="311" t="s">
        <v>139</v>
      </c>
      <c r="J129" s="308" t="s">
        <v>71</v>
      </c>
      <c r="K129" s="312">
        <f>K132</f>
        <v>4</v>
      </c>
      <c r="L129" s="308" t="s">
        <v>8</v>
      </c>
      <c r="M129" s="313" t="s">
        <v>61</v>
      </c>
      <c r="N129" s="364">
        <f>WORKDAY.INTL(O129,-INDEX(O$12:O$15,MATCH($L129,$L$12:$L$15,0)),1,IF(N$18="China",'China Holidays'!$A$2:$A$82,'Thai Holidays'!$A$2:$A$63))</f>
        <v>46234</v>
      </c>
      <c r="O129" s="350">
        <v>46239</v>
      </c>
      <c r="P129" s="350">
        <v>46247</v>
      </c>
      <c r="Q129" s="350">
        <v>46248</v>
      </c>
      <c r="R129" s="350">
        <v>46255</v>
      </c>
      <c r="S129" s="350">
        <f>R129+1</f>
        <v>46256</v>
      </c>
      <c r="T129" s="350">
        <v>46269</v>
      </c>
      <c r="U129" s="350">
        <v>46290</v>
      </c>
      <c r="V129" s="350">
        <v>46295</v>
      </c>
      <c r="W129" s="350">
        <v>46316</v>
      </c>
      <c r="X129" s="350">
        <v>46318</v>
      </c>
      <c r="Y129" s="350">
        <v>46325</v>
      </c>
      <c r="Z129" s="350">
        <v>46346</v>
      </c>
      <c r="AA129" s="350">
        <v>46360</v>
      </c>
      <c r="AB129" s="350">
        <v>46375</v>
      </c>
      <c r="AC129" s="350">
        <v>46375</v>
      </c>
      <c r="AD129" s="350">
        <v>46377</v>
      </c>
      <c r="AE129" s="350">
        <v>46421</v>
      </c>
      <c r="AF129" s="350">
        <v>46435</v>
      </c>
      <c r="AG129" s="350">
        <v>46442</v>
      </c>
      <c r="AH129" s="350">
        <v>46456</v>
      </c>
      <c r="AI129" s="350">
        <v>46472</v>
      </c>
      <c r="AJ129" s="316">
        <v>18</v>
      </c>
      <c r="AK129" s="351"/>
      <c r="AL129" s="350" t="str">
        <f>TEXT(AL131,"d-mmm-yy")</f>
        <v>23-Feb-27</v>
      </c>
      <c r="AM129" s="327"/>
      <c r="AN129" s="327"/>
      <c r="AO129" s="327"/>
      <c r="AP129" s="327"/>
      <c r="AQ129" s="311"/>
      <c r="AR129" s="329"/>
      <c r="AS129" s="330" t="s">
        <v>62</v>
      </c>
      <c r="AT129" s="331">
        <v>46485</v>
      </c>
    </row>
    <row r="130" spans="1:46" s="264" customFormat="1" ht="25.05" customHeight="1">
      <c r="A130" s="491"/>
      <c r="B130" s="308" t="str">
        <f>B129</f>
        <v>RFQ-INS-029</v>
      </c>
      <c r="C130" s="308" t="s">
        <v>163</v>
      </c>
      <c r="D130" s="414"/>
      <c r="E130" s="542"/>
      <c r="F130" s="416"/>
      <c r="G130" s="311"/>
      <c r="H130" s="310"/>
      <c r="I130" s="311" t="s">
        <v>139</v>
      </c>
      <c r="J130" s="308"/>
      <c r="K130" s="322"/>
      <c r="L130" s="308"/>
      <c r="M130" s="323" t="s">
        <v>63</v>
      </c>
      <c r="N130" s="367"/>
      <c r="O130" s="325">
        <v>46239</v>
      </c>
      <c r="P130" s="325">
        <v>46247</v>
      </c>
      <c r="Q130" s="325">
        <v>46248</v>
      </c>
      <c r="R130" s="325">
        <v>46255</v>
      </c>
      <c r="S130" s="325">
        <v>46256</v>
      </c>
      <c r="T130" s="325">
        <v>46269</v>
      </c>
      <c r="U130" s="325">
        <v>46290</v>
      </c>
      <c r="V130" s="325">
        <v>46295</v>
      </c>
      <c r="W130" s="325">
        <v>46316</v>
      </c>
      <c r="X130" s="325">
        <v>46318</v>
      </c>
      <c r="Y130" s="325">
        <v>46325</v>
      </c>
      <c r="Z130" s="325">
        <v>46346</v>
      </c>
      <c r="AA130" s="325">
        <v>46360</v>
      </c>
      <c r="AB130" s="325">
        <v>46375</v>
      </c>
      <c r="AC130" s="325">
        <v>46375</v>
      </c>
      <c r="AD130" s="325">
        <v>46377</v>
      </c>
      <c r="AE130" s="325">
        <v>46421</v>
      </c>
      <c r="AF130" s="325">
        <v>46435</v>
      </c>
      <c r="AG130" s="325">
        <v>46442</v>
      </c>
      <c r="AH130" s="325">
        <v>46456</v>
      </c>
      <c r="AI130" s="325">
        <v>46472</v>
      </c>
      <c r="AJ130" s="365"/>
      <c r="AK130" s="326"/>
      <c r="AL130" s="325">
        <f>W130+AK131</f>
        <v>46442</v>
      </c>
      <c r="AM130" s="327"/>
      <c r="AN130" s="327"/>
      <c r="AO130" s="327"/>
      <c r="AP130" s="327"/>
      <c r="AQ130" s="328">
        <f>AM131-AL130</f>
        <v>36</v>
      </c>
      <c r="AR130" s="329"/>
      <c r="AS130" s="330"/>
      <c r="AT130" s="331"/>
    </row>
    <row r="131" spans="1:46" s="264" customFormat="1" ht="25.05" customHeight="1">
      <c r="A131" s="491"/>
      <c r="B131" s="308" t="str">
        <f>B129</f>
        <v>RFQ-INS-029</v>
      </c>
      <c r="C131" s="308" t="s">
        <v>163</v>
      </c>
      <c r="D131" s="360"/>
      <c r="E131" s="542"/>
      <c r="F131" s="360"/>
      <c r="G131" s="311">
        <v>37</v>
      </c>
      <c r="H131" s="310" t="s">
        <v>164</v>
      </c>
      <c r="I131" s="311" t="s">
        <v>139</v>
      </c>
      <c r="J131" s="308" t="s">
        <v>71</v>
      </c>
      <c r="K131" s="308">
        <f>K132</f>
        <v>4</v>
      </c>
      <c r="L131" s="308" t="s">
        <v>8</v>
      </c>
      <c r="M131" s="313" t="s">
        <v>65</v>
      </c>
      <c r="N131" s="350">
        <f>N129</f>
        <v>46234</v>
      </c>
      <c r="O131" s="350">
        <v>46239</v>
      </c>
      <c r="P131" s="350">
        <f>WORKDAY.INTL(O131,INDEX(P$8:P$11,MATCH($L131,$L$8:$L$11,0)),1,IF(P$18="China",'China Holidays'!$A$2:$A$82,'Thai Holidays'!$A$2:$A$63))</f>
        <v>46254</v>
      </c>
      <c r="Q131" s="350">
        <f>WORKDAY.INTL(P131,INDEX(Q$8:Q$11,MATCH($L131,$L$8:$L$11,0)),1,IF(Q$18="China",'China Holidays'!$A$2:$A$82,'Thai Holidays'!$A$2:$A$63))</f>
        <v>46254</v>
      </c>
      <c r="R131" s="350">
        <f>WORKDAY.INTL(Q131,INDEX(R$8:R$11,MATCH($L131,$L$8:$L$11,0)),1,IF(R$18="China",'China Holidays'!$A$2:$A$82,'Thai Holidays'!$A$2:$A$63))</f>
        <v>46254</v>
      </c>
      <c r="S131" s="350">
        <f>WORKDAY.INTL(R131,INDEX(S$8:S$11,MATCH($L131,$L$8:$L$11,0)),1,IF(S$18="China",'China Holidays'!$A$2:$A$82,'Thai Holidays'!$A$2:$A$63))</f>
        <v>46254</v>
      </c>
      <c r="T131" s="350">
        <f>WORKDAY.INTL(S131,INDEX(T$8:T$11,MATCH($L131,$L$8:$L$11,0)),1,IF(T$18="China",'China Holidays'!$A$2:$A$82,'Thai Holidays'!$A$2:$A$63))</f>
        <v>46268</v>
      </c>
      <c r="U131" s="350">
        <f>WORKDAY.INTL(T131,INDEX(U$8:U$11,MATCH($L131,$L$8:$L$11,0)),1,IF(U$18="China",'China Holidays'!$A$2:$A$82,'Thai Holidays'!$A$2:$A$63))</f>
        <v>46287</v>
      </c>
      <c r="V131" s="350">
        <f>WORKDAY.INTL(U131,INDEX(V$8:V$11,MATCH($L131,$L$8:$L$11,0)),1,IF(V$18="China",'China Holidays'!$A$2:$A$82,'Thai Holidays'!$A$2:$A$63))</f>
        <v>46301</v>
      </c>
      <c r="W131" s="350">
        <f>WORKDAY.INTL(V131,INDEX(W$8:W$11,MATCH($L131,$L$8:$L$11,0)),1,IF(W$18="China",'China Holidays'!$A$2:$A$82,'Thai Holidays'!$A$2:$A$63))</f>
        <v>46315</v>
      </c>
      <c r="X131" s="350">
        <f>WORKDAY.INTL(W131,INDEX(X$12:X$15,MATCH($L131,$L$12:$L$15,0)),1,IF(X$18="China",'China Holidays'!$A$2:$A$82,'Thai Holidays'!$A$2:$A$63))</f>
        <v>46317</v>
      </c>
      <c r="Y131" s="350">
        <f>WORKDAY.INTL(X131,INDEX(Y$12:Y$15,MATCH($L131,$L$12:$L$15,0)),1,IF(Y$18="China",'China Holidays'!$A$2:$A$82,'Thai Holidays'!$A$2:$A$63))</f>
        <v>46324</v>
      </c>
      <c r="Z131" s="350">
        <f>WORKDAY.INTL(Y131,INDEX(Z$12:Z$15,MATCH($L131,$L$12:$L$15,0)),1,IF(Z$18="China",'China Holidays'!$A$2:$A$82,'Thai Holidays'!$A$2:$A$63))</f>
        <v>46345</v>
      </c>
      <c r="AA131" s="350">
        <f>WORKDAY.INTL(Z131,INDEX(AA$12:AA$15,MATCH($L131,$L$12:$L$15,0)),1,IF(AA$18="China",'China Holidays'!$A$2:$A$82,'Thai Holidays'!$A$2:$A$63))</f>
        <v>46359</v>
      </c>
      <c r="AB131" s="350">
        <f>AA131+15</f>
        <v>46374</v>
      </c>
      <c r="AC131" s="350">
        <f>AB131</f>
        <v>46374</v>
      </c>
      <c r="AD131" s="350">
        <f>AC131+2</f>
        <v>46376</v>
      </c>
      <c r="AE131" s="350">
        <f>AF131-14</f>
        <v>46420</v>
      </c>
      <c r="AF131" s="350">
        <f>AG131-7</f>
        <v>46434</v>
      </c>
      <c r="AG131" s="350">
        <f>AL131</f>
        <v>46441</v>
      </c>
      <c r="AH131" s="350">
        <f>AL131+14</f>
        <v>46455</v>
      </c>
      <c r="AI131" s="350">
        <f>AL131+30</f>
        <v>46471</v>
      </c>
      <c r="AJ131" s="362"/>
      <c r="AK131" s="326">
        <f>AJ129*7</f>
        <v>126</v>
      </c>
      <c r="AL131" s="350">
        <f>W131+AK131</f>
        <v>46441</v>
      </c>
      <c r="AM131" s="327">
        <f>AT129-7</f>
        <v>46478</v>
      </c>
      <c r="AN131" s="327">
        <f>AO131-7</f>
        <v>46498</v>
      </c>
      <c r="AO131" s="327">
        <v>46505</v>
      </c>
      <c r="AP131" s="327" t="s">
        <v>141</v>
      </c>
      <c r="AQ131" s="311">
        <f>AM131-AL131</f>
        <v>37</v>
      </c>
      <c r="AR131" s="329"/>
      <c r="AS131" s="330" t="s">
        <v>66</v>
      </c>
      <c r="AT131" s="331">
        <v>46485</v>
      </c>
    </row>
    <row r="132" spans="1:46" s="264" customFormat="1" ht="25.05" customHeight="1">
      <c r="A132" s="492"/>
      <c r="B132" s="337" t="str">
        <f>B129</f>
        <v>RFQ-INS-029</v>
      </c>
      <c r="C132" s="337" t="s">
        <v>163</v>
      </c>
      <c r="D132" s="395"/>
      <c r="E132" s="544"/>
      <c r="F132" s="395"/>
      <c r="G132" s="340"/>
      <c r="H132" s="339"/>
      <c r="I132" s="340" t="s">
        <v>139</v>
      </c>
      <c r="J132" s="337" t="s">
        <v>71</v>
      </c>
      <c r="K132" s="308">
        <v>4</v>
      </c>
      <c r="L132" s="337" t="s">
        <v>8</v>
      </c>
      <c r="M132" s="341" t="s">
        <v>67</v>
      </c>
      <c r="N132" s="340"/>
      <c r="O132" s="343"/>
      <c r="P132" s="343"/>
      <c r="Q132" s="343"/>
      <c r="R132" s="343"/>
      <c r="S132" s="343"/>
      <c r="T132" s="343"/>
      <c r="U132" s="343"/>
      <c r="V132" s="343"/>
      <c r="W132" s="340">
        <f>W129-W131</f>
        <v>1</v>
      </c>
      <c r="X132" s="343"/>
      <c r="Y132" s="343"/>
      <c r="Z132" s="343"/>
      <c r="AA132" s="343"/>
      <c r="AB132" s="343"/>
      <c r="AC132" s="343"/>
      <c r="AD132" s="343"/>
      <c r="AE132" s="343"/>
      <c r="AF132" s="343"/>
      <c r="AG132" s="343"/>
      <c r="AH132" s="343"/>
      <c r="AI132" s="343"/>
      <c r="AJ132" s="353"/>
      <c r="AK132" s="354"/>
      <c r="AL132" s="343"/>
      <c r="AM132" s="355"/>
      <c r="AN132" s="355"/>
      <c r="AO132" s="355"/>
      <c r="AP132" s="355"/>
      <c r="AQ132" s="340"/>
      <c r="AR132" s="356"/>
      <c r="AS132" s="357"/>
      <c r="AT132" s="356"/>
    </row>
    <row r="133" spans="1:46" s="264" customFormat="1" ht="25.05" customHeight="1">
      <c r="A133" s="493">
        <f t="shared" ref="A133" si="20">A129+1</f>
        <v>30</v>
      </c>
      <c r="B133" s="308" t="s">
        <v>165</v>
      </c>
      <c r="C133" s="308" t="s">
        <v>166</v>
      </c>
      <c r="D133" s="419"/>
      <c r="E133" s="541">
        <v>18</v>
      </c>
      <c r="F133" s="419"/>
      <c r="G133" s="311"/>
      <c r="H133" s="310"/>
      <c r="I133" s="311" t="s">
        <v>139</v>
      </c>
      <c r="J133" s="308" t="s">
        <v>71</v>
      </c>
      <c r="K133" s="312">
        <f>K136</f>
        <v>4</v>
      </c>
      <c r="L133" s="308" t="s">
        <v>8</v>
      </c>
      <c r="M133" s="313" t="s">
        <v>61</v>
      </c>
      <c r="N133" s="364">
        <f>WORKDAY.INTL(O133,-INDEX(O$12:O$15,MATCH($L133,$L$12:$L$15,0)),1,IF(N$18="China",'China Holidays'!$A$2:$A$82,'Thai Holidays'!$A$2:$A$63))</f>
        <v>46234</v>
      </c>
      <c r="O133" s="350">
        <v>46239</v>
      </c>
      <c r="P133" s="350">
        <v>46247</v>
      </c>
      <c r="Q133" s="350">
        <v>46248</v>
      </c>
      <c r="R133" s="350">
        <v>46255</v>
      </c>
      <c r="S133" s="350">
        <f>R133+1</f>
        <v>46256</v>
      </c>
      <c r="T133" s="350">
        <v>46269</v>
      </c>
      <c r="U133" s="350">
        <v>46290</v>
      </c>
      <c r="V133" s="350">
        <v>46295</v>
      </c>
      <c r="W133" s="350">
        <v>46316</v>
      </c>
      <c r="X133" s="350">
        <v>46318</v>
      </c>
      <c r="Y133" s="350">
        <v>46325</v>
      </c>
      <c r="Z133" s="350">
        <v>46346</v>
      </c>
      <c r="AA133" s="350">
        <v>46360</v>
      </c>
      <c r="AB133" s="350">
        <v>46375</v>
      </c>
      <c r="AC133" s="350">
        <v>46375</v>
      </c>
      <c r="AD133" s="350">
        <v>46377</v>
      </c>
      <c r="AE133" s="350">
        <v>46421</v>
      </c>
      <c r="AF133" s="350">
        <v>46435</v>
      </c>
      <c r="AG133" s="350">
        <v>46442</v>
      </c>
      <c r="AH133" s="350">
        <v>46456</v>
      </c>
      <c r="AI133" s="350">
        <v>46472</v>
      </c>
      <c r="AJ133" s="316">
        <v>18</v>
      </c>
      <c r="AK133" s="351"/>
      <c r="AL133" s="350" t="str">
        <f>TEXT(AL135,"d-mmm-yy")</f>
        <v>23-Feb-27</v>
      </c>
      <c r="AM133" s="327"/>
      <c r="AN133" s="327"/>
      <c r="AO133" s="327"/>
      <c r="AP133" s="327"/>
      <c r="AQ133" s="311"/>
      <c r="AR133" s="329"/>
      <c r="AS133" s="330" t="s">
        <v>62</v>
      </c>
      <c r="AT133" s="331">
        <v>46485</v>
      </c>
    </row>
    <row r="134" spans="1:46" s="264" customFormat="1" ht="25.05" customHeight="1">
      <c r="A134" s="491"/>
      <c r="B134" s="308" t="str">
        <f>B133</f>
        <v>RFQ-INS-030</v>
      </c>
      <c r="C134" s="308" t="s">
        <v>166</v>
      </c>
      <c r="D134" s="414"/>
      <c r="E134" s="542"/>
      <c r="F134" s="416"/>
      <c r="G134" s="311"/>
      <c r="H134" s="310"/>
      <c r="I134" s="311" t="s">
        <v>139</v>
      </c>
      <c r="J134" s="308"/>
      <c r="K134" s="322"/>
      <c r="L134" s="308"/>
      <c r="M134" s="323" t="s">
        <v>63</v>
      </c>
      <c r="N134" s="367"/>
      <c r="O134" s="325">
        <v>46239</v>
      </c>
      <c r="P134" s="325">
        <v>46247</v>
      </c>
      <c r="Q134" s="325">
        <v>46248</v>
      </c>
      <c r="R134" s="325">
        <v>46255</v>
      </c>
      <c r="S134" s="325">
        <v>46256</v>
      </c>
      <c r="T134" s="325">
        <v>46269</v>
      </c>
      <c r="U134" s="325">
        <v>46290</v>
      </c>
      <c r="V134" s="325">
        <v>46295</v>
      </c>
      <c r="W134" s="325">
        <v>46316</v>
      </c>
      <c r="X134" s="325">
        <v>46318</v>
      </c>
      <c r="Y134" s="325">
        <v>46325</v>
      </c>
      <c r="Z134" s="325">
        <v>46346</v>
      </c>
      <c r="AA134" s="325">
        <v>46360</v>
      </c>
      <c r="AB134" s="325">
        <v>46375</v>
      </c>
      <c r="AC134" s="325">
        <v>46375</v>
      </c>
      <c r="AD134" s="325">
        <v>46377</v>
      </c>
      <c r="AE134" s="325">
        <v>46421</v>
      </c>
      <c r="AF134" s="325">
        <v>46435</v>
      </c>
      <c r="AG134" s="325">
        <v>46442</v>
      </c>
      <c r="AH134" s="325">
        <v>46456</v>
      </c>
      <c r="AI134" s="325">
        <v>46472</v>
      </c>
      <c r="AJ134" s="365"/>
      <c r="AK134" s="326"/>
      <c r="AL134" s="325">
        <f>W134+AK135</f>
        <v>46442</v>
      </c>
      <c r="AM134" s="327"/>
      <c r="AN134" s="327"/>
      <c r="AO134" s="327"/>
      <c r="AP134" s="327"/>
      <c r="AQ134" s="328">
        <f>AM135-AL134</f>
        <v>36</v>
      </c>
      <c r="AR134" s="329"/>
      <c r="AS134" s="330"/>
      <c r="AT134" s="331"/>
    </row>
    <row r="135" spans="1:46" s="264" customFormat="1" ht="25.05" customHeight="1">
      <c r="A135" s="491"/>
      <c r="B135" s="308" t="str">
        <f>B133</f>
        <v>RFQ-INS-030</v>
      </c>
      <c r="C135" s="308" t="s">
        <v>166</v>
      </c>
      <c r="D135" s="360"/>
      <c r="E135" s="542"/>
      <c r="F135" s="360"/>
      <c r="G135" s="311">
        <v>37</v>
      </c>
      <c r="H135" s="310" t="s">
        <v>164</v>
      </c>
      <c r="I135" s="311" t="s">
        <v>139</v>
      </c>
      <c r="J135" s="308" t="s">
        <v>71</v>
      </c>
      <c r="K135" s="308">
        <f>K136</f>
        <v>4</v>
      </c>
      <c r="L135" s="308" t="s">
        <v>8</v>
      </c>
      <c r="M135" s="313" t="s">
        <v>65</v>
      </c>
      <c r="N135" s="350">
        <f>N133</f>
        <v>46234</v>
      </c>
      <c r="O135" s="350">
        <v>46239</v>
      </c>
      <c r="P135" s="350">
        <f>WORKDAY.INTL(O135,INDEX(P$8:P$11,MATCH($L135,$L$8:$L$11,0)),1,IF(P$18="China",'China Holidays'!$A$2:$A$82,'Thai Holidays'!$A$2:$A$63))</f>
        <v>46254</v>
      </c>
      <c r="Q135" s="350">
        <f>WORKDAY.INTL(P135,INDEX(Q$8:Q$11,MATCH($L135,$L$8:$L$11,0)),1,IF(Q$18="China",'China Holidays'!$A$2:$A$82,'Thai Holidays'!$A$2:$A$63))</f>
        <v>46254</v>
      </c>
      <c r="R135" s="350">
        <f>WORKDAY.INTL(Q135,INDEX(R$8:R$11,MATCH($L135,$L$8:$L$11,0)),1,IF(R$18="China",'China Holidays'!$A$2:$A$82,'Thai Holidays'!$A$2:$A$63))</f>
        <v>46254</v>
      </c>
      <c r="S135" s="350">
        <f>WORKDAY.INTL(R135,INDEX(S$8:S$11,MATCH($L135,$L$8:$L$11,0)),1,IF(S$18="China",'China Holidays'!$A$2:$A$82,'Thai Holidays'!$A$2:$A$63))</f>
        <v>46254</v>
      </c>
      <c r="T135" s="350">
        <f>WORKDAY.INTL(S135,INDEX(T$8:T$11,MATCH($L135,$L$8:$L$11,0)),1,IF(T$18="China",'China Holidays'!$A$2:$A$82,'Thai Holidays'!$A$2:$A$63))</f>
        <v>46268</v>
      </c>
      <c r="U135" s="350">
        <f>WORKDAY.INTL(T135,INDEX(U$8:U$11,MATCH($L135,$L$8:$L$11,0)),1,IF(U$18="China",'China Holidays'!$A$2:$A$82,'Thai Holidays'!$A$2:$A$63))</f>
        <v>46287</v>
      </c>
      <c r="V135" s="350">
        <f>WORKDAY.INTL(U135,INDEX(V$8:V$11,MATCH($L135,$L$8:$L$11,0)),1,IF(V$18="China",'China Holidays'!$A$2:$A$82,'Thai Holidays'!$A$2:$A$63))</f>
        <v>46301</v>
      </c>
      <c r="W135" s="350">
        <f>WORKDAY.INTL(V135,INDEX(W$8:W$11,MATCH($L135,$L$8:$L$11,0)),1,IF(W$18="China",'China Holidays'!$A$2:$A$82,'Thai Holidays'!$A$2:$A$63))</f>
        <v>46315</v>
      </c>
      <c r="X135" s="350">
        <f>WORKDAY.INTL(W135,INDEX(X$12:X$15,MATCH($L135,$L$12:$L$15,0)),1,IF(X$18="China",'China Holidays'!$A$2:$A$82,'Thai Holidays'!$A$2:$A$63))</f>
        <v>46317</v>
      </c>
      <c r="Y135" s="350">
        <f>WORKDAY.INTL(X135,INDEX(Y$12:Y$15,MATCH($L135,$L$12:$L$15,0)),1,IF(Y$18="China",'China Holidays'!$A$2:$A$82,'Thai Holidays'!$A$2:$A$63))</f>
        <v>46324</v>
      </c>
      <c r="Z135" s="350">
        <f>WORKDAY.INTL(Y135,INDEX(Z$12:Z$15,MATCH($L135,$L$12:$L$15,0)),1,IF(Z$18="China",'China Holidays'!$A$2:$A$82,'Thai Holidays'!$A$2:$A$63))</f>
        <v>46345</v>
      </c>
      <c r="AA135" s="350">
        <f>WORKDAY.INTL(Z135,INDEX(AA$12:AA$15,MATCH($L135,$L$12:$L$15,0)),1,IF(AA$18="China",'China Holidays'!$A$2:$A$82,'Thai Holidays'!$A$2:$A$63))</f>
        <v>46359</v>
      </c>
      <c r="AB135" s="350">
        <f>AA135+15</f>
        <v>46374</v>
      </c>
      <c r="AC135" s="350">
        <f>AB135</f>
        <v>46374</v>
      </c>
      <c r="AD135" s="350">
        <f>AC135+2</f>
        <v>46376</v>
      </c>
      <c r="AE135" s="350">
        <f>AF135-14</f>
        <v>46420</v>
      </c>
      <c r="AF135" s="350">
        <f>AG135-7</f>
        <v>46434</v>
      </c>
      <c r="AG135" s="350">
        <f>AL135</f>
        <v>46441</v>
      </c>
      <c r="AH135" s="350">
        <f>AL135+14</f>
        <v>46455</v>
      </c>
      <c r="AI135" s="350">
        <f>AL135+30</f>
        <v>46471</v>
      </c>
      <c r="AJ135" s="362"/>
      <c r="AK135" s="326">
        <f>AJ133*7</f>
        <v>126</v>
      </c>
      <c r="AL135" s="350">
        <f>W135+AK135</f>
        <v>46441</v>
      </c>
      <c r="AM135" s="327">
        <f>AT133-7</f>
        <v>46478</v>
      </c>
      <c r="AN135" s="327">
        <f>AO135-7</f>
        <v>46498</v>
      </c>
      <c r="AO135" s="327">
        <v>46505</v>
      </c>
      <c r="AP135" s="327" t="s">
        <v>141</v>
      </c>
      <c r="AQ135" s="311">
        <f>AM135-AL135</f>
        <v>37</v>
      </c>
      <c r="AR135" s="329"/>
      <c r="AS135" s="330" t="s">
        <v>66</v>
      </c>
      <c r="AT135" s="331">
        <v>46485</v>
      </c>
    </row>
    <row r="136" spans="1:46" s="264" customFormat="1" ht="25.05" customHeight="1">
      <c r="A136" s="492"/>
      <c r="B136" s="337" t="str">
        <f>B133</f>
        <v>RFQ-INS-030</v>
      </c>
      <c r="C136" s="337" t="s">
        <v>166</v>
      </c>
      <c r="D136" s="395"/>
      <c r="E136" s="544"/>
      <c r="F136" s="395"/>
      <c r="G136" s="340"/>
      <c r="H136" s="339"/>
      <c r="I136" s="340" t="s">
        <v>139</v>
      </c>
      <c r="J136" s="337" t="s">
        <v>71</v>
      </c>
      <c r="K136" s="308">
        <v>4</v>
      </c>
      <c r="L136" s="337" t="s">
        <v>8</v>
      </c>
      <c r="M136" s="341" t="s">
        <v>67</v>
      </c>
      <c r="N136" s="340"/>
      <c r="O136" s="343"/>
      <c r="P136" s="343"/>
      <c r="Q136" s="343"/>
      <c r="R136" s="343"/>
      <c r="S136" s="343"/>
      <c r="T136" s="343"/>
      <c r="U136" s="343"/>
      <c r="V136" s="343"/>
      <c r="W136" s="340">
        <f>W133-W135</f>
        <v>1</v>
      </c>
      <c r="X136" s="343"/>
      <c r="Y136" s="343"/>
      <c r="Z136" s="343"/>
      <c r="AA136" s="343"/>
      <c r="AB136" s="343"/>
      <c r="AC136" s="343"/>
      <c r="AD136" s="343"/>
      <c r="AE136" s="343"/>
      <c r="AF136" s="343"/>
      <c r="AG136" s="343"/>
      <c r="AH136" s="343"/>
      <c r="AI136" s="343"/>
      <c r="AJ136" s="353"/>
      <c r="AK136" s="354"/>
      <c r="AL136" s="343"/>
      <c r="AM136" s="355"/>
      <c r="AN136" s="355"/>
      <c r="AO136" s="355"/>
      <c r="AP136" s="355"/>
      <c r="AQ136" s="340"/>
      <c r="AR136" s="356"/>
      <c r="AS136" s="357"/>
      <c r="AT136" s="356"/>
    </row>
    <row r="137" spans="1:46" s="264" customFormat="1" ht="25.05" customHeight="1">
      <c r="A137" s="493">
        <f t="shared" ref="A137" si="21">A133+1</f>
        <v>31</v>
      </c>
      <c r="B137" s="308" t="s">
        <v>167</v>
      </c>
      <c r="C137" s="308" t="s">
        <v>168</v>
      </c>
      <c r="D137" s="419"/>
      <c r="E137" s="541">
        <v>18</v>
      </c>
      <c r="F137" s="419"/>
      <c r="G137" s="311"/>
      <c r="H137" s="310"/>
      <c r="I137" s="311" t="s">
        <v>139</v>
      </c>
      <c r="J137" s="308" t="s">
        <v>71</v>
      </c>
      <c r="K137" s="312">
        <f>K140</f>
        <v>4</v>
      </c>
      <c r="L137" s="308" t="s">
        <v>8</v>
      </c>
      <c r="M137" s="313" t="s">
        <v>61</v>
      </c>
      <c r="N137" s="364">
        <f>WORKDAY.INTL(O137,-INDEX(O$12:O$15,MATCH($L137,$L$12:$L$15,0)),1,IF(N$18="China",'China Holidays'!$A$2:$A$82,'Thai Holidays'!$A$2:$A$63))</f>
        <v>46234</v>
      </c>
      <c r="O137" s="350">
        <v>46239</v>
      </c>
      <c r="P137" s="350">
        <v>46247</v>
      </c>
      <c r="Q137" s="350">
        <v>46248</v>
      </c>
      <c r="R137" s="350">
        <v>46255</v>
      </c>
      <c r="S137" s="350">
        <f>R137+1</f>
        <v>46256</v>
      </c>
      <c r="T137" s="350">
        <v>46269</v>
      </c>
      <c r="U137" s="350">
        <v>46290</v>
      </c>
      <c r="V137" s="350">
        <v>46295</v>
      </c>
      <c r="W137" s="350">
        <v>46316</v>
      </c>
      <c r="X137" s="350">
        <v>46318</v>
      </c>
      <c r="Y137" s="350">
        <v>46325</v>
      </c>
      <c r="Z137" s="350">
        <v>46346</v>
      </c>
      <c r="AA137" s="350">
        <v>46360</v>
      </c>
      <c r="AB137" s="350">
        <v>46375</v>
      </c>
      <c r="AC137" s="350">
        <v>46375</v>
      </c>
      <c r="AD137" s="350">
        <v>46377</v>
      </c>
      <c r="AE137" s="350">
        <v>46421</v>
      </c>
      <c r="AF137" s="350">
        <v>46435</v>
      </c>
      <c r="AG137" s="350">
        <v>46442</v>
      </c>
      <c r="AH137" s="350">
        <v>46456</v>
      </c>
      <c r="AI137" s="350">
        <v>46472</v>
      </c>
      <c r="AJ137" s="316">
        <v>18</v>
      </c>
      <c r="AK137" s="351"/>
      <c r="AL137" s="350" t="str">
        <f>TEXT(AL139,"d-mmm-yy")</f>
        <v>23-Feb-27</v>
      </c>
      <c r="AM137" s="327"/>
      <c r="AN137" s="327"/>
      <c r="AO137" s="327"/>
      <c r="AP137" s="327"/>
      <c r="AQ137" s="311"/>
      <c r="AR137" s="329"/>
      <c r="AS137" s="330" t="s">
        <v>62</v>
      </c>
      <c r="AT137" s="331">
        <v>46485</v>
      </c>
    </row>
    <row r="138" spans="1:46" s="264" customFormat="1" ht="25.05" customHeight="1">
      <c r="A138" s="491"/>
      <c r="B138" s="308" t="str">
        <f>B137</f>
        <v>RFQ-INS-031</v>
      </c>
      <c r="C138" s="308" t="s">
        <v>168</v>
      </c>
      <c r="D138" s="414"/>
      <c r="E138" s="542"/>
      <c r="F138" s="416"/>
      <c r="G138" s="311"/>
      <c r="H138" s="310"/>
      <c r="I138" s="311" t="s">
        <v>139</v>
      </c>
      <c r="J138" s="308"/>
      <c r="K138" s="322"/>
      <c r="L138" s="308"/>
      <c r="M138" s="323" t="s">
        <v>63</v>
      </c>
      <c r="N138" s="367"/>
      <c r="O138" s="325">
        <v>46239</v>
      </c>
      <c r="P138" s="325">
        <v>46247</v>
      </c>
      <c r="Q138" s="325">
        <v>46248</v>
      </c>
      <c r="R138" s="325">
        <v>46255</v>
      </c>
      <c r="S138" s="325">
        <v>46256</v>
      </c>
      <c r="T138" s="325">
        <v>46269</v>
      </c>
      <c r="U138" s="325">
        <v>46290</v>
      </c>
      <c r="V138" s="325">
        <v>46295</v>
      </c>
      <c r="W138" s="325">
        <v>46316</v>
      </c>
      <c r="X138" s="325">
        <v>46318</v>
      </c>
      <c r="Y138" s="325">
        <v>46325</v>
      </c>
      <c r="Z138" s="325">
        <v>46346</v>
      </c>
      <c r="AA138" s="325">
        <v>46360</v>
      </c>
      <c r="AB138" s="325">
        <v>46375</v>
      </c>
      <c r="AC138" s="325">
        <v>46375</v>
      </c>
      <c r="AD138" s="325">
        <v>46377</v>
      </c>
      <c r="AE138" s="325">
        <v>46421</v>
      </c>
      <c r="AF138" s="325">
        <v>46435</v>
      </c>
      <c r="AG138" s="325">
        <v>46442</v>
      </c>
      <c r="AH138" s="325">
        <v>46456</v>
      </c>
      <c r="AI138" s="325">
        <v>46472</v>
      </c>
      <c r="AJ138" s="365"/>
      <c r="AK138" s="326"/>
      <c r="AL138" s="325">
        <f>W138+AK139</f>
        <v>46442</v>
      </c>
      <c r="AM138" s="327"/>
      <c r="AN138" s="327"/>
      <c r="AO138" s="327"/>
      <c r="AP138" s="327"/>
      <c r="AQ138" s="328">
        <f>AM139-AL138</f>
        <v>36</v>
      </c>
      <c r="AR138" s="329"/>
      <c r="AS138" s="330"/>
      <c r="AT138" s="331"/>
    </row>
    <row r="139" spans="1:46" s="264" customFormat="1" ht="25.05" customHeight="1">
      <c r="A139" s="491"/>
      <c r="B139" s="308" t="str">
        <f>B137</f>
        <v>RFQ-INS-031</v>
      </c>
      <c r="C139" s="308" t="s">
        <v>168</v>
      </c>
      <c r="D139" s="360"/>
      <c r="E139" s="542"/>
      <c r="F139" s="360"/>
      <c r="G139" s="311">
        <v>37</v>
      </c>
      <c r="H139" s="310" t="s">
        <v>164</v>
      </c>
      <c r="I139" s="311" t="s">
        <v>139</v>
      </c>
      <c r="J139" s="308" t="s">
        <v>71</v>
      </c>
      <c r="K139" s="308">
        <f>K140</f>
        <v>4</v>
      </c>
      <c r="L139" s="308" t="s">
        <v>8</v>
      </c>
      <c r="M139" s="313" t="s">
        <v>65</v>
      </c>
      <c r="N139" s="350">
        <f>N137</f>
        <v>46234</v>
      </c>
      <c r="O139" s="350">
        <v>46239</v>
      </c>
      <c r="P139" s="350">
        <f>WORKDAY.INTL(O139,INDEX(P$8:P$11,MATCH($L139,$L$8:$L$11,0)),1,IF(P$18="China",'China Holidays'!$A$2:$A$82,'Thai Holidays'!$A$2:$A$63))</f>
        <v>46254</v>
      </c>
      <c r="Q139" s="350">
        <f>WORKDAY.INTL(P139,INDEX(Q$8:Q$11,MATCH($L139,$L$8:$L$11,0)),1,IF(Q$18="China",'China Holidays'!$A$2:$A$82,'Thai Holidays'!$A$2:$A$63))</f>
        <v>46254</v>
      </c>
      <c r="R139" s="350">
        <f>WORKDAY.INTL(Q139,INDEX(R$8:R$11,MATCH($L139,$L$8:$L$11,0)),1,IF(R$18="China",'China Holidays'!$A$2:$A$82,'Thai Holidays'!$A$2:$A$63))</f>
        <v>46254</v>
      </c>
      <c r="S139" s="350">
        <f>WORKDAY.INTL(R139,INDEX(S$8:S$11,MATCH($L139,$L$8:$L$11,0)),1,IF(S$18="China",'China Holidays'!$A$2:$A$82,'Thai Holidays'!$A$2:$A$63))</f>
        <v>46254</v>
      </c>
      <c r="T139" s="350">
        <f>WORKDAY.INTL(S139,INDEX(T$8:T$11,MATCH($L139,$L$8:$L$11,0)),1,IF(T$18="China",'China Holidays'!$A$2:$A$82,'Thai Holidays'!$A$2:$A$63))</f>
        <v>46268</v>
      </c>
      <c r="U139" s="350">
        <f>WORKDAY.INTL(T139,INDEX(U$8:U$11,MATCH($L139,$L$8:$L$11,0)),1,IF(U$18="China",'China Holidays'!$A$2:$A$82,'Thai Holidays'!$A$2:$A$63))</f>
        <v>46287</v>
      </c>
      <c r="V139" s="350">
        <f>WORKDAY.INTL(U139,INDEX(V$8:V$11,MATCH($L139,$L$8:$L$11,0)),1,IF(V$18="China",'China Holidays'!$A$2:$A$82,'Thai Holidays'!$A$2:$A$63))</f>
        <v>46301</v>
      </c>
      <c r="W139" s="350">
        <f>WORKDAY.INTL(V139,INDEX(W$8:W$11,MATCH($L139,$L$8:$L$11,0)),1,IF(W$18="China",'China Holidays'!$A$2:$A$82,'Thai Holidays'!$A$2:$A$63))</f>
        <v>46315</v>
      </c>
      <c r="X139" s="350">
        <f>WORKDAY.INTL(W139,INDEX(X$12:X$15,MATCH($L139,$L$12:$L$15,0)),1,IF(X$18="China",'China Holidays'!$A$2:$A$82,'Thai Holidays'!$A$2:$A$63))</f>
        <v>46317</v>
      </c>
      <c r="Y139" s="350">
        <f>WORKDAY.INTL(X139,INDEX(Y$12:Y$15,MATCH($L139,$L$12:$L$15,0)),1,IF(Y$18="China",'China Holidays'!$A$2:$A$82,'Thai Holidays'!$A$2:$A$63))</f>
        <v>46324</v>
      </c>
      <c r="Z139" s="350">
        <f>WORKDAY.INTL(Y139,INDEX(Z$12:Z$15,MATCH($L139,$L$12:$L$15,0)),1,IF(Z$18="China",'China Holidays'!$A$2:$A$82,'Thai Holidays'!$A$2:$A$63))</f>
        <v>46345</v>
      </c>
      <c r="AA139" s="350">
        <f>WORKDAY.INTL(Z139,INDEX(AA$12:AA$15,MATCH($L139,$L$12:$L$15,0)),1,IF(AA$18="China",'China Holidays'!$A$2:$A$82,'Thai Holidays'!$A$2:$A$63))</f>
        <v>46359</v>
      </c>
      <c r="AB139" s="350">
        <f>AA139+15</f>
        <v>46374</v>
      </c>
      <c r="AC139" s="350">
        <f>AB139</f>
        <v>46374</v>
      </c>
      <c r="AD139" s="350">
        <f>AC139+2</f>
        <v>46376</v>
      </c>
      <c r="AE139" s="350">
        <f>AF139-14</f>
        <v>46420</v>
      </c>
      <c r="AF139" s="350">
        <f>AG139-7</f>
        <v>46434</v>
      </c>
      <c r="AG139" s="350">
        <f>AL139</f>
        <v>46441</v>
      </c>
      <c r="AH139" s="350">
        <f>AL139+14</f>
        <v>46455</v>
      </c>
      <c r="AI139" s="350">
        <f>AL139+30</f>
        <v>46471</v>
      </c>
      <c r="AJ139" s="362"/>
      <c r="AK139" s="326">
        <f>AJ137*7</f>
        <v>126</v>
      </c>
      <c r="AL139" s="350">
        <f>W139+AK139</f>
        <v>46441</v>
      </c>
      <c r="AM139" s="327">
        <f>AT137-7</f>
        <v>46478</v>
      </c>
      <c r="AN139" s="327">
        <f>AO139-7</f>
        <v>46498</v>
      </c>
      <c r="AO139" s="327">
        <v>46505</v>
      </c>
      <c r="AP139" s="327" t="s">
        <v>141</v>
      </c>
      <c r="AQ139" s="311">
        <f>AM139-AL139</f>
        <v>37</v>
      </c>
      <c r="AR139" s="329"/>
      <c r="AS139" s="330" t="s">
        <v>66</v>
      </c>
      <c r="AT139" s="331">
        <v>46485</v>
      </c>
    </row>
    <row r="140" spans="1:46" s="264" customFormat="1" ht="25.05" customHeight="1">
      <c r="A140" s="492"/>
      <c r="B140" s="337" t="str">
        <f>B137</f>
        <v>RFQ-INS-031</v>
      </c>
      <c r="C140" s="337" t="s">
        <v>168</v>
      </c>
      <c r="D140" s="395"/>
      <c r="E140" s="544"/>
      <c r="F140" s="395"/>
      <c r="G140" s="340"/>
      <c r="H140" s="339"/>
      <c r="I140" s="340" t="s">
        <v>139</v>
      </c>
      <c r="J140" s="337" t="s">
        <v>71</v>
      </c>
      <c r="K140" s="308">
        <v>4</v>
      </c>
      <c r="L140" s="337" t="s">
        <v>8</v>
      </c>
      <c r="M140" s="341" t="s">
        <v>67</v>
      </c>
      <c r="N140" s="340"/>
      <c r="O140" s="343"/>
      <c r="P140" s="343"/>
      <c r="Q140" s="343"/>
      <c r="R140" s="343"/>
      <c r="S140" s="343"/>
      <c r="T140" s="343"/>
      <c r="U140" s="343"/>
      <c r="V140" s="343"/>
      <c r="W140" s="340">
        <f>W137-W139</f>
        <v>1</v>
      </c>
      <c r="X140" s="343"/>
      <c r="Y140" s="343"/>
      <c r="Z140" s="343"/>
      <c r="AA140" s="343"/>
      <c r="AB140" s="343"/>
      <c r="AC140" s="343"/>
      <c r="AD140" s="343"/>
      <c r="AE140" s="343"/>
      <c r="AF140" s="343"/>
      <c r="AG140" s="343"/>
      <c r="AH140" s="343"/>
      <c r="AI140" s="343"/>
      <c r="AJ140" s="353"/>
      <c r="AK140" s="354"/>
      <c r="AL140" s="343"/>
      <c r="AM140" s="355"/>
      <c r="AN140" s="355"/>
      <c r="AO140" s="355"/>
      <c r="AP140" s="355"/>
      <c r="AQ140" s="340"/>
      <c r="AR140" s="356"/>
      <c r="AS140" s="357"/>
      <c r="AT140" s="356"/>
    </row>
    <row r="141" spans="1:46" s="264" customFormat="1" ht="25.05" customHeight="1">
      <c r="A141" s="493">
        <f t="shared" ref="A141" si="22">A137+1</f>
        <v>32</v>
      </c>
      <c r="B141" s="308" t="s">
        <v>169</v>
      </c>
      <c r="C141" s="308" t="s">
        <v>170</v>
      </c>
      <c r="D141" s="419"/>
      <c r="E141" s="541">
        <v>18</v>
      </c>
      <c r="F141" s="419"/>
      <c r="G141" s="311"/>
      <c r="H141" s="310"/>
      <c r="I141" s="311" t="s">
        <v>139</v>
      </c>
      <c r="J141" s="308" t="s">
        <v>71</v>
      </c>
      <c r="K141" s="312">
        <f>K144</f>
        <v>4</v>
      </c>
      <c r="L141" s="308" t="s">
        <v>8</v>
      </c>
      <c r="M141" s="313" t="s">
        <v>61</v>
      </c>
      <c r="N141" s="364">
        <f>WORKDAY.INTL(O141,-INDEX(O$12:O$15,MATCH($L141,$L$12:$L$15,0)),1,IF(N$18="China",'China Holidays'!$A$2:$A$82,'Thai Holidays'!$A$2:$A$63))</f>
        <v>46234</v>
      </c>
      <c r="O141" s="350">
        <v>46239</v>
      </c>
      <c r="P141" s="350">
        <v>46247</v>
      </c>
      <c r="Q141" s="350">
        <v>46248</v>
      </c>
      <c r="R141" s="350">
        <v>46255</v>
      </c>
      <c r="S141" s="350">
        <f>R141+1</f>
        <v>46256</v>
      </c>
      <c r="T141" s="350">
        <v>46269</v>
      </c>
      <c r="U141" s="350">
        <v>46290</v>
      </c>
      <c r="V141" s="350">
        <v>46295</v>
      </c>
      <c r="W141" s="350">
        <v>46316</v>
      </c>
      <c r="X141" s="350">
        <v>46318</v>
      </c>
      <c r="Y141" s="350">
        <v>46325</v>
      </c>
      <c r="Z141" s="350">
        <v>46346</v>
      </c>
      <c r="AA141" s="350">
        <v>46360</v>
      </c>
      <c r="AB141" s="350">
        <v>46375</v>
      </c>
      <c r="AC141" s="350">
        <v>46375</v>
      </c>
      <c r="AD141" s="350">
        <v>46377</v>
      </c>
      <c r="AE141" s="350">
        <v>46421</v>
      </c>
      <c r="AF141" s="350">
        <v>46435</v>
      </c>
      <c r="AG141" s="350">
        <v>46442</v>
      </c>
      <c r="AH141" s="350">
        <v>46456</v>
      </c>
      <c r="AI141" s="350">
        <v>46472</v>
      </c>
      <c r="AJ141" s="316">
        <v>18</v>
      </c>
      <c r="AK141" s="351"/>
      <c r="AL141" s="350" t="str">
        <f>TEXT(AL143,"d-mmm-yy")</f>
        <v>23-Feb-27</v>
      </c>
      <c r="AM141" s="327"/>
      <c r="AN141" s="327"/>
      <c r="AO141" s="327"/>
      <c r="AP141" s="327"/>
      <c r="AQ141" s="311"/>
      <c r="AR141" s="329"/>
      <c r="AS141" s="330" t="s">
        <v>62</v>
      </c>
      <c r="AT141" s="331">
        <v>46485</v>
      </c>
    </row>
    <row r="142" spans="1:46" s="264" customFormat="1" ht="25.05" customHeight="1">
      <c r="A142" s="491"/>
      <c r="B142" s="308" t="str">
        <f>B141</f>
        <v>RFQ-INS-032</v>
      </c>
      <c r="C142" s="308" t="s">
        <v>170</v>
      </c>
      <c r="D142" s="414"/>
      <c r="E142" s="542"/>
      <c r="F142" s="416"/>
      <c r="G142" s="311"/>
      <c r="H142" s="310"/>
      <c r="I142" s="311" t="s">
        <v>139</v>
      </c>
      <c r="J142" s="308"/>
      <c r="K142" s="322"/>
      <c r="L142" s="308"/>
      <c r="M142" s="323" t="s">
        <v>63</v>
      </c>
      <c r="N142" s="367"/>
      <c r="O142" s="325">
        <v>46239</v>
      </c>
      <c r="P142" s="325">
        <v>46247</v>
      </c>
      <c r="Q142" s="325">
        <v>46248</v>
      </c>
      <c r="R142" s="325">
        <v>46255</v>
      </c>
      <c r="S142" s="325">
        <v>46256</v>
      </c>
      <c r="T142" s="325">
        <v>46269</v>
      </c>
      <c r="U142" s="325">
        <v>46290</v>
      </c>
      <c r="V142" s="325">
        <v>46295</v>
      </c>
      <c r="W142" s="325">
        <v>46316</v>
      </c>
      <c r="X142" s="325">
        <v>46318</v>
      </c>
      <c r="Y142" s="325">
        <v>46325</v>
      </c>
      <c r="Z142" s="325">
        <v>46346</v>
      </c>
      <c r="AA142" s="325">
        <v>46360</v>
      </c>
      <c r="AB142" s="325">
        <v>46375</v>
      </c>
      <c r="AC142" s="325">
        <v>46375</v>
      </c>
      <c r="AD142" s="325">
        <v>46377</v>
      </c>
      <c r="AE142" s="325">
        <v>46421</v>
      </c>
      <c r="AF142" s="325">
        <v>46435</v>
      </c>
      <c r="AG142" s="325">
        <v>46442</v>
      </c>
      <c r="AH142" s="325">
        <v>46456</v>
      </c>
      <c r="AI142" s="325">
        <v>46472</v>
      </c>
      <c r="AJ142" s="365"/>
      <c r="AK142" s="326"/>
      <c r="AL142" s="325">
        <f>W142+AK143</f>
        <v>46442</v>
      </c>
      <c r="AM142" s="327"/>
      <c r="AN142" s="327"/>
      <c r="AO142" s="327"/>
      <c r="AP142" s="327"/>
      <c r="AQ142" s="328">
        <f>AM143-AL142</f>
        <v>36</v>
      </c>
      <c r="AR142" s="329"/>
      <c r="AS142" s="330"/>
      <c r="AT142" s="331"/>
    </row>
    <row r="143" spans="1:46" s="264" customFormat="1" ht="25.05" customHeight="1">
      <c r="A143" s="491"/>
      <c r="B143" s="308" t="str">
        <f>B141</f>
        <v>RFQ-INS-032</v>
      </c>
      <c r="C143" s="308" t="s">
        <v>170</v>
      </c>
      <c r="D143" s="360"/>
      <c r="E143" s="542"/>
      <c r="F143" s="360"/>
      <c r="G143" s="311">
        <v>37</v>
      </c>
      <c r="H143" s="310" t="s">
        <v>164</v>
      </c>
      <c r="I143" s="311" t="s">
        <v>139</v>
      </c>
      <c r="J143" s="308" t="s">
        <v>71</v>
      </c>
      <c r="K143" s="308">
        <f>K144</f>
        <v>4</v>
      </c>
      <c r="L143" s="308" t="s">
        <v>8</v>
      </c>
      <c r="M143" s="313" t="s">
        <v>65</v>
      </c>
      <c r="N143" s="350">
        <f>N141</f>
        <v>46234</v>
      </c>
      <c r="O143" s="350">
        <v>46239</v>
      </c>
      <c r="P143" s="350">
        <f>WORKDAY.INTL(O143,INDEX(P$8:P$11,MATCH($L143,$L$8:$L$11,0)),1,IF(P$18="China",'China Holidays'!$A$2:$A$82,'Thai Holidays'!$A$2:$A$63))</f>
        <v>46254</v>
      </c>
      <c r="Q143" s="350">
        <f>WORKDAY.INTL(P143,INDEX(Q$8:Q$11,MATCH($L143,$L$8:$L$11,0)),1,IF(Q$18="China",'China Holidays'!$A$2:$A$82,'Thai Holidays'!$A$2:$A$63))</f>
        <v>46254</v>
      </c>
      <c r="R143" s="350">
        <f>WORKDAY.INTL(Q143,INDEX(R$8:R$11,MATCH($L143,$L$8:$L$11,0)),1,IF(R$18="China",'China Holidays'!$A$2:$A$82,'Thai Holidays'!$A$2:$A$63))</f>
        <v>46254</v>
      </c>
      <c r="S143" s="350">
        <f>WORKDAY.INTL(R143,INDEX(S$8:S$11,MATCH($L143,$L$8:$L$11,0)),1,IF(S$18="China",'China Holidays'!$A$2:$A$82,'Thai Holidays'!$A$2:$A$63))</f>
        <v>46254</v>
      </c>
      <c r="T143" s="350">
        <f>WORKDAY.INTL(S143,INDEX(T$8:T$11,MATCH($L143,$L$8:$L$11,0)),1,IF(T$18="China",'China Holidays'!$A$2:$A$82,'Thai Holidays'!$A$2:$A$63))</f>
        <v>46268</v>
      </c>
      <c r="U143" s="350">
        <f>WORKDAY.INTL(T143,INDEX(U$8:U$11,MATCH($L143,$L$8:$L$11,0)),1,IF(U$18="China",'China Holidays'!$A$2:$A$82,'Thai Holidays'!$A$2:$A$63))</f>
        <v>46287</v>
      </c>
      <c r="V143" s="350">
        <f>WORKDAY.INTL(U143,INDEX(V$8:V$11,MATCH($L143,$L$8:$L$11,0)),1,IF(V$18="China",'China Holidays'!$A$2:$A$82,'Thai Holidays'!$A$2:$A$63))</f>
        <v>46301</v>
      </c>
      <c r="W143" s="350">
        <f>WORKDAY.INTL(V143,INDEX(W$8:W$11,MATCH($L143,$L$8:$L$11,0)),1,IF(W$18="China",'China Holidays'!$A$2:$A$82,'Thai Holidays'!$A$2:$A$63))</f>
        <v>46315</v>
      </c>
      <c r="X143" s="350">
        <f>WORKDAY.INTL(W143,INDEX(X$12:X$15,MATCH($L143,$L$12:$L$15,0)),1,IF(X$18="China",'China Holidays'!$A$2:$A$82,'Thai Holidays'!$A$2:$A$63))</f>
        <v>46317</v>
      </c>
      <c r="Y143" s="350">
        <f>WORKDAY.INTL(X143,INDEX(Y$12:Y$15,MATCH($L143,$L$12:$L$15,0)),1,IF(Y$18="China",'China Holidays'!$A$2:$A$82,'Thai Holidays'!$A$2:$A$63))</f>
        <v>46324</v>
      </c>
      <c r="Z143" s="350">
        <f>WORKDAY.INTL(Y143,INDEX(Z$12:Z$15,MATCH($L143,$L$12:$L$15,0)),1,IF(Z$18="China",'China Holidays'!$A$2:$A$82,'Thai Holidays'!$A$2:$A$63))</f>
        <v>46345</v>
      </c>
      <c r="AA143" s="350">
        <f>WORKDAY.INTL(Z143,INDEX(AA$12:AA$15,MATCH($L143,$L$12:$L$15,0)),1,IF(AA$18="China",'China Holidays'!$A$2:$A$82,'Thai Holidays'!$A$2:$A$63))</f>
        <v>46359</v>
      </c>
      <c r="AB143" s="350">
        <f>AA143+15</f>
        <v>46374</v>
      </c>
      <c r="AC143" s="350">
        <f>AB143</f>
        <v>46374</v>
      </c>
      <c r="AD143" s="350">
        <f>AC143+2</f>
        <v>46376</v>
      </c>
      <c r="AE143" s="350">
        <f>AF143-14</f>
        <v>46420</v>
      </c>
      <c r="AF143" s="350">
        <f>AG143-7</f>
        <v>46434</v>
      </c>
      <c r="AG143" s="350">
        <f>AL143</f>
        <v>46441</v>
      </c>
      <c r="AH143" s="350">
        <f>AL143+14</f>
        <v>46455</v>
      </c>
      <c r="AI143" s="350">
        <f>AL143+30</f>
        <v>46471</v>
      </c>
      <c r="AJ143" s="362"/>
      <c r="AK143" s="326">
        <f>AJ141*7</f>
        <v>126</v>
      </c>
      <c r="AL143" s="350">
        <f>W143+AK143</f>
        <v>46441</v>
      </c>
      <c r="AM143" s="327">
        <f>AT141-7</f>
        <v>46478</v>
      </c>
      <c r="AN143" s="327">
        <f>AO143-7</f>
        <v>46498</v>
      </c>
      <c r="AO143" s="327">
        <v>46505</v>
      </c>
      <c r="AP143" s="327" t="s">
        <v>141</v>
      </c>
      <c r="AQ143" s="311">
        <f>AM143-AL143</f>
        <v>37</v>
      </c>
      <c r="AR143" s="329"/>
      <c r="AS143" s="330" t="s">
        <v>66</v>
      </c>
      <c r="AT143" s="331">
        <v>46485</v>
      </c>
    </row>
    <row r="144" spans="1:46" s="264" customFormat="1" ht="25.05" customHeight="1">
      <c r="A144" s="492"/>
      <c r="B144" s="337" t="str">
        <f>B141</f>
        <v>RFQ-INS-032</v>
      </c>
      <c r="C144" s="337" t="s">
        <v>170</v>
      </c>
      <c r="D144" s="395"/>
      <c r="E144" s="544"/>
      <c r="F144" s="395"/>
      <c r="G144" s="340"/>
      <c r="H144" s="339"/>
      <c r="I144" s="340" t="s">
        <v>139</v>
      </c>
      <c r="J144" s="337" t="s">
        <v>71</v>
      </c>
      <c r="K144" s="308">
        <v>4</v>
      </c>
      <c r="L144" s="337" t="s">
        <v>8</v>
      </c>
      <c r="M144" s="341" t="s">
        <v>67</v>
      </c>
      <c r="N144" s="340"/>
      <c r="O144" s="343"/>
      <c r="P144" s="343"/>
      <c r="Q144" s="343"/>
      <c r="R144" s="343"/>
      <c r="S144" s="343"/>
      <c r="T144" s="343"/>
      <c r="U144" s="343"/>
      <c r="V144" s="343"/>
      <c r="W144" s="340">
        <f>W141-W143</f>
        <v>1</v>
      </c>
      <c r="X144" s="343"/>
      <c r="Y144" s="343"/>
      <c r="Z144" s="343"/>
      <c r="AA144" s="343"/>
      <c r="AB144" s="343"/>
      <c r="AC144" s="343"/>
      <c r="AD144" s="343"/>
      <c r="AE144" s="343"/>
      <c r="AF144" s="343"/>
      <c r="AG144" s="343"/>
      <c r="AH144" s="343"/>
      <c r="AI144" s="343"/>
      <c r="AJ144" s="353"/>
      <c r="AK144" s="354"/>
      <c r="AL144" s="343"/>
      <c r="AM144" s="355"/>
      <c r="AN144" s="355"/>
      <c r="AO144" s="355"/>
      <c r="AP144" s="355"/>
      <c r="AQ144" s="340"/>
      <c r="AR144" s="356"/>
      <c r="AS144" s="357"/>
      <c r="AT144" s="356"/>
    </row>
    <row r="145" spans="1:46" s="264" customFormat="1" ht="25.05" customHeight="1">
      <c r="A145" s="493">
        <f t="shared" ref="A145" si="23">A141+1</f>
        <v>33</v>
      </c>
      <c r="B145" s="308" t="s">
        <v>171</v>
      </c>
      <c r="C145" s="308" t="s">
        <v>172</v>
      </c>
      <c r="D145" s="419"/>
      <c r="E145" s="541">
        <v>18</v>
      </c>
      <c r="F145" s="419"/>
      <c r="G145" s="311"/>
      <c r="H145" s="310"/>
      <c r="I145" s="311" t="s">
        <v>139</v>
      </c>
      <c r="J145" s="308" t="s">
        <v>71</v>
      </c>
      <c r="K145" s="312">
        <f>K148</f>
        <v>3</v>
      </c>
      <c r="L145" s="308" t="s">
        <v>8</v>
      </c>
      <c r="M145" s="313" t="s">
        <v>61</v>
      </c>
      <c r="N145" s="364">
        <f>WORKDAY.INTL(O145,-INDEX(O$12:O$15,MATCH($L145,$L$12:$L$15,0)),1,IF(N$18="China",'China Holidays'!$A$2:$A$82,'Thai Holidays'!$A$2:$A$63))</f>
        <v>46196</v>
      </c>
      <c r="O145" s="350">
        <v>46199</v>
      </c>
      <c r="P145" s="350">
        <v>46206</v>
      </c>
      <c r="Q145" s="350">
        <v>46209</v>
      </c>
      <c r="R145" s="350">
        <v>46216</v>
      </c>
      <c r="S145" s="350">
        <f>R145+1</f>
        <v>46217</v>
      </c>
      <c r="T145" s="350">
        <v>46230</v>
      </c>
      <c r="U145" s="350">
        <v>46254</v>
      </c>
      <c r="V145" s="350">
        <v>46259</v>
      </c>
      <c r="W145" s="350">
        <v>46273</v>
      </c>
      <c r="X145" s="350">
        <v>46275</v>
      </c>
      <c r="Y145" s="350">
        <v>46282</v>
      </c>
      <c r="Z145" s="350">
        <v>46311</v>
      </c>
      <c r="AA145" s="350">
        <v>46328</v>
      </c>
      <c r="AB145" s="350">
        <v>46340</v>
      </c>
      <c r="AC145" s="350">
        <v>46340</v>
      </c>
      <c r="AD145" s="350">
        <v>46342</v>
      </c>
      <c r="AE145" s="350">
        <v>46378</v>
      </c>
      <c r="AF145" s="350">
        <v>46392</v>
      </c>
      <c r="AG145" s="350">
        <v>46399</v>
      </c>
      <c r="AH145" s="350">
        <v>46413</v>
      </c>
      <c r="AI145" s="350">
        <v>46429</v>
      </c>
      <c r="AJ145" s="316">
        <v>18</v>
      </c>
      <c r="AK145" s="351"/>
      <c r="AL145" s="350" t="str">
        <f>TEXT(AL147,"d-mmm-yy")</f>
        <v>12-Jan-27</v>
      </c>
      <c r="AM145" s="327"/>
      <c r="AN145" s="327"/>
      <c r="AO145" s="327"/>
      <c r="AP145" s="327"/>
      <c r="AQ145" s="311"/>
      <c r="AR145" s="329"/>
      <c r="AS145" s="330" t="s">
        <v>62</v>
      </c>
      <c r="AT145" s="331">
        <v>46485</v>
      </c>
    </row>
    <row r="146" spans="1:46" s="264" customFormat="1" ht="25.05" customHeight="1">
      <c r="A146" s="491"/>
      <c r="B146" s="308" t="str">
        <f>B145</f>
        <v>RFQ-INS-033</v>
      </c>
      <c r="C146" s="308" t="s">
        <v>172</v>
      </c>
      <c r="D146" s="414"/>
      <c r="E146" s="542"/>
      <c r="F146" s="416"/>
      <c r="G146" s="311"/>
      <c r="H146" s="310"/>
      <c r="I146" s="311" t="s">
        <v>139</v>
      </c>
      <c r="J146" s="308"/>
      <c r="K146" s="322"/>
      <c r="L146" s="308"/>
      <c r="M146" s="323" t="s">
        <v>63</v>
      </c>
      <c r="N146" s="367"/>
      <c r="O146" s="325">
        <v>46199</v>
      </c>
      <c r="P146" s="325">
        <v>46206</v>
      </c>
      <c r="Q146" s="325">
        <v>46209</v>
      </c>
      <c r="R146" s="325">
        <v>46216</v>
      </c>
      <c r="S146" s="325">
        <v>46217</v>
      </c>
      <c r="T146" s="325">
        <v>46230</v>
      </c>
      <c r="U146" s="325">
        <v>46254</v>
      </c>
      <c r="V146" s="325">
        <v>46259</v>
      </c>
      <c r="W146" s="325">
        <v>46273</v>
      </c>
      <c r="X146" s="325">
        <v>46275</v>
      </c>
      <c r="Y146" s="325">
        <v>46282</v>
      </c>
      <c r="Z146" s="325">
        <v>46311</v>
      </c>
      <c r="AA146" s="325">
        <v>46328</v>
      </c>
      <c r="AB146" s="325">
        <v>46340</v>
      </c>
      <c r="AC146" s="325">
        <v>46340</v>
      </c>
      <c r="AD146" s="325">
        <v>46342</v>
      </c>
      <c r="AE146" s="325">
        <v>46378</v>
      </c>
      <c r="AF146" s="325">
        <v>46392</v>
      </c>
      <c r="AG146" s="325">
        <v>46399</v>
      </c>
      <c r="AH146" s="325">
        <v>46413</v>
      </c>
      <c r="AI146" s="325">
        <v>46429</v>
      </c>
      <c r="AJ146" s="365"/>
      <c r="AK146" s="326"/>
      <c r="AL146" s="325">
        <f>W146+AK147</f>
        <v>46399</v>
      </c>
      <c r="AM146" s="327"/>
      <c r="AN146" s="327"/>
      <c r="AO146" s="327"/>
      <c r="AP146" s="327"/>
      <c r="AQ146" s="328">
        <f>AM147-AL146</f>
        <v>79</v>
      </c>
      <c r="AR146" s="329"/>
      <c r="AS146" s="330"/>
      <c r="AT146" s="331"/>
    </row>
    <row r="147" spans="1:46" s="264" customFormat="1" ht="25.05" customHeight="1">
      <c r="A147" s="491"/>
      <c r="B147" s="308" t="str">
        <f>B145</f>
        <v>RFQ-INS-033</v>
      </c>
      <c r="C147" s="308" t="s">
        <v>172</v>
      </c>
      <c r="D147" s="360"/>
      <c r="E147" s="542"/>
      <c r="F147" s="360"/>
      <c r="G147" s="311">
        <v>79</v>
      </c>
      <c r="H147" s="310" t="s">
        <v>173</v>
      </c>
      <c r="I147" s="311" t="s">
        <v>139</v>
      </c>
      <c r="J147" s="308" t="s">
        <v>71</v>
      </c>
      <c r="K147" s="308">
        <f>K148</f>
        <v>3</v>
      </c>
      <c r="L147" s="308" t="s">
        <v>8</v>
      </c>
      <c r="M147" s="313" t="s">
        <v>65</v>
      </c>
      <c r="N147" s="350">
        <v>46196</v>
      </c>
      <c r="O147" s="350">
        <v>46196</v>
      </c>
      <c r="P147" s="350">
        <f>WORKDAY.INTL(O147,INDEX(P$8:P$11,MATCH($L147,$L$8:$L$11,0)),1,IF(P$18="China",'China Holidays'!$A$2:$A$82,'Thai Holidays'!$A$2:$A$63))</f>
        <v>46210</v>
      </c>
      <c r="Q147" s="350">
        <f>WORKDAY.INTL(P147,INDEX(Q$8:Q$11,MATCH($L147,$L$8:$L$11,0)),1,IF(Q$18="China",'China Holidays'!$A$2:$A$82,'Thai Holidays'!$A$2:$A$63))</f>
        <v>46210</v>
      </c>
      <c r="R147" s="350">
        <f>WORKDAY.INTL(Q147,INDEX(R$8:R$11,MATCH($L147,$L$8:$L$11,0)),1,IF(R$18="China",'China Holidays'!$A$2:$A$82,'Thai Holidays'!$A$2:$A$63))</f>
        <v>46210</v>
      </c>
      <c r="S147" s="350">
        <f>WORKDAY.INTL(R147,INDEX(S$8:S$11,MATCH($L147,$L$8:$L$11,0)),1,IF(S$18="China",'China Holidays'!$A$2:$A$82,'Thai Holidays'!$A$2:$A$63))</f>
        <v>46210</v>
      </c>
      <c r="T147" s="350">
        <f>WORKDAY.INTL(S147,INDEX(T$8:T$11,MATCH($L147,$L$8:$L$11,0)),1,IF(T$18="China",'China Holidays'!$A$2:$A$82,'Thai Holidays'!$A$2:$A$63))</f>
        <v>46224</v>
      </c>
      <c r="U147" s="350">
        <f>WORKDAY.INTL(T147,INDEX(U$8:U$11,MATCH($L147,$L$8:$L$11,0)),1,IF(U$18="China",'China Holidays'!$A$2:$A$82,'Thai Holidays'!$A$2:$A$63))</f>
        <v>46245</v>
      </c>
      <c r="V147" s="350">
        <f>WORKDAY.INTL(U147,INDEX(V$8:V$11,MATCH($L147,$L$8:$L$11,0)),1,IF(V$18="China",'China Holidays'!$A$2:$A$82,'Thai Holidays'!$A$2:$A$63))</f>
        <v>46260</v>
      </c>
      <c r="W147" s="350">
        <f>WORKDAY.INTL(V147,INDEX(W$8:W$11,MATCH($L147,$L$8:$L$11,0)),1,IF(W$18="China",'China Holidays'!$A$2:$A$82,'Thai Holidays'!$A$2:$A$63))</f>
        <v>46273</v>
      </c>
      <c r="X147" s="350">
        <f>WORKDAY.INTL(W147,INDEX(X$12:X$15,MATCH($L147,$L$12:$L$15,0)),1,IF(X$18="China",'China Holidays'!$A$2:$A$82,'Thai Holidays'!$A$2:$A$63))</f>
        <v>46275</v>
      </c>
      <c r="Y147" s="350">
        <f>WORKDAY.INTL(X147,INDEX(Y$12:Y$15,MATCH($L147,$L$12:$L$15,0)),1,IF(Y$18="China",'China Holidays'!$A$2:$A$82,'Thai Holidays'!$A$2:$A$63))</f>
        <v>46282</v>
      </c>
      <c r="Z147" s="350">
        <f>WORKDAY.INTL(Y147,INDEX(Z$12:Z$15,MATCH($L147,$L$12:$L$15,0)),1,IF(Z$18="China",'China Holidays'!$A$2:$A$82,'Thai Holidays'!$A$2:$A$63))</f>
        <v>46311</v>
      </c>
      <c r="AA147" s="350">
        <f>WORKDAY.INTL(Z147,INDEX(AA$12:AA$15,MATCH($L147,$L$12:$L$15,0)),1,IF(AA$18="China",'China Holidays'!$A$2:$A$82,'Thai Holidays'!$A$2:$A$63))</f>
        <v>46328</v>
      </c>
      <c r="AB147" s="350">
        <f>AA147+15</f>
        <v>46343</v>
      </c>
      <c r="AC147" s="350">
        <f>AB147</f>
        <v>46343</v>
      </c>
      <c r="AD147" s="350">
        <f>AC147+2</f>
        <v>46345</v>
      </c>
      <c r="AE147" s="350">
        <f>AF147-14</f>
        <v>46378</v>
      </c>
      <c r="AF147" s="350">
        <f>AG147-7</f>
        <v>46392</v>
      </c>
      <c r="AG147" s="350">
        <f>AL147</f>
        <v>46399</v>
      </c>
      <c r="AH147" s="350">
        <f>AL147+14</f>
        <v>46413</v>
      </c>
      <c r="AI147" s="350">
        <f>AL147+30</f>
        <v>46429</v>
      </c>
      <c r="AJ147" s="362"/>
      <c r="AK147" s="326">
        <f>AJ145*7</f>
        <v>126</v>
      </c>
      <c r="AL147" s="350">
        <f>W147+AK147</f>
        <v>46399</v>
      </c>
      <c r="AM147" s="327">
        <f>AT145-7</f>
        <v>46478</v>
      </c>
      <c r="AN147" s="327">
        <f>AO147-7</f>
        <v>46498</v>
      </c>
      <c r="AO147" s="327">
        <v>46505</v>
      </c>
      <c r="AP147" s="327" t="s">
        <v>141</v>
      </c>
      <c r="AQ147" s="311">
        <f>AM147-AL147</f>
        <v>79</v>
      </c>
      <c r="AR147" s="329"/>
      <c r="AS147" s="330" t="s">
        <v>66</v>
      </c>
      <c r="AT147" s="331">
        <v>46485</v>
      </c>
    </row>
    <row r="148" spans="1:46" s="264" customFormat="1" ht="25.05" customHeight="1">
      <c r="A148" s="492"/>
      <c r="B148" s="337" t="str">
        <f>B145</f>
        <v>RFQ-INS-033</v>
      </c>
      <c r="C148" s="337" t="s">
        <v>172</v>
      </c>
      <c r="D148" s="395"/>
      <c r="E148" s="544"/>
      <c r="F148" s="395"/>
      <c r="G148" s="340"/>
      <c r="H148" s="339"/>
      <c r="I148" s="340" t="s">
        <v>139</v>
      </c>
      <c r="J148" s="337" t="s">
        <v>71</v>
      </c>
      <c r="K148" s="308">
        <v>3</v>
      </c>
      <c r="L148" s="337" t="s">
        <v>8</v>
      </c>
      <c r="M148" s="341" t="s">
        <v>67</v>
      </c>
      <c r="N148" s="343"/>
      <c r="O148" s="343">
        <v>46197</v>
      </c>
      <c r="P148" s="343"/>
      <c r="Q148" s="343"/>
      <c r="R148" s="343"/>
      <c r="S148" s="343"/>
      <c r="T148" s="343"/>
      <c r="U148" s="343"/>
      <c r="V148" s="343"/>
      <c r="W148" s="340">
        <f>W145-W147</f>
        <v>0</v>
      </c>
      <c r="X148" s="343"/>
      <c r="Y148" s="343"/>
      <c r="Z148" s="343"/>
      <c r="AA148" s="343"/>
      <c r="AB148" s="343"/>
      <c r="AC148" s="343"/>
      <c r="AD148" s="343"/>
      <c r="AE148" s="343"/>
      <c r="AF148" s="343"/>
      <c r="AG148" s="343"/>
      <c r="AH148" s="343"/>
      <c r="AI148" s="343"/>
      <c r="AJ148" s="353"/>
      <c r="AK148" s="354"/>
      <c r="AL148" s="343"/>
      <c r="AM148" s="355"/>
      <c r="AN148" s="355"/>
      <c r="AO148" s="355"/>
      <c r="AP148" s="355"/>
      <c r="AQ148" s="340"/>
      <c r="AR148" s="356"/>
      <c r="AS148" s="357"/>
      <c r="AT148" s="356"/>
    </row>
    <row r="149" spans="1:46" s="264" customFormat="1" ht="25.05" customHeight="1">
      <c r="A149" s="493">
        <f>A145+1</f>
        <v>34</v>
      </c>
      <c r="B149" s="308" t="s">
        <v>174</v>
      </c>
      <c r="C149" s="308" t="s">
        <v>175</v>
      </c>
      <c r="D149" s="419"/>
      <c r="E149" s="541">
        <v>18</v>
      </c>
      <c r="F149" s="419"/>
      <c r="G149" s="311"/>
      <c r="H149" s="310"/>
      <c r="I149" s="311" t="s">
        <v>139</v>
      </c>
      <c r="J149" s="308" t="s">
        <v>71</v>
      </c>
      <c r="K149" s="312">
        <f>K152</f>
        <v>4</v>
      </c>
      <c r="L149" s="308" t="s">
        <v>8</v>
      </c>
      <c r="M149" s="313" t="s">
        <v>61</v>
      </c>
      <c r="N149" s="364">
        <f>WORKDAY.INTL(O149,-INDEX(O$12:O$15,MATCH($L149,$L$12:$L$15,0)),1,IF(N$18="China",'China Holidays'!$A$2:$A$82,'Thai Holidays'!$A$2:$A$63))</f>
        <v>46196</v>
      </c>
      <c r="O149" s="350">
        <v>46199</v>
      </c>
      <c r="P149" s="350">
        <v>46206</v>
      </c>
      <c r="Q149" s="350">
        <v>46209</v>
      </c>
      <c r="R149" s="350">
        <v>46216</v>
      </c>
      <c r="S149" s="350">
        <f>R149+1</f>
        <v>46217</v>
      </c>
      <c r="T149" s="350">
        <v>46230</v>
      </c>
      <c r="U149" s="350">
        <v>46254</v>
      </c>
      <c r="V149" s="350">
        <v>46259</v>
      </c>
      <c r="W149" s="350">
        <v>46273</v>
      </c>
      <c r="X149" s="350">
        <v>46275</v>
      </c>
      <c r="Y149" s="350">
        <v>46282</v>
      </c>
      <c r="Z149" s="350">
        <v>46311</v>
      </c>
      <c r="AA149" s="350">
        <v>46328</v>
      </c>
      <c r="AB149" s="350">
        <v>46340</v>
      </c>
      <c r="AC149" s="350">
        <v>46340</v>
      </c>
      <c r="AD149" s="350">
        <v>46342</v>
      </c>
      <c r="AE149" s="350">
        <v>46378</v>
      </c>
      <c r="AF149" s="350">
        <v>46392</v>
      </c>
      <c r="AG149" s="350">
        <v>46399</v>
      </c>
      <c r="AH149" s="350">
        <v>46413</v>
      </c>
      <c r="AI149" s="350">
        <v>46429</v>
      </c>
      <c r="AJ149" s="316">
        <v>18</v>
      </c>
      <c r="AK149" s="351"/>
      <c r="AL149" s="350" t="str">
        <f>TEXT(AL151,"d-mmm-yy")</f>
        <v>12-Jan-27</v>
      </c>
      <c r="AM149" s="327"/>
      <c r="AN149" s="327"/>
      <c r="AO149" s="327"/>
      <c r="AP149" s="327"/>
      <c r="AQ149" s="311"/>
      <c r="AR149" s="329"/>
      <c r="AS149" s="330" t="s">
        <v>62</v>
      </c>
      <c r="AT149" s="331">
        <v>46485</v>
      </c>
    </row>
    <row r="150" spans="1:46" s="264" customFormat="1" ht="25.05" customHeight="1">
      <c r="A150" s="491"/>
      <c r="B150" s="308" t="str">
        <f>B149</f>
        <v>RFQ-INS-034</v>
      </c>
      <c r="C150" s="308" t="s">
        <v>175</v>
      </c>
      <c r="D150" s="414"/>
      <c r="E150" s="542"/>
      <c r="F150" s="416"/>
      <c r="G150" s="311"/>
      <c r="H150" s="310"/>
      <c r="I150" s="311" t="s">
        <v>139</v>
      </c>
      <c r="J150" s="308"/>
      <c r="K150" s="322"/>
      <c r="L150" s="308"/>
      <c r="M150" s="323" t="s">
        <v>63</v>
      </c>
      <c r="N150" s="367"/>
      <c r="O150" s="325">
        <v>46199</v>
      </c>
      <c r="P150" s="325">
        <v>46206</v>
      </c>
      <c r="Q150" s="325">
        <v>46209</v>
      </c>
      <c r="R150" s="325">
        <v>46216</v>
      </c>
      <c r="S150" s="325">
        <v>46217</v>
      </c>
      <c r="T150" s="325">
        <v>46230</v>
      </c>
      <c r="U150" s="325">
        <v>46254</v>
      </c>
      <c r="V150" s="325">
        <v>46259</v>
      </c>
      <c r="W150" s="325">
        <v>46273</v>
      </c>
      <c r="X150" s="325">
        <v>46275</v>
      </c>
      <c r="Y150" s="325">
        <v>46282</v>
      </c>
      <c r="Z150" s="325">
        <v>46311</v>
      </c>
      <c r="AA150" s="325">
        <v>46328</v>
      </c>
      <c r="AB150" s="325">
        <v>46340</v>
      </c>
      <c r="AC150" s="325">
        <v>46340</v>
      </c>
      <c r="AD150" s="325">
        <v>46342</v>
      </c>
      <c r="AE150" s="325">
        <v>46378</v>
      </c>
      <c r="AF150" s="325">
        <v>46392</v>
      </c>
      <c r="AG150" s="325">
        <v>46399</v>
      </c>
      <c r="AH150" s="325">
        <v>46413</v>
      </c>
      <c r="AI150" s="325">
        <v>46429</v>
      </c>
      <c r="AJ150" s="365"/>
      <c r="AK150" s="326"/>
      <c r="AL150" s="325">
        <f>W150+AK151</f>
        <v>46399</v>
      </c>
      <c r="AM150" s="327"/>
      <c r="AN150" s="327"/>
      <c r="AO150" s="327"/>
      <c r="AP150" s="327"/>
      <c r="AQ150" s="328">
        <f>AM151-AL150</f>
        <v>79</v>
      </c>
      <c r="AR150" s="329"/>
      <c r="AS150" s="330"/>
      <c r="AT150" s="331"/>
    </row>
    <row r="151" spans="1:46" s="264" customFormat="1" ht="25.05" customHeight="1">
      <c r="A151" s="491"/>
      <c r="B151" s="308" t="str">
        <f>B149</f>
        <v>RFQ-INS-034</v>
      </c>
      <c r="C151" s="308" t="s">
        <v>175</v>
      </c>
      <c r="D151" s="360"/>
      <c r="E151" s="542"/>
      <c r="F151" s="360"/>
      <c r="G151" s="311">
        <v>79</v>
      </c>
      <c r="H151" s="310" t="s">
        <v>164</v>
      </c>
      <c r="I151" s="311" t="s">
        <v>139</v>
      </c>
      <c r="J151" s="308" t="s">
        <v>71</v>
      </c>
      <c r="K151" s="308">
        <f>K152</f>
        <v>4</v>
      </c>
      <c r="L151" s="308" t="s">
        <v>8</v>
      </c>
      <c r="M151" s="313" t="s">
        <v>65</v>
      </c>
      <c r="N151" s="350">
        <f>WORKDAY.INTL(O151,-INDEX(O$12:O$15,MATCH($L151,$L$12:$L$15,0)),1,IF(N$18="China",'China Holidays'!$A$2:$A$82,'Thai Holidays'!$A$2:$A$63))</f>
        <v>46190</v>
      </c>
      <c r="O151" s="350">
        <v>46196</v>
      </c>
      <c r="P151" s="350">
        <f>WORKDAY.INTL(O151,INDEX(P$8:P$11,MATCH($L151,$L$8:$L$11,0)),1,IF(P$18="China",'China Holidays'!$A$2:$A$82,'Thai Holidays'!$A$2:$A$63))</f>
        <v>46210</v>
      </c>
      <c r="Q151" s="350">
        <f>WORKDAY.INTL(P151,INDEX(Q$8:Q$11,MATCH($L151,$L$8:$L$11,0)),1,IF(Q$18="China",'China Holidays'!$A$2:$A$82,'Thai Holidays'!$A$2:$A$63))</f>
        <v>46210</v>
      </c>
      <c r="R151" s="350">
        <f>WORKDAY.INTL(Q151,INDEX(R$8:R$11,MATCH($L151,$L$8:$L$11,0)),1,IF(R$18="China",'China Holidays'!$A$2:$A$82,'Thai Holidays'!$A$2:$A$63))</f>
        <v>46210</v>
      </c>
      <c r="S151" s="350">
        <f>WORKDAY.INTL(R151,INDEX(S$8:S$11,MATCH($L151,$L$8:$L$11,0)),1,IF(S$18="China",'China Holidays'!$A$2:$A$82,'Thai Holidays'!$A$2:$A$63))</f>
        <v>46210</v>
      </c>
      <c r="T151" s="350">
        <f>WORKDAY.INTL(S151,INDEX(T$8:T$11,MATCH($L151,$L$8:$L$11,0)),1,IF(T$18="China",'China Holidays'!$A$2:$A$82,'Thai Holidays'!$A$2:$A$63))</f>
        <v>46224</v>
      </c>
      <c r="U151" s="350">
        <f>WORKDAY.INTL(T151,INDEX(U$8:U$11,MATCH($L151,$L$8:$L$11,0)),1,IF(U$18="China",'China Holidays'!$A$2:$A$82,'Thai Holidays'!$A$2:$A$63))</f>
        <v>46245</v>
      </c>
      <c r="V151" s="350">
        <f>WORKDAY.INTL(U151,INDEX(V$8:V$11,MATCH($L151,$L$8:$L$11,0)),1,IF(V$18="China",'China Holidays'!$A$2:$A$82,'Thai Holidays'!$A$2:$A$63))</f>
        <v>46260</v>
      </c>
      <c r="W151" s="350">
        <f>WORKDAY.INTL(V151,INDEX(W$8:W$11,MATCH($L151,$L$8:$L$11,0)),1,IF(W$18="China",'China Holidays'!$A$2:$A$82,'Thai Holidays'!$A$2:$A$63))</f>
        <v>46273</v>
      </c>
      <c r="X151" s="350">
        <f>WORKDAY.INTL(W151,INDEX(X$12:X$15,MATCH($L151,$L$12:$L$15,0)),1,IF(X$18="China",'China Holidays'!$A$2:$A$82,'Thai Holidays'!$A$2:$A$63))</f>
        <v>46275</v>
      </c>
      <c r="Y151" s="350">
        <f>WORKDAY.INTL(X151,INDEX(Y$12:Y$15,MATCH($L151,$L$12:$L$15,0)),1,IF(Y$18="China",'China Holidays'!$A$2:$A$82,'Thai Holidays'!$A$2:$A$63))</f>
        <v>46282</v>
      </c>
      <c r="Z151" s="350">
        <f>WORKDAY.INTL(Y151,INDEX(Z$12:Z$15,MATCH($L151,$L$12:$L$15,0)),1,IF(Z$18="China",'China Holidays'!$A$2:$A$82,'Thai Holidays'!$A$2:$A$63))</f>
        <v>46311</v>
      </c>
      <c r="AA151" s="350">
        <f>WORKDAY.INTL(Z151,INDEX(AA$12:AA$15,MATCH($L151,$L$12:$L$15,0)),1,IF(AA$18="China",'China Holidays'!$A$2:$A$82,'Thai Holidays'!$A$2:$A$63))</f>
        <v>46328</v>
      </c>
      <c r="AB151" s="350">
        <f>AA151+15</f>
        <v>46343</v>
      </c>
      <c r="AC151" s="350">
        <f>AB151</f>
        <v>46343</v>
      </c>
      <c r="AD151" s="350">
        <f>AC151+2</f>
        <v>46345</v>
      </c>
      <c r="AE151" s="350">
        <f>AF151-14</f>
        <v>46378</v>
      </c>
      <c r="AF151" s="350">
        <f>AG151-7</f>
        <v>46392</v>
      </c>
      <c r="AG151" s="350">
        <f>AL151</f>
        <v>46399</v>
      </c>
      <c r="AH151" s="350">
        <f>AL151+14</f>
        <v>46413</v>
      </c>
      <c r="AI151" s="350">
        <f>AL151+30</f>
        <v>46429</v>
      </c>
      <c r="AJ151" s="362"/>
      <c r="AK151" s="326">
        <f>AJ149*7</f>
        <v>126</v>
      </c>
      <c r="AL151" s="350">
        <f>W151+AK151</f>
        <v>46399</v>
      </c>
      <c r="AM151" s="327">
        <f>AT149-7</f>
        <v>46478</v>
      </c>
      <c r="AN151" s="327">
        <f>AO151-7</f>
        <v>46498</v>
      </c>
      <c r="AO151" s="327">
        <v>46505</v>
      </c>
      <c r="AP151" s="327" t="s">
        <v>141</v>
      </c>
      <c r="AQ151" s="311">
        <f>AM151-AL151</f>
        <v>79</v>
      </c>
      <c r="AR151" s="329"/>
      <c r="AS151" s="330" t="s">
        <v>66</v>
      </c>
      <c r="AT151" s="331">
        <v>46485</v>
      </c>
    </row>
    <row r="152" spans="1:46" s="264" customFormat="1" ht="25.05" customHeight="1">
      <c r="A152" s="492"/>
      <c r="B152" s="337" t="str">
        <f>B149</f>
        <v>RFQ-INS-034</v>
      </c>
      <c r="C152" s="337" t="s">
        <v>175</v>
      </c>
      <c r="D152" s="395"/>
      <c r="E152" s="544"/>
      <c r="F152" s="395"/>
      <c r="G152" s="340"/>
      <c r="H152" s="339"/>
      <c r="I152" s="340" t="s">
        <v>139</v>
      </c>
      <c r="J152" s="337" t="s">
        <v>71</v>
      </c>
      <c r="K152" s="308">
        <v>4</v>
      </c>
      <c r="L152" s="337" t="s">
        <v>8</v>
      </c>
      <c r="M152" s="341" t="s">
        <v>67</v>
      </c>
      <c r="N152" s="343"/>
      <c r="O152" s="343">
        <v>46203</v>
      </c>
      <c r="P152" s="343"/>
      <c r="Q152" s="343"/>
      <c r="R152" s="343"/>
      <c r="S152" s="343"/>
      <c r="T152" s="343"/>
      <c r="U152" s="343"/>
      <c r="V152" s="343"/>
      <c r="W152" s="340">
        <f>W149-W151</f>
        <v>0</v>
      </c>
      <c r="X152" s="343"/>
      <c r="Y152" s="343"/>
      <c r="Z152" s="343"/>
      <c r="AA152" s="343"/>
      <c r="AB152" s="343"/>
      <c r="AC152" s="343"/>
      <c r="AD152" s="343"/>
      <c r="AE152" s="343"/>
      <c r="AF152" s="343"/>
      <c r="AG152" s="343"/>
      <c r="AH152" s="343"/>
      <c r="AI152" s="343"/>
      <c r="AJ152" s="353"/>
      <c r="AK152" s="354"/>
      <c r="AL152" s="343"/>
      <c r="AM152" s="355"/>
      <c r="AN152" s="355"/>
      <c r="AO152" s="355"/>
      <c r="AP152" s="355"/>
      <c r="AQ152" s="340"/>
      <c r="AR152" s="356"/>
      <c r="AS152" s="357"/>
      <c r="AT152" s="356"/>
    </row>
    <row r="153" spans="1:46" s="264" customFormat="1" ht="25.05" customHeight="1">
      <c r="A153" s="493">
        <f>A149+1</f>
        <v>35</v>
      </c>
      <c r="B153" s="308" t="s">
        <v>176</v>
      </c>
      <c r="C153" s="308" t="s">
        <v>177</v>
      </c>
      <c r="D153" s="419"/>
      <c r="E153" s="541">
        <v>18</v>
      </c>
      <c r="F153" s="419"/>
      <c r="G153" s="311"/>
      <c r="H153" s="310"/>
      <c r="I153" s="311" t="s">
        <v>139</v>
      </c>
      <c r="J153" s="308" t="s">
        <v>71</v>
      </c>
      <c r="K153" s="312">
        <f>K156</f>
        <v>4</v>
      </c>
      <c r="L153" s="308" t="s">
        <v>8</v>
      </c>
      <c r="M153" s="313" t="s">
        <v>61</v>
      </c>
      <c r="N153" s="364">
        <f>WORKDAY.INTL(O153,-INDEX(O$12:O$15,MATCH($L153,$L$12:$L$15,0)),1,IF(N$18="China",'China Holidays'!$A$2:$A$82,'Thai Holidays'!$A$2:$A$63))</f>
        <v>46234</v>
      </c>
      <c r="O153" s="350">
        <v>46239</v>
      </c>
      <c r="P153" s="350">
        <v>46247</v>
      </c>
      <c r="Q153" s="350">
        <v>46248</v>
      </c>
      <c r="R153" s="350">
        <v>46255</v>
      </c>
      <c r="S153" s="350">
        <f>R153+1</f>
        <v>46256</v>
      </c>
      <c r="T153" s="350">
        <v>46269</v>
      </c>
      <c r="U153" s="350">
        <v>46290</v>
      </c>
      <c r="V153" s="350">
        <v>46295</v>
      </c>
      <c r="W153" s="350">
        <v>46316</v>
      </c>
      <c r="X153" s="350">
        <v>46318</v>
      </c>
      <c r="Y153" s="350">
        <v>46325</v>
      </c>
      <c r="Z153" s="350">
        <v>46346</v>
      </c>
      <c r="AA153" s="350">
        <v>46360</v>
      </c>
      <c r="AB153" s="350">
        <v>46375</v>
      </c>
      <c r="AC153" s="350">
        <v>46375</v>
      </c>
      <c r="AD153" s="350">
        <v>46377</v>
      </c>
      <c r="AE153" s="350">
        <v>46421</v>
      </c>
      <c r="AF153" s="350">
        <v>46435</v>
      </c>
      <c r="AG153" s="350">
        <v>46442</v>
      </c>
      <c r="AH153" s="350">
        <v>46456</v>
      </c>
      <c r="AI153" s="350">
        <v>46472</v>
      </c>
      <c r="AJ153" s="316">
        <v>18</v>
      </c>
      <c r="AK153" s="351"/>
      <c r="AL153" s="350" t="str">
        <f>TEXT(AL155,"d-mmm-yy")</f>
        <v>23-Feb-27</v>
      </c>
      <c r="AM153" s="327"/>
      <c r="AN153" s="327"/>
      <c r="AO153" s="327"/>
      <c r="AP153" s="327"/>
      <c r="AQ153" s="311"/>
      <c r="AR153" s="329"/>
      <c r="AS153" s="330" t="s">
        <v>62</v>
      </c>
      <c r="AT153" s="331">
        <v>46485</v>
      </c>
    </row>
    <row r="154" spans="1:46" s="264" customFormat="1" ht="25.05" customHeight="1">
      <c r="A154" s="491"/>
      <c r="B154" s="308" t="str">
        <f>B153</f>
        <v>RFQ-INS-035</v>
      </c>
      <c r="C154" s="308" t="s">
        <v>177</v>
      </c>
      <c r="D154" s="414"/>
      <c r="E154" s="542"/>
      <c r="F154" s="416"/>
      <c r="G154" s="311"/>
      <c r="H154" s="310"/>
      <c r="I154" s="311" t="s">
        <v>139</v>
      </c>
      <c r="J154" s="308"/>
      <c r="K154" s="322"/>
      <c r="L154" s="308"/>
      <c r="M154" s="323" t="s">
        <v>63</v>
      </c>
      <c r="N154" s="367"/>
      <c r="O154" s="325">
        <v>46239</v>
      </c>
      <c r="P154" s="325">
        <v>46247</v>
      </c>
      <c r="Q154" s="325">
        <v>46248</v>
      </c>
      <c r="R154" s="325">
        <v>46255</v>
      </c>
      <c r="S154" s="325">
        <v>46256</v>
      </c>
      <c r="T154" s="325">
        <v>46269</v>
      </c>
      <c r="U154" s="325">
        <v>46290</v>
      </c>
      <c r="V154" s="325">
        <v>46295</v>
      </c>
      <c r="W154" s="325">
        <v>46316</v>
      </c>
      <c r="X154" s="325">
        <v>46318</v>
      </c>
      <c r="Y154" s="325">
        <v>46325</v>
      </c>
      <c r="Z154" s="325">
        <v>46346</v>
      </c>
      <c r="AA154" s="325">
        <v>46360</v>
      </c>
      <c r="AB154" s="325">
        <v>46375</v>
      </c>
      <c r="AC154" s="325">
        <v>46375</v>
      </c>
      <c r="AD154" s="325">
        <v>46377</v>
      </c>
      <c r="AE154" s="325">
        <v>46421</v>
      </c>
      <c r="AF154" s="325">
        <v>46435</v>
      </c>
      <c r="AG154" s="325">
        <v>46442</v>
      </c>
      <c r="AH154" s="325">
        <v>46456</v>
      </c>
      <c r="AI154" s="325">
        <v>46472</v>
      </c>
      <c r="AJ154" s="365"/>
      <c r="AK154" s="326"/>
      <c r="AL154" s="325">
        <f>W154+AK155</f>
        <v>46442</v>
      </c>
      <c r="AM154" s="327"/>
      <c r="AN154" s="327"/>
      <c r="AO154" s="327"/>
      <c r="AP154" s="327"/>
      <c r="AQ154" s="328">
        <f>AM155-AL154</f>
        <v>36</v>
      </c>
      <c r="AR154" s="329"/>
      <c r="AS154" s="330"/>
      <c r="AT154" s="331"/>
    </row>
    <row r="155" spans="1:46" s="264" customFormat="1" ht="25.05" customHeight="1">
      <c r="A155" s="491"/>
      <c r="B155" s="308" t="str">
        <f>B153</f>
        <v>RFQ-INS-035</v>
      </c>
      <c r="C155" s="308" t="s">
        <v>177</v>
      </c>
      <c r="D155" s="360"/>
      <c r="E155" s="542"/>
      <c r="F155" s="360"/>
      <c r="G155" s="311">
        <v>37</v>
      </c>
      <c r="H155" s="310" t="s">
        <v>178</v>
      </c>
      <c r="I155" s="311" t="s">
        <v>139</v>
      </c>
      <c r="J155" s="308" t="s">
        <v>71</v>
      </c>
      <c r="K155" s="308">
        <f>K156</f>
        <v>4</v>
      </c>
      <c r="L155" s="308" t="s">
        <v>8</v>
      </c>
      <c r="M155" s="313" t="s">
        <v>65</v>
      </c>
      <c r="N155" s="350">
        <f>N153</f>
        <v>46234</v>
      </c>
      <c r="O155" s="350">
        <v>46239</v>
      </c>
      <c r="P155" s="350">
        <f>WORKDAY.INTL(O155,INDEX(P$8:P$11,MATCH($L155,$L$8:$L$11,0)),1,IF(P$18="China",'China Holidays'!$A$2:$A$82,'Thai Holidays'!$A$2:$A$63))</f>
        <v>46254</v>
      </c>
      <c r="Q155" s="350">
        <f>WORKDAY.INTL(P155,INDEX(Q$8:Q$11,MATCH($L155,$L$8:$L$11,0)),1,IF(Q$18="China",'China Holidays'!$A$2:$A$82,'Thai Holidays'!$A$2:$A$63))</f>
        <v>46254</v>
      </c>
      <c r="R155" s="350">
        <f>WORKDAY.INTL(Q155,INDEX(R$8:R$11,MATCH($L155,$L$8:$L$11,0)),1,IF(R$18="China",'China Holidays'!$A$2:$A$82,'Thai Holidays'!$A$2:$A$63))</f>
        <v>46254</v>
      </c>
      <c r="S155" s="350">
        <f>WORKDAY.INTL(R155,INDEX(S$8:S$11,MATCH($L155,$L$8:$L$11,0)),1,IF(S$18="China",'China Holidays'!$A$2:$A$82,'Thai Holidays'!$A$2:$A$63))</f>
        <v>46254</v>
      </c>
      <c r="T155" s="350">
        <f>WORKDAY.INTL(S155,INDEX(T$8:T$11,MATCH($L155,$L$8:$L$11,0)),1,IF(T$18="China",'China Holidays'!$A$2:$A$82,'Thai Holidays'!$A$2:$A$63))</f>
        <v>46268</v>
      </c>
      <c r="U155" s="350">
        <f>WORKDAY.INTL(T155,INDEX(U$8:U$11,MATCH($L155,$L$8:$L$11,0)),1,IF(U$18="China",'China Holidays'!$A$2:$A$82,'Thai Holidays'!$A$2:$A$63))</f>
        <v>46287</v>
      </c>
      <c r="V155" s="350">
        <f>WORKDAY.INTL(U155,INDEX(V$8:V$11,MATCH($L155,$L$8:$L$11,0)),1,IF(V$18="China",'China Holidays'!$A$2:$A$82,'Thai Holidays'!$A$2:$A$63))</f>
        <v>46301</v>
      </c>
      <c r="W155" s="350">
        <f>WORKDAY.INTL(V155,INDEX(W$8:W$11,MATCH($L155,$L$8:$L$11,0)),1,IF(W$18="China",'China Holidays'!$A$2:$A$82,'Thai Holidays'!$A$2:$A$63))</f>
        <v>46315</v>
      </c>
      <c r="X155" s="350">
        <f>WORKDAY.INTL(W155,INDEX(X$12:X$15,MATCH($L155,$L$12:$L$15,0)),1,IF(X$18="China",'China Holidays'!$A$2:$A$82,'Thai Holidays'!$A$2:$A$63))</f>
        <v>46317</v>
      </c>
      <c r="Y155" s="350">
        <f>WORKDAY.INTL(X155,INDEX(Y$12:Y$15,MATCH($L155,$L$12:$L$15,0)),1,IF(Y$18="China",'China Holidays'!$A$2:$A$82,'Thai Holidays'!$A$2:$A$63))</f>
        <v>46324</v>
      </c>
      <c r="Z155" s="350">
        <f>WORKDAY.INTL(Y155,INDEX(Z$12:Z$15,MATCH($L155,$L$12:$L$15,0)),1,IF(Z$18="China",'China Holidays'!$A$2:$A$82,'Thai Holidays'!$A$2:$A$63))</f>
        <v>46345</v>
      </c>
      <c r="AA155" s="350">
        <f>WORKDAY.INTL(Z155,INDEX(AA$12:AA$15,MATCH($L155,$L$12:$L$15,0)),1,IF(AA$18="China",'China Holidays'!$A$2:$A$82,'Thai Holidays'!$A$2:$A$63))</f>
        <v>46359</v>
      </c>
      <c r="AB155" s="350">
        <f>AA155+15</f>
        <v>46374</v>
      </c>
      <c r="AC155" s="350">
        <f>AB155</f>
        <v>46374</v>
      </c>
      <c r="AD155" s="350">
        <f>AC155+2</f>
        <v>46376</v>
      </c>
      <c r="AE155" s="350">
        <f>AF155-14</f>
        <v>46420</v>
      </c>
      <c r="AF155" s="350">
        <f>AG155-7</f>
        <v>46434</v>
      </c>
      <c r="AG155" s="350">
        <f>AL155</f>
        <v>46441</v>
      </c>
      <c r="AH155" s="350">
        <f>AL155+14</f>
        <v>46455</v>
      </c>
      <c r="AI155" s="350">
        <f>AL155+30</f>
        <v>46471</v>
      </c>
      <c r="AJ155" s="362"/>
      <c r="AK155" s="326">
        <f>AJ153*7</f>
        <v>126</v>
      </c>
      <c r="AL155" s="350">
        <f>W155+AK155</f>
        <v>46441</v>
      </c>
      <c r="AM155" s="327">
        <f>AT153-7</f>
        <v>46478</v>
      </c>
      <c r="AN155" s="327">
        <f>AO155-7</f>
        <v>46498</v>
      </c>
      <c r="AO155" s="327">
        <v>46505</v>
      </c>
      <c r="AP155" s="327" t="s">
        <v>141</v>
      </c>
      <c r="AQ155" s="311">
        <f>AM155-AL155</f>
        <v>37</v>
      </c>
      <c r="AR155" s="329"/>
      <c r="AS155" s="330" t="s">
        <v>66</v>
      </c>
      <c r="AT155" s="331">
        <v>46485</v>
      </c>
    </row>
    <row r="156" spans="1:46" s="264" customFormat="1" ht="25.05" customHeight="1">
      <c r="A156" s="492"/>
      <c r="B156" s="337" t="str">
        <f>B153</f>
        <v>RFQ-INS-035</v>
      </c>
      <c r="C156" s="337" t="s">
        <v>177</v>
      </c>
      <c r="D156" s="395"/>
      <c r="E156" s="544"/>
      <c r="F156" s="395"/>
      <c r="G156" s="340"/>
      <c r="H156" s="339"/>
      <c r="I156" s="340" t="s">
        <v>139</v>
      </c>
      <c r="J156" s="337" t="s">
        <v>71</v>
      </c>
      <c r="K156" s="308">
        <v>4</v>
      </c>
      <c r="L156" s="337" t="s">
        <v>8</v>
      </c>
      <c r="M156" s="341" t="s">
        <v>67</v>
      </c>
      <c r="N156" s="340"/>
      <c r="O156" s="343"/>
      <c r="P156" s="343"/>
      <c r="Q156" s="343"/>
      <c r="R156" s="343"/>
      <c r="S156" s="343"/>
      <c r="T156" s="343"/>
      <c r="U156" s="343"/>
      <c r="V156" s="343"/>
      <c r="W156" s="340">
        <f>W153-W155</f>
        <v>1</v>
      </c>
      <c r="X156" s="343"/>
      <c r="Y156" s="343"/>
      <c r="Z156" s="343"/>
      <c r="AA156" s="343"/>
      <c r="AB156" s="343"/>
      <c r="AC156" s="343"/>
      <c r="AD156" s="343"/>
      <c r="AE156" s="343"/>
      <c r="AF156" s="343"/>
      <c r="AG156" s="343"/>
      <c r="AH156" s="343"/>
      <c r="AI156" s="343"/>
      <c r="AJ156" s="353"/>
      <c r="AK156" s="354"/>
      <c r="AL156" s="343"/>
      <c r="AM156" s="355"/>
      <c r="AN156" s="355"/>
      <c r="AO156" s="355"/>
      <c r="AP156" s="355"/>
      <c r="AQ156" s="340"/>
      <c r="AR156" s="356"/>
      <c r="AS156" s="357"/>
      <c r="AT156" s="356"/>
    </row>
    <row r="157" spans="1:46" s="264" customFormat="1" ht="25.05" customHeight="1">
      <c r="A157" s="493">
        <f>A153+1</f>
        <v>36</v>
      </c>
      <c r="B157" s="308" t="s">
        <v>179</v>
      </c>
      <c r="C157" s="308" t="s">
        <v>180</v>
      </c>
      <c r="D157" s="419"/>
      <c r="E157" s="541">
        <v>22</v>
      </c>
      <c r="F157" s="419"/>
      <c r="G157" s="311"/>
      <c r="H157" s="310"/>
      <c r="I157" s="311" t="s">
        <v>139</v>
      </c>
      <c r="J157" s="308" t="s">
        <v>71</v>
      </c>
      <c r="K157" s="312">
        <f>K160</f>
        <v>4</v>
      </c>
      <c r="L157" s="308" t="s">
        <v>8</v>
      </c>
      <c r="M157" s="313" t="s">
        <v>61</v>
      </c>
      <c r="N157" s="364">
        <f>WORKDAY.INTL(O157,-INDEX(O$12:O$15,MATCH($L157,$L$12:$L$15,0)),1,IF(N$18="China",'China Holidays'!$A$2:$A$82,'Thai Holidays'!$A$2:$A$63))</f>
        <v>46213</v>
      </c>
      <c r="O157" s="350">
        <v>46218</v>
      </c>
      <c r="P157" s="350">
        <v>46225</v>
      </c>
      <c r="Q157" s="350">
        <v>46226</v>
      </c>
      <c r="R157" s="350">
        <v>46237</v>
      </c>
      <c r="S157" s="350">
        <f>R157+1</f>
        <v>46238</v>
      </c>
      <c r="T157" s="350">
        <v>46251</v>
      </c>
      <c r="U157" s="350">
        <v>46272</v>
      </c>
      <c r="V157" s="350">
        <v>46275</v>
      </c>
      <c r="W157" s="350">
        <v>46289</v>
      </c>
      <c r="X157" s="350">
        <v>46294</v>
      </c>
      <c r="Y157" s="350">
        <v>46308</v>
      </c>
      <c r="Z157" s="350">
        <v>46329</v>
      </c>
      <c r="AA157" s="350">
        <v>46343</v>
      </c>
      <c r="AB157" s="350">
        <v>46357</v>
      </c>
      <c r="AC157" s="350">
        <v>46357</v>
      </c>
      <c r="AD157" s="350">
        <v>46359</v>
      </c>
      <c r="AE157" s="350">
        <v>46422</v>
      </c>
      <c r="AF157" s="350">
        <v>46436</v>
      </c>
      <c r="AG157" s="350">
        <v>46443</v>
      </c>
      <c r="AH157" s="350">
        <v>46457</v>
      </c>
      <c r="AI157" s="350">
        <v>46473</v>
      </c>
      <c r="AJ157" s="316">
        <v>22</v>
      </c>
      <c r="AK157" s="351"/>
      <c r="AL157" s="350" t="str">
        <f>TEXT(AL159,"d-mmm-yy")</f>
        <v>25-Feb-27</v>
      </c>
      <c r="AM157" s="327"/>
      <c r="AN157" s="327"/>
      <c r="AO157" s="327"/>
      <c r="AP157" s="327"/>
      <c r="AQ157" s="311"/>
      <c r="AR157" s="329"/>
      <c r="AS157" s="330" t="s">
        <v>62</v>
      </c>
      <c r="AT157" s="331">
        <v>46485</v>
      </c>
    </row>
    <row r="158" spans="1:46" s="264" customFormat="1" ht="25.05" customHeight="1">
      <c r="A158" s="491"/>
      <c r="B158" s="308" t="str">
        <f>B157</f>
        <v>RFQ-INS-036</v>
      </c>
      <c r="C158" s="308" t="s">
        <v>180</v>
      </c>
      <c r="D158" s="414"/>
      <c r="E158" s="542"/>
      <c r="F158" s="416"/>
      <c r="G158" s="311"/>
      <c r="H158" s="310"/>
      <c r="I158" s="311" t="s">
        <v>139</v>
      </c>
      <c r="J158" s="308"/>
      <c r="K158" s="322"/>
      <c r="L158" s="308"/>
      <c r="M158" s="323" t="s">
        <v>63</v>
      </c>
      <c r="N158" s="367"/>
      <c r="O158" s="325">
        <v>46218</v>
      </c>
      <c r="P158" s="325">
        <v>46225</v>
      </c>
      <c r="Q158" s="325">
        <v>46226</v>
      </c>
      <c r="R158" s="325">
        <v>46237</v>
      </c>
      <c r="S158" s="325">
        <v>46238</v>
      </c>
      <c r="T158" s="325">
        <v>46251</v>
      </c>
      <c r="U158" s="325">
        <v>46272</v>
      </c>
      <c r="V158" s="325">
        <v>46275</v>
      </c>
      <c r="W158" s="325">
        <v>46289</v>
      </c>
      <c r="X158" s="325">
        <v>46294</v>
      </c>
      <c r="Y158" s="325">
        <v>46308</v>
      </c>
      <c r="Z158" s="325">
        <v>46329</v>
      </c>
      <c r="AA158" s="325">
        <v>46343</v>
      </c>
      <c r="AB158" s="325">
        <v>46357</v>
      </c>
      <c r="AC158" s="325">
        <v>46357</v>
      </c>
      <c r="AD158" s="325">
        <v>46359</v>
      </c>
      <c r="AE158" s="325">
        <v>46422</v>
      </c>
      <c r="AF158" s="325">
        <v>46436</v>
      </c>
      <c r="AG158" s="325">
        <v>46443</v>
      </c>
      <c r="AH158" s="325">
        <v>46457</v>
      </c>
      <c r="AI158" s="325">
        <v>46473</v>
      </c>
      <c r="AJ158" s="365"/>
      <c r="AK158" s="326"/>
      <c r="AL158" s="325">
        <f>W158+AK159</f>
        <v>46443</v>
      </c>
      <c r="AM158" s="327"/>
      <c r="AN158" s="327"/>
      <c r="AO158" s="327"/>
      <c r="AP158" s="327"/>
      <c r="AQ158" s="328">
        <f>AM159-AL158</f>
        <v>35</v>
      </c>
      <c r="AR158" s="329"/>
      <c r="AS158" s="330"/>
      <c r="AT158" s="331"/>
    </row>
    <row r="159" spans="1:46" s="264" customFormat="1" ht="25.05" customHeight="1">
      <c r="A159" s="491"/>
      <c r="B159" s="308" t="str">
        <f>B157</f>
        <v>RFQ-INS-036</v>
      </c>
      <c r="C159" s="308" t="s">
        <v>180</v>
      </c>
      <c r="D159" s="360"/>
      <c r="E159" s="542"/>
      <c r="F159" s="360"/>
      <c r="G159" s="311">
        <v>35</v>
      </c>
      <c r="H159" s="310" t="s">
        <v>164</v>
      </c>
      <c r="I159" s="311" t="s">
        <v>139</v>
      </c>
      <c r="J159" s="308" t="s">
        <v>71</v>
      </c>
      <c r="K159" s="308">
        <f>K160</f>
        <v>4</v>
      </c>
      <c r="L159" s="308" t="s">
        <v>8</v>
      </c>
      <c r="M159" s="313" t="s">
        <v>65</v>
      </c>
      <c r="N159" s="350">
        <f>N157</f>
        <v>46213</v>
      </c>
      <c r="O159" s="350">
        <v>46216</v>
      </c>
      <c r="P159" s="350">
        <f>WORKDAY.INTL(O159,INDEX(P$8:P$11,MATCH($L159,$L$8:$L$11,0)),1,IF(P$18="China",'China Holidays'!$A$2:$A$82,'Thai Holidays'!$A$2:$A$63))</f>
        <v>46230</v>
      </c>
      <c r="Q159" s="350">
        <f>WORKDAY.INTL(P159,INDEX(Q$8:Q$11,MATCH($L159,$L$8:$L$11,0)),1,IF(Q$18="China",'China Holidays'!$A$2:$A$82,'Thai Holidays'!$A$2:$A$63))</f>
        <v>46230</v>
      </c>
      <c r="R159" s="350">
        <f>WORKDAY.INTL(Q159,INDEX(R$8:R$11,MATCH($L159,$L$8:$L$11,0)),1,IF(R$18="China",'China Holidays'!$A$2:$A$82,'Thai Holidays'!$A$2:$A$63))</f>
        <v>46230</v>
      </c>
      <c r="S159" s="350">
        <f>WORKDAY.INTL(R159,INDEX(S$8:S$11,MATCH($L159,$L$8:$L$11,0)),1,IF(S$18="China",'China Holidays'!$A$2:$A$82,'Thai Holidays'!$A$2:$A$63))</f>
        <v>46230</v>
      </c>
      <c r="T159" s="350">
        <f>WORKDAY.INTL(S159,INDEX(T$8:T$11,MATCH($L159,$L$8:$L$11,0)),1,IF(T$18="China",'China Holidays'!$A$2:$A$82,'Thai Holidays'!$A$2:$A$63))</f>
        <v>46244</v>
      </c>
      <c r="U159" s="350">
        <f>WORKDAY.INTL(T159,INDEX(U$8:U$11,MATCH($L159,$L$8:$L$11,0)),1,IF(U$18="China",'China Holidays'!$A$2:$A$82,'Thai Holidays'!$A$2:$A$63))</f>
        <v>46262</v>
      </c>
      <c r="V159" s="350">
        <f>WORKDAY.INTL(U159,INDEX(V$8:V$11,MATCH($L159,$L$8:$L$11,0)),1,IF(V$18="China",'China Holidays'!$A$2:$A$82,'Thai Holidays'!$A$2:$A$63))</f>
        <v>46276</v>
      </c>
      <c r="W159" s="350">
        <f>WORKDAY.INTL(V159,INDEX(W$8:W$11,MATCH($L159,$L$8:$L$11,0)),1,IF(W$18="China",'China Holidays'!$A$2:$A$82,'Thai Holidays'!$A$2:$A$63))</f>
        <v>46289</v>
      </c>
      <c r="X159" s="350">
        <f>WORKDAY.INTL(W159,INDEX(X$12:X$15,MATCH($L159,$L$12:$L$15,0)),1,IF(X$18="China",'China Holidays'!$A$2:$A$82,'Thai Holidays'!$A$2:$A$63))</f>
        <v>46294</v>
      </c>
      <c r="Y159" s="350">
        <f>WORKDAY.INTL(X159,INDEX(Y$12:Y$15,MATCH($L159,$L$12:$L$15,0)),1,IF(Y$18="China",'China Holidays'!$A$2:$A$82,'Thai Holidays'!$A$2:$A$63))</f>
        <v>46308</v>
      </c>
      <c r="Z159" s="350">
        <f>WORKDAY.INTL(Y159,INDEX(Z$12:Z$15,MATCH($L159,$L$12:$L$15,0)),1,IF(Z$18="China",'China Holidays'!$A$2:$A$82,'Thai Holidays'!$A$2:$A$63))</f>
        <v>46329</v>
      </c>
      <c r="AA159" s="350">
        <f>WORKDAY.INTL(Z159,INDEX(AA$12:AA$15,MATCH($L159,$L$12:$L$15,0)),1,IF(AA$18="China",'China Holidays'!$A$2:$A$82,'Thai Holidays'!$A$2:$A$63))</f>
        <v>46343</v>
      </c>
      <c r="AB159" s="350">
        <f>AA159+15</f>
        <v>46358</v>
      </c>
      <c r="AC159" s="350">
        <f>AB159</f>
        <v>46358</v>
      </c>
      <c r="AD159" s="350">
        <f>AC159+2</f>
        <v>46360</v>
      </c>
      <c r="AE159" s="350">
        <f>AF159-14</f>
        <v>46422</v>
      </c>
      <c r="AF159" s="350">
        <f>AG159-7</f>
        <v>46436</v>
      </c>
      <c r="AG159" s="350">
        <f>AL159</f>
        <v>46443</v>
      </c>
      <c r="AH159" s="350">
        <f>AL159+14</f>
        <v>46457</v>
      </c>
      <c r="AI159" s="350">
        <f>AL159+30</f>
        <v>46473</v>
      </c>
      <c r="AJ159" s="362"/>
      <c r="AK159" s="326">
        <f>AJ157*7</f>
        <v>154</v>
      </c>
      <c r="AL159" s="350">
        <f>W159+AK159</f>
        <v>46443</v>
      </c>
      <c r="AM159" s="327">
        <f>AT157-7</f>
        <v>46478</v>
      </c>
      <c r="AN159" s="327">
        <f>AO159-7</f>
        <v>46498</v>
      </c>
      <c r="AO159" s="327">
        <v>46505</v>
      </c>
      <c r="AP159" s="327" t="s">
        <v>141</v>
      </c>
      <c r="AQ159" s="311">
        <f>AM159-AL159</f>
        <v>35</v>
      </c>
      <c r="AR159" s="329"/>
      <c r="AS159" s="330" t="s">
        <v>66</v>
      </c>
      <c r="AT159" s="331">
        <v>46485</v>
      </c>
    </row>
    <row r="160" spans="1:46" s="264" customFormat="1" ht="25.05" customHeight="1">
      <c r="A160" s="492"/>
      <c r="B160" s="337" t="str">
        <f>B157</f>
        <v>RFQ-INS-036</v>
      </c>
      <c r="C160" s="337" t="s">
        <v>180</v>
      </c>
      <c r="D160" s="395"/>
      <c r="E160" s="544"/>
      <c r="F160" s="395"/>
      <c r="G160" s="340"/>
      <c r="H160" s="339"/>
      <c r="I160" s="340" t="s">
        <v>139</v>
      </c>
      <c r="J160" s="337" t="s">
        <v>71</v>
      </c>
      <c r="K160" s="308">
        <v>4</v>
      </c>
      <c r="L160" s="337" t="s">
        <v>8</v>
      </c>
      <c r="M160" s="341" t="s">
        <v>67</v>
      </c>
      <c r="N160" s="340"/>
      <c r="O160" s="343">
        <v>46206</v>
      </c>
      <c r="P160" s="343"/>
      <c r="Q160" s="343"/>
      <c r="R160" s="343"/>
      <c r="S160" s="343"/>
      <c r="T160" s="343"/>
      <c r="U160" s="343"/>
      <c r="V160" s="343"/>
      <c r="W160" s="340">
        <f>W157-W159</f>
        <v>0</v>
      </c>
      <c r="X160" s="343"/>
      <c r="Y160" s="343"/>
      <c r="Z160" s="343"/>
      <c r="AA160" s="343"/>
      <c r="AB160" s="343"/>
      <c r="AC160" s="343"/>
      <c r="AD160" s="343"/>
      <c r="AE160" s="343"/>
      <c r="AF160" s="343"/>
      <c r="AG160" s="343"/>
      <c r="AH160" s="343"/>
      <c r="AI160" s="343"/>
      <c r="AJ160" s="353"/>
      <c r="AK160" s="354"/>
      <c r="AL160" s="343"/>
      <c r="AM160" s="355"/>
      <c r="AN160" s="355"/>
      <c r="AO160" s="355"/>
      <c r="AP160" s="355"/>
      <c r="AQ160" s="340"/>
      <c r="AR160" s="356"/>
      <c r="AS160" s="357"/>
      <c r="AT160" s="356"/>
    </row>
    <row r="161" spans="1:46" s="264" customFormat="1" ht="25.05" customHeight="1">
      <c r="A161" s="493">
        <f>A157+1</f>
        <v>37</v>
      </c>
      <c r="B161" s="308" t="s">
        <v>181</v>
      </c>
      <c r="C161" s="308" t="s">
        <v>182</v>
      </c>
      <c r="D161" s="517">
        <f>32</f>
        <v>32</v>
      </c>
      <c r="E161" s="541">
        <v>36</v>
      </c>
      <c r="F161" s="576"/>
      <c r="G161" s="311"/>
      <c r="H161" s="310"/>
      <c r="I161" s="311" t="s">
        <v>139</v>
      </c>
      <c r="J161" s="308" t="s">
        <v>71</v>
      </c>
      <c r="K161" s="312">
        <f>K164</f>
        <v>2</v>
      </c>
      <c r="L161" s="308" t="s">
        <v>7</v>
      </c>
      <c r="M161" s="313" t="s">
        <v>61</v>
      </c>
      <c r="N161" s="364">
        <f>WORKDAY.INTL(O161,-INDEX(O$12:O$15,MATCH($L161,$L$12:$L$15,0)),1,IF(N$18="China",'China Holidays'!$A$2:$A$82,'Thai Holidays'!$A$2:$A$63))</f>
        <v>46160</v>
      </c>
      <c r="O161" s="350">
        <v>46161</v>
      </c>
      <c r="P161" s="350">
        <v>46168</v>
      </c>
      <c r="Q161" s="350">
        <v>46169</v>
      </c>
      <c r="R161" s="350">
        <v>46178</v>
      </c>
      <c r="S161" s="350">
        <f>R161+1</f>
        <v>46179</v>
      </c>
      <c r="T161" s="350">
        <v>46195</v>
      </c>
      <c r="U161" s="350">
        <v>46223</v>
      </c>
      <c r="V161" s="350">
        <v>46226</v>
      </c>
      <c r="W161" s="350">
        <v>46240</v>
      </c>
      <c r="X161" s="350">
        <v>46244</v>
      </c>
      <c r="Y161" s="350">
        <v>46251</v>
      </c>
      <c r="Z161" s="350">
        <v>46279</v>
      </c>
      <c r="AA161" s="350">
        <v>46293</v>
      </c>
      <c r="AB161" s="350">
        <v>46308</v>
      </c>
      <c r="AC161" s="350">
        <v>46308</v>
      </c>
      <c r="AD161" s="350">
        <v>46310</v>
      </c>
      <c r="AE161" s="350">
        <v>46448</v>
      </c>
      <c r="AF161" s="350">
        <v>46478</v>
      </c>
      <c r="AG161" s="350">
        <v>46492</v>
      </c>
      <c r="AH161" s="350">
        <v>46506</v>
      </c>
      <c r="AI161" s="350">
        <v>46522</v>
      </c>
      <c r="AJ161" s="316">
        <v>36</v>
      </c>
      <c r="AK161" s="351"/>
      <c r="AL161" s="350" t="str">
        <f>TEXT(AL163,"d-mmm-yy")</f>
        <v>15-Apr-27</v>
      </c>
      <c r="AM161" s="327"/>
      <c r="AN161" s="327"/>
      <c r="AO161" s="327"/>
      <c r="AP161" s="327"/>
      <c r="AQ161" s="311"/>
      <c r="AR161" s="329"/>
      <c r="AS161" s="330" t="s">
        <v>62</v>
      </c>
      <c r="AT161" s="331">
        <v>46507</v>
      </c>
    </row>
    <row r="162" spans="1:46" s="264" customFormat="1" ht="25.05" customHeight="1">
      <c r="A162" s="491"/>
      <c r="B162" s="308" t="str">
        <f>B161</f>
        <v>RFQ-INS-037</v>
      </c>
      <c r="C162" s="308" t="s">
        <v>182</v>
      </c>
      <c r="D162" s="539"/>
      <c r="E162" s="542"/>
      <c r="F162" s="577"/>
      <c r="G162" s="311"/>
      <c r="H162" s="310"/>
      <c r="I162" s="311" t="s">
        <v>139</v>
      </c>
      <c r="J162" s="308"/>
      <c r="K162" s="322"/>
      <c r="L162" s="308"/>
      <c r="M162" s="323" t="s">
        <v>63</v>
      </c>
      <c r="N162" s="367"/>
      <c r="O162" s="325">
        <v>46161</v>
      </c>
      <c r="P162" s="325">
        <v>46168</v>
      </c>
      <c r="Q162" s="325">
        <v>46169</v>
      </c>
      <c r="R162" s="325">
        <v>46178</v>
      </c>
      <c r="S162" s="325">
        <v>46179</v>
      </c>
      <c r="T162" s="325">
        <v>46195</v>
      </c>
      <c r="U162" s="325">
        <v>46223</v>
      </c>
      <c r="V162" s="325">
        <v>46226</v>
      </c>
      <c r="W162" s="325">
        <v>46240</v>
      </c>
      <c r="X162" s="325">
        <v>46244</v>
      </c>
      <c r="Y162" s="325">
        <v>46251</v>
      </c>
      <c r="Z162" s="325">
        <v>46279</v>
      </c>
      <c r="AA162" s="325">
        <v>46293</v>
      </c>
      <c r="AB162" s="325">
        <v>46308</v>
      </c>
      <c r="AC162" s="325">
        <v>46308</v>
      </c>
      <c r="AD162" s="325">
        <v>46310</v>
      </c>
      <c r="AE162" s="325">
        <v>46448</v>
      </c>
      <c r="AF162" s="325">
        <v>46478</v>
      </c>
      <c r="AG162" s="325">
        <v>46492</v>
      </c>
      <c r="AH162" s="325">
        <v>46506</v>
      </c>
      <c r="AI162" s="325">
        <v>46522</v>
      </c>
      <c r="AJ162" s="365"/>
      <c r="AK162" s="326"/>
      <c r="AL162" s="325">
        <f>W162+AK163</f>
        <v>46492</v>
      </c>
      <c r="AM162" s="327"/>
      <c r="AN162" s="327"/>
      <c r="AO162" s="327"/>
      <c r="AP162" s="327"/>
      <c r="AQ162" s="328">
        <f>AM163-AL162</f>
        <v>8</v>
      </c>
      <c r="AR162" s="329"/>
      <c r="AS162" s="330"/>
      <c r="AT162" s="331"/>
    </row>
    <row r="163" spans="1:46" s="264" customFormat="1" ht="25.05" customHeight="1">
      <c r="A163" s="491"/>
      <c r="B163" s="308" t="str">
        <f>B161</f>
        <v>RFQ-INS-037</v>
      </c>
      <c r="C163" s="308" t="s">
        <v>182</v>
      </c>
      <c r="D163" s="531"/>
      <c r="E163" s="542"/>
      <c r="F163" s="578"/>
      <c r="G163" s="311">
        <v>8</v>
      </c>
      <c r="H163" s="310" t="s">
        <v>183</v>
      </c>
      <c r="I163" s="311" t="s">
        <v>139</v>
      </c>
      <c r="J163" s="308" t="s">
        <v>71</v>
      </c>
      <c r="K163" s="308">
        <f>K164</f>
        <v>2</v>
      </c>
      <c r="L163" s="308" t="s">
        <v>7</v>
      </c>
      <c r="M163" s="313" t="s">
        <v>65</v>
      </c>
      <c r="N163" s="350"/>
      <c r="O163" s="350">
        <v>46165</v>
      </c>
      <c r="P163" s="350">
        <f>WORKDAY.INTL(O163,INDEX(P$8:P$11,MATCH($L163,$L$8:$L$11,0)),1,IF(P$18="China",'China Holidays'!$A$2:$A$82,'Thai Holidays'!$A$2:$A$63))</f>
        <v>46182</v>
      </c>
      <c r="Q163" s="350">
        <f>WORKDAY.INTL(P163,INDEX(Q$8:Q$11,MATCH($L163,$L$8:$L$11,0)),1,IF(Q$18="China",'China Holidays'!$A$2:$A$82,'Thai Holidays'!$A$2:$A$63))</f>
        <v>46182</v>
      </c>
      <c r="R163" s="350">
        <f>WORKDAY.INTL(Q163,INDEX(R$8:R$11,MATCH($L163,$L$8:$L$11,0)),1,IF(R$18="China",'China Holidays'!$A$2:$A$82,'Thai Holidays'!$A$2:$A$63))</f>
        <v>46182</v>
      </c>
      <c r="S163" s="350">
        <f>WORKDAY.INTL(R163,INDEX(S$8:S$11,MATCH($L163,$L$8:$L$11,0)),1,IF(S$18="China",'China Holidays'!$A$2:$A$82,'Thai Holidays'!$A$2:$A$63))</f>
        <v>46182</v>
      </c>
      <c r="T163" s="350">
        <f>WORKDAY.INTL(S163,INDEX(T$8:T$11,MATCH($L163,$L$8:$L$11,0)),1,IF(T$18="China",'China Holidays'!$A$2:$A$82,'Thai Holidays'!$A$2:$A$63))</f>
        <v>46197</v>
      </c>
      <c r="U163" s="350">
        <v>46213</v>
      </c>
      <c r="V163" s="350">
        <f>WORKDAY.INTL(U163,INDEX(V$8:V$11,MATCH($L163,$L$8:$L$11,0)),1,IF(V$18="China",'China Holidays'!$A$2:$A$82,'Thai Holidays'!$A$2:$A$63))</f>
        <v>46227</v>
      </c>
      <c r="W163" s="350">
        <f>WORKDAY.INTL(V163,INDEX(W$8:W$11,MATCH($L163,$L$8:$L$11,0)),1,IF(W$18="China",'China Holidays'!$A$2:$A$82,'Thai Holidays'!$A$2:$A$63))</f>
        <v>46240</v>
      </c>
      <c r="X163" s="350">
        <f>WORKDAY.INTL(W163,INDEX(X$12:X$15,MATCH($L163,$L$12:$L$15,0)),1,IF(X$18="China",'China Holidays'!$A$2:$A$82,'Thai Holidays'!$A$2:$A$63))</f>
        <v>46244</v>
      </c>
      <c r="Y163" s="350">
        <f>WORKDAY.INTL(X163,INDEX(Y$12:Y$15,MATCH($L163,$L$12:$L$15,0)),1,IF(Y$18="China",'China Holidays'!$A$2:$A$82,'Thai Holidays'!$A$2:$A$63))</f>
        <v>46251</v>
      </c>
      <c r="Z163" s="350">
        <f>WORKDAY.INTL(Y163,INDEX(Z$12:Z$15,MATCH($L163,$L$12:$L$15,0)),1,IF(Z$18="China",'China Holidays'!$A$2:$A$82,'Thai Holidays'!$A$2:$A$63))</f>
        <v>46279</v>
      </c>
      <c r="AA163" s="350">
        <f>WORKDAY.INTL(Z163,INDEX(AA$12:AA$15,MATCH($L163,$L$12:$L$15,0)),1,IF(AA$18="China",'China Holidays'!$A$2:$A$82,'Thai Holidays'!$A$2:$A$63))</f>
        <v>46293</v>
      </c>
      <c r="AB163" s="350">
        <f>AA163+15</f>
        <v>46308</v>
      </c>
      <c r="AC163" s="350">
        <f>AB163</f>
        <v>46308</v>
      </c>
      <c r="AD163" s="350">
        <f>AC163+2</f>
        <v>46310</v>
      </c>
      <c r="AE163" s="350">
        <f>AF163-30</f>
        <v>46448</v>
      </c>
      <c r="AF163" s="350">
        <f>AG163-14</f>
        <v>46478</v>
      </c>
      <c r="AG163" s="350">
        <f>AL163</f>
        <v>46492</v>
      </c>
      <c r="AH163" s="350">
        <f>AL163+14</f>
        <v>46506</v>
      </c>
      <c r="AI163" s="350">
        <f>AL163+30</f>
        <v>46522</v>
      </c>
      <c r="AJ163" s="362"/>
      <c r="AK163" s="326">
        <f>AJ161*7</f>
        <v>252</v>
      </c>
      <c r="AL163" s="350">
        <f>W163+AK163</f>
        <v>46492</v>
      </c>
      <c r="AM163" s="327">
        <f>AT161-7</f>
        <v>46500</v>
      </c>
      <c r="AN163" s="327">
        <f>AO163-7</f>
        <v>46498</v>
      </c>
      <c r="AO163" s="327">
        <v>46505</v>
      </c>
      <c r="AP163" s="327"/>
      <c r="AQ163" s="311">
        <f>AM163-AL163</f>
        <v>8</v>
      </c>
      <c r="AR163" s="329"/>
      <c r="AS163" s="330" t="s">
        <v>66</v>
      </c>
      <c r="AT163" s="331">
        <v>46507</v>
      </c>
    </row>
    <row r="164" spans="1:46" s="264" customFormat="1" ht="25.05" customHeight="1">
      <c r="A164" s="492"/>
      <c r="B164" s="337" t="str">
        <f>B161</f>
        <v>RFQ-INS-037</v>
      </c>
      <c r="C164" s="337" t="s">
        <v>182</v>
      </c>
      <c r="D164" s="532"/>
      <c r="E164" s="544"/>
      <c r="F164" s="579"/>
      <c r="G164" s="340"/>
      <c r="H164" s="339"/>
      <c r="I164" s="340" t="s">
        <v>139</v>
      </c>
      <c r="J164" s="337" t="s">
        <v>71</v>
      </c>
      <c r="K164" s="308">
        <v>2</v>
      </c>
      <c r="L164" s="337" t="s">
        <v>7</v>
      </c>
      <c r="M164" s="341" t="s">
        <v>67</v>
      </c>
      <c r="N164" s="343">
        <v>46133</v>
      </c>
      <c r="O164" s="343">
        <v>46165</v>
      </c>
      <c r="P164" s="343">
        <v>46182</v>
      </c>
      <c r="Q164" s="343">
        <v>46182</v>
      </c>
      <c r="R164" s="343">
        <v>46182</v>
      </c>
      <c r="S164" s="343">
        <v>46182</v>
      </c>
      <c r="T164" s="343">
        <v>46188</v>
      </c>
      <c r="U164" s="343"/>
      <c r="V164" s="343"/>
      <c r="W164" s="340">
        <f>W161-W163</f>
        <v>0</v>
      </c>
      <c r="X164" s="343"/>
      <c r="Y164" s="343"/>
      <c r="Z164" s="343"/>
      <c r="AA164" s="343"/>
      <c r="AB164" s="343"/>
      <c r="AC164" s="343"/>
      <c r="AD164" s="343"/>
      <c r="AE164" s="343"/>
      <c r="AF164" s="343"/>
      <c r="AG164" s="343"/>
      <c r="AH164" s="343"/>
      <c r="AI164" s="343"/>
      <c r="AJ164" s="353"/>
      <c r="AK164" s="354"/>
      <c r="AL164" s="343"/>
      <c r="AM164" s="355"/>
      <c r="AN164" s="355"/>
      <c r="AO164" s="355"/>
      <c r="AP164" s="355"/>
      <c r="AQ164" s="340"/>
      <c r="AR164" s="356"/>
      <c r="AS164" s="357"/>
      <c r="AT164" s="356"/>
    </row>
    <row r="165" spans="1:46" s="264" customFormat="1" ht="25.05" customHeight="1">
      <c r="A165" s="493">
        <f>A161+1</f>
        <v>38</v>
      </c>
      <c r="B165" s="308" t="s">
        <v>184</v>
      </c>
      <c r="C165" s="308" t="s">
        <v>185</v>
      </c>
      <c r="D165" s="419"/>
      <c r="E165" s="541">
        <v>18.714285714285701</v>
      </c>
      <c r="F165" s="419"/>
      <c r="G165" s="311"/>
      <c r="H165" s="310"/>
      <c r="I165" s="311" t="s">
        <v>139</v>
      </c>
      <c r="J165" s="308" t="s">
        <v>71</v>
      </c>
      <c r="K165" s="312">
        <f>K168</f>
        <v>4</v>
      </c>
      <c r="L165" s="308" t="s">
        <v>8</v>
      </c>
      <c r="M165" s="313" t="s">
        <v>61</v>
      </c>
      <c r="N165" s="364">
        <f>WORKDAY.INTL(O165,-INDEX(O$12:O$15,MATCH($L165,$L$12:$L$15,0)),1,IF(N$18="China",'China Holidays'!$A$2:$A$82,'Thai Holidays'!$A$2:$A$63))</f>
        <v>46239</v>
      </c>
      <c r="O165" s="350">
        <v>46244</v>
      </c>
      <c r="P165" s="350">
        <v>46252</v>
      </c>
      <c r="Q165" s="350">
        <v>46253</v>
      </c>
      <c r="R165" s="350">
        <v>46260</v>
      </c>
      <c r="S165" s="350">
        <f>R165+1</f>
        <v>46261</v>
      </c>
      <c r="T165" s="350">
        <v>46274</v>
      </c>
      <c r="U165" s="350">
        <v>46295</v>
      </c>
      <c r="V165" s="350">
        <v>46300</v>
      </c>
      <c r="W165" s="350">
        <v>46316</v>
      </c>
      <c r="X165" s="350">
        <v>46318</v>
      </c>
      <c r="Y165" s="350">
        <v>46325</v>
      </c>
      <c r="Z165" s="350">
        <v>46346</v>
      </c>
      <c r="AA165" s="350">
        <v>46360</v>
      </c>
      <c r="AB165" s="350">
        <v>46375</v>
      </c>
      <c r="AC165" s="350">
        <v>46375</v>
      </c>
      <c r="AD165" s="350">
        <v>46377</v>
      </c>
      <c r="AE165" s="350">
        <v>46426</v>
      </c>
      <c r="AF165" s="350">
        <v>46440</v>
      </c>
      <c r="AG165" s="350">
        <v>46447</v>
      </c>
      <c r="AH165" s="350">
        <v>46461</v>
      </c>
      <c r="AI165" s="350">
        <v>46477</v>
      </c>
      <c r="AJ165" s="316">
        <v>18.714285714285701</v>
      </c>
      <c r="AK165" s="351"/>
      <c r="AL165" s="350" t="str">
        <f>TEXT(AL167,"d-mmm-yy")</f>
        <v>1-Mar-27</v>
      </c>
      <c r="AM165" s="327"/>
      <c r="AN165" s="327"/>
      <c r="AO165" s="327"/>
      <c r="AP165" s="327"/>
      <c r="AQ165" s="311"/>
      <c r="AR165" s="329"/>
      <c r="AS165" s="330" t="s">
        <v>62</v>
      </c>
      <c r="AT165" s="331">
        <v>46485</v>
      </c>
    </row>
    <row r="166" spans="1:46" s="264" customFormat="1" ht="25.05" customHeight="1">
      <c r="A166" s="491"/>
      <c r="B166" s="308" t="str">
        <f>B165</f>
        <v>RFQ-INS-038</v>
      </c>
      <c r="C166" s="308" t="s">
        <v>185</v>
      </c>
      <c r="D166" s="414"/>
      <c r="E166" s="542"/>
      <c r="F166" s="416"/>
      <c r="G166" s="311"/>
      <c r="H166" s="310"/>
      <c r="I166" s="311" t="s">
        <v>139</v>
      </c>
      <c r="J166" s="308"/>
      <c r="K166" s="322"/>
      <c r="L166" s="308"/>
      <c r="M166" s="323" t="s">
        <v>63</v>
      </c>
      <c r="N166" s="367"/>
      <c r="O166" s="325">
        <v>46244</v>
      </c>
      <c r="P166" s="325">
        <v>46252</v>
      </c>
      <c r="Q166" s="325">
        <v>46253</v>
      </c>
      <c r="R166" s="325">
        <v>46260</v>
      </c>
      <c r="S166" s="325">
        <v>46261</v>
      </c>
      <c r="T166" s="325">
        <v>46274</v>
      </c>
      <c r="U166" s="325">
        <v>46295</v>
      </c>
      <c r="V166" s="325">
        <v>46300</v>
      </c>
      <c r="W166" s="325">
        <v>46316</v>
      </c>
      <c r="X166" s="325">
        <v>46318</v>
      </c>
      <c r="Y166" s="325">
        <v>46325</v>
      </c>
      <c r="Z166" s="325">
        <v>46346</v>
      </c>
      <c r="AA166" s="325">
        <v>46360</v>
      </c>
      <c r="AB166" s="325">
        <v>46375</v>
      </c>
      <c r="AC166" s="325">
        <v>46375</v>
      </c>
      <c r="AD166" s="325">
        <v>46377</v>
      </c>
      <c r="AE166" s="325">
        <v>46426</v>
      </c>
      <c r="AF166" s="325">
        <v>46440</v>
      </c>
      <c r="AG166" s="325">
        <v>46447</v>
      </c>
      <c r="AH166" s="325">
        <v>46461</v>
      </c>
      <c r="AI166" s="325">
        <v>46477</v>
      </c>
      <c r="AJ166" s="365"/>
      <c r="AK166" s="326"/>
      <c r="AL166" s="325">
        <f>W166+AK167</f>
        <v>46447</v>
      </c>
      <c r="AM166" s="327"/>
      <c r="AN166" s="327"/>
      <c r="AO166" s="327"/>
      <c r="AP166" s="327"/>
      <c r="AQ166" s="328">
        <f>AM167-AL166</f>
        <v>31</v>
      </c>
      <c r="AR166" s="329"/>
      <c r="AS166" s="330"/>
      <c r="AT166" s="331"/>
    </row>
    <row r="167" spans="1:46" s="264" customFormat="1" ht="25.05" customHeight="1">
      <c r="A167" s="491"/>
      <c r="B167" s="308" t="str">
        <f>B165</f>
        <v>RFQ-INS-038</v>
      </c>
      <c r="C167" s="308" t="s">
        <v>185</v>
      </c>
      <c r="D167" s="360"/>
      <c r="E167" s="542"/>
      <c r="F167" s="360"/>
      <c r="G167" s="311">
        <v>31</v>
      </c>
      <c r="H167" s="310" t="s">
        <v>186</v>
      </c>
      <c r="I167" s="311" t="s">
        <v>139</v>
      </c>
      <c r="J167" s="308" t="s">
        <v>71</v>
      </c>
      <c r="K167" s="308">
        <f>K168</f>
        <v>4</v>
      </c>
      <c r="L167" s="308" t="s">
        <v>8</v>
      </c>
      <c r="M167" s="313" t="s">
        <v>65</v>
      </c>
      <c r="N167" s="350">
        <f>N165</f>
        <v>46239</v>
      </c>
      <c r="O167" s="350">
        <v>46243</v>
      </c>
      <c r="P167" s="350">
        <f>WORKDAY.INTL(O167,INDEX(P$8:P$11,MATCH($L167,$L$8:$L$11,0)),1,IF(P$18="China",'China Holidays'!$A$2:$A$82,'Thai Holidays'!$A$2:$A$63))</f>
        <v>46258</v>
      </c>
      <c r="Q167" s="350">
        <f>WORKDAY.INTL(P167,INDEX(Q$8:Q$11,MATCH($L167,$L$8:$L$11,0)),1,IF(Q$18="China",'China Holidays'!$A$2:$A$82,'Thai Holidays'!$A$2:$A$63))</f>
        <v>46258</v>
      </c>
      <c r="R167" s="350">
        <f>WORKDAY.INTL(Q167,INDEX(R$8:R$11,MATCH($L167,$L$8:$L$11,0)),1,IF(R$18="China",'China Holidays'!$A$2:$A$82,'Thai Holidays'!$A$2:$A$63))</f>
        <v>46258</v>
      </c>
      <c r="S167" s="350">
        <f>WORKDAY.INTL(R167,INDEX(S$8:S$11,MATCH($L167,$L$8:$L$11,0)),1,IF(S$18="China",'China Holidays'!$A$2:$A$82,'Thai Holidays'!$A$2:$A$63))</f>
        <v>46258</v>
      </c>
      <c r="T167" s="350">
        <f>WORKDAY.INTL(S167,INDEX(T$8:T$11,MATCH($L167,$L$8:$L$11,0)),1,IF(T$18="China",'China Holidays'!$A$2:$A$82,'Thai Holidays'!$A$2:$A$63))</f>
        <v>46272</v>
      </c>
      <c r="U167" s="350">
        <f>WORKDAY.INTL(T167,INDEX(U$8:U$11,MATCH($L167,$L$8:$L$11,0)),1,IF(U$18="China",'China Holidays'!$A$2:$A$82,'Thai Holidays'!$A$2:$A$63))</f>
        <v>46289</v>
      </c>
      <c r="V167" s="350">
        <f>WORKDAY.INTL(U167,INDEX(V$8:V$11,MATCH($L167,$L$8:$L$11,0)),1,IF(V$18="China",'China Holidays'!$A$2:$A$82,'Thai Holidays'!$A$2:$A$63))</f>
        <v>46303</v>
      </c>
      <c r="W167" s="350">
        <f>WORKDAY.INTL(V167,INDEX(W$8:W$11,MATCH($L167,$L$8:$L$11,0)),1,IF(W$18="China",'China Holidays'!$A$2:$A$82,'Thai Holidays'!$A$2:$A$63))</f>
        <v>46316</v>
      </c>
      <c r="X167" s="350">
        <f>WORKDAY.INTL(W167,INDEX(X$12:X$15,MATCH($L167,$L$12:$L$15,0)),1,IF(X$18="China",'China Holidays'!$A$2:$A$82,'Thai Holidays'!$A$2:$A$63))</f>
        <v>46318</v>
      </c>
      <c r="Y167" s="350">
        <f>WORKDAY.INTL(X167,INDEX(Y$12:Y$15,MATCH($L167,$L$12:$L$15,0)),1,IF(Y$18="China",'China Holidays'!$A$2:$A$82,'Thai Holidays'!$A$2:$A$63))</f>
        <v>46325</v>
      </c>
      <c r="Z167" s="350">
        <f>WORKDAY.INTL(Y167,INDEX(Z$12:Z$15,MATCH($L167,$L$12:$L$15,0)),1,IF(Z$18="China",'China Holidays'!$A$2:$A$82,'Thai Holidays'!$A$2:$A$63))</f>
        <v>46346</v>
      </c>
      <c r="AA167" s="350">
        <f>WORKDAY.INTL(Z167,INDEX(AA$12:AA$15,MATCH($L167,$L$12:$L$15,0)),1,IF(AA$18="China",'China Holidays'!$A$2:$A$82,'Thai Holidays'!$A$2:$A$63))</f>
        <v>46360</v>
      </c>
      <c r="AB167" s="350">
        <f>AA167+15</f>
        <v>46375</v>
      </c>
      <c r="AC167" s="350">
        <f>AB167</f>
        <v>46375</v>
      </c>
      <c r="AD167" s="350">
        <f>AC167+2</f>
        <v>46377</v>
      </c>
      <c r="AE167" s="350">
        <f>AF167-14</f>
        <v>46426</v>
      </c>
      <c r="AF167" s="350">
        <f>AG167-7</f>
        <v>46440</v>
      </c>
      <c r="AG167" s="350">
        <f>AL167</f>
        <v>46447</v>
      </c>
      <c r="AH167" s="350">
        <f>AL167+14</f>
        <v>46461</v>
      </c>
      <c r="AI167" s="350">
        <f>AL167+30</f>
        <v>46477</v>
      </c>
      <c r="AJ167" s="362"/>
      <c r="AK167" s="326">
        <f>AJ165*7</f>
        <v>130.99999999999991</v>
      </c>
      <c r="AL167" s="350">
        <f>W167+AK167</f>
        <v>46447</v>
      </c>
      <c r="AM167" s="327">
        <f>AT165-7</f>
        <v>46478</v>
      </c>
      <c r="AN167" s="327">
        <f>AO167-7</f>
        <v>46485</v>
      </c>
      <c r="AO167" s="327">
        <v>46492</v>
      </c>
      <c r="AP167" s="327"/>
      <c r="AQ167" s="311">
        <f>AM167-AL167</f>
        <v>31</v>
      </c>
      <c r="AR167" s="329"/>
      <c r="AS167" s="330" t="s">
        <v>66</v>
      </c>
      <c r="AT167" s="331">
        <v>46485</v>
      </c>
    </row>
    <row r="168" spans="1:46" s="264" customFormat="1" ht="25.05" customHeight="1">
      <c r="A168" s="492"/>
      <c r="B168" s="337" t="str">
        <f>B165</f>
        <v>RFQ-INS-038</v>
      </c>
      <c r="C168" s="337" t="s">
        <v>185</v>
      </c>
      <c r="D168" s="395"/>
      <c r="E168" s="544"/>
      <c r="F168" s="395"/>
      <c r="G168" s="340"/>
      <c r="H168" s="339"/>
      <c r="I168" s="340" t="s">
        <v>139</v>
      </c>
      <c r="J168" s="337" t="s">
        <v>71</v>
      </c>
      <c r="K168" s="308">
        <v>4</v>
      </c>
      <c r="L168" s="337" t="s">
        <v>8</v>
      </c>
      <c r="M168" s="341" t="s">
        <v>67</v>
      </c>
      <c r="N168" s="340"/>
      <c r="O168" s="343"/>
      <c r="P168" s="343"/>
      <c r="Q168" s="343"/>
      <c r="R168" s="343"/>
      <c r="S168" s="343"/>
      <c r="T168" s="343"/>
      <c r="U168" s="343"/>
      <c r="V168" s="343"/>
      <c r="W168" s="340">
        <f>W165-W167</f>
        <v>0</v>
      </c>
      <c r="X168" s="343"/>
      <c r="Y168" s="343"/>
      <c r="Z168" s="343"/>
      <c r="AA168" s="343"/>
      <c r="AB168" s="343"/>
      <c r="AC168" s="343"/>
      <c r="AD168" s="343"/>
      <c r="AE168" s="343"/>
      <c r="AF168" s="343"/>
      <c r="AG168" s="343"/>
      <c r="AH168" s="343"/>
      <c r="AI168" s="343"/>
      <c r="AJ168" s="353"/>
      <c r="AK168" s="354"/>
      <c r="AL168" s="343"/>
      <c r="AM168" s="355"/>
      <c r="AN168" s="355"/>
      <c r="AO168" s="355"/>
      <c r="AP168" s="355"/>
      <c r="AQ168" s="340"/>
      <c r="AR168" s="356"/>
      <c r="AS168" s="357"/>
      <c r="AT168" s="356"/>
    </row>
    <row r="169" spans="1:46" s="264" customFormat="1" ht="25.05" customHeight="1">
      <c r="A169" s="493">
        <f>A165+1</f>
        <v>39</v>
      </c>
      <c r="B169" s="308" t="s">
        <v>187</v>
      </c>
      <c r="C169" s="308" t="s">
        <v>188</v>
      </c>
      <c r="D169" s="419"/>
      <c r="E169" s="541">
        <v>18</v>
      </c>
      <c r="F169" s="419"/>
      <c r="G169" s="311"/>
      <c r="H169" s="310"/>
      <c r="I169" s="311" t="s">
        <v>139</v>
      </c>
      <c r="J169" s="308" t="s">
        <v>71</v>
      </c>
      <c r="K169" s="312">
        <f>K172</f>
        <v>4</v>
      </c>
      <c r="L169" s="308" t="s">
        <v>8</v>
      </c>
      <c r="M169" s="313" t="s">
        <v>61</v>
      </c>
      <c r="N169" s="364">
        <f>WORKDAY.INTL(O169,-INDEX(O$12:O$15,MATCH($L169,$L$12:$L$15,0)),1,IF(N$18="China",'China Holidays'!$A$2:$A$82,'Thai Holidays'!$A$2:$A$63))</f>
        <v>46196</v>
      </c>
      <c r="O169" s="350">
        <v>46199</v>
      </c>
      <c r="P169" s="350">
        <v>46206</v>
      </c>
      <c r="Q169" s="350">
        <v>46209</v>
      </c>
      <c r="R169" s="350">
        <v>46216</v>
      </c>
      <c r="S169" s="350">
        <f>R169+1</f>
        <v>46217</v>
      </c>
      <c r="T169" s="350">
        <v>46230</v>
      </c>
      <c r="U169" s="350">
        <v>46254</v>
      </c>
      <c r="V169" s="350">
        <v>46259</v>
      </c>
      <c r="W169" s="350">
        <v>46273</v>
      </c>
      <c r="X169" s="350">
        <v>46275</v>
      </c>
      <c r="Y169" s="350">
        <v>46282</v>
      </c>
      <c r="Z169" s="350">
        <v>46311</v>
      </c>
      <c r="AA169" s="350">
        <v>46328</v>
      </c>
      <c r="AB169" s="350">
        <v>46340</v>
      </c>
      <c r="AC169" s="350">
        <v>46340</v>
      </c>
      <c r="AD169" s="350">
        <v>46342</v>
      </c>
      <c r="AE169" s="350">
        <v>46378</v>
      </c>
      <c r="AF169" s="350">
        <v>46392</v>
      </c>
      <c r="AG169" s="350">
        <v>46399</v>
      </c>
      <c r="AH169" s="350">
        <v>46413</v>
      </c>
      <c r="AI169" s="350">
        <v>46429</v>
      </c>
      <c r="AJ169" s="316">
        <v>18</v>
      </c>
      <c r="AK169" s="351"/>
      <c r="AL169" s="350" t="str">
        <f>TEXT(AL171,"d-mmm-yy")</f>
        <v>12-Jan-27</v>
      </c>
      <c r="AM169" s="327"/>
      <c r="AN169" s="327"/>
      <c r="AO169" s="327"/>
      <c r="AP169" s="327"/>
      <c r="AQ169" s="311"/>
      <c r="AR169" s="329"/>
      <c r="AS169" s="330" t="s">
        <v>62</v>
      </c>
      <c r="AT169" s="331">
        <v>46485</v>
      </c>
    </row>
    <row r="170" spans="1:46" s="264" customFormat="1" ht="25.05" customHeight="1">
      <c r="A170" s="491"/>
      <c r="B170" s="308" t="str">
        <f>B169</f>
        <v>RFQ-INS-039</v>
      </c>
      <c r="C170" s="308" t="s">
        <v>188</v>
      </c>
      <c r="D170" s="414"/>
      <c r="E170" s="542"/>
      <c r="F170" s="416"/>
      <c r="G170" s="311"/>
      <c r="H170" s="310"/>
      <c r="I170" s="311" t="s">
        <v>139</v>
      </c>
      <c r="J170" s="308"/>
      <c r="K170" s="322"/>
      <c r="L170" s="308"/>
      <c r="M170" s="323" t="s">
        <v>63</v>
      </c>
      <c r="N170" s="367"/>
      <c r="O170" s="325">
        <v>46227</v>
      </c>
      <c r="P170" s="325">
        <v>46234</v>
      </c>
      <c r="Q170" s="325">
        <v>46237</v>
      </c>
      <c r="R170" s="325">
        <v>46244</v>
      </c>
      <c r="S170" s="325">
        <v>46245</v>
      </c>
      <c r="T170" s="325">
        <v>46258</v>
      </c>
      <c r="U170" s="325">
        <v>46282</v>
      </c>
      <c r="V170" s="325">
        <v>46287</v>
      </c>
      <c r="W170" s="325">
        <v>46301</v>
      </c>
      <c r="X170" s="325">
        <v>46303</v>
      </c>
      <c r="Y170" s="325">
        <v>46310</v>
      </c>
      <c r="Z170" s="325">
        <v>46339</v>
      </c>
      <c r="AA170" s="325">
        <v>46356</v>
      </c>
      <c r="AB170" s="325">
        <v>46368</v>
      </c>
      <c r="AC170" s="325">
        <v>46368</v>
      </c>
      <c r="AD170" s="325">
        <v>46370</v>
      </c>
      <c r="AE170" s="325">
        <v>46406</v>
      </c>
      <c r="AF170" s="325">
        <v>46420</v>
      </c>
      <c r="AG170" s="325">
        <v>46427</v>
      </c>
      <c r="AH170" s="325">
        <v>46441</v>
      </c>
      <c r="AI170" s="325">
        <v>46457</v>
      </c>
      <c r="AJ170" s="365"/>
      <c r="AK170" s="326"/>
      <c r="AL170" s="325">
        <f>W170+AK171</f>
        <v>46427</v>
      </c>
      <c r="AM170" s="327"/>
      <c r="AN170" s="327"/>
      <c r="AO170" s="327"/>
      <c r="AP170" s="327"/>
      <c r="AQ170" s="328">
        <f>AM171-AL170</f>
        <v>51</v>
      </c>
      <c r="AR170" s="329"/>
      <c r="AS170" s="330"/>
      <c r="AT170" s="331"/>
    </row>
    <row r="171" spans="1:46" s="264" customFormat="1" ht="25.05" customHeight="1">
      <c r="A171" s="491"/>
      <c r="B171" s="308" t="str">
        <f>B169</f>
        <v>RFQ-INS-039</v>
      </c>
      <c r="C171" s="308" t="s">
        <v>188</v>
      </c>
      <c r="D171" s="360"/>
      <c r="E171" s="542"/>
      <c r="F171" s="360"/>
      <c r="G171" s="311">
        <v>79</v>
      </c>
      <c r="H171" s="310" t="s">
        <v>164</v>
      </c>
      <c r="I171" s="311" t="s">
        <v>139</v>
      </c>
      <c r="J171" s="308" t="s">
        <v>71</v>
      </c>
      <c r="K171" s="308">
        <f>K172</f>
        <v>4</v>
      </c>
      <c r="L171" s="308" t="s">
        <v>8</v>
      </c>
      <c r="M171" s="313" t="s">
        <v>65</v>
      </c>
      <c r="N171" s="350">
        <v>46196</v>
      </c>
      <c r="O171" s="350">
        <v>46196</v>
      </c>
      <c r="P171" s="350">
        <f>WORKDAY.INTL(O171,INDEX(P$8:P$11,MATCH($L171,$L$8:$L$11,0)),1,IF(P$18="China",'China Holidays'!$A$2:$A$82,'Thai Holidays'!$A$2:$A$63))</f>
        <v>46210</v>
      </c>
      <c r="Q171" s="350">
        <f>WORKDAY.INTL(P171,INDEX(Q$8:Q$11,MATCH($L171,$L$8:$L$11,0)),1,IF(Q$18="China",'China Holidays'!$A$2:$A$82,'Thai Holidays'!$A$2:$A$63))</f>
        <v>46210</v>
      </c>
      <c r="R171" s="350">
        <f>WORKDAY.INTL(Q171,INDEX(R$8:R$11,MATCH($L171,$L$8:$L$11,0)),1,IF(R$18="China",'China Holidays'!$A$2:$A$82,'Thai Holidays'!$A$2:$A$63))</f>
        <v>46210</v>
      </c>
      <c r="S171" s="350">
        <f>WORKDAY.INTL(R171,INDEX(S$8:S$11,MATCH($L171,$L$8:$L$11,0)),1,IF(S$18="China",'China Holidays'!$A$2:$A$82,'Thai Holidays'!$A$2:$A$63))</f>
        <v>46210</v>
      </c>
      <c r="T171" s="350">
        <f>WORKDAY.INTL(S171,INDEX(T$8:T$11,MATCH($L171,$L$8:$L$11,0)),1,IF(T$18="China",'China Holidays'!$A$2:$A$82,'Thai Holidays'!$A$2:$A$63))</f>
        <v>46224</v>
      </c>
      <c r="U171" s="350">
        <f>WORKDAY.INTL(T171,INDEX(U$8:U$11,MATCH($L171,$L$8:$L$11,0)),1,IF(U$18="China",'China Holidays'!$A$2:$A$82,'Thai Holidays'!$A$2:$A$63))</f>
        <v>46245</v>
      </c>
      <c r="V171" s="350">
        <f>WORKDAY.INTL(U171,INDEX(V$8:V$11,MATCH($L171,$L$8:$L$11,0)),1,IF(V$18="China",'China Holidays'!$A$2:$A$82,'Thai Holidays'!$A$2:$A$63))</f>
        <v>46260</v>
      </c>
      <c r="W171" s="350">
        <f>WORKDAY.INTL(V171,INDEX(W$8:W$11,MATCH($L171,$L$8:$L$11,0)),1,IF(W$18="China",'China Holidays'!$A$2:$A$82,'Thai Holidays'!$A$2:$A$63))</f>
        <v>46273</v>
      </c>
      <c r="X171" s="350">
        <f>WORKDAY.INTL(W171,INDEX(X$12:X$15,MATCH($L171,$L$12:$L$15,0)),1,IF(X$18="China",'China Holidays'!$A$2:$A$82,'Thai Holidays'!$A$2:$A$63))</f>
        <v>46275</v>
      </c>
      <c r="Y171" s="350">
        <f>WORKDAY.INTL(X171,INDEX(Y$12:Y$15,MATCH($L171,$L$12:$L$15,0)),1,IF(Y$18="China",'China Holidays'!$A$2:$A$82,'Thai Holidays'!$A$2:$A$63))</f>
        <v>46282</v>
      </c>
      <c r="Z171" s="350">
        <f>WORKDAY.INTL(Y171,INDEX(Z$12:Z$15,MATCH($L171,$L$12:$L$15,0)),1,IF(Z$18="China",'China Holidays'!$A$2:$A$82,'Thai Holidays'!$A$2:$A$63))</f>
        <v>46311</v>
      </c>
      <c r="AA171" s="350">
        <f>WORKDAY.INTL(Z171,INDEX(AA$12:AA$15,MATCH($L171,$L$12:$L$15,0)),1,IF(AA$18="China",'China Holidays'!$A$2:$A$82,'Thai Holidays'!$A$2:$A$63))</f>
        <v>46328</v>
      </c>
      <c r="AB171" s="350">
        <f>AA171+15</f>
        <v>46343</v>
      </c>
      <c r="AC171" s="350">
        <f>AB171</f>
        <v>46343</v>
      </c>
      <c r="AD171" s="350">
        <f>AC171+2</f>
        <v>46345</v>
      </c>
      <c r="AE171" s="350">
        <f>AF171-14</f>
        <v>46378</v>
      </c>
      <c r="AF171" s="350">
        <f>AG171-7</f>
        <v>46392</v>
      </c>
      <c r="AG171" s="350">
        <f>AL171</f>
        <v>46399</v>
      </c>
      <c r="AH171" s="350">
        <f>AL171+14</f>
        <v>46413</v>
      </c>
      <c r="AI171" s="350">
        <f>AL171+30</f>
        <v>46429</v>
      </c>
      <c r="AJ171" s="362"/>
      <c r="AK171" s="326">
        <f>AJ169*7</f>
        <v>126</v>
      </c>
      <c r="AL171" s="350">
        <f>W171+AK171</f>
        <v>46399</v>
      </c>
      <c r="AM171" s="327">
        <f>AT169-7</f>
        <v>46478</v>
      </c>
      <c r="AN171" s="327">
        <f>AO171-7</f>
        <v>46485</v>
      </c>
      <c r="AO171" s="327">
        <v>46492</v>
      </c>
      <c r="AP171" s="327"/>
      <c r="AQ171" s="311">
        <f>AM171-AL171</f>
        <v>79</v>
      </c>
      <c r="AR171" s="329"/>
      <c r="AS171" s="330" t="s">
        <v>66</v>
      </c>
      <c r="AT171" s="331">
        <v>46485</v>
      </c>
    </row>
    <row r="172" spans="1:46" s="264" customFormat="1" ht="25.05" customHeight="1">
      <c r="A172" s="492"/>
      <c r="B172" s="337" t="str">
        <f>B169</f>
        <v>RFQ-INS-039</v>
      </c>
      <c r="C172" s="337" t="s">
        <v>188</v>
      </c>
      <c r="D172" s="395"/>
      <c r="E172" s="544"/>
      <c r="F172" s="395"/>
      <c r="G172" s="340"/>
      <c r="H172" s="339"/>
      <c r="I172" s="340" t="s">
        <v>139</v>
      </c>
      <c r="J172" s="337" t="s">
        <v>71</v>
      </c>
      <c r="K172" s="308">
        <v>4</v>
      </c>
      <c r="L172" s="337" t="s">
        <v>8</v>
      </c>
      <c r="M172" s="341" t="s">
        <v>67</v>
      </c>
      <c r="N172" s="340"/>
      <c r="O172" s="343"/>
      <c r="P172" s="343"/>
      <c r="Q172" s="343"/>
      <c r="R172" s="343"/>
      <c r="S172" s="343"/>
      <c r="T172" s="343"/>
      <c r="U172" s="343"/>
      <c r="V172" s="343"/>
      <c r="W172" s="343"/>
      <c r="X172" s="343"/>
      <c r="Y172" s="343"/>
      <c r="Z172" s="343"/>
      <c r="AA172" s="343"/>
      <c r="AB172" s="343"/>
      <c r="AC172" s="343"/>
      <c r="AD172" s="343"/>
      <c r="AE172" s="343"/>
      <c r="AF172" s="343"/>
      <c r="AG172" s="343"/>
      <c r="AH172" s="343"/>
      <c r="AI172" s="343"/>
      <c r="AJ172" s="353"/>
      <c r="AK172" s="354"/>
      <c r="AL172" s="350">
        <f>W172+AK171</f>
        <v>126</v>
      </c>
      <c r="AM172" s="355"/>
      <c r="AN172" s="355"/>
      <c r="AO172" s="355"/>
      <c r="AP172" s="355"/>
      <c r="AQ172" s="340"/>
      <c r="AR172" s="356"/>
      <c r="AS172" s="357"/>
      <c r="AT172" s="356"/>
    </row>
    <row r="173" spans="1:46" s="264" customFormat="1" ht="25.05" customHeight="1">
      <c r="A173" s="493">
        <f>A169+1</f>
        <v>40</v>
      </c>
      <c r="B173" s="308" t="s">
        <v>189</v>
      </c>
      <c r="C173" s="308" t="s">
        <v>190</v>
      </c>
      <c r="D173" s="419"/>
      <c r="E173" s="541">
        <v>18</v>
      </c>
      <c r="F173" s="419"/>
      <c r="G173" s="311"/>
      <c r="H173" s="310"/>
      <c r="I173" s="311" t="s">
        <v>139</v>
      </c>
      <c r="J173" s="308" t="s">
        <v>71</v>
      </c>
      <c r="K173" s="312">
        <f>K176</f>
        <v>4</v>
      </c>
      <c r="L173" s="308" t="s">
        <v>8</v>
      </c>
      <c r="M173" s="313" t="s">
        <v>61</v>
      </c>
      <c r="N173" s="364">
        <f>WORKDAY.INTL(O173,-INDEX(O$12:O$15,MATCH($L173,$L$12:$L$15,0)),1,IF(N$18="China",'China Holidays'!$A$2:$A$82,'Thai Holidays'!$A$2:$A$63))</f>
        <v>46239</v>
      </c>
      <c r="O173" s="350">
        <v>46244</v>
      </c>
      <c r="P173" s="350">
        <v>46252</v>
      </c>
      <c r="Q173" s="350">
        <v>46253</v>
      </c>
      <c r="R173" s="350">
        <v>46260</v>
      </c>
      <c r="S173" s="350">
        <f>R173+1</f>
        <v>46261</v>
      </c>
      <c r="T173" s="350">
        <v>46274</v>
      </c>
      <c r="U173" s="350">
        <v>46295</v>
      </c>
      <c r="V173" s="350">
        <v>46300</v>
      </c>
      <c r="W173" s="350">
        <v>46316</v>
      </c>
      <c r="X173" s="350">
        <v>46318</v>
      </c>
      <c r="Y173" s="350">
        <v>46325</v>
      </c>
      <c r="Z173" s="350">
        <v>46346</v>
      </c>
      <c r="AA173" s="350">
        <v>46360</v>
      </c>
      <c r="AB173" s="350">
        <v>46375</v>
      </c>
      <c r="AC173" s="350">
        <v>46375</v>
      </c>
      <c r="AD173" s="350">
        <v>46377</v>
      </c>
      <c r="AE173" s="350">
        <v>46421</v>
      </c>
      <c r="AF173" s="350">
        <v>46435</v>
      </c>
      <c r="AG173" s="350">
        <v>46442</v>
      </c>
      <c r="AH173" s="350">
        <v>46456</v>
      </c>
      <c r="AI173" s="350">
        <v>46472</v>
      </c>
      <c r="AJ173" s="316">
        <v>18</v>
      </c>
      <c r="AK173" s="351"/>
      <c r="AL173" s="350" t="str">
        <f>TEXT(AL175,"d-mmm-yy")</f>
        <v>24-Feb-27</v>
      </c>
      <c r="AM173" s="327"/>
      <c r="AN173" s="327"/>
      <c r="AO173" s="327"/>
      <c r="AP173" s="327"/>
      <c r="AQ173" s="311"/>
      <c r="AR173" s="329"/>
      <c r="AS173" s="330" t="s">
        <v>62</v>
      </c>
      <c r="AT173" s="331">
        <v>46485</v>
      </c>
    </row>
    <row r="174" spans="1:46" s="264" customFormat="1" ht="25.05" customHeight="1">
      <c r="A174" s="491"/>
      <c r="B174" s="308" t="str">
        <f>B173</f>
        <v>RFQ-INS-040</v>
      </c>
      <c r="C174" s="308" t="s">
        <v>190</v>
      </c>
      <c r="D174" s="414"/>
      <c r="E174" s="542"/>
      <c r="F174" s="416"/>
      <c r="G174" s="311"/>
      <c r="H174" s="310"/>
      <c r="I174" s="311" t="s">
        <v>139</v>
      </c>
      <c r="J174" s="308"/>
      <c r="K174" s="322"/>
      <c r="L174" s="308"/>
      <c r="M174" s="323" t="s">
        <v>63</v>
      </c>
      <c r="N174" s="367"/>
      <c r="O174" s="325">
        <v>46244</v>
      </c>
      <c r="P174" s="325">
        <v>46252</v>
      </c>
      <c r="Q174" s="325">
        <v>46253</v>
      </c>
      <c r="R174" s="325">
        <v>46260</v>
      </c>
      <c r="S174" s="325">
        <v>46261</v>
      </c>
      <c r="T174" s="325">
        <v>46274</v>
      </c>
      <c r="U174" s="325">
        <v>46295</v>
      </c>
      <c r="V174" s="325">
        <v>46300</v>
      </c>
      <c r="W174" s="325">
        <v>46316</v>
      </c>
      <c r="X174" s="325">
        <v>46318</v>
      </c>
      <c r="Y174" s="325">
        <v>46325</v>
      </c>
      <c r="Z174" s="325">
        <v>46346</v>
      </c>
      <c r="AA174" s="325">
        <v>46360</v>
      </c>
      <c r="AB174" s="325">
        <v>46375</v>
      </c>
      <c r="AC174" s="325">
        <v>46375</v>
      </c>
      <c r="AD174" s="325">
        <v>46377</v>
      </c>
      <c r="AE174" s="325">
        <v>46421</v>
      </c>
      <c r="AF174" s="325">
        <v>46435</v>
      </c>
      <c r="AG174" s="325">
        <v>46442</v>
      </c>
      <c r="AH174" s="325">
        <v>46456</v>
      </c>
      <c r="AI174" s="325">
        <v>46472</v>
      </c>
      <c r="AJ174" s="365"/>
      <c r="AK174" s="326"/>
      <c r="AL174" s="325">
        <f>W174+AK175</f>
        <v>46442</v>
      </c>
      <c r="AM174" s="327"/>
      <c r="AN174" s="327"/>
      <c r="AO174" s="327"/>
      <c r="AP174" s="327"/>
      <c r="AQ174" s="328">
        <f>AM175-AL174</f>
        <v>36</v>
      </c>
      <c r="AR174" s="329"/>
      <c r="AS174" s="330"/>
      <c r="AT174" s="331"/>
    </row>
    <row r="175" spans="1:46" s="264" customFormat="1" ht="25.05" customHeight="1">
      <c r="A175" s="491"/>
      <c r="B175" s="308" t="str">
        <f>B173</f>
        <v>RFQ-INS-040</v>
      </c>
      <c r="C175" s="308" t="s">
        <v>190</v>
      </c>
      <c r="D175" s="360"/>
      <c r="E175" s="542"/>
      <c r="F175" s="360"/>
      <c r="G175" s="311">
        <v>36</v>
      </c>
      <c r="H175" s="310" t="s">
        <v>191</v>
      </c>
      <c r="I175" s="311" t="s">
        <v>139</v>
      </c>
      <c r="J175" s="308" t="s">
        <v>71</v>
      </c>
      <c r="K175" s="308">
        <f>K176</f>
        <v>4</v>
      </c>
      <c r="L175" s="308" t="s">
        <v>8</v>
      </c>
      <c r="M175" s="313" t="s">
        <v>65</v>
      </c>
      <c r="N175" s="350">
        <f>N173</f>
        <v>46239</v>
      </c>
      <c r="O175" s="350">
        <v>46243</v>
      </c>
      <c r="P175" s="350">
        <f>WORKDAY.INTL(O175,INDEX(P$8:P$11,MATCH($L175,$L$8:$L$11,0)),1,IF(P$18="China",'China Holidays'!$A$2:$A$82,'Thai Holidays'!$A$2:$A$63))</f>
        <v>46258</v>
      </c>
      <c r="Q175" s="350">
        <f>WORKDAY.INTL(P175,INDEX(Q$8:Q$11,MATCH($L175,$L$8:$L$11,0)),1,IF(Q$18="China",'China Holidays'!$A$2:$A$82,'Thai Holidays'!$A$2:$A$63))</f>
        <v>46258</v>
      </c>
      <c r="R175" s="350">
        <f>WORKDAY.INTL(Q175,INDEX(R$8:R$11,MATCH($L175,$L$8:$L$11,0)),1,IF(R$18="China",'China Holidays'!$A$2:$A$82,'Thai Holidays'!$A$2:$A$63))</f>
        <v>46258</v>
      </c>
      <c r="S175" s="350">
        <f>WORKDAY.INTL(R175,INDEX(S$8:S$11,MATCH($L175,$L$8:$L$11,0)),1,IF(S$18="China",'China Holidays'!$A$2:$A$82,'Thai Holidays'!$A$2:$A$63))</f>
        <v>46258</v>
      </c>
      <c r="T175" s="350">
        <f>WORKDAY.INTL(S175,INDEX(T$8:T$11,MATCH($L175,$L$8:$L$11,0)),1,IF(T$18="China",'China Holidays'!$A$2:$A$82,'Thai Holidays'!$A$2:$A$63))</f>
        <v>46272</v>
      </c>
      <c r="U175" s="350">
        <f>WORKDAY.INTL(T175,INDEX(U$8:U$11,MATCH($L175,$L$8:$L$11,0)),1,IF(U$18="China",'China Holidays'!$A$2:$A$82,'Thai Holidays'!$A$2:$A$63))</f>
        <v>46289</v>
      </c>
      <c r="V175" s="350">
        <f>WORKDAY.INTL(U175,INDEX(V$8:V$11,MATCH($L175,$L$8:$L$11,0)),1,IF(V$18="China",'China Holidays'!$A$2:$A$82,'Thai Holidays'!$A$2:$A$63))</f>
        <v>46303</v>
      </c>
      <c r="W175" s="350">
        <f>WORKDAY.INTL(V175,INDEX(W$8:W$11,MATCH($L175,$L$8:$L$11,0)),1,IF(W$18="China",'China Holidays'!$A$2:$A$82,'Thai Holidays'!$A$2:$A$63))</f>
        <v>46316</v>
      </c>
      <c r="X175" s="350">
        <f>WORKDAY.INTL(W175,INDEX(X$12:X$15,MATCH($L175,$L$12:$L$15,0)),1,IF(X$18="China",'China Holidays'!$A$2:$A$82,'Thai Holidays'!$A$2:$A$63))</f>
        <v>46318</v>
      </c>
      <c r="Y175" s="350">
        <f>WORKDAY.INTL(X175,INDEX(Y$12:Y$15,MATCH($L175,$L$12:$L$15,0)),1,IF(Y$18="China",'China Holidays'!$A$2:$A$82,'Thai Holidays'!$A$2:$A$63))</f>
        <v>46325</v>
      </c>
      <c r="Z175" s="350">
        <f>WORKDAY.INTL(Y175,INDEX(Z$12:Z$15,MATCH($L175,$L$12:$L$15,0)),1,IF(Z$18="China",'China Holidays'!$A$2:$A$82,'Thai Holidays'!$A$2:$A$63))</f>
        <v>46346</v>
      </c>
      <c r="AA175" s="350">
        <f>WORKDAY.INTL(Z175,INDEX(AA$12:AA$15,MATCH($L175,$L$12:$L$15,0)),1,IF(AA$18="China",'China Holidays'!$A$2:$A$82,'Thai Holidays'!$A$2:$A$63))</f>
        <v>46360</v>
      </c>
      <c r="AB175" s="350">
        <f>AA175+15</f>
        <v>46375</v>
      </c>
      <c r="AC175" s="350">
        <f>AB175</f>
        <v>46375</v>
      </c>
      <c r="AD175" s="350">
        <f>AC175+2</f>
        <v>46377</v>
      </c>
      <c r="AE175" s="350">
        <f>AF175-14</f>
        <v>46421</v>
      </c>
      <c r="AF175" s="350">
        <f>AG175-7</f>
        <v>46435</v>
      </c>
      <c r="AG175" s="350">
        <f>AL175</f>
        <v>46442</v>
      </c>
      <c r="AH175" s="350">
        <f>AL175+14</f>
        <v>46456</v>
      </c>
      <c r="AI175" s="350">
        <f>AL175+30</f>
        <v>46472</v>
      </c>
      <c r="AJ175" s="362"/>
      <c r="AK175" s="326">
        <f>AJ173*7</f>
        <v>126</v>
      </c>
      <c r="AL175" s="350">
        <f>W175+AK175</f>
        <v>46442</v>
      </c>
      <c r="AM175" s="327">
        <f>AT173-7</f>
        <v>46478</v>
      </c>
      <c r="AN175" s="327">
        <f>AO175-7</f>
        <v>46485</v>
      </c>
      <c r="AO175" s="327">
        <v>46492</v>
      </c>
      <c r="AP175" s="327"/>
      <c r="AQ175" s="311">
        <f>AM175-AL175</f>
        <v>36</v>
      </c>
      <c r="AR175" s="329"/>
      <c r="AS175" s="330" t="s">
        <v>66</v>
      </c>
      <c r="AT175" s="331">
        <v>46485</v>
      </c>
    </row>
    <row r="176" spans="1:46" s="264" customFormat="1" ht="25.05" customHeight="1">
      <c r="A176" s="492"/>
      <c r="B176" s="337" t="str">
        <f>B173</f>
        <v>RFQ-INS-040</v>
      </c>
      <c r="C176" s="337" t="s">
        <v>190</v>
      </c>
      <c r="D176" s="395"/>
      <c r="E176" s="544"/>
      <c r="F176" s="395"/>
      <c r="G176" s="340"/>
      <c r="H176" s="339"/>
      <c r="I176" s="340" t="s">
        <v>139</v>
      </c>
      <c r="J176" s="337" t="s">
        <v>71</v>
      </c>
      <c r="K176" s="308">
        <v>4</v>
      </c>
      <c r="L176" s="337" t="s">
        <v>8</v>
      </c>
      <c r="M176" s="341" t="s">
        <v>67</v>
      </c>
      <c r="N176" s="340"/>
      <c r="O176" s="343"/>
      <c r="P176" s="343"/>
      <c r="Q176" s="343"/>
      <c r="R176" s="343"/>
      <c r="S176" s="343"/>
      <c r="T176" s="343"/>
      <c r="U176" s="343"/>
      <c r="V176" s="343"/>
      <c r="W176" s="340">
        <f>W173-W175</f>
        <v>0</v>
      </c>
      <c r="X176" s="343"/>
      <c r="Y176" s="343"/>
      <c r="Z176" s="343"/>
      <c r="AA176" s="343"/>
      <c r="AB176" s="343"/>
      <c r="AC176" s="343"/>
      <c r="AD176" s="343"/>
      <c r="AE176" s="343"/>
      <c r="AF176" s="343"/>
      <c r="AG176" s="343"/>
      <c r="AH176" s="343"/>
      <c r="AI176" s="343"/>
      <c r="AJ176" s="353"/>
      <c r="AK176" s="354"/>
      <c r="AL176" s="343"/>
      <c r="AM176" s="355"/>
      <c r="AN176" s="355"/>
      <c r="AO176" s="355"/>
      <c r="AP176" s="355"/>
      <c r="AQ176" s="340"/>
      <c r="AR176" s="356"/>
      <c r="AS176" s="357"/>
      <c r="AT176" s="356"/>
    </row>
    <row r="177" spans="1:46" s="264" customFormat="1" ht="25.05" customHeight="1">
      <c r="A177" s="493">
        <f>A173+1</f>
        <v>41</v>
      </c>
      <c r="B177" s="308" t="s">
        <v>192</v>
      </c>
      <c r="C177" s="308" t="s">
        <v>193</v>
      </c>
      <c r="D177" s="419"/>
      <c r="E177" s="541">
        <v>30</v>
      </c>
      <c r="F177" s="419"/>
      <c r="G177" s="311"/>
      <c r="H177" s="310"/>
      <c r="I177" s="311" t="s">
        <v>139</v>
      </c>
      <c r="J177" s="308" t="s">
        <v>71</v>
      </c>
      <c r="K177" s="312">
        <f>K180</f>
        <v>4</v>
      </c>
      <c r="L177" s="308" t="s">
        <v>8</v>
      </c>
      <c r="M177" s="313" t="s">
        <v>61</v>
      </c>
      <c r="N177" s="364">
        <f>WORKDAY.INTL(O177,-INDEX(O$12:O$15,MATCH($L177,$L$12:$L$15,0)),1,IF(N$18="China",'China Holidays'!$A$2:$A$82,'Thai Holidays'!$A$2:$A$63))</f>
        <v>46196</v>
      </c>
      <c r="O177" s="350">
        <v>46199</v>
      </c>
      <c r="P177" s="350">
        <v>46206</v>
      </c>
      <c r="Q177" s="350">
        <v>46209</v>
      </c>
      <c r="R177" s="350">
        <v>46216</v>
      </c>
      <c r="S177" s="350">
        <f>R177+1</f>
        <v>46217</v>
      </c>
      <c r="T177" s="350">
        <v>46230</v>
      </c>
      <c r="U177" s="350">
        <v>46254</v>
      </c>
      <c r="V177" s="350">
        <v>46259</v>
      </c>
      <c r="W177" s="350">
        <v>46273</v>
      </c>
      <c r="X177" s="350">
        <v>46275</v>
      </c>
      <c r="Y177" s="350">
        <v>46282</v>
      </c>
      <c r="Z177" s="350">
        <v>46311</v>
      </c>
      <c r="AA177" s="350">
        <v>46328</v>
      </c>
      <c r="AB177" s="350">
        <v>46340</v>
      </c>
      <c r="AC177" s="350">
        <v>46340</v>
      </c>
      <c r="AD177" s="350">
        <v>46342</v>
      </c>
      <c r="AE177" s="350">
        <v>46462</v>
      </c>
      <c r="AF177" s="350">
        <v>46476</v>
      </c>
      <c r="AG177" s="350">
        <v>46483</v>
      </c>
      <c r="AH177" s="350">
        <v>46497</v>
      </c>
      <c r="AI177" s="350">
        <v>46513</v>
      </c>
      <c r="AJ177" s="316">
        <v>30</v>
      </c>
      <c r="AK177" s="351"/>
      <c r="AL177" s="350" t="str">
        <f>TEXT(AL179,"d-mmm-yy")</f>
        <v>6-Apr-27</v>
      </c>
      <c r="AM177" s="327"/>
      <c r="AN177" s="327"/>
      <c r="AO177" s="327"/>
      <c r="AP177" s="327"/>
      <c r="AQ177" s="311"/>
      <c r="AR177" s="329"/>
      <c r="AS177" s="330" t="s">
        <v>62</v>
      </c>
      <c r="AT177" s="331">
        <v>46507</v>
      </c>
    </row>
    <row r="178" spans="1:46" s="264" customFormat="1" ht="25.05" customHeight="1">
      <c r="A178" s="491"/>
      <c r="B178" s="308" t="str">
        <f>B177</f>
        <v>RFQ-INS-041</v>
      </c>
      <c r="C178" s="308" t="s">
        <v>193</v>
      </c>
      <c r="D178" s="414"/>
      <c r="E178" s="542"/>
      <c r="F178" s="416"/>
      <c r="G178" s="311"/>
      <c r="H178" s="310"/>
      <c r="I178" s="311" t="s">
        <v>139</v>
      </c>
      <c r="J178" s="308"/>
      <c r="K178" s="322"/>
      <c r="L178" s="308"/>
      <c r="M178" s="323" t="s">
        <v>63</v>
      </c>
      <c r="N178" s="367"/>
      <c r="O178" s="325">
        <v>46220</v>
      </c>
      <c r="P178" s="325">
        <v>46227</v>
      </c>
      <c r="Q178" s="325">
        <v>46230</v>
      </c>
      <c r="R178" s="325">
        <v>46237</v>
      </c>
      <c r="S178" s="325">
        <v>46238</v>
      </c>
      <c r="T178" s="325">
        <v>46251</v>
      </c>
      <c r="U178" s="325">
        <v>46265</v>
      </c>
      <c r="V178" s="325">
        <v>46270</v>
      </c>
      <c r="W178" s="325">
        <v>46284</v>
      </c>
      <c r="X178" s="325">
        <v>46286</v>
      </c>
      <c r="Y178" s="325">
        <v>46293</v>
      </c>
      <c r="Z178" s="325">
        <v>46322</v>
      </c>
      <c r="AA178" s="325">
        <v>46339</v>
      </c>
      <c r="AB178" s="325">
        <v>46351</v>
      </c>
      <c r="AC178" s="325">
        <v>46351</v>
      </c>
      <c r="AD178" s="325">
        <v>46353</v>
      </c>
      <c r="AE178" s="325">
        <v>46473</v>
      </c>
      <c r="AF178" s="325">
        <v>46487</v>
      </c>
      <c r="AG178" s="325">
        <v>46494</v>
      </c>
      <c r="AH178" s="325">
        <v>46508</v>
      </c>
      <c r="AI178" s="325">
        <v>46524</v>
      </c>
      <c r="AJ178" s="365"/>
      <c r="AK178" s="326"/>
      <c r="AL178" s="325">
        <f>W178+AK179</f>
        <v>46494</v>
      </c>
      <c r="AM178" s="327"/>
      <c r="AN178" s="327"/>
      <c r="AO178" s="327"/>
      <c r="AP178" s="327"/>
      <c r="AQ178" s="328">
        <f>AM179-AL178</f>
        <v>6</v>
      </c>
      <c r="AR178" s="329"/>
      <c r="AS178" s="330"/>
      <c r="AT178" s="331"/>
    </row>
    <row r="179" spans="1:46" s="264" customFormat="1" ht="25.05" customHeight="1">
      <c r="A179" s="491"/>
      <c r="B179" s="308" t="str">
        <f>B177</f>
        <v>RFQ-INS-041</v>
      </c>
      <c r="C179" s="308" t="s">
        <v>193</v>
      </c>
      <c r="D179" s="360"/>
      <c r="E179" s="542"/>
      <c r="F179" s="360"/>
      <c r="G179" s="311">
        <v>17</v>
      </c>
      <c r="H179" s="310" t="s">
        <v>164</v>
      </c>
      <c r="I179" s="311" t="s">
        <v>139</v>
      </c>
      <c r="J179" s="308" t="s">
        <v>71</v>
      </c>
      <c r="K179" s="308">
        <f>K180</f>
        <v>4</v>
      </c>
      <c r="L179" s="308" t="s">
        <v>8</v>
      </c>
      <c r="M179" s="313" t="s">
        <v>65</v>
      </c>
      <c r="N179" s="350">
        <v>46195</v>
      </c>
      <c r="O179" s="350">
        <v>46196</v>
      </c>
      <c r="P179" s="350">
        <f>WORKDAY.INTL(O179,INDEX(P$8:P$11,MATCH($L179,$L$8:$L$11,0)),1,IF(P$18="China",'China Holidays'!$A$2:$A$82,'Thai Holidays'!$A$2:$A$63))</f>
        <v>46210</v>
      </c>
      <c r="Q179" s="350">
        <f>WORKDAY.INTL(P179,INDEX(Q$8:Q$11,MATCH($L179,$L$8:$L$11,0)),1,IF(Q$18="China",'China Holidays'!$A$2:$A$82,'Thai Holidays'!$A$2:$A$63))</f>
        <v>46210</v>
      </c>
      <c r="R179" s="350">
        <f>WORKDAY.INTL(Q179,INDEX(R$8:R$11,MATCH($L179,$L$8:$L$11,0)),1,IF(R$18="China",'China Holidays'!$A$2:$A$82,'Thai Holidays'!$A$2:$A$63))</f>
        <v>46210</v>
      </c>
      <c r="S179" s="350">
        <f>WORKDAY.INTL(R179,INDEX(S$8:S$11,MATCH($L179,$L$8:$L$11,0)),1,IF(S$18="China",'China Holidays'!$A$2:$A$82,'Thai Holidays'!$A$2:$A$63))</f>
        <v>46210</v>
      </c>
      <c r="T179" s="350">
        <f>WORKDAY.INTL(S179,INDEX(T$8:T$11,MATCH($L179,$L$8:$L$11,0)),1,IF(T$18="China",'China Holidays'!$A$2:$A$82,'Thai Holidays'!$A$2:$A$63))</f>
        <v>46224</v>
      </c>
      <c r="U179" s="350">
        <f>WORKDAY.INTL(T179,INDEX(U$8:U$11,MATCH($L179,$L$8:$L$11,0)),1,IF(U$18="China",'China Holidays'!$A$2:$A$82,'Thai Holidays'!$A$2:$A$63))</f>
        <v>46245</v>
      </c>
      <c r="V179" s="350">
        <f>WORKDAY.INTL(U179,INDEX(V$8:V$11,MATCH($L179,$L$8:$L$11,0)),1,IF(V$18="China",'China Holidays'!$A$2:$A$82,'Thai Holidays'!$A$2:$A$63))</f>
        <v>46260</v>
      </c>
      <c r="W179" s="350">
        <f>WORKDAY.INTL(V179,INDEX(W$8:W$11,MATCH($L179,$L$8:$L$11,0)),1,IF(W$18="China",'China Holidays'!$A$2:$A$82,'Thai Holidays'!$A$2:$A$63))</f>
        <v>46273</v>
      </c>
      <c r="X179" s="350">
        <f>WORKDAY.INTL(W179,INDEX(X$12:X$15,MATCH($L179,$L$12:$L$15,0)),1,IF(X$18="China",'China Holidays'!$A$2:$A$82,'Thai Holidays'!$A$2:$A$63))</f>
        <v>46275</v>
      </c>
      <c r="Y179" s="350">
        <f>WORKDAY.INTL(X179,INDEX(Y$12:Y$15,MATCH($L179,$L$12:$L$15,0)),1,IF(Y$18="China",'China Holidays'!$A$2:$A$82,'Thai Holidays'!$A$2:$A$63))</f>
        <v>46282</v>
      </c>
      <c r="Z179" s="350">
        <f>WORKDAY.INTL(Y179,INDEX(Z$12:Z$15,MATCH($L179,$L$12:$L$15,0)),1,IF(Z$18="China",'China Holidays'!$A$2:$A$82,'Thai Holidays'!$A$2:$A$63))</f>
        <v>46311</v>
      </c>
      <c r="AA179" s="350">
        <f>WORKDAY.INTL(Z179,INDEX(AA$12:AA$15,MATCH($L179,$L$12:$L$15,0)),1,IF(AA$18="China",'China Holidays'!$A$2:$A$82,'Thai Holidays'!$A$2:$A$63))</f>
        <v>46328</v>
      </c>
      <c r="AB179" s="350">
        <f>AA179+15</f>
        <v>46343</v>
      </c>
      <c r="AC179" s="350">
        <f>AB179</f>
        <v>46343</v>
      </c>
      <c r="AD179" s="350">
        <f>AC179+2</f>
        <v>46345</v>
      </c>
      <c r="AE179" s="350">
        <f>AF179-14</f>
        <v>46462</v>
      </c>
      <c r="AF179" s="350">
        <f>AG179-7</f>
        <v>46476</v>
      </c>
      <c r="AG179" s="350">
        <f>AL179</f>
        <v>46483</v>
      </c>
      <c r="AH179" s="350">
        <f>AL179+14</f>
        <v>46497</v>
      </c>
      <c r="AI179" s="350">
        <f>AL179+30</f>
        <v>46513</v>
      </c>
      <c r="AJ179" s="362"/>
      <c r="AK179" s="326">
        <f>AJ177*7</f>
        <v>210</v>
      </c>
      <c r="AL179" s="350">
        <f>W179+AK179</f>
        <v>46483</v>
      </c>
      <c r="AM179" s="327">
        <f>AT177-7</f>
        <v>46500</v>
      </c>
      <c r="AN179" s="327">
        <f>AO179-7</f>
        <v>46498</v>
      </c>
      <c r="AO179" s="327">
        <v>46505</v>
      </c>
      <c r="AP179" s="327"/>
      <c r="AQ179" s="311">
        <f>AM179-AL179</f>
        <v>17</v>
      </c>
      <c r="AR179" s="329"/>
      <c r="AS179" s="330" t="s">
        <v>66</v>
      </c>
      <c r="AT179" s="331">
        <v>46507</v>
      </c>
    </row>
    <row r="180" spans="1:46" s="264" customFormat="1" ht="25.05" customHeight="1">
      <c r="A180" s="492"/>
      <c r="B180" s="337" t="str">
        <f>B177</f>
        <v>RFQ-INS-041</v>
      </c>
      <c r="C180" s="337" t="s">
        <v>193</v>
      </c>
      <c r="D180" s="395"/>
      <c r="E180" s="544"/>
      <c r="F180" s="395"/>
      <c r="G180" s="340"/>
      <c r="H180" s="339"/>
      <c r="I180" s="340" t="s">
        <v>139</v>
      </c>
      <c r="J180" s="337" t="s">
        <v>71</v>
      </c>
      <c r="K180" s="308">
        <v>4</v>
      </c>
      <c r="L180" s="337" t="s">
        <v>8</v>
      </c>
      <c r="M180" s="341" t="s">
        <v>67</v>
      </c>
      <c r="N180" s="343"/>
      <c r="O180" s="343">
        <v>46204</v>
      </c>
      <c r="P180" s="343"/>
      <c r="Q180" s="343"/>
      <c r="R180" s="343"/>
      <c r="S180" s="343"/>
      <c r="T180" s="343"/>
      <c r="U180" s="343"/>
      <c r="V180" s="343"/>
      <c r="W180" s="343"/>
      <c r="X180" s="343"/>
      <c r="Y180" s="343"/>
      <c r="Z180" s="343"/>
      <c r="AA180" s="343"/>
      <c r="AB180" s="343"/>
      <c r="AC180" s="343"/>
      <c r="AD180" s="343"/>
      <c r="AE180" s="343"/>
      <c r="AF180" s="343"/>
      <c r="AG180" s="343"/>
      <c r="AH180" s="343"/>
      <c r="AI180" s="343"/>
      <c r="AJ180" s="350"/>
      <c r="AK180" s="354"/>
      <c r="AL180" s="350">
        <f>W180+AK179</f>
        <v>210</v>
      </c>
      <c r="AM180" s="355"/>
      <c r="AN180" s="355"/>
      <c r="AO180" s="355"/>
      <c r="AP180" s="355"/>
      <c r="AQ180" s="340"/>
      <c r="AR180" s="356"/>
      <c r="AS180" s="357"/>
      <c r="AT180" s="356"/>
    </row>
    <row r="181" spans="1:46" s="264" customFormat="1" ht="25.05" customHeight="1">
      <c r="A181" s="493">
        <f>A177+1</f>
        <v>42</v>
      </c>
      <c r="B181" s="308" t="s">
        <v>194</v>
      </c>
      <c r="C181" s="308" t="s">
        <v>195</v>
      </c>
      <c r="D181" s="419"/>
      <c r="E181" s="541">
        <v>24</v>
      </c>
      <c r="F181" s="419"/>
      <c r="G181" s="311"/>
      <c r="H181" s="310"/>
      <c r="I181" s="311" t="s">
        <v>139</v>
      </c>
      <c r="J181" s="308" t="s">
        <v>71</v>
      </c>
      <c r="K181" s="312">
        <f>K184</f>
        <v>3</v>
      </c>
      <c r="L181" s="308" t="s">
        <v>8</v>
      </c>
      <c r="M181" s="313" t="s">
        <v>61</v>
      </c>
      <c r="N181" s="364">
        <f>WORKDAY.INTL(O181,-INDEX(O$12:O$15,MATCH($L181,$L$12:$L$15,0)),1,IF(N$18="China",'China Holidays'!$A$2:$A$82,'Thai Holidays'!$A$2:$A$63))</f>
        <v>46196</v>
      </c>
      <c r="O181" s="350">
        <v>46199</v>
      </c>
      <c r="P181" s="350">
        <v>46206</v>
      </c>
      <c r="Q181" s="350">
        <v>46209</v>
      </c>
      <c r="R181" s="350">
        <v>46216</v>
      </c>
      <c r="S181" s="350">
        <f>R181+1</f>
        <v>46217</v>
      </c>
      <c r="T181" s="350">
        <v>46230</v>
      </c>
      <c r="U181" s="350">
        <v>46254</v>
      </c>
      <c r="V181" s="350">
        <v>46259</v>
      </c>
      <c r="W181" s="350">
        <v>46273</v>
      </c>
      <c r="X181" s="350">
        <v>46275</v>
      </c>
      <c r="Y181" s="350">
        <v>46282</v>
      </c>
      <c r="Z181" s="350">
        <v>46311</v>
      </c>
      <c r="AA181" s="350">
        <v>46328</v>
      </c>
      <c r="AB181" s="350">
        <v>46340</v>
      </c>
      <c r="AC181" s="350">
        <v>46340</v>
      </c>
      <c r="AD181" s="350">
        <v>46342</v>
      </c>
      <c r="AE181" s="350">
        <v>46420</v>
      </c>
      <c r="AF181" s="350">
        <v>46434</v>
      </c>
      <c r="AG181" s="350">
        <v>46441</v>
      </c>
      <c r="AH181" s="350">
        <v>46455</v>
      </c>
      <c r="AI181" s="350">
        <v>46471</v>
      </c>
      <c r="AJ181" s="316">
        <v>24</v>
      </c>
      <c r="AK181" s="351"/>
      <c r="AL181" s="350" t="str">
        <f>TEXT(AL183,"d-mmm-yy")</f>
        <v>23-Feb-27</v>
      </c>
      <c r="AM181" s="327"/>
      <c r="AN181" s="327"/>
      <c r="AO181" s="327"/>
      <c r="AP181" s="327"/>
      <c r="AQ181" s="311"/>
      <c r="AR181" s="329"/>
      <c r="AS181" s="330" t="s">
        <v>62</v>
      </c>
      <c r="AT181" s="331">
        <v>46485</v>
      </c>
    </row>
    <row r="182" spans="1:46" s="264" customFormat="1" ht="25.05" customHeight="1">
      <c r="A182" s="491"/>
      <c r="B182" s="308" t="str">
        <f>B181</f>
        <v>RFQ-INS-042</v>
      </c>
      <c r="C182" s="308" t="s">
        <v>195</v>
      </c>
      <c r="D182" s="414"/>
      <c r="E182" s="542"/>
      <c r="F182" s="416"/>
      <c r="G182" s="311"/>
      <c r="H182" s="310"/>
      <c r="I182" s="311" t="s">
        <v>139</v>
      </c>
      <c r="J182" s="308"/>
      <c r="K182" s="322"/>
      <c r="L182" s="308"/>
      <c r="M182" s="323" t="s">
        <v>63</v>
      </c>
      <c r="N182" s="367"/>
      <c r="O182" s="325">
        <v>46220</v>
      </c>
      <c r="P182" s="325">
        <v>46227</v>
      </c>
      <c r="Q182" s="325">
        <v>46230</v>
      </c>
      <c r="R182" s="325">
        <v>46237</v>
      </c>
      <c r="S182" s="325">
        <v>46238</v>
      </c>
      <c r="T182" s="325">
        <v>46251</v>
      </c>
      <c r="U182" s="325">
        <v>46275</v>
      </c>
      <c r="V182" s="325">
        <v>46280</v>
      </c>
      <c r="W182" s="325">
        <v>46294</v>
      </c>
      <c r="X182" s="325">
        <v>46296</v>
      </c>
      <c r="Y182" s="325">
        <v>46303</v>
      </c>
      <c r="Z182" s="325">
        <v>46332</v>
      </c>
      <c r="AA182" s="325">
        <v>46349</v>
      </c>
      <c r="AB182" s="325">
        <v>46361</v>
      </c>
      <c r="AC182" s="325">
        <v>46361</v>
      </c>
      <c r="AD182" s="325">
        <v>46363</v>
      </c>
      <c r="AE182" s="325">
        <v>46441</v>
      </c>
      <c r="AF182" s="325">
        <v>46455</v>
      </c>
      <c r="AG182" s="325">
        <v>46462</v>
      </c>
      <c r="AH182" s="325">
        <v>46476</v>
      </c>
      <c r="AI182" s="325">
        <v>46492</v>
      </c>
      <c r="AJ182" s="365"/>
      <c r="AK182" s="326"/>
      <c r="AL182" s="325">
        <f>W182+AK183</f>
        <v>46462</v>
      </c>
      <c r="AM182" s="327"/>
      <c r="AN182" s="327"/>
      <c r="AO182" s="327"/>
      <c r="AP182" s="327"/>
      <c r="AQ182" s="328">
        <f>AM183-AL182</f>
        <v>16</v>
      </c>
      <c r="AR182" s="329"/>
      <c r="AS182" s="330"/>
      <c r="AT182" s="331"/>
    </row>
    <row r="183" spans="1:46" s="264" customFormat="1" ht="25.05" customHeight="1">
      <c r="A183" s="491"/>
      <c r="B183" s="308" t="str">
        <f>B181</f>
        <v>RFQ-INS-042</v>
      </c>
      <c r="C183" s="308" t="s">
        <v>195</v>
      </c>
      <c r="D183" s="360"/>
      <c r="E183" s="542"/>
      <c r="F183" s="360"/>
      <c r="G183" s="311">
        <v>37</v>
      </c>
      <c r="H183" s="310" t="s">
        <v>196</v>
      </c>
      <c r="I183" s="311" t="s">
        <v>139</v>
      </c>
      <c r="J183" s="308" t="s">
        <v>71</v>
      </c>
      <c r="K183" s="308">
        <f>K184</f>
        <v>3</v>
      </c>
      <c r="L183" s="308" t="s">
        <v>8</v>
      </c>
      <c r="M183" s="313" t="s">
        <v>65</v>
      </c>
      <c r="N183" s="350">
        <v>46195</v>
      </c>
      <c r="O183" s="350">
        <v>46196</v>
      </c>
      <c r="P183" s="350">
        <f>WORKDAY.INTL(O183,INDEX(P$8:P$11,MATCH($L183,$L$8:$L$11,0)),1,IF(P$18="China",'China Holidays'!$A$2:$A$82,'Thai Holidays'!$A$2:$A$63))</f>
        <v>46210</v>
      </c>
      <c r="Q183" s="350">
        <f>WORKDAY.INTL(P183,INDEX(Q$8:Q$11,MATCH($L183,$L$8:$L$11,0)),1,IF(Q$18="China",'China Holidays'!$A$2:$A$82,'Thai Holidays'!$A$2:$A$63))</f>
        <v>46210</v>
      </c>
      <c r="R183" s="350">
        <f>WORKDAY.INTL(Q183,INDEX(R$8:R$11,MATCH($L183,$L$8:$L$11,0)),1,IF(R$18="China",'China Holidays'!$A$2:$A$82,'Thai Holidays'!$A$2:$A$63))</f>
        <v>46210</v>
      </c>
      <c r="S183" s="350">
        <f>WORKDAY.INTL(R183,INDEX(S$8:S$11,MATCH($L183,$L$8:$L$11,0)),1,IF(S$18="China",'China Holidays'!$A$2:$A$82,'Thai Holidays'!$A$2:$A$63))</f>
        <v>46210</v>
      </c>
      <c r="T183" s="350">
        <f>WORKDAY.INTL(S183,INDEX(T$8:T$11,MATCH($L183,$L$8:$L$11,0)),1,IF(T$18="China",'China Holidays'!$A$2:$A$82,'Thai Holidays'!$A$2:$A$63))</f>
        <v>46224</v>
      </c>
      <c r="U183" s="350">
        <f>WORKDAY.INTL(T183,INDEX(U$8:U$11,MATCH($L183,$L$8:$L$11,0)),1,IF(U$18="China",'China Holidays'!$A$2:$A$82,'Thai Holidays'!$A$2:$A$63))</f>
        <v>46245</v>
      </c>
      <c r="V183" s="350">
        <f>WORKDAY.INTL(U183,INDEX(V$8:V$11,MATCH($L183,$L$8:$L$11,0)),1,IF(V$18="China",'China Holidays'!$A$2:$A$82,'Thai Holidays'!$A$2:$A$63))</f>
        <v>46260</v>
      </c>
      <c r="W183" s="350">
        <f>WORKDAY.INTL(V183,INDEX(W$8:W$11,MATCH($L183,$L$8:$L$11,0)),1,IF(W$18="China",'China Holidays'!$A$2:$A$82,'Thai Holidays'!$A$2:$A$63))</f>
        <v>46273</v>
      </c>
      <c r="X183" s="350">
        <f>WORKDAY.INTL(W183,INDEX(X$12:X$15,MATCH($L183,$L$12:$L$15,0)),1,IF(X$18="China",'China Holidays'!$A$2:$A$82,'Thai Holidays'!$A$2:$A$63))</f>
        <v>46275</v>
      </c>
      <c r="Y183" s="350">
        <f>WORKDAY.INTL(X183,INDEX(Y$12:Y$15,MATCH($L183,$L$12:$L$15,0)),1,IF(Y$18="China",'China Holidays'!$A$2:$A$82,'Thai Holidays'!$A$2:$A$63))</f>
        <v>46282</v>
      </c>
      <c r="Z183" s="350">
        <f>WORKDAY.INTL(Y183,INDEX(Z$12:Z$15,MATCH($L183,$L$12:$L$15,0)),1,IF(Z$18="China",'China Holidays'!$A$2:$A$82,'Thai Holidays'!$A$2:$A$63))</f>
        <v>46311</v>
      </c>
      <c r="AA183" s="350">
        <f>WORKDAY.INTL(Z183,INDEX(AA$12:AA$15,MATCH($L183,$L$12:$L$15,0)),1,IF(AA$18="China",'China Holidays'!$A$2:$A$82,'Thai Holidays'!$A$2:$A$63))</f>
        <v>46328</v>
      </c>
      <c r="AB183" s="350">
        <f>AA183+15</f>
        <v>46343</v>
      </c>
      <c r="AC183" s="350">
        <f>AB183</f>
        <v>46343</v>
      </c>
      <c r="AD183" s="350">
        <f>AC183+2</f>
        <v>46345</v>
      </c>
      <c r="AE183" s="350">
        <f>AF183-14</f>
        <v>46420</v>
      </c>
      <c r="AF183" s="350">
        <f>AG183-7</f>
        <v>46434</v>
      </c>
      <c r="AG183" s="350">
        <f>AL183</f>
        <v>46441</v>
      </c>
      <c r="AH183" s="350">
        <f>AL183+14</f>
        <v>46455</v>
      </c>
      <c r="AI183" s="350">
        <f>AL183+30</f>
        <v>46471</v>
      </c>
      <c r="AJ183" s="362"/>
      <c r="AK183" s="326">
        <f>AJ181*7</f>
        <v>168</v>
      </c>
      <c r="AL183" s="350">
        <f>W183+AK183</f>
        <v>46441</v>
      </c>
      <c r="AM183" s="327">
        <f>AT181-7</f>
        <v>46478</v>
      </c>
      <c r="AN183" s="327">
        <f>AO183-7</f>
        <v>46485</v>
      </c>
      <c r="AO183" s="327">
        <v>46492</v>
      </c>
      <c r="AP183" s="327"/>
      <c r="AQ183" s="311">
        <f>AM183-AL183</f>
        <v>37</v>
      </c>
      <c r="AR183" s="329"/>
      <c r="AS183" s="330" t="s">
        <v>66</v>
      </c>
      <c r="AT183" s="331">
        <v>46485</v>
      </c>
    </row>
    <row r="184" spans="1:46" s="264" customFormat="1" ht="25.05" customHeight="1">
      <c r="A184" s="492"/>
      <c r="B184" s="337" t="str">
        <f>B181</f>
        <v>RFQ-INS-042</v>
      </c>
      <c r="C184" s="337" t="s">
        <v>195</v>
      </c>
      <c r="D184" s="395"/>
      <c r="E184" s="544"/>
      <c r="F184" s="395"/>
      <c r="G184" s="340"/>
      <c r="H184" s="339"/>
      <c r="I184" s="340" t="s">
        <v>139</v>
      </c>
      <c r="J184" s="337" t="s">
        <v>71</v>
      </c>
      <c r="K184" s="308">
        <v>3</v>
      </c>
      <c r="L184" s="337" t="s">
        <v>8</v>
      </c>
      <c r="M184" s="341" t="s">
        <v>67</v>
      </c>
      <c r="N184" s="343"/>
      <c r="O184" s="343">
        <v>46204</v>
      </c>
      <c r="P184" s="343"/>
      <c r="Q184" s="343"/>
      <c r="R184" s="343"/>
      <c r="S184" s="343"/>
      <c r="T184" s="343"/>
      <c r="U184" s="343"/>
      <c r="V184" s="343"/>
      <c r="W184" s="343"/>
      <c r="X184" s="343"/>
      <c r="Y184" s="343"/>
      <c r="Z184" s="343"/>
      <c r="AA184" s="343"/>
      <c r="AB184" s="343"/>
      <c r="AC184" s="343"/>
      <c r="AD184" s="343"/>
      <c r="AE184" s="343"/>
      <c r="AF184" s="343"/>
      <c r="AG184" s="343"/>
      <c r="AH184" s="343"/>
      <c r="AI184" s="343"/>
      <c r="AJ184" s="362"/>
      <c r="AK184" s="354"/>
      <c r="AL184" s="350">
        <f>W184+AK183</f>
        <v>168</v>
      </c>
      <c r="AM184" s="355"/>
      <c r="AN184" s="355"/>
      <c r="AO184" s="355"/>
      <c r="AP184" s="355"/>
      <c r="AQ184" s="340"/>
      <c r="AR184" s="356"/>
      <c r="AS184" s="357"/>
      <c r="AT184" s="356"/>
    </row>
    <row r="185" spans="1:46" s="264" customFormat="1" ht="25.05" customHeight="1">
      <c r="A185" s="493">
        <f>A181+1</f>
        <v>43</v>
      </c>
      <c r="B185" s="308" t="s">
        <v>197</v>
      </c>
      <c r="C185" s="308" t="s">
        <v>198</v>
      </c>
      <c r="D185" s="419"/>
      <c r="E185" s="541">
        <v>8.5714285714285694</v>
      </c>
      <c r="F185" s="419"/>
      <c r="G185" s="311"/>
      <c r="H185" s="310"/>
      <c r="I185" s="311" t="s">
        <v>139</v>
      </c>
      <c r="J185" s="308" t="s">
        <v>71</v>
      </c>
      <c r="K185" s="312">
        <f>K188</f>
        <v>4</v>
      </c>
      <c r="L185" s="308" t="s">
        <v>8</v>
      </c>
      <c r="M185" s="313" t="s">
        <v>61</v>
      </c>
      <c r="N185" s="364">
        <f>WORKDAY.INTL(O185,-INDEX(O$12:O$15,MATCH($L185,$L$12:$L$15,0)),1,IF(N$18="China",'China Holidays'!$A$2:$A$82,'Thai Holidays'!$A$2:$A$63))</f>
        <v>46239</v>
      </c>
      <c r="O185" s="350">
        <v>46244</v>
      </c>
      <c r="P185" s="350">
        <v>46252</v>
      </c>
      <c r="Q185" s="350">
        <v>46253</v>
      </c>
      <c r="R185" s="350">
        <v>46260</v>
      </c>
      <c r="S185" s="350">
        <f>R185+1</f>
        <v>46261</v>
      </c>
      <c r="T185" s="350">
        <v>46274</v>
      </c>
      <c r="U185" s="350">
        <v>46295</v>
      </c>
      <c r="V185" s="350">
        <v>46300</v>
      </c>
      <c r="W185" s="350">
        <v>46316</v>
      </c>
      <c r="X185" s="350">
        <v>46318</v>
      </c>
      <c r="Y185" s="350">
        <v>46325</v>
      </c>
      <c r="Z185" s="350">
        <v>46346</v>
      </c>
      <c r="AA185" s="350">
        <v>46360</v>
      </c>
      <c r="AB185" s="350">
        <v>46375</v>
      </c>
      <c r="AC185" s="350">
        <v>46375</v>
      </c>
      <c r="AD185" s="350">
        <v>46377</v>
      </c>
      <c r="AE185" s="350">
        <v>46355</v>
      </c>
      <c r="AF185" s="350">
        <v>46369</v>
      </c>
      <c r="AG185" s="350">
        <v>46376</v>
      </c>
      <c r="AH185" s="350">
        <v>46390</v>
      </c>
      <c r="AI185" s="350">
        <v>46406</v>
      </c>
      <c r="AJ185" s="316">
        <v>8.5714285714285694</v>
      </c>
      <c r="AK185" s="351"/>
      <c r="AL185" s="350" t="str">
        <f>TEXT(AL187,"d-mmm-yy")</f>
        <v>20-Dec-26</v>
      </c>
      <c r="AM185" s="327"/>
      <c r="AN185" s="327"/>
      <c r="AO185" s="327"/>
      <c r="AP185" s="327"/>
      <c r="AQ185" s="311"/>
      <c r="AR185" s="329"/>
      <c r="AS185" s="330" t="s">
        <v>62</v>
      </c>
      <c r="AT185" s="331">
        <v>46485</v>
      </c>
    </row>
    <row r="186" spans="1:46" s="264" customFormat="1" ht="25.05" customHeight="1">
      <c r="A186" s="491"/>
      <c r="B186" s="308" t="str">
        <f>B185</f>
        <v>RFQ-INS-043</v>
      </c>
      <c r="C186" s="308" t="s">
        <v>198</v>
      </c>
      <c r="D186" s="414"/>
      <c r="E186" s="542"/>
      <c r="F186" s="416"/>
      <c r="G186" s="311"/>
      <c r="H186" s="310"/>
      <c r="I186" s="311" t="s">
        <v>139</v>
      </c>
      <c r="J186" s="308"/>
      <c r="K186" s="322"/>
      <c r="L186" s="308"/>
      <c r="M186" s="323" t="s">
        <v>63</v>
      </c>
      <c r="N186" s="367"/>
      <c r="O186" s="325">
        <v>46244</v>
      </c>
      <c r="P186" s="325">
        <v>46252</v>
      </c>
      <c r="Q186" s="325">
        <v>46253</v>
      </c>
      <c r="R186" s="325">
        <v>46260</v>
      </c>
      <c r="S186" s="325">
        <v>46261</v>
      </c>
      <c r="T186" s="325">
        <v>46274</v>
      </c>
      <c r="U186" s="325">
        <v>46295</v>
      </c>
      <c r="V186" s="325">
        <v>46300</v>
      </c>
      <c r="W186" s="325">
        <v>46316</v>
      </c>
      <c r="X186" s="325">
        <v>46318</v>
      </c>
      <c r="Y186" s="325">
        <v>46325</v>
      </c>
      <c r="Z186" s="325">
        <v>46346</v>
      </c>
      <c r="AA186" s="325">
        <v>46360</v>
      </c>
      <c r="AB186" s="325">
        <v>46375</v>
      </c>
      <c r="AC186" s="325">
        <v>46375</v>
      </c>
      <c r="AD186" s="325">
        <v>46377</v>
      </c>
      <c r="AE186" s="325">
        <v>46355</v>
      </c>
      <c r="AF186" s="325">
        <v>46369</v>
      </c>
      <c r="AG186" s="325">
        <v>46376</v>
      </c>
      <c r="AH186" s="325">
        <v>46390</v>
      </c>
      <c r="AI186" s="325">
        <v>46406</v>
      </c>
      <c r="AJ186" s="365"/>
      <c r="AK186" s="326"/>
      <c r="AL186" s="325">
        <f>W186+AK187</f>
        <v>46376</v>
      </c>
      <c r="AM186" s="327"/>
      <c r="AN186" s="327"/>
      <c r="AO186" s="327"/>
      <c r="AP186" s="327"/>
      <c r="AQ186" s="328">
        <f>AM187-AL186</f>
        <v>102</v>
      </c>
      <c r="AR186" s="329"/>
      <c r="AS186" s="330"/>
      <c r="AT186" s="331"/>
    </row>
    <row r="187" spans="1:46" s="264" customFormat="1" ht="25.05" customHeight="1">
      <c r="A187" s="491"/>
      <c r="B187" s="308" t="str">
        <f>B185</f>
        <v>RFQ-INS-043</v>
      </c>
      <c r="C187" s="308" t="s">
        <v>198</v>
      </c>
      <c r="D187" s="360"/>
      <c r="E187" s="542"/>
      <c r="F187" s="360"/>
      <c r="G187" s="311">
        <v>102</v>
      </c>
      <c r="H187" s="310" t="s">
        <v>199</v>
      </c>
      <c r="I187" s="311" t="s">
        <v>139</v>
      </c>
      <c r="J187" s="308" t="s">
        <v>71</v>
      </c>
      <c r="K187" s="308">
        <f>K188</f>
        <v>4</v>
      </c>
      <c r="L187" s="308" t="s">
        <v>8</v>
      </c>
      <c r="M187" s="313" t="s">
        <v>65</v>
      </c>
      <c r="N187" s="350">
        <f>N185</f>
        <v>46239</v>
      </c>
      <c r="O187" s="350">
        <v>46243</v>
      </c>
      <c r="P187" s="350">
        <f>WORKDAY.INTL(O187,INDEX(P$8:P$11,MATCH($L187,$L$8:$L$11,0)),1,IF(P$18="China",'China Holidays'!$A$2:$A$82,'Thai Holidays'!$A$2:$A$63))</f>
        <v>46258</v>
      </c>
      <c r="Q187" s="350">
        <f>WORKDAY.INTL(P187,INDEX(Q$8:Q$11,MATCH($L187,$L$8:$L$11,0)),1,IF(Q$18="China",'China Holidays'!$A$2:$A$82,'Thai Holidays'!$A$2:$A$63))</f>
        <v>46258</v>
      </c>
      <c r="R187" s="350">
        <f>WORKDAY.INTL(Q187,INDEX(R$8:R$11,MATCH($L187,$L$8:$L$11,0)),1,IF(R$18="China",'China Holidays'!$A$2:$A$82,'Thai Holidays'!$A$2:$A$63))</f>
        <v>46258</v>
      </c>
      <c r="S187" s="350">
        <f>WORKDAY.INTL(R187,INDEX(S$8:S$11,MATCH($L187,$L$8:$L$11,0)),1,IF(S$18="China",'China Holidays'!$A$2:$A$82,'Thai Holidays'!$A$2:$A$63))</f>
        <v>46258</v>
      </c>
      <c r="T187" s="350">
        <f>WORKDAY.INTL(S187,INDEX(T$8:T$11,MATCH($L187,$L$8:$L$11,0)),1,IF(T$18="China",'China Holidays'!$A$2:$A$82,'Thai Holidays'!$A$2:$A$63))</f>
        <v>46272</v>
      </c>
      <c r="U187" s="350">
        <f>WORKDAY.INTL(T187,INDEX(U$8:U$11,MATCH($L187,$L$8:$L$11,0)),1,IF(U$18="China",'China Holidays'!$A$2:$A$82,'Thai Holidays'!$A$2:$A$63))</f>
        <v>46289</v>
      </c>
      <c r="V187" s="350">
        <f>WORKDAY.INTL(U187,INDEX(V$8:V$11,MATCH($L187,$L$8:$L$11,0)),1,IF(V$18="China",'China Holidays'!$A$2:$A$82,'Thai Holidays'!$A$2:$A$63))</f>
        <v>46303</v>
      </c>
      <c r="W187" s="350">
        <f>WORKDAY.INTL(V187,INDEX(W$8:W$11,MATCH($L187,$L$8:$L$11,0)),1,IF(W$18="China",'China Holidays'!$A$2:$A$82,'Thai Holidays'!$A$2:$A$63))</f>
        <v>46316</v>
      </c>
      <c r="X187" s="350">
        <f>WORKDAY.INTL(W187,INDEX(X$12:X$15,MATCH($L187,$L$12:$L$15,0)),1,IF(X$18="China",'China Holidays'!$A$2:$A$82,'Thai Holidays'!$A$2:$A$63))</f>
        <v>46318</v>
      </c>
      <c r="Y187" s="350">
        <f>WORKDAY.INTL(X187,INDEX(Y$12:Y$15,MATCH($L187,$L$12:$L$15,0)),1,IF(Y$18="China",'China Holidays'!$A$2:$A$82,'Thai Holidays'!$A$2:$A$63))</f>
        <v>46325</v>
      </c>
      <c r="Z187" s="350">
        <f>WORKDAY.INTL(Y187,INDEX(Z$12:Z$15,MATCH($L187,$L$12:$L$15,0)),1,IF(Z$18="China",'China Holidays'!$A$2:$A$82,'Thai Holidays'!$A$2:$A$63))</f>
        <v>46346</v>
      </c>
      <c r="AA187" s="350">
        <f>WORKDAY.INTL(Z187,INDEX(AA$12:AA$15,MATCH($L187,$L$12:$L$15,0)),1,IF(AA$18="China",'China Holidays'!$A$2:$A$82,'Thai Holidays'!$A$2:$A$63))</f>
        <v>46360</v>
      </c>
      <c r="AB187" s="350">
        <f>AA187+15</f>
        <v>46375</v>
      </c>
      <c r="AC187" s="350">
        <f>AB187</f>
        <v>46375</v>
      </c>
      <c r="AD187" s="350">
        <f>AC187+2</f>
        <v>46377</v>
      </c>
      <c r="AE187" s="350">
        <f>AF187-14</f>
        <v>46355</v>
      </c>
      <c r="AF187" s="350">
        <f>AG187-7</f>
        <v>46369</v>
      </c>
      <c r="AG187" s="350">
        <f>AL187</f>
        <v>46376</v>
      </c>
      <c r="AH187" s="350">
        <f>AL187+14</f>
        <v>46390</v>
      </c>
      <c r="AI187" s="350">
        <f>AL187+30</f>
        <v>46406</v>
      </c>
      <c r="AJ187" s="362"/>
      <c r="AK187" s="326">
        <f>AJ185*7</f>
        <v>59.999999999999986</v>
      </c>
      <c r="AL187" s="350">
        <f>W187+AK187</f>
        <v>46376</v>
      </c>
      <c r="AM187" s="327">
        <f>AT185-7</f>
        <v>46478</v>
      </c>
      <c r="AN187" s="327">
        <f>AO187-7</f>
        <v>46485</v>
      </c>
      <c r="AO187" s="327">
        <v>46492</v>
      </c>
      <c r="AP187" s="327"/>
      <c r="AQ187" s="311">
        <f>AM187-AL187</f>
        <v>102</v>
      </c>
      <c r="AR187" s="329"/>
      <c r="AS187" s="330" t="s">
        <v>66</v>
      </c>
      <c r="AT187" s="331">
        <v>46485</v>
      </c>
    </row>
    <row r="188" spans="1:46" s="264" customFormat="1" ht="25.05" customHeight="1">
      <c r="A188" s="492"/>
      <c r="B188" s="337" t="str">
        <f>B185</f>
        <v>RFQ-INS-043</v>
      </c>
      <c r="C188" s="337" t="s">
        <v>198</v>
      </c>
      <c r="D188" s="395"/>
      <c r="E188" s="544"/>
      <c r="F188" s="395"/>
      <c r="G188" s="340"/>
      <c r="H188" s="339"/>
      <c r="I188" s="340" t="s">
        <v>139</v>
      </c>
      <c r="J188" s="337" t="s">
        <v>71</v>
      </c>
      <c r="K188" s="308">
        <v>4</v>
      </c>
      <c r="L188" s="337" t="s">
        <v>8</v>
      </c>
      <c r="M188" s="341" t="s">
        <v>67</v>
      </c>
      <c r="N188" s="343"/>
      <c r="O188" s="343"/>
      <c r="P188" s="343"/>
      <c r="Q188" s="343"/>
      <c r="R188" s="343"/>
      <c r="S188" s="343"/>
      <c r="T188" s="343"/>
      <c r="U188" s="343"/>
      <c r="V188" s="343"/>
      <c r="W188" s="340">
        <f>W185-W187</f>
        <v>0</v>
      </c>
      <c r="X188" s="343"/>
      <c r="Y188" s="343"/>
      <c r="Z188" s="343"/>
      <c r="AA188" s="343"/>
      <c r="AB188" s="343"/>
      <c r="AC188" s="343"/>
      <c r="AD188" s="343"/>
      <c r="AE188" s="343"/>
      <c r="AF188" s="343"/>
      <c r="AG188" s="343"/>
      <c r="AH188" s="343"/>
      <c r="AI188" s="343"/>
      <c r="AJ188" s="353"/>
      <c r="AK188" s="354"/>
      <c r="AL188" s="343"/>
      <c r="AM188" s="355"/>
      <c r="AN188" s="355"/>
      <c r="AO188" s="355"/>
      <c r="AP188" s="355"/>
      <c r="AQ188" s="340"/>
      <c r="AR188" s="356"/>
      <c r="AS188" s="357"/>
      <c r="AT188" s="356"/>
    </row>
    <row r="189" spans="1:46" s="264" customFormat="1" ht="25.05" customHeight="1">
      <c r="A189" s="493">
        <f>A185+1</f>
        <v>44</v>
      </c>
      <c r="B189" s="308" t="s">
        <v>200</v>
      </c>
      <c r="C189" s="308" t="s">
        <v>201</v>
      </c>
      <c r="D189" s="419"/>
      <c r="E189" s="541">
        <v>8.5714285714285694</v>
      </c>
      <c r="F189" s="419"/>
      <c r="G189" s="311"/>
      <c r="H189" s="310"/>
      <c r="I189" s="311" t="s">
        <v>139</v>
      </c>
      <c r="J189" s="308" t="s">
        <v>71</v>
      </c>
      <c r="K189" s="312">
        <f>K192</f>
        <v>4</v>
      </c>
      <c r="L189" s="308" t="s">
        <v>8</v>
      </c>
      <c r="M189" s="313" t="s">
        <v>61</v>
      </c>
      <c r="N189" s="364">
        <f>WORKDAY.INTL(O189,-INDEX(O$12:O$15,MATCH($L189,$L$12:$L$15,0)),1,IF(N$18="China",'China Holidays'!$A$2:$A$82,'Thai Holidays'!$A$2:$A$63))</f>
        <v>46239</v>
      </c>
      <c r="O189" s="350">
        <v>46244</v>
      </c>
      <c r="P189" s="350">
        <v>46252</v>
      </c>
      <c r="Q189" s="350">
        <v>46253</v>
      </c>
      <c r="R189" s="350">
        <v>46260</v>
      </c>
      <c r="S189" s="350">
        <f>R189+1</f>
        <v>46261</v>
      </c>
      <c r="T189" s="350">
        <v>46274</v>
      </c>
      <c r="U189" s="350">
        <v>46295</v>
      </c>
      <c r="V189" s="350">
        <v>46300</v>
      </c>
      <c r="W189" s="350">
        <v>46316</v>
      </c>
      <c r="X189" s="350">
        <v>46318</v>
      </c>
      <c r="Y189" s="350">
        <v>46325</v>
      </c>
      <c r="Z189" s="350">
        <v>46346</v>
      </c>
      <c r="AA189" s="350">
        <v>46360</v>
      </c>
      <c r="AB189" s="350">
        <v>46375</v>
      </c>
      <c r="AC189" s="350">
        <v>46375</v>
      </c>
      <c r="AD189" s="350">
        <v>46377</v>
      </c>
      <c r="AE189" s="350">
        <v>46355</v>
      </c>
      <c r="AF189" s="350">
        <v>46369</v>
      </c>
      <c r="AG189" s="350">
        <v>46376</v>
      </c>
      <c r="AH189" s="350">
        <v>46390</v>
      </c>
      <c r="AI189" s="350">
        <v>46406</v>
      </c>
      <c r="AJ189" s="316">
        <v>8.5714285714285694</v>
      </c>
      <c r="AK189" s="351"/>
      <c r="AL189" s="350" t="str">
        <f>TEXT(AL191,"d-mmm-yy")</f>
        <v>20-Dec-26</v>
      </c>
      <c r="AM189" s="327"/>
      <c r="AN189" s="327"/>
      <c r="AO189" s="327"/>
      <c r="AP189" s="327"/>
      <c r="AQ189" s="311"/>
      <c r="AR189" s="329"/>
      <c r="AS189" s="330" t="s">
        <v>62</v>
      </c>
      <c r="AT189" s="331">
        <v>46485</v>
      </c>
    </row>
    <row r="190" spans="1:46" s="264" customFormat="1" ht="25.05" customHeight="1">
      <c r="A190" s="491"/>
      <c r="B190" s="308" t="str">
        <f>B189</f>
        <v>RFQ-INS-044</v>
      </c>
      <c r="C190" s="308" t="s">
        <v>201</v>
      </c>
      <c r="D190" s="414"/>
      <c r="E190" s="542"/>
      <c r="F190" s="416"/>
      <c r="G190" s="311"/>
      <c r="H190" s="310"/>
      <c r="I190" s="311" t="s">
        <v>139</v>
      </c>
      <c r="J190" s="308"/>
      <c r="K190" s="322"/>
      <c r="L190" s="308"/>
      <c r="M190" s="323" t="s">
        <v>63</v>
      </c>
      <c r="N190" s="367"/>
      <c r="O190" s="325">
        <v>46244</v>
      </c>
      <c r="P190" s="325">
        <v>46252</v>
      </c>
      <c r="Q190" s="325">
        <v>46253</v>
      </c>
      <c r="R190" s="325">
        <v>46260</v>
      </c>
      <c r="S190" s="325">
        <v>46261</v>
      </c>
      <c r="T190" s="325">
        <v>46274</v>
      </c>
      <c r="U190" s="325">
        <v>46295</v>
      </c>
      <c r="V190" s="325">
        <v>46300</v>
      </c>
      <c r="W190" s="325">
        <v>46316</v>
      </c>
      <c r="X190" s="325">
        <v>46318</v>
      </c>
      <c r="Y190" s="325">
        <v>46325</v>
      </c>
      <c r="Z190" s="325">
        <v>46346</v>
      </c>
      <c r="AA190" s="325">
        <v>46360</v>
      </c>
      <c r="AB190" s="325">
        <v>46375</v>
      </c>
      <c r="AC190" s="325">
        <v>46375</v>
      </c>
      <c r="AD190" s="325">
        <v>46377</v>
      </c>
      <c r="AE190" s="325">
        <v>46355</v>
      </c>
      <c r="AF190" s="325">
        <v>46369</v>
      </c>
      <c r="AG190" s="325">
        <v>46376</v>
      </c>
      <c r="AH190" s="325">
        <v>46390</v>
      </c>
      <c r="AI190" s="325">
        <v>46406</v>
      </c>
      <c r="AJ190" s="365"/>
      <c r="AK190" s="326"/>
      <c r="AL190" s="325">
        <f>W190+AK191</f>
        <v>46376</v>
      </c>
      <c r="AM190" s="327"/>
      <c r="AN190" s="327"/>
      <c r="AO190" s="327"/>
      <c r="AP190" s="327"/>
      <c r="AQ190" s="328">
        <f>AM191-AL190</f>
        <v>102</v>
      </c>
      <c r="AR190" s="329"/>
      <c r="AS190" s="330"/>
      <c r="AT190" s="331"/>
    </row>
    <row r="191" spans="1:46" s="264" customFormat="1" ht="25.05" customHeight="1">
      <c r="A191" s="491"/>
      <c r="B191" s="308" t="str">
        <f>B189</f>
        <v>RFQ-INS-044</v>
      </c>
      <c r="C191" s="308" t="s">
        <v>201</v>
      </c>
      <c r="D191" s="360"/>
      <c r="E191" s="542"/>
      <c r="F191" s="360"/>
      <c r="G191" s="311">
        <v>102</v>
      </c>
      <c r="H191" s="310" t="s">
        <v>199</v>
      </c>
      <c r="I191" s="311" t="s">
        <v>139</v>
      </c>
      <c r="J191" s="308" t="s">
        <v>71</v>
      </c>
      <c r="K191" s="308">
        <f>K192</f>
        <v>4</v>
      </c>
      <c r="L191" s="308" t="s">
        <v>8</v>
      </c>
      <c r="M191" s="313" t="s">
        <v>65</v>
      </c>
      <c r="N191" s="350">
        <f>N189</f>
        <v>46239</v>
      </c>
      <c r="O191" s="350">
        <v>46243</v>
      </c>
      <c r="P191" s="350">
        <f>WORKDAY.INTL(O191,INDEX(P$8:P$11,MATCH($L191,$L$8:$L$11,0)),1,IF(P$18="China",'China Holidays'!$A$2:$A$82,'Thai Holidays'!$A$2:$A$63))</f>
        <v>46258</v>
      </c>
      <c r="Q191" s="350">
        <f>WORKDAY.INTL(P191,INDEX(Q$8:Q$11,MATCH($L191,$L$8:$L$11,0)),1,IF(Q$18="China",'China Holidays'!$A$2:$A$82,'Thai Holidays'!$A$2:$A$63))</f>
        <v>46258</v>
      </c>
      <c r="R191" s="350">
        <f>WORKDAY.INTL(Q191,INDEX(R$8:R$11,MATCH($L191,$L$8:$L$11,0)),1,IF(R$18="China",'China Holidays'!$A$2:$A$82,'Thai Holidays'!$A$2:$A$63))</f>
        <v>46258</v>
      </c>
      <c r="S191" s="350">
        <f>WORKDAY.INTL(R191,INDEX(S$8:S$11,MATCH($L191,$L$8:$L$11,0)),1,IF(S$18="China",'China Holidays'!$A$2:$A$82,'Thai Holidays'!$A$2:$A$63))</f>
        <v>46258</v>
      </c>
      <c r="T191" s="350">
        <f>WORKDAY.INTL(S191,INDEX(T$8:T$11,MATCH($L191,$L$8:$L$11,0)),1,IF(T$18="China",'China Holidays'!$A$2:$A$82,'Thai Holidays'!$A$2:$A$63))</f>
        <v>46272</v>
      </c>
      <c r="U191" s="350">
        <f>WORKDAY.INTL(T191,INDEX(U$8:U$11,MATCH($L191,$L$8:$L$11,0)),1,IF(U$18="China",'China Holidays'!$A$2:$A$82,'Thai Holidays'!$A$2:$A$63))</f>
        <v>46289</v>
      </c>
      <c r="V191" s="350">
        <f>WORKDAY.INTL(U191,INDEX(V$8:V$11,MATCH($L191,$L$8:$L$11,0)),1,IF(V$18="China",'China Holidays'!$A$2:$A$82,'Thai Holidays'!$A$2:$A$63))</f>
        <v>46303</v>
      </c>
      <c r="W191" s="350">
        <f>WORKDAY.INTL(V191,INDEX(W$8:W$11,MATCH($L191,$L$8:$L$11,0)),1,IF(W$18="China",'China Holidays'!$A$2:$A$82,'Thai Holidays'!$A$2:$A$63))</f>
        <v>46316</v>
      </c>
      <c r="X191" s="350">
        <f>WORKDAY.INTL(W191,INDEX(X$12:X$15,MATCH($L191,$L$12:$L$15,0)),1,IF(X$18="China",'China Holidays'!$A$2:$A$82,'Thai Holidays'!$A$2:$A$63))</f>
        <v>46318</v>
      </c>
      <c r="Y191" s="350">
        <f>WORKDAY.INTL(X191,INDEX(Y$12:Y$15,MATCH($L191,$L$12:$L$15,0)),1,IF(Y$18="China",'China Holidays'!$A$2:$A$82,'Thai Holidays'!$A$2:$A$63))</f>
        <v>46325</v>
      </c>
      <c r="Z191" s="350">
        <f>WORKDAY.INTL(Y191,INDEX(Z$12:Z$15,MATCH($L191,$L$12:$L$15,0)),1,IF(Z$18="China",'China Holidays'!$A$2:$A$82,'Thai Holidays'!$A$2:$A$63))</f>
        <v>46346</v>
      </c>
      <c r="AA191" s="350">
        <f>WORKDAY.INTL(Z191,INDEX(AA$12:AA$15,MATCH($L191,$L$12:$L$15,0)),1,IF(AA$18="China",'China Holidays'!$A$2:$A$82,'Thai Holidays'!$A$2:$A$63))</f>
        <v>46360</v>
      </c>
      <c r="AB191" s="350">
        <f>AA191+15</f>
        <v>46375</v>
      </c>
      <c r="AC191" s="350">
        <f>AB191</f>
        <v>46375</v>
      </c>
      <c r="AD191" s="350">
        <f>AC191+2</f>
        <v>46377</v>
      </c>
      <c r="AE191" s="350">
        <f>AF191-14</f>
        <v>46355</v>
      </c>
      <c r="AF191" s="350">
        <f>AG191-7</f>
        <v>46369</v>
      </c>
      <c r="AG191" s="350">
        <f>AL191</f>
        <v>46376</v>
      </c>
      <c r="AH191" s="350">
        <f>AL191+14</f>
        <v>46390</v>
      </c>
      <c r="AI191" s="350">
        <f>AL191+30</f>
        <v>46406</v>
      </c>
      <c r="AJ191" s="362"/>
      <c r="AK191" s="326">
        <f>AJ189*7</f>
        <v>59.999999999999986</v>
      </c>
      <c r="AL191" s="350">
        <f>W191+AK191</f>
        <v>46376</v>
      </c>
      <c r="AM191" s="327">
        <f>AT189-7</f>
        <v>46478</v>
      </c>
      <c r="AN191" s="327">
        <f>AO191-7</f>
        <v>46485</v>
      </c>
      <c r="AO191" s="327">
        <v>46492</v>
      </c>
      <c r="AP191" s="327"/>
      <c r="AQ191" s="311">
        <f>AM191-AL191</f>
        <v>102</v>
      </c>
      <c r="AR191" s="329"/>
      <c r="AS191" s="330" t="s">
        <v>66</v>
      </c>
      <c r="AT191" s="331">
        <v>46485</v>
      </c>
    </row>
    <row r="192" spans="1:46" s="264" customFormat="1" ht="25.05" customHeight="1">
      <c r="A192" s="492"/>
      <c r="B192" s="337" t="str">
        <f>B189</f>
        <v>RFQ-INS-044</v>
      </c>
      <c r="C192" s="337" t="s">
        <v>201</v>
      </c>
      <c r="D192" s="395"/>
      <c r="E192" s="544"/>
      <c r="F192" s="395"/>
      <c r="G192" s="340"/>
      <c r="H192" s="339"/>
      <c r="I192" s="340" t="s">
        <v>139</v>
      </c>
      <c r="J192" s="337" t="s">
        <v>71</v>
      </c>
      <c r="K192" s="308">
        <v>4</v>
      </c>
      <c r="L192" s="337" t="s">
        <v>8</v>
      </c>
      <c r="M192" s="341" t="s">
        <v>67</v>
      </c>
      <c r="N192" s="340"/>
      <c r="O192" s="343"/>
      <c r="P192" s="343"/>
      <c r="Q192" s="343"/>
      <c r="R192" s="343"/>
      <c r="S192" s="343"/>
      <c r="T192" s="343"/>
      <c r="U192" s="343"/>
      <c r="V192" s="343"/>
      <c r="W192" s="340">
        <f>W189-W191</f>
        <v>0</v>
      </c>
      <c r="X192" s="343"/>
      <c r="Y192" s="343"/>
      <c r="Z192" s="343"/>
      <c r="AA192" s="343"/>
      <c r="AB192" s="343"/>
      <c r="AC192" s="343"/>
      <c r="AD192" s="343"/>
      <c r="AE192" s="343"/>
      <c r="AF192" s="343"/>
      <c r="AG192" s="343"/>
      <c r="AH192" s="343"/>
      <c r="AI192" s="343"/>
      <c r="AJ192" s="353"/>
      <c r="AK192" s="354"/>
      <c r="AL192" s="343"/>
      <c r="AM192" s="355"/>
      <c r="AN192" s="355"/>
      <c r="AO192" s="355"/>
      <c r="AP192" s="355"/>
      <c r="AQ192" s="340"/>
      <c r="AR192" s="356"/>
      <c r="AS192" s="357"/>
      <c r="AT192" s="356"/>
    </row>
    <row r="193" spans="1:46" s="264" customFormat="1" ht="25.05" customHeight="1">
      <c r="A193" s="493">
        <f>A189+1</f>
        <v>45</v>
      </c>
      <c r="B193" s="308" t="s">
        <v>202</v>
      </c>
      <c r="C193" s="308" t="s">
        <v>203</v>
      </c>
      <c r="D193" s="517"/>
      <c r="E193" s="541">
        <v>36</v>
      </c>
      <c r="F193" s="576"/>
      <c r="G193" s="311"/>
      <c r="H193" s="310"/>
      <c r="I193" s="311" t="s">
        <v>139</v>
      </c>
      <c r="J193" s="308" t="s">
        <v>71</v>
      </c>
      <c r="K193" s="312">
        <f>K196</f>
        <v>2</v>
      </c>
      <c r="L193" s="308" t="s">
        <v>7</v>
      </c>
      <c r="M193" s="313" t="s">
        <v>61</v>
      </c>
      <c r="N193" s="364">
        <f>WORKDAY.INTL(O193,-INDEX(O$12:O$15,MATCH($L193,$L$12:$L$15,0)),1,IF(N$18="China",'China Holidays'!$A$2:$A$82,'Thai Holidays'!$A$2:$A$63))</f>
        <v>46160</v>
      </c>
      <c r="O193" s="350">
        <v>46161</v>
      </c>
      <c r="P193" s="350">
        <v>46168</v>
      </c>
      <c r="Q193" s="350">
        <v>46169</v>
      </c>
      <c r="R193" s="350">
        <v>46178</v>
      </c>
      <c r="S193" s="350">
        <f>R193+1</f>
        <v>46179</v>
      </c>
      <c r="T193" s="350">
        <v>46195</v>
      </c>
      <c r="U193" s="350">
        <v>46223</v>
      </c>
      <c r="V193" s="350">
        <v>46226</v>
      </c>
      <c r="W193" s="350">
        <v>46240</v>
      </c>
      <c r="X193" s="350">
        <v>46244</v>
      </c>
      <c r="Y193" s="350">
        <v>46251</v>
      </c>
      <c r="Z193" s="350">
        <v>46279</v>
      </c>
      <c r="AA193" s="350">
        <v>46293</v>
      </c>
      <c r="AB193" s="350">
        <v>46308</v>
      </c>
      <c r="AC193" s="350">
        <v>46308</v>
      </c>
      <c r="AD193" s="350">
        <v>46310</v>
      </c>
      <c r="AE193" s="350">
        <v>46448</v>
      </c>
      <c r="AF193" s="350">
        <v>46478</v>
      </c>
      <c r="AG193" s="350">
        <v>46492</v>
      </c>
      <c r="AH193" s="350">
        <v>46506</v>
      </c>
      <c r="AI193" s="350">
        <v>46522</v>
      </c>
      <c r="AJ193" s="316">
        <v>36</v>
      </c>
      <c r="AK193" s="351"/>
      <c r="AL193" s="350" t="str">
        <f>TEXT(AL195,"d-mmm-yy")</f>
        <v>15-Apr-27</v>
      </c>
      <c r="AM193" s="327"/>
      <c r="AN193" s="327"/>
      <c r="AO193" s="327"/>
      <c r="AP193" s="327"/>
      <c r="AQ193" s="311"/>
      <c r="AR193" s="329"/>
      <c r="AS193" s="330" t="s">
        <v>62</v>
      </c>
      <c r="AT193" s="331">
        <v>46507</v>
      </c>
    </row>
    <row r="194" spans="1:46" s="264" customFormat="1" ht="25.05" customHeight="1">
      <c r="A194" s="491"/>
      <c r="B194" s="308" t="str">
        <f>B193</f>
        <v>RFQ-INS-045</v>
      </c>
      <c r="C194" s="308" t="s">
        <v>203</v>
      </c>
      <c r="D194" s="539"/>
      <c r="E194" s="542"/>
      <c r="F194" s="577"/>
      <c r="G194" s="311"/>
      <c r="H194" s="310"/>
      <c r="I194" s="311" t="s">
        <v>139</v>
      </c>
      <c r="J194" s="308"/>
      <c r="K194" s="322"/>
      <c r="L194" s="308"/>
      <c r="M194" s="323" t="s">
        <v>63</v>
      </c>
      <c r="N194" s="367"/>
      <c r="O194" s="325">
        <v>46161</v>
      </c>
      <c r="P194" s="325">
        <v>46168</v>
      </c>
      <c r="Q194" s="325">
        <v>46169</v>
      </c>
      <c r="R194" s="325">
        <v>46178</v>
      </c>
      <c r="S194" s="325">
        <v>46179</v>
      </c>
      <c r="T194" s="325">
        <v>46195</v>
      </c>
      <c r="U194" s="325">
        <v>46223</v>
      </c>
      <c r="V194" s="325">
        <v>46226</v>
      </c>
      <c r="W194" s="325">
        <v>46240</v>
      </c>
      <c r="X194" s="325">
        <v>46244</v>
      </c>
      <c r="Y194" s="325">
        <v>46251</v>
      </c>
      <c r="Z194" s="325">
        <v>46279</v>
      </c>
      <c r="AA194" s="325">
        <v>46293</v>
      </c>
      <c r="AB194" s="325">
        <v>46308</v>
      </c>
      <c r="AC194" s="325">
        <v>46308</v>
      </c>
      <c r="AD194" s="325">
        <v>46310</v>
      </c>
      <c r="AE194" s="325">
        <v>46448</v>
      </c>
      <c r="AF194" s="325">
        <v>46478</v>
      </c>
      <c r="AG194" s="325">
        <v>46492</v>
      </c>
      <c r="AH194" s="325">
        <v>46506</v>
      </c>
      <c r="AI194" s="325">
        <v>46522</v>
      </c>
      <c r="AJ194" s="365"/>
      <c r="AK194" s="326"/>
      <c r="AL194" s="325">
        <f>W194+AK195</f>
        <v>46492</v>
      </c>
      <c r="AM194" s="327"/>
      <c r="AN194" s="327"/>
      <c r="AO194" s="327"/>
      <c r="AP194" s="327"/>
      <c r="AQ194" s="328">
        <f>AM195-AL194</f>
        <v>8</v>
      </c>
      <c r="AR194" s="329"/>
      <c r="AS194" s="330"/>
      <c r="AT194" s="331"/>
    </row>
    <row r="195" spans="1:46" s="264" customFormat="1" ht="25.05" customHeight="1">
      <c r="A195" s="491"/>
      <c r="B195" s="308" t="str">
        <f>B193</f>
        <v>RFQ-INS-045</v>
      </c>
      <c r="C195" s="308" t="s">
        <v>203</v>
      </c>
      <c r="D195" s="531"/>
      <c r="E195" s="542"/>
      <c r="F195" s="578"/>
      <c r="G195" s="311">
        <v>8</v>
      </c>
      <c r="H195" s="310" t="s">
        <v>204</v>
      </c>
      <c r="I195" s="311" t="s">
        <v>139</v>
      </c>
      <c r="J195" s="308" t="s">
        <v>71</v>
      </c>
      <c r="K195" s="308">
        <f>K196</f>
        <v>2</v>
      </c>
      <c r="L195" s="308" t="s">
        <v>7</v>
      </c>
      <c r="M195" s="313" t="s">
        <v>65</v>
      </c>
      <c r="N195" s="350">
        <f>N193</f>
        <v>46160</v>
      </c>
      <c r="O195" s="350">
        <v>46161</v>
      </c>
      <c r="P195" s="350">
        <f>WORKDAY.INTL(O195,INDEX(P$8:P$11,MATCH($L195,$L$8:$L$11,0)),1,IF(P$18="China",'China Holidays'!$A$2:$A$82,'Thai Holidays'!$A$2:$A$63))</f>
        <v>46177</v>
      </c>
      <c r="Q195" s="350">
        <f>WORKDAY.INTL(P195,INDEX(Q$8:Q$11,MATCH($L195,$L$8:$L$11,0)),1,IF(Q$18="China",'China Holidays'!$A$2:$A$82,'Thai Holidays'!$A$2:$A$63))</f>
        <v>46177</v>
      </c>
      <c r="R195" s="350">
        <f>WORKDAY.INTL(Q195,INDEX(R$8:R$11,MATCH($L195,$L$8:$L$11,0)),1,IF(R$18="China",'China Holidays'!$A$2:$A$82,'Thai Holidays'!$A$2:$A$63))</f>
        <v>46177</v>
      </c>
      <c r="S195" s="350">
        <f>WORKDAY.INTL(R195,INDEX(S$8:S$11,MATCH($L195,$L$8:$L$11,0)),1,IF(S$18="China",'China Holidays'!$A$2:$A$82,'Thai Holidays'!$A$2:$A$63))</f>
        <v>46177</v>
      </c>
      <c r="T195" s="350">
        <f>WORKDAY.INTL(S195,INDEX(T$8:T$11,MATCH($L195,$L$8:$L$11,0)),1,IF(T$18="China",'China Holidays'!$A$2:$A$82,'Thai Holidays'!$A$2:$A$63))</f>
        <v>46191</v>
      </c>
      <c r="U195" s="350">
        <v>46215</v>
      </c>
      <c r="V195" s="350">
        <f>WORKDAY.INTL(U195,INDEX(V$8:V$11,MATCH($L195,$L$8:$L$11,0)),1,IF(V$18="China",'China Holidays'!$A$2:$A$82,'Thai Holidays'!$A$2:$A$63))</f>
        <v>46227</v>
      </c>
      <c r="W195" s="350">
        <f>WORKDAY.INTL(V195,INDEX(W$8:W$11,MATCH($L195,$L$8:$L$11,0)),1,IF(W$18="China",'China Holidays'!$A$2:$A$82,'Thai Holidays'!$A$2:$A$63))</f>
        <v>46240</v>
      </c>
      <c r="X195" s="350">
        <f>WORKDAY.INTL(W195,INDEX(X$12:X$15,MATCH($L195,$L$12:$L$15,0)),1,IF(X$18="China",'China Holidays'!$A$2:$A$82,'Thai Holidays'!$A$2:$A$63))</f>
        <v>46244</v>
      </c>
      <c r="Y195" s="350">
        <f>WORKDAY.INTL(X195,INDEX(Y$12:Y$15,MATCH($L195,$L$12:$L$15,0)),1,IF(Y$18="China",'China Holidays'!$A$2:$A$82,'Thai Holidays'!$A$2:$A$63))</f>
        <v>46251</v>
      </c>
      <c r="Z195" s="350">
        <f>WORKDAY.INTL(Y195,INDEX(Z$12:Z$15,MATCH($L195,$L$12:$L$15,0)),1,IF(Z$18="China",'China Holidays'!$A$2:$A$82,'Thai Holidays'!$A$2:$A$63))</f>
        <v>46279</v>
      </c>
      <c r="AA195" s="350">
        <f>WORKDAY.INTL(Z195,INDEX(AA$12:AA$15,MATCH($L195,$L$12:$L$15,0)),1,IF(AA$18="China",'China Holidays'!$A$2:$A$82,'Thai Holidays'!$A$2:$A$63))</f>
        <v>46293</v>
      </c>
      <c r="AB195" s="350">
        <f>AA195+15</f>
        <v>46308</v>
      </c>
      <c r="AC195" s="350">
        <f>AB195</f>
        <v>46308</v>
      </c>
      <c r="AD195" s="350">
        <f>AC195+2</f>
        <v>46310</v>
      </c>
      <c r="AE195" s="350">
        <f>AF195-30</f>
        <v>46448</v>
      </c>
      <c r="AF195" s="350">
        <f>AG195-14</f>
        <v>46478</v>
      </c>
      <c r="AG195" s="350">
        <f>AL195</f>
        <v>46492</v>
      </c>
      <c r="AH195" s="350">
        <f>AL195+14</f>
        <v>46506</v>
      </c>
      <c r="AI195" s="350">
        <f>AL195+30</f>
        <v>46522</v>
      </c>
      <c r="AJ195" s="362"/>
      <c r="AK195" s="326">
        <f>AJ193*7</f>
        <v>252</v>
      </c>
      <c r="AL195" s="350">
        <f>W195+AK195</f>
        <v>46492</v>
      </c>
      <c r="AM195" s="327">
        <f>AT193-7</f>
        <v>46500</v>
      </c>
      <c r="AN195" s="327">
        <f>AO195-7</f>
        <v>46498</v>
      </c>
      <c r="AO195" s="327">
        <v>46505</v>
      </c>
      <c r="AP195" s="327"/>
      <c r="AQ195" s="311">
        <f>AM195-AL195</f>
        <v>8</v>
      </c>
      <c r="AR195" s="329"/>
      <c r="AS195" s="330" t="s">
        <v>66</v>
      </c>
      <c r="AT195" s="331">
        <v>46507</v>
      </c>
    </row>
    <row r="196" spans="1:46" s="264" customFormat="1" ht="25.05" customHeight="1">
      <c r="A196" s="492"/>
      <c r="B196" s="337" t="str">
        <f>B193</f>
        <v>RFQ-INS-045</v>
      </c>
      <c r="C196" s="337" t="s">
        <v>203</v>
      </c>
      <c r="D196" s="532"/>
      <c r="E196" s="544"/>
      <c r="F196" s="579"/>
      <c r="G196" s="340"/>
      <c r="H196" s="339"/>
      <c r="I196" s="340" t="s">
        <v>139</v>
      </c>
      <c r="J196" s="337" t="s">
        <v>71</v>
      </c>
      <c r="K196" s="308">
        <v>2</v>
      </c>
      <c r="L196" s="337" t="s">
        <v>7</v>
      </c>
      <c r="M196" s="341" t="s">
        <v>67</v>
      </c>
      <c r="N196" s="343">
        <v>46133</v>
      </c>
      <c r="O196" s="343">
        <v>46165</v>
      </c>
      <c r="P196" s="343">
        <v>46182</v>
      </c>
      <c r="Q196" s="343">
        <v>46182</v>
      </c>
      <c r="R196" s="343">
        <v>46182</v>
      </c>
      <c r="S196" s="343">
        <v>46182</v>
      </c>
      <c r="T196" s="343">
        <v>46190</v>
      </c>
      <c r="U196" s="343"/>
      <c r="V196" s="343"/>
      <c r="W196" s="340">
        <f>W193-W195</f>
        <v>0</v>
      </c>
      <c r="X196" s="343"/>
      <c r="Y196" s="343"/>
      <c r="Z196" s="343"/>
      <c r="AA196" s="343"/>
      <c r="AB196" s="343"/>
      <c r="AC196" s="343"/>
      <c r="AD196" s="343"/>
      <c r="AE196" s="343"/>
      <c r="AF196" s="343"/>
      <c r="AG196" s="343"/>
      <c r="AH196" s="343"/>
      <c r="AI196" s="343"/>
      <c r="AJ196" s="353"/>
      <c r="AK196" s="354"/>
      <c r="AL196" s="343"/>
      <c r="AM196" s="355"/>
      <c r="AN196" s="355"/>
      <c r="AO196" s="355"/>
      <c r="AP196" s="355"/>
      <c r="AQ196" s="340"/>
      <c r="AR196" s="356"/>
      <c r="AS196" s="357"/>
      <c r="AT196" s="356"/>
    </row>
    <row r="197" spans="1:46" s="264" customFormat="1" ht="25.05" customHeight="1">
      <c r="A197" s="493">
        <f>A193+1</f>
        <v>46</v>
      </c>
      <c r="B197" s="308" t="s">
        <v>205</v>
      </c>
      <c r="C197" s="308" t="s">
        <v>206</v>
      </c>
      <c r="D197" s="420"/>
      <c r="E197" s="545">
        <v>25.714285714285701</v>
      </c>
      <c r="F197" s="420"/>
      <c r="G197" s="311"/>
      <c r="H197" s="310"/>
      <c r="I197" s="311" t="s">
        <v>207</v>
      </c>
      <c r="J197" s="308" t="s">
        <v>71</v>
      </c>
      <c r="K197" s="312">
        <f>K200</f>
        <v>3</v>
      </c>
      <c r="L197" s="308" t="s">
        <v>8</v>
      </c>
      <c r="M197" s="313" t="s">
        <v>61</v>
      </c>
      <c r="N197" s="364">
        <f>WORKDAY.INTL(O197,-INDEX(O$12:O$15,MATCH($L197,$L$12:$L$15,0)),1,IF(N$18="China",'China Holidays'!$A$2:$A$82,'Thai Holidays'!$A$2:$A$63))</f>
        <v>46163</v>
      </c>
      <c r="O197" s="350">
        <v>46168</v>
      </c>
      <c r="P197" s="350">
        <v>46177</v>
      </c>
      <c r="Q197" s="350">
        <v>46178</v>
      </c>
      <c r="R197" s="350">
        <v>46185</v>
      </c>
      <c r="S197" s="350">
        <f>R197+1</f>
        <v>46186</v>
      </c>
      <c r="T197" s="350">
        <v>46202</v>
      </c>
      <c r="U197" s="350">
        <v>46223</v>
      </c>
      <c r="V197" s="350">
        <v>46226</v>
      </c>
      <c r="W197" s="350">
        <v>46240</v>
      </c>
      <c r="X197" s="350">
        <v>46244</v>
      </c>
      <c r="Y197" s="350">
        <v>46251</v>
      </c>
      <c r="Z197" s="350">
        <v>46272</v>
      </c>
      <c r="AA197" s="350">
        <v>46286</v>
      </c>
      <c r="AB197" s="350">
        <v>46301</v>
      </c>
      <c r="AC197" s="350">
        <v>46301</v>
      </c>
      <c r="AD197" s="350">
        <v>46303</v>
      </c>
      <c r="AE197" s="350">
        <v>46399</v>
      </c>
      <c r="AF197" s="350">
        <v>46413</v>
      </c>
      <c r="AG197" s="350">
        <v>46420</v>
      </c>
      <c r="AH197" s="350">
        <v>46434</v>
      </c>
      <c r="AI197" s="350">
        <v>46450</v>
      </c>
      <c r="AJ197" s="316">
        <v>25.714285714285701</v>
      </c>
      <c r="AK197" s="351"/>
      <c r="AL197" s="350" t="str">
        <f>TEXT(AL199,"d-mmm-yy")</f>
        <v>2-Feb-27</v>
      </c>
      <c r="AM197" s="327"/>
      <c r="AN197" s="327"/>
      <c r="AO197" s="327"/>
      <c r="AP197" s="327"/>
      <c r="AQ197" s="311"/>
      <c r="AR197" s="329"/>
      <c r="AS197" s="330" t="s">
        <v>62</v>
      </c>
      <c r="AT197" s="331">
        <v>46469</v>
      </c>
    </row>
    <row r="198" spans="1:46" s="264" customFormat="1" ht="25.05" customHeight="1">
      <c r="A198" s="491"/>
      <c r="B198" s="308" t="str">
        <f>B197</f>
        <v>RFQ-TEL-046</v>
      </c>
      <c r="C198" s="308" t="s">
        <v>206</v>
      </c>
      <c r="D198" s="414"/>
      <c r="E198" s="542"/>
      <c r="F198" s="416"/>
      <c r="G198" s="311"/>
      <c r="H198" s="310"/>
      <c r="I198" s="311" t="s">
        <v>207</v>
      </c>
      <c r="J198" s="308"/>
      <c r="K198" s="322"/>
      <c r="L198" s="308"/>
      <c r="M198" s="323" t="s">
        <v>63</v>
      </c>
      <c r="N198" s="367"/>
      <c r="O198" s="325">
        <v>46189</v>
      </c>
      <c r="P198" s="325">
        <v>46198</v>
      </c>
      <c r="Q198" s="325">
        <v>46199</v>
      </c>
      <c r="R198" s="325">
        <v>46206</v>
      </c>
      <c r="S198" s="325">
        <v>46207</v>
      </c>
      <c r="T198" s="325">
        <v>46223</v>
      </c>
      <c r="U198" s="325">
        <v>46244</v>
      </c>
      <c r="V198" s="325">
        <v>46247</v>
      </c>
      <c r="W198" s="325">
        <v>46261</v>
      </c>
      <c r="X198" s="325">
        <v>46265</v>
      </c>
      <c r="Y198" s="325">
        <v>46272</v>
      </c>
      <c r="Z198" s="325">
        <v>46293</v>
      </c>
      <c r="AA198" s="325">
        <v>46307</v>
      </c>
      <c r="AB198" s="325">
        <v>46322</v>
      </c>
      <c r="AC198" s="325">
        <v>46322</v>
      </c>
      <c r="AD198" s="325">
        <v>46324</v>
      </c>
      <c r="AE198" s="325">
        <v>46420</v>
      </c>
      <c r="AF198" s="325">
        <v>46434</v>
      </c>
      <c r="AG198" s="325">
        <v>46441</v>
      </c>
      <c r="AH198" s="325">
        <v>46455</v>
      </c>
      <c r="AI198" s="325">
        <v>46471</v>
      </c>
      <c r="AJ198" s="316"/>
      <c r="AK198" s="326"/>
      <c r="AL198" s="325">
        <f>W198+AK199</f>
        <v>46441</v>
      </c>
      <c r="AM198" s="327"/>
      <c r="AN198" s="327"/>
      <c r="AO198" s="327"/>
      <c r="AP198" s="327"/>
      <c r="AQ198" s="328">
        <f>AM199-AL198</f>
        <v>21</v>
      </c>
      <c r="AR198" s="329"/>
      <c r="AS198" s="330"/>
      <c r="AT198" s="331"/>
    </row>
    <row r="199" spans="1:46" s="264" customFormat="1" ht="25.05" customHeight="1">
      <c r="A199" s="491"/>
      <c r="B199" s="308" t="str">
        <f>B197</f>
        <v>RFQ-TEL-046</v>
      </c>
      <c r="C199" s="308" t="s">
        <v>206</v>
      </c>
      <c r="D199" s="359"/>
      <c r="E199" s="543"/>
      <c r="F199" s="359"/>
      <c r="G199" s="311">
        <v>42</v>
      </c>
      <c r="H199" s="310" t="s">
        <v>208</v>
      </c>
      <c r="I199" s="311" t="s">
        <v>207</v>
      </c>
      <c r="J199" s="308" t="s">
        <v>71</v>
      </c>
      <c r="K199" s="308">
        <f>K200</f>
        <v>3</v>
      </c>
      <c r="L199" s="308" t="s">
        <v>8</v>
      </c>
      <c r="M199" s="313" t="s">
        <v>65</v>
      </c>
      <c r="N199" s="350">
        <v>46162</v>
      </c>
      <c r="O199" s="350">
        <v>46168</v>
      </c>
      <c r="P199" s="350">
        <f>WORKDAY.INTL(O199,INDEX(P$8:P$11,MATCH($L199,$L$8:$L$11,0)),1,IF(P$18="China",'China Holidays'!$A$2:$A$82,'Thai Holidays'!$A$2:$A$63))</f>
        <v>46184</v>
      </c>
      <c r="Q199" s="350">
        <f>WORKDAY.INTL(P199,INDEX(Q$8:Q$11,MATCH($L199,$L$8:$L$11,0)),1,IF(Q$18="China",'China Holidays'!$A$2:$A$82,'Thai Holidays'!$A$2:$A$63))</f>
        <v>46184</v>
      </c>
      <c r="R199" s="350">
        <f>WORKDAY.INTL(Q199,INDEX(R$8:R$11,MATCH($L199,$L$8:$L$11,0)),1,IF(R$18="China",'China Holidays'!$A$2:$A$82,'Thai Holidays'!$A$2:$A$63))</f>
        <v>46184</v>
      </c>
      <c r="S199" s="350">
        <f>WORKDAY.INTL(R199,INDEX(S$8:S$11,MATCH($L199,$L$8:$L$11,0)),1,IF(S$18="China",'China Holidays'!$A$2:$A$82,'Thai Holidays'!$A$2:$A$63))</f>
        <v>46184</v>
      </c>
      <c r="T199" s="350">
        <f>WORKDAY.INTL(S199,INDEX(T$8:T$11,MATCH($L199,$L$8:$L$11,0)),1,IF(T$18="China",'China Holidays'!$A$2:$A$82,'Thai Holidays'!$A$2:$A$63))</f>
        <v>46199</v>
      </c>
      <c r="U199" s="350">
        <v>46213</v>
      </c>
      <c r="V199" s="350">
        <f>WORKDAY.INTL(U199,INDEX(V$8:V$11,MATCH($L199,$L$8:$L$11,0)),1,IF(V$18="China",'China Holidays'!$A$2:$A$82,'Thai Holidays'!$A$2:$A$63))</f>
        <v>46227</v>
      </c>
      <c r="W199" s="350">
        <f>WORKDAY.INTL(V199,INDEX(W$8:W$11,MATCH($L199,$L$8:$L$11,0)),1,IF(W$18="China",'China Holidays'!$A$2:$A$82,'Thai Holidays'!$A$2:$A$63))</f>
        <v>46240</v>
      </c>
      <c r="X199" s="350">
        <f>WORKDAY.INTL(W199,INDEX(X$12:X$15,MATCH($L199,$L$12:$L$15,0)),1,IF(X$18="China",'China Holidays'!$A$2:$A$82,'Thai Holidays'!$A$2:$A$63))</f>
        <v>46244</v>
      </c>
      <c r="Y199" s="350">
        <f>WORKDAY.INTL(X199,INDEX(Y$12:Y$15,MATCH($L199,$L$12:$L$15,0)),1,IF(Y$18="China",'China Holidays'!$A$2:$A$82,'Thai Holidays'!$A$2:$A$63))</f>
        <v>46251</v>
      </c>
      <c r="Z199" s="350">
        <f>WORKDAY.INTL(Y199,INDEX(Z$12:Z$15,MATCH($L199,$L$12:$L$15,0)),1,IF(Z$18="China",'China Holidays'!$A$2:$A$82,'Thai Holidays'!$A$2:$A$63))</f>
        <v>46272</v>
      </c>
      <c r="AA199" s="350">
        <f>WORKDAY.INTL(Z199,INDEX(AA$12:AA$15,MATCH($L199,$L$12:$L$15,0)),1,IF(AA$18="China",'China Holidays'!$A$2:$A$82,'Thai Holidays'!$A$2:$A$63))</f>
        <v>46286</v>
      </c>
      <c r="AB199" s="350">
        <f>AA199+15</f>
        <v>46301</v>
      </c>
      <c r="AC199" s="350">
        <f>AB199</f>
        <v>46301</v>
      </c>
      <c r="AD199" s="350">
        <f>AC199+2</f>
        <v>46303</v>
      </c>
      <c r="AE199" s="350">
        <f>AF199-14</f>
        <v>46399</v>
      </c>
      <c r="AF199" s="350">
        <f>AG199-7</f>
        <v>46413</v>
      </c>
      <c r="AG199" s="350">
        <f>AL199</f>
        <v>46420</v>
      </c>
      <c r="AH199" s="350">
        <f>AL199+14</f>
        <v>46434</v>
      </c>
      <c r="AI199" s="350">
        <f>AL199+30</f>
        <v>46450</v>
      </c>
      <c r="AJ199" s="362"/>
      <c r="AK199" s="326">
        <f>AJ197*7</f>
        <v>179.99999999999991</v>
      </c>
      <c r="AL199" s="350">
        <f>W199+AK199</f>
        <v>46420</v>
      </c>
      <c r="AM199" s="327">
        <f>AT197-7</f>
        <v>46462</v>
      </c>
      <c r="AN199" s="327">
        <f>AO199-7</f>
        <v>46454</v>
      </c>
      <c r="AO199" s="327">
        <v>46461</v>
      </c>
      <c r="AP199" s="327"/>
      <c r="AQ199" s="311">
        <f>AM199-AL199</f>
        <v>42</v>
      </c>
      <c r="AR199" s="329"/>
      <c r="AS199" s="330" t="s">
        <v>66</v>
      </c>
      <c r="AT199" s="331">
        <v>46480</v>
      </c>
    </row>
    <row r="200" spans="1:46" s="264" customFormat="1" ht="25.05" customHeight="1">
      <c r="A200" s="492"/>
      <c r="B200" s="337" t="str">
        <f>B197</f>
        <v>RFQ-TEL-046</v>
      </c>
      <c r="C200" s="337" t="s">
        <v>206</v>
      </c>
      <c r="D200" s="363"/>
      <c r="E200" s="546"/>
      <c r="F200" s="363"/>
      <c r="G200" s="340"/>
      <c r="H200" s="339"/>
      <c r="I200" s="340" t="s">
        <v>207</v>
      </c>
      <c r="J200" s="337" t="s">
        <v>71</v>
      </c>
      <c r="K200" s="308">
        <v>3</v>
      </c>
      <c r="L200" s="337" t="s">
        <v>8</v>
      </c>
      <c r="M200" s="341" t="s">
        <v>67</v>
      </c>
      <c r="N200" s="343"/>
      <c r="O200" s="343">
        <v>46169</v>
      </c>
      <c r="P200" s="343">
        <v>46188</v>
      </c>
      <c r="Q200" s="343">
        <v>46188</v>
      </c>
      <c r="R200" s="343">
        <v>46188</v>
      </c>
      <c r="S200" s="343">
        <v>46188</v>
      </c>
      <c r="T200" s="343"/>
      <c r="U200" s="343"/>
      <c r="V200" s="343"/>
      <c r="W200" s="340">
        <f>W197-W199</f>
        <v>0</v>
      </c>
      <c r="X200" s="343"/>
      <c r="Y200" s="343"/>
      <c r="Z200" s="343"/>
      <c r="AA200" s="343"/>
      <c r="AB200" s="343"/>
      <c r="AC200" s="343"/>
      <c r="AD200" s="343"/>
      <c r="AE200" s="343"/>
      <c r="AF200" s="343"/>
      <c r="AG200" s="343"/>
      <c r="AH200" s="343"/>
      <c r="AI200" s="343"/>
      <c r="AJ200" s="353"/>
      <c r="AK200" s="354"/>
      <c r="AL200" s="343"/>
      <c r="AM200" s="355"/>
      <c r="AN200" s="355"/>
      <c r="AO200" s="355"/>
      <c r="AP200" s="355"/>
      <c r="AQ200" s="340"/>
      <c r="AR200" s="356"/>
      <c r="AS200" s="357"/>
      <c r="AT200" s="356"/>
    </row>
    <row r="201" spans="1:46" s="264" customFormat="1" ht="25.05" customHeight="1">
      <c r="A201" s="493">
        <f>A197+1</f>
        <v>47</v>
      </c>
      <c r="B201" s="308" t="s">
        <v>209</v>
      </c>
      <c r="C201" s="308" t="s">
        <v>210</v>
      </c>
      <c r="D201" s="419"/>
      <c r="E201" s="541">
        <v>16</v>
      </c>
      <c r="F201" s="419"/>
      <c r="G201" s="311"/>
      <c r="H201" s="310"/>
      <c r="I201" s="311" t="s">
        <v>207</v>
      </c>
      <c r="J201" s="308" t="s">
        <v>71</v>
      </c>
      <c r="K201" s="312">
        <f>K204</f>
        <v>3</v>
      </c>
      <c r="L201" s="308" t="s">
        <v>8</v>
      </c>
      <c r="M201" s="313" t="s">
        <v>61</v>
      </c>
      <c r="N201" s="364">
        <f>WORKDAY.INTL(O201,-INDEX(O$12:O$15,MATCH($L201,$L$12:$L$15,0)),1,IF(N$18="China",'China Holidays'!$A$2:$A$82,'Thai Holidays'!$A$2:$A$63))</f>
        <v>46163</v>
      </c>
      <c r="O201" s="350">
        <v>46168</v>
      </c>
      <c r="P201" s="350">
        <v>46177</v>
      </c>
      <c r="Q201" s="350">
        <v>46178</v>
      </c>
      <c r="R201" s="350">
        <v>46185</v>
      </c>
      <c r="S201" s="350">
        <f>R201+1</f>
        <v>46186</v>
      </c>
      <c r="T201" s="350">
        <v>46202</v>
      </c>
      <c r="U201" s="350">
        <v>46223</v>
      </c>
      <c r="V201" s="350">
        <v>46226</v>
      </c>
      <c r="W201" s="350">
        <v>46240</v>
      </c>
      <c r="X201" s="350">
        <v>46244</v>
      </c>
      <c r="Y201" s="350">
        <v>46251</v>
      </c>
      <c r="Z201" s="350">
        <v>46272</v>
      </c>
      <c r="AA201" s="350">
        <v>46286</v>
      </c>
      <c r="AB201" s="350">
        <v>46301</v>
      </c>
      <c r="AC201" s="350">
        <v>46301</v>
      </c>
      <c r="AD201" s="350">
        <v>46303</v>
      </c>
      <c r="AE201" s="350">
        <v>46331</v>
      </c>
      <c r="AF201" s="350">
        <v>46345</v>
      </c>
      <c r="AG201" s="350">
        <v>46352</v>
      </c>
      <c r="AH201" s="350">
        <v>46366</v>
      </c>
      <c r="AI201" s="350">
        <v>46382</v>
      </c>
      <c r="AJ201" s="316">
        <v>16</v>
      </c>
      <c r="AK201" s="351"/>
      <c r="AL201" s="350" t="str">
        <f>TEXT(AL203,"d-mmm-yy")</f>
        <v>26-Nov-26</v>
      </c>
      <c r="AM201" s="327"/>
      <c r="AN201" s="327"/>
      <c r="AO201" s="327"/>
      <c r="AP201" s="327"/>
      <c r="AQ201" s="311"/>
      <c r="AR201" s="329"/>
      <c r="AS201" s="330" t="s">
        <v>62</v>
      </c>
      <c r="AT201" s="331">
        <v>46469</v>
      </c>
    </row>
    <row r="202" spans="1:46" s="264" customFormat="1" ht="25.05" customHeight="1">
      <c r="A202" s="491"/>
      <c r="B202" s="308" t="str">
        <f>B201</f>
        <v>RFQ-TEL-047</v>
      </c>
      <c r="C202" s="308" t="s">
        <v>210</v>
      </c>
      <c r="D202" s="414"/>
      <c r="E202" s="542"/>
      <c r="F202" s="416"/>
      <c r="G202" s="311"/>
      <c r="H202" s="310"/>
      <c r="I202" s="311" t="s">
        <v>207</v>
      </c>
      <c r="J202" s="308"/>
      <c r="K202" s="322"/>
      <c r="L202" s="308"/>
      <c r="M202" s="323" t="s">
        <v>63</v>
      </c>
      <c r="N202" s="367"/>
      <c r="O202" s="325">
        <v>46189</v>
      </c>
      <c r="P202" s="325">
        <v>46198</v>
      </c>
      <c r="Q202" s="325">
        <v>46199</v>
      </c>
      <c r="R202" s="325">
        <v>46206</v>
      </c>
      <c r="S202" s="325">
        <v>46207</v>
      </c>
      <c r="T202" s="325">
        <v>46223</v>
      </c>
      <c r="U202" s="325">
        <v>46244</v>
      </c>
      <c r="V202" s="325">
        <v>46247</v>
      </c>
      <c r="W202" s="325">
        <v>46261</v>
      </c>
      <c r="X202" s="325">
        <v>46265</v>
      </c>
      <c r="Y202" s="325">
        <v>46272</v>
      </c>
      <c r="Z202" s="325">
        <v>46293</v>
      </c>
      <c r="AA202" s="325">
        <v>46307</v>
      </c>
      <c r="AB202" s="325">
        <v>46322</v>
      </c>
      <c r="AC202" s="325">
        <v>46322</v>
      </c>
      <c r="AD202" s="325">
        <v>46324</v>
      </c>
      <c r="AE202" s="325">
        <v>46420</v>
      </c>
      <c r="AF202" s="325">
        <v>46434</v>
      </c>
      <c r="AG202" s="325">
        <v>46441</v>
      </c>
      <c r="AH202" s="325">
        <v>46455</v>
      </c>
      <c r="AI202" s="325">
        <v>46471</v>
      </c>
      <c r="AJ202" s="316"/>
      <c r="AK202" s="326"/>
      <c r="AL202" s="325">
        <f>W202+AK203</f>
        <v>46373</v>
      </c>
      <c r="AM202" s="327"/>
      <c r="AN202" s="327"/>
      <c r="AO202" s="327"/>
      <c r="AP202" s="327"/>
      <c r="AQ202" s="328">
        <f>AM203-AL202</f>
        <v>89</v>
      </c>
      <c r="AR202" s="329"/>
      <c r="AS202" s="330"/>
      <c r="AT202" s="331"/>
    </row>
    <row r="203" spans="1:46" s="264" customFormat="1" ht="25.05" customHeight="1">
      <c r="A203" s="491"/>
      <c r="B203" s="308" t="str">
        <f>B201</f>
        <v>RFQ-TEL-047</v>
      </c>
      <c r="C203" s="308" t="s">
        <v>210</v>
      </c>
      <c r="D203" s="360"/>
      <c r="E203" s="542"/>
      <c r="F203" s="360"/>
      <c r="G203" s="311">
        <v>110</v>
      </c>
      <c r="H203" s="310" t="s">
        <v>211</v>
      </c>
      <c r="I203" s="311" t="s">
        <v>207</v>
      </c>
      <c r="J203" s="308" t="s">
        <v>71</v>
      </c>
      <c r="K203" s="308">
        <f>K204</f>
        <v>3</v>
      </c>
      <c r="L203" s="308" t="s">
        <v>8</v>
      </c>
      <c r="M203" s="313" t="s">
        <v>65</v>
      </c>
      <c r="N203" s="350">
        <v>46162</v>
      </c>
      <c r="O203" s="350">
        <v>46168</v>
      </c>
      <c r="P203" s="350">
        <f>WORKDAY.INTL(O203,INDEX(P$8:P$11,MATCH($L203,$L$8:$L$11,0)),1,IF(P$18="China",'China Holidays'!$A$2:$A$82,'Thai Holidays'!$A$2:$A$63))</f>
        <v>46184</v>
      </c>
      <c r="Q203" s="350">
        <f>WORKDAY.INTL(P203,INDEX(Q$8:Q$11,MATCH($L203,$L$8:$L$11,0)),1,IF(Q$18="China",'China Holidays'!$A$2:$A$82,'Thai Holidays'!$A$2:$A$63))</f>
        <v>46184</v>
      </c>
      <c r="R203" s="350">
        <f>WORKDAY.INTL(Q203,INDEX(R$8:R$11,MATCH($L203,$L$8:$L$11,0)),1,IF(R$18="China",'China Holidays'!$A$2:$A$82,'Thai Holidays'!$A$2:$A$63))</f>
        <v>46184</v>
      </c>
      <c r="S203" s="350">
        <f>WORKDAY.INTL(R203,INDEX(S$8:S$11,MATCH($L203,$L$8:$L$11,0)),1,IF(S$18="China",'China Holidays'!$A$2:$A$82,'Thai Holidays'!$A$2:$A$63))</f>
        <v>46184</v>
      </c>
      <c r="T203" s="350">
        <f>WORKDAY.INTL(S203,INDEX(T$8:T$11,MATCH($L203,$L$8:$L$11,0)),1,IF(T$18="China",'China Holidays'!$A$2:$A$82,'Thai Holidays'!$A$2:$A$63))</f>
        <v>46199</v>
      </c>
      <c r="U203" s="350">
        <v>46213</v>
      </c>
      <c r="V203" s="350">
        <f>WORKDAY.INTL(U203,INDEX(V$8:V$11,MATCH($L203,$L$8:$L$11,0)),1,IF(V$18="China",'China Holidays'!$A$2:$A$82,'Thai Holidays'!$A$2:$A$63))</f>
        <v>46227</v>
      </c>
      <c r="W203" s="350">
        <f>WORKDAY.INTL(V203,INDEX(W$8:W$11,MATCH($L203,$L$8:$L$11,0)),1,IF(W$18="China",'China Holidays'!$A$2:$A$82,'Thai Holidays'!$A$2:$A$63))</f>
        <v>46240</v>
      </c>
      <c r="X203" s="350">
        <f>WORKDAY.INTL(W203,INDEX(X$12:X$15,MATCH($L203,$L$12:$L$15,0)),1,IF(X$18="China",'China Holidays'!$A$2:$A$82,'Thai Holidays'!$A$2:$A$63))</f>
        <v>46244</v>
      </c>
      <c r="Y203" s="350">
        <f>WORKDAY.INTL(X203,INDEX(Y$12:Y$15,MATCH($L203,$L$12:$L$15,0)),1,IF(Y$18="China",'China Holidays'!$A$2:$A$82,'Thai Holidays'!$A$2:$A$63))</f>
        <v>46251</v>
      </c>
      <c r="Z203" s="350">
        <f>WORKDAY.INTL(Y203,INDEX(Z$12:Z$15,MATCH($L203,$L$12:$L$15,0)),1,IF(Z$18="China",'China Holidays'!$A$2:$A$82,'Thai Holidays'!$A$2:$A$63))</f>
        <v>46272</v>
      </c>
      <c r="AA203" s="350">
        <f>WORKDAY.INTL(Z203,INDEX(AA$12:AA$15,MATCH($L203,$L$12:$L$15,0)),1,IF(AA$18="China",'China Holidays'!$A$2:$A$82,'Thai Holidays'!$A$2:$A$63))</f>
        <v>46286</v>
      </c>
      <c r="AB203" s="350">
        <f>AA203+15</f>
        <v>46301</v>
      </c>
      <c r="AC203" s="350">
        <f>AB203</f>
        <v>46301</v>
      </c>
      <c r="AD203" s="350">
        <f>AC203+2</f>
        <v>46303</v>
      </c>
      <c r="AE203" s="350">
        <f>AF203-14</f>
        <v>46331</v>
      </c>
      <c r="AF203" s="350">
        <f>AG203-7</f>
        <v>46345</v>
      </c>
      <c r="AG203" s="350">
        <f>AL203</f>
        <v>46352</v>
      </c>
      <c r="AH203" s="350">
        <f>AL203+14</f>
        <v>46366</v>
      </c>
      <c r="AI203" s="350">
        <f>AL203+30</f>
        <v>46382</v>
      </c>
      <c r="AJ203" s="362"/>
      <c r="AK203" s="326">
        <f>AJ201*7</f>
        <v>112</v>
      </c>
      <c r="AL203" s="350">
        <f>W203+AK203</f>
        <v>46352</v>
      </c>
      <c r="AM203" s="327">
        <f>AT201-7</f>
        <v>46462</v>
      </c>
      <c r="AN203" s="327">
        <f>AO203-7</f>
        <v>46530</v>
      </c>
      <c r="AO203" s="327">
        <v>46537</v>
      </c>
      <c r="AP203" s="327"/>
      <c r="AQ203" s="311">
        <f>AM203-AL203</f>
        <v>110</v>
      </c>
      <c r="AR203" s="329"/>
      <c r="AS203" s="330" t="s">
        <v>66</v>
      </c>
      <c r="AT203" s="331">
        <v>46480</v>
      </c>
    </row>
    <row r="204" spans="1:46" s="264" customFormat="1" ht="25.05" customHeight="1">
      <c r="A204" s="492"/>
      <c r="B204" s="337" t="str">
        <f>B201</f>
        <v>RFQ-TEL-047</v>
      </c>
      <c r="C204" s="337" t="s">
        <v>210</v>
      </c>
      <c r="D204" s="395"/>
      <c r="E204" s="544"/>
      <c r="F204" s="395"/>
      <c r="G204" s="340"/>
      <c r="H204" s="339"/>
      <c r="I204" s="340" t="s">
        <v>207</v>
      </c>
      <c r="J204" s="337" t="s">
        <v>71</v>
      </c>
      <c r="K204" s="308">
        <v>3</v>
      </c>
      <c r="L204" s="337" t="s">
        <v>8</v>
      </c>
      <c r="M204" s="341" t="s">
        <v>67</v>
      </c>
      <c r="N204" s="343"/>
      <c r="O204" s="343">
        <v>46169</v>
      </c>
      <c r="P204" s="343">
        <v>46188</v>
      </c>
      <c r="Q204" s="343">
        <v>46188</v>
      </c>
      <c r="R204" s="343">
        <v>46188</v>
      </c>
      <c r="S204" s="343">
        <v>46188</v>
      </c>
      <c r="T204" s="343"/>
      <c r="U204" s="343"/>
      <c r="V204" s="343"/>
      <c r="W204" s="340">
        <f>W201-W203</f>
        <v>0</v>
      </c>
      <c r="X204" s="343"/>
      <c r="Y204" s="343"/>
      <c r="Z204" s="343"/>
      <c r="AA204" s="343"/>
      <c r="AB204" s="343"/>
      <c r="AC204" s="343"/>
      <c r="AD204" s="343"/>
      <c r="AE204" s="343"/>
      <c r="AF204" s="343"/>
      <c r="AG204" s="343"/>
      <c r="AH204" s="343"/>
      <c r="AI204" s="343"/>
      <c r="AJ204" s="353"/>
      <c r="AK204" s="354"/>
      <c r="AL204" s="343"/>
      <c r="AM204" s="355"/>
      <c r="AN204" s="355"/>
      <c r="AO204" s="355"/>
      <c r="AP204" s="355"/>
      <c r="AQ204" s="340"/>
      <c r="AR204" s="356"/>
      <c r="AS204" s="357"/>
      <c r="AT204" s="356"/>
    </row>
    <row r="205" spans="1:46" s="264" customFormat="1" ht="25.05" customHeight="1">
      <c r="A205" s="493">
        <f>A201+1</f>
        <v>48</v>
      </c>
      <c r="B205" s="308" t="s">
        <v>212</v>
      </c>
      <c r="C205" s="308" t="s">
        <v>213</v>
      </c>
      <c r="D205" s="517"/>
      <c r="E205" s="541">
        <v>25.714285714285701</v>
      </c>
      <c r="F205" s="576"/>
      <c r="G205" s="311"/>
      <c r="H205" s="310"/>
      <c r="I205" s="311" t="s">
        <v>83</v>
      </c>
      <c r="J205" s="308" t="s">
        <v>60</v>
      </c>
      <c r="K205" s="312" t="str">
        <f>K208</f>
        <v>2/3</v>
      </c>
      <c r="L205" s="308" t="s">
        <v>8</v>
      </c>
      <c r="M205" s="313" t="s">
        <v>61</v>
      </c>
      <c r="N205" s="364">
        <f>WORKDAY.INTL(O205,-INDEX(O$12:O$15,MATCH($L205,$L$12:$L$15,0)),1,IF(N$18="China",'China Holidays'!$A$2:$A$82,'Thai Holidays'!$A$2:$A$63))</f>
        <v>46160</v>
      </c>
      <c r="O205" s="350">
        <v>46163</v>
      </c>
      <c r="P205" s="350">
        <v>46170</v>
      </c>
      <c r="Q205" s="350">
        <v>46171</v>
      </c>
      <c r="R205" s="350">
        <v>46182</v>
      </c>
      <c r="S205" s="350">
        <f>R205+1</f>
        <v>46183</v>
      </c>
      <c r="T205" s="350">
        <v>46197</v>
      </c>
      <c r="U205" s="350">
        <v>46218</v>
      </c>
      <c r="V205" s="350">
        <v>46223</v>
      </c>
      <c r="W205" s="350">
        <v>46237</v>
      </c>
      <c r="X205" s="350">
        <v>46239</v>
      </c>
      <c r="Y205" s="350">
        <v>46246</v>
      </c>
      <c r="Z205" s="350">
        <v>46267</v>
      </c>
      <c r="AA205" s="350">
        <v>46281</v>
      </c>
      <c r="AB205" s="350">
        <v>46341</v>
      </c>
      <c r="AC205" s="350">
        <v>46344</v>
      </c>
      <c r="AD205" s="350">
        <v>46345</v>
      </c>
      <c r="AE205" s="350">
        <v>46396</v>
      </c>
      <c r="AF205" s="350">
        <v>46410</v>
      </c>
      <c r="AG205" s="350">
        <v>46417</v>
      </c>
      <c r="AH205" s="350">
        <v>46431</v>
      </c>
      <c r="AI205" s="350">
        <v>46447</v>
      </c>
      <c r="AJ205" s="316">
        <v>25.714285714285701</v>
      </c>
      <c r="AK205" s="351"/>
      <c r="AL205" s="350" t="str">
        <f>TEXT(AL207,"d-mmm-yy")</f>
        <v>30-Jan-27</v>
      </c>
      <c r="AM205" s="327"/>
      <c r="AN205" s="327"/>
      <c r="AO205" s="327"/>
      <c r="AP205" s="327"/>
      <c r="AQ205" s="311"/>
      <c r="AR205" s="329"/>
      <c r="AS205" s="330" t="s">
        <v>62</v>
      </c>
      <c r="AT205" s="331">
        <v>46459</v>
      </c>
    </row>
    <row r="206" spans="1:46" s="264" customFormat="1" ht="25.05" customHeight="1">
      <c r="A206" s="491"/>
      <c r="B206" s="308" t="str">
        <f>B205</f>
        <v>RFQ-PIP-048</v>
      </c>
      <c r="C206" s="308" t="str">
        <f>C205</f>
        <v>BALL VALVE (FLANGE END)</v>
      </c>
      <c r="D206" s="539"/>
      <c r="E206" s="542"/>
      <c r="F206" s="577"/>
      <c r="G206" s="311"/>
      <c r="H206" s="310"/>
      <c r="I206" s="311" t="str">
        <f>I205</f>
        <v>Piping</v>
      </c>
      <c r="J206" s="308"/>
      <c r="K206" s="322"/>
      <c r="L206" s="308"/>
      <c r="M206" s="323" t="s">
        <v>63</v>
      </c>
      <c r="N206" s="367"/>
      <c r="O206" s="325">
        <v>46163</v>
      </c>
      <c r="P206" s="325">
        <v>46170</v>
      </c>
      <c r="Q206" s="325">
        <v>46171</v>
      </c>
      <c r="R206" s="325">
        <v>46182</v>
      </c>
      <c r="S206" s="325">
        <v>46183</v>
      </c>
      <c r="T206" s="325">
        <v>46197</v>
      </c>
      <c r="U206" s="325">
        <v>46218</v>
      </c>
      <c r="V206" s="325">
        <v>46223</v>
      </c>
      <c r="W206" s="325">
        <v>46237</v>
      </c>
      <c r="X206" s="325">
        <v>46239</v>
      </c>
      <c r="Y206" s="325">
        <v>46246</v>
      </c>
      <c r="Z206" s="325">
        <v>46267</v>
      </c>
      <c r="AA206" s="325">
        <v>46281</v>
      </c>
      <c r="AB206" s="325">
        <v>46341</v>
      </c>
      <c r="AC206" s="325">
        <v>46344</v>
      </c>
      <c r="AD206" s="325">
        <v>46345</v>
      </c>
      <c r="AE206" s="325">
        <v>46396</v>
      </c>
      <c r="AF206" s="325">
        <v>46410</v>
      </c>
      <c r="AG206" s="325">
        <v>46417</v>
      </c>
      <c r="AH206" s="325">
        <v>46431</v>
      </c>
      <c r="AI206" s="325">
        <v>46447</v>
      </c>
      <c r="AJ206" s="316"/>
      <c r="AK206" s="326"/>
      <c r="AL206" s="325">
        <f>W206+AK207</f>
        <v>46417</v>
      </c>
      <c r="AM206" s="327"/>
      <c r="AN206" s="327"/>
      <c r="AO206" s="327"/>
      <c r="AP206" s="327"/>
      <c r="AQ206" s="328">
        <f>AM207-AL206</f>
        <v>35</v>
      </c>
      <c r="AR206" s="329"/>
      <c r="AS206" s="330"/>
      <c r="AT206" s="331"/>
    </row>
    <row r="207" spans="1:46" s="264" customFormat="1" ht="25.05" customHeight="1">
      <c r="A207" s="491"/>
      <c r="B207" s="308" t="str">
        <f>B205</f>
        <v>RFQ-PIP-048</v>
      </c>
      <c r="C207" s="308" t="s">
        <v>213</v>
      </c>
      <c r="D207" s="531"/>
      <c r="E207" s="542"/>
      <c r="F207" s="578"/>
      <c r="G207" s="311">
        <v>35</v>
      </c>
      <c r="H207" s="310" t="s">
        <v>214</v>
      </c>
      <c r="I207" s="311" t="s">
        <v>83</v>
      </c>
      <c r="J207" s="308" t="s">
        <v>60</v>
      </c>
      <c r="K207" s="308" t="str">
        <f>K208</f>
        <v>2/3</v>
      </c>
      <c r="L207" s="308" t="s">
        <v>8</v>
      </c>
      <c r="M207" s="313" t="s">
        <v>65</v>
      </c>
      <c r="N207" s="350">
        <f>N205</f>
        <v>46160</v>
      </c>
      <c r="O207" s="350">
        <v>46163</v>
      </c>
      <c r="P207" s="350">
        <f>WORKDAY.INTL(O207,INDEX(P$8:P$11,MATCH($L207,$L$8:$L$11,0)),1,IF(P$18="China",'China Holidays'!$A$2:$A$82,'Thai Holidays'!$A$2:$A$63))</f>
        <v>46181</v>
      </c>
      <c r="Q207" s="350">
        <f>WORKDAY.INTL(P207,INDEX(Q$8:Q$11,MATCH($L207,$L$8:$L$11,0)),1,IF(Q$18="China",'China Holidays'!$A$2:$A$82,'Thai Holidays'!$A$2:$A$63))</f>
        <v>46181</v>
      </c>
      <c r="R207" s="350">
        <f>WORKDAY.INTL(Q207,INDEX(R$8:R$11,MATCH($L207,$L$8:$L$11,0)),1,IF(R$18="China",'China Holidays'!$A$2:$A$82,'Thai Holidays'!$A$2:$A$63))</f>
        <v>46181</v>
      </c>
      <c r="S207" s="350">
        <f>WORKDAY.INTL(R207,INDEX(S$8:S$11,MATCH($L207,$L$8:$L$11,0)),1,IF(S$18="China",'China Holidays'!$A$2:$A$82,'Thai Holidays'!$A$2:$A$63))</f>
        <v>46181</v>
      </c>
      <c r="T207" s="350">
        <f>WORKDAY.INTL(S207,INDEX(T$8:T$11,MATCH($L207,$L$8:$L$11,0)),1,IF(T$18="China",'China Holidays'!$A$2:$A$82,'Thai Holidays'!$A$2:$A$63))</f>
        <v>46196</v>
      </c>
      <c r="U207" s="350">
        <v>46210</v>
      </c>
      <c r="V207" s="350">
        <f>WORKDAY.INTL(U207,INDEX(V$8:V$11,MATCH($L207,$L$8:$L$11,0)),1,IF(V$18="China",'China Holidays'!$A$2:$A$82,'Thai Holidays'!$A$2:$A$63))</f>
        <v>46224</v>
      </c>
      <c r="W207" s="350">
        <f>WORKDAY.INTL(V207,INDEX(W$8:W$11,MATCH($L207,$L$8:$L$11,0)),1,IF(W$18="China",'China Holidays'!$A$2:$A$82,'Thai Holidays'!$A$2:$A$63))</f>
        <v>46237</v>
      </c>
      <c r="X207" s="350">
        <f>WORKDAY.INTL(W207,INDEX(X$12:X$15,MATCH($L207,$L$12:$L$15,0)),1,IF(X$18="China",'China Holidays'!$A$2:$A$82,'Thai Holidays'!$A$2:$A$63))</f>
        <v>46239</v>
      </c>
      <c r="Y207" s="350">
        <f>WORKDAY.INTL(X207,INDEX(Y$12:Y$15,MATCH($L207,$L$12:$L$15,0)),1,IF(Y$18="China",'China Holidays'!$A$2:$A$82,'Thai Holidays'!$A$2:$A$63))</f>
        <v>46246</v>
      </c>
      <c r="Z207" s="350">
        <f>WORKDAY.INTL(Y207,INDEX(Z$12:Z$15,MATCH($L207,$L$12:$L$15,0)),1,IF(Z$18="China",'China Holidays'!$A$2:$A$82,'Thai Holidays'!$A$2:$A$63))</f>
        <v>46267</v>
      </c>
      <c r="AA207" s="350">
        <f>WORKDAY.INTL(Z207,INDEX(AA$12:AA$15,MATCH($L207,$L$12:$L$15,0)),1,IF(AA$18="China",'China Holidays'!$A$2:$A$82,'Thai Holidays'!$A$2:$A$63))</f>
        <v>46281</v>
      </c>
      <c r="AB207" s="350">
        <f>AA207+60</f>
        <v>46341</v>
      </c>
      <c r="AC207" s="350">
        <f>AB207+3</f>
        <v>46344</v>
      </c>
      <c r="AD207" s="350">
        <f>AC207+1</f>
        <v>46345</v>
      </c>
      <c r="AE207" s="350">
        <f>AF207-14</f>
        <v>46396</v>
      </c>
      <c r="AF207" s="350">
        <f>AG207-7</f>
        <v>46410</v>
      </c>
      <c r="AG207" s="350">
        <f>AL207</f>
        <v>46417</v>
      </c>
      <c r="AH207" s="350">
        <f>AL207+14</f>
        <v>46431</v>
      </c>
      <c r="AI207" s="350">
        <f>AL207+30</f>
        <v>46447</v>
      </c>
      <c r="AJ207" s="362"/>
      <c r="AK207" s="326">
        <f>AJ205*7</f>
        <v>179.99999999999991</v>
      </c>
      <c r="AL207" s="350">
        <f>W207+AK207</f>
        <v>46417</v>
      </c>
      <c r="AM207" s="327">
        <f>AT205-7</f>
        <v>46452</v>
      </c>
      <c r="AN207" s="327">
        <f>AO207-7</f>
        <v>46469</v>
      </c>
      <c r="AO207" s="327">
        <v>46476</v>
      </c>
      <c r="AP207" s="327"/>
      <c r="AQ207" s="311">
        <f>AM207-AL207</f>
        <v>35</v>
      </c>
      <c r="AR207" s="329"/>
      <c r="AS207" s="330" t="s">
        <v>66</v>
      </c>
      <c r="AT207" s="331">
        <v>46476</v>
      </c>
    </row>
    <row r="208" spans="1:46" s="264" customFormat="1" ht="25.05" customHeight="1">
      <c r="A208" s="492"/>
      <c r="B208" s="337" t="str">
        <f>B205</f>
        <v>RFQ-PIP-048</v>
      </c>
      <c r="C208" s="337" t="s">
        <v>213</v>
      </c>
      <c r="D208" s="532"/>
      <c r="E208" s="544"/>
      <c r="F208" s="579"/>
      <c r="G208" s="340"/>
      <c r="H208" s="339"/>
      <c r="I208" s="340" t="s">
        <v>83</v>
      </c>
      <c r="J208" s="337" t="s">
        <v>60</v>
      </c>
      <c r="K208" s="490" t="s">
        <v>215</v>
      </c>
      <c r="L208" s="337" t="s">
        <v>8</v>
      </c>
      <c r="M208" s="341" t="s">
        <v>67</v>
      </c>
      <c r="N208" s="343">
        <v>46174</v>
      </c>
      <c r="O208" s="343">
        <v>46167</v>
      </c>
      <c r="P208" s="343">
        <v>46183</v>
      </c>
      <c r="Q208" s="343">
        <v>46183</v>
      </c>
      <c r="R208" s="343">
        <v>46183</v>
      </c>
      <c r="S208" s="343">
        <v>46188</v>
      </c>
      <c r="T208" s="343"/>
      <c r="U208" s="343"/>
      <c r="V208" s="343"/>
      <c r="W208" s="340">
        <f>W205-W207</f>
        <v>0</v>
      </c>
      <c r="X208" s="343"/>
      <c r="Y208" s="343"/>
      <c r="Z208" s="343"/>
      <c r="AA208" s="343"/>
      <c r="AB208" s="343"/>
      <c r="AC208" s="343"/>
      <c r="AD208" s="343"/>
      <c r="AE208" s="343"/>
      <c r="AF208" s="343"/>
      <c r="AG208" s="343"/>
      <c r="AH208" s="343"/>
      <c r="AI208" s="343"/>
      <c r="AJ208" s="353"/>
      <c r="AK208" s="354"/>
      <c r="AL208" s="343"/>
      <c r="AM208" s="355"/>
      <c r="AN208" s="355"/>
      <c r="AO208" s="355"/>
      <c r="AP208" s="355" t="s">
        <v>216</v>
      </c>
      <c r="AQ208" s="340"/>
      <c r="AR208" s="356"/>
      <c r="AS208" s="357"/>
      <c r="AT208" s="356"/>
    </row>
    <row r="209" spans="1:46" s="264" customFormat="1" ht="25.05" customHeight="1">
      <c r="A209" s="493">
        <f>A205+1</f>
        <v>49</v>
      </c>
      <c r="B209" s="308" t="s">
        <v>217</v>
      </c>
      <c r="C209" s="308" t="s">
        <v>218</v>
      </c>
      <c r="D209" s="517"/>
      <c r="E209" s="541">
        <v>25.714285714285701</v>
      </c>
      <c r="F209" s="576"/>
      <c r="G209" s="311"/>
      <c r="H209" s="310"/>
      <c r="I209" s="311" t="s">
        <v>83</v>
      </c>
      <c r="J209" s="308" t="s">
        <v>60</v>
      </c>
      <c r="K209" s="312" t="str">
        <f>K212</f>
        <v>2/3</v>
      </c>
      <c r="L209" s="308" t="s">
        <v>8</v>
      </c>
      <c r="M209" s="313" t="s">
        <v>61</v>
      </c>
      <c r="N209" s="364">
        <f>WORKDAY.INTL(O209,-INDEX(O$12:O$15,MATCH($L209,$L$12:$L$15,0)),1,IF(N$18="China",'China Holidays'!$A$2:$A$82,'Thai Holidays'!$A$2:$A$63))</f>
        <v>46160</v>
      </c>
      <c r="O209" s="350">
        <v>46163</v>
      </c>
      <c r="P209" s="350">
        <v>46170</v>
      </c>
      <c r="Q209" s="350">
        <v>46171</v>
      </c>
      <c r="R209" s="350">
        <v>46182</v>
      </c>
      <c r="S209" s="350">
        <f>R209+1</f>
        <v>46183</v>
      </c>
      <c r="T209" s="350">
        <v>46197</v>
      </c>
      <c r="U209" s="350">
        <v>46218</v>
      </c>
      <c r="V209" s="350">
        <v>46223</v>
      </c>
      <c r="W209" s="350">
        <v>46237</v>
      </c>
      <c r="X209" s="350">
        <v>46239</v>
      </c>
      <c r="Y209" s="350">
        <v>46246</v>
      </c>
      <c r="Z209" s="350">
        <v>46267</v>
      </c>
      <c r="AA209" s="350">
        <v>46281</v>
      </c>
      <c r="AB209" s="350">
        <v>46341</v>
      </c>
      <c r="AC209" s="350">
        <v>46344</v>
      </c>
      <c r="AD209" s="350">
        <v>46345</v>
      </c>
      <c r="AE209" s="350">
        <v>46396</v>
      </c>
      <c r="AF209" s="350">
        <v>46410</v>
      </c>
      <c r="AG209" s="350">
        <v>46417</v>
      </c>
      <c r="AH209" s="350">
        <v>46431</v>
      </c>
      <c r="AI209" s="350">
        <v>46447</v>
      </c>
      <c r="AJ209" s="316">
        <v>25.714285714285701</v>
      </c>
      <c r="AK209" s="351"/>
      <c r="AL209" s="350" t="str">
        <f>TEXT(AL211,"d-mmm-yy")</f>
        <v>30-Jan-27</v>
      </c>
      <c r="AM209" s="327"/>
      <c r="AN209" s="327"/>
      <c r="AO209" s="327"/>
      <c r="AP209" s="327"/>
      <c r="AQ209" s="311"/>
      <c r="AR209" s="329"/>
      <c r="AS209" s="330" t="s">
        <v>62</v>
      </c>
      <c r="AT209" s="331">
        <v>46459</v>
      </c>
    </row>
    <row r="210" spans="1:46" s="264" customFormat="1" ht="25.05" customHeight="1">
      <c r="A210" s="491"/>
      <c r="B210" s="308" t="str">
        <f>B209</f>
        <v>RFQ-PIP-049</v>
      </c>
      <c r="C210" s="308" t="str">
        <f>C209</f>
        <v>BALL VALVE (Welded END)</v>
      </c>
      <c r="D210" s="539"/>
      <c r="E210" s="542"/>
      <c r="F210" s="577"/>
      <c r="G210" s="311"/>
      <c r="H210" s="310"/>
      <c r="I210" s="311" t="str">
        <f>I209</f>
        <v>Piping</v>
      </c>
      <c r="J210" s="308"/>
      <c r="K210" s="322"/>
      <c r="L210" s="308"/>
      <c r="M210" s="323" t="s">
        <v>63</v>
      </c>
      <c r="N210" s="367"/>
      <c r="O210" s="325">
        <v>46163</v>
      </c>
      <c r="P210" s="325">
        <v>46170</v>
      </c>
      <c r="Q210" s="325">
        <v>46171</v>
      </c>
      <c r="R210" s="325">
        <v>46182</v>
      </c>
      <c r="S210" s="325">
        <v>46183</v>
      </c>
      <c r="T210" s="325">
        <v>46197</v>
      </c>
      <c r="U210" s="325">
        <v>46218</v>
      </c>
      <c r="V210" s="325">
        <v>46223</v>
      </c>
      <c r="W210" s="325">
        <v>46237</v>
      </c>
      <c r="X210" s="325">
        <v>46239</v>
      </c>
      <c r="Y210" s="325">
        <v>46246</v>
      </c>
      <c r="Z210" s="325">
        <v>46267</v>
      </c>
      <c r="AA210" s="325">
        <v>46281</v>
      </c>
      <c r="AB210" s="325">
        <v>46341</v>
      </c>
      <c r="AC210" s="325">
        <v>46344</v>
      </c>
      <c r="AD210" s="325">
        <v>46345</v>
      </c>
      <c r="AE210" s="325">
        <v>46396</v>
      </c>
      <c r="AF210" s="325">
        <v>46410</v>
      </c>
      <c r="AG210" s="325">
        <v>46417</v>
      </c>
      <c r="AH210" s="325">
        <v>46431</v>
      </c>
      <c r="AI210" s="325">
        <v>46447</v>
      </c>
      <c r="AJ210" s="316"/>
      <c r="AK210" s="326"/>
      <c r="AL210" s="325">
        <f>W210+AK211</f>
        <v>46417</v>
      </c>
      <c r="AM210" s="327"/>
      <c r="AN210" s="327"/>
      <c r="AO210" s="327"/>
      <c r="AP210" s="327"/>
      <c r="AQ210" s="328">
        <f>AM211-AL210</f>
        <v>35</v>
      </c>
      <c r="AR210" s="329"/>
      <c r="AS210" s="330"/>
      <c r="AT210" s="331"/>
    </row>
    <row r="211" spans="1:46" s="264" customFormat="1" ht="25.05" customHeight="1">
      <c r="A211" s="491"/>
      <c r="B211" s="308" t="str">
        <f>B209</f>
        <v>RFQ-PIP-049</v>
      </c>
      <c r="C211" s="308" t="s">
        <v>218</v>
      </c>
      <c r="D211" s="531"/>
      <c r="E211" s="542"/>
      <c r="F211" s="578"/>
      <c r="G211" s="311">
        <v>35</v>
      </c>
      <c r="H211" s="310" t="s">
        <v>214</v>
      </c>
      <c r="I211" s="311" t="s">
        <v>83</v>
      </c>
      <c r="J211" s="308" t="s">
        <v>60</v>
      </c>
      <c r="K211" s="308" t="str">
        <f>K212</f>
        <v>2/3</v>
      </c>
      <c r="L211" s="308" t="s">
        <v>8</v>
      </c>
      <c r="M211" s="313" t="s">
        <v>65</v>
      </c>
      <c r="N211" s="350"/>
      <c r="O211" s="350">
        <v>46163</v>
      </c>
      <c r="P211" s="350">
        <f>WORKDAY.INTL(O211,INDEX(P$8:P$11,MATCH($L211,$L$8:$L$11,0)),1,IF(P$18="China",'China Holidays'!$A$2:$A$82,'Thai Holidays'!$A$2:$A$63))</f>
        <v>46181</v>
      </c>
      <c r="Q211" s="350">
        <f>WORKDAY.INTL(P211,INDEX(Q$8:Q$11,MATCH($L211,$L$8:$L$11,0)),1,IF(Q$18="China",'China Holidays'!$A$2:$A$82,'Thai Holidays'!$A$2:$A$63))</f>
        <v>46181</v>
      </c>
      <c r="R211" s="350">
        <f>WORKDAY.INTL(Q211,INDEX(R$8:R$11,MATCH($L211,$L$8:$L$11,0)),1,IF(R$18="China",'China Holidays'!$A$2:$A$82,'Thai Holidays'!$A$2:$A$63))</f>
        <v>46181</v>
      </c>
      <c r="S211" s="350">
        <f>WORKDAY.INTL(R211,INDEX(S$8:S$11,MATCH($L211,$L$8:$L$11,0)),1,IF(S$18="China",'China Holidays'!$A$2:$A$82,'Thai Holidays'!$A$2:$A$63))</f>
        <v>46181</v>
      </c>
      <c r="T211" s="350">
        <f>WORKDAY.INTL(S211,INDEX(T$8:T$11,MATCH($L211,$L$8:$L$11,0)),1,IF(T$18="China",'China Holidays'!$A$2:$A$82,'Thai Holidays'!$A$2:$A$63))</f>
        <v>46196</v>
      </c>
      <c r="U211" s="350">
        <v>46210</v>
      </c>
      <c r="V211" s="350">
        <f>WORKDAY.INTL(U211,INDEX(V$8:V$11,MATCH($L211,$L$8:$L$11,0)),1,IF(V$18="China",'China Holidays'!$A$2:$A$82,'Thai Holidays'!$A$2:$A$63))</f>
        <v>46224</v>
      </c>
      <c r="W211" s="350">
        <f>WORKDAY.INTL(V211,INDEX(W$8:W$11,MATCH($L211,$L$8:$L$11,0)),1,IF(W$18="China",'China Holidays'!$A$2:$A$82,'Thai Holidays'!$A$2:$A$63))</f>
        <v>46237</v>
      </c>
      <c r="X211" s="350">
        <f>WORKDAY.INTL(W211,INDEX(X$12:X$15,MATCH($L211,$L$12:$L$15,0)),1,IF(X$18="China",'China Holidays'!$A$2:$A$82,'Thai Holidays'!$A$2:$A$63))</f>
        <v>46239</v>
      </c>
      <c r="Y211" s="350">
        <f>WORKDAY.INTL(X211,INDEX(Y$12:Y$15,MATCH($L211,$L$12:$L$15,0)),1,IF(Y$18="China",'China Holidays'!$A$2:$A$82,'Thai Holidays'!$A$2:$A$63))</f>
        <v>46246</v>
      </c>
      <c r="Z211" s="350">
        <f>WORKDAY.INTL(Y211,INDEX(Z$12:Z$15,MATCH($L211,$L$12:$L$15,0)),1,IF(Z$18="China",'China Holidays'!$A$2:$A$82,'Thai Holidays'!$A$2:$A$63))</f>
        <v>46267</v>
      </c>
      <c r="AA211" s="350">
        <f>WORKDAY.INTL(Z211,INDEX(AA$12:AA$15,MATCH($L211,$L$12:$L$15,0)),1,IF(AA$18="China",'China Holidays'!$A$2:$A$82,'Thai Holidays'!$A$2:$A$63))</f>
        <v>46281</v>
      </c>
      <c r="AB211" s="350">
        <f>AA211+60</f>
        <v>46341</v>
      </c>
      <c r="AC211" s="350">
        <f>AB211+3</f>
        <v>46344</v>
      </c>
      <c r="AD211" s="350">
        <f>AC211+1</f>
        <v>46345</v>
      </c>
      <c r="AE211" s="350">
        <f>AF211-14</f>
        <v>46396</v>
      </c>
      <c r="AF211" s="350">
        <f>AG211-7</f>
        <v>46410</v>
      </c>
      <c r="AG211" s="350">
        <f>AL211</f>
        <v>46417</v>
      </c>
      <c r="AH211" s="350">
        <f>AL211+14</f>
        <v>46431</v>
      </c>
      <c r="AI211" s="350">
        <f>AL211+30</f>
        <v>46447</v>
      </c>
      <c r="AJ211" s="362"/>
      <c r="AK211" s="326">
        <f>AJ209*7</f>
        <v>179.99999999999991</v>
      </c>
      <c r="AL211" s="350">
        <f>W211+AK211</f>
        <v>46417</v>
      </c>
      <c r="AM211" s="327">
        <f>AT209-7</f>
        <v>46452</v>
      </c>
      <c r="AN211" s="327">
        <f>AO211-7</f>
        <v>46454</v>
      </c>
      <c r="AO211" s="327">
        <v>46461</v>
      </c>
      <c r="AP211" s="327"/>
      <c r="AQ211" s="311">
        <f>AM211-AL211</f>
        <v>35</v>
      </c>
      <c r="AR211" s="329"/>
      <c r="AS211" s="330" t="s">
        <v>66</v>
      </c>
      <c r="AT211" s="331">
        <v>46476</v>
      </c>
    </row>
    <row r="212" spans="1:46" s="264" customFormat="1" ht="25.05" customHeight="1">
      <c r="A212" s="492"/>
      <c r="B212" s="337" t="str">
        <f>B209</f>
        <v>RFQ-PIP-049</v>
      </c>
      <c r="C212" s="337" t="s">
        <v>218</v>
      </c>
      <c r="D212" s="532"/>
      <c r="E212" s="544"/>
      <c r="F212" s="579"/>
      <c r="G212" s="340"/>
      <c r="H212" s="339"/>
      <c r="I212" s="340" t="s">
        <v>83</v>
      </c>
      <c r="J212" s="337" t="s">
        <v>60</v>
      </c>
      <c r="K212" s="490" t="s">
        <v>215</v>
      </c>
      <c r="L212" s="337" t="s">
        <v>8</v>
      </c>
      <c r="M212" s="341" t="s">
        <v>67</v>
      </c>
      <c r="N212" s="343">
        <v>46174</v>
      </c>
      <c r="O212" s="343">
        <v>46167</v>
      </c>
      <c r="P212" s="343">
        <v>46183</v>
      </c>
      <c r="Q212" s="343">
        <v>46183</v>
      </c>
      <c r="R212" s="343">
        <v>46183</v>
      </c>
      <c r="S212" s="343">
        <v>46188</v>
      </c>
      <c r="T212" s="343"/>
      <c r="U212" s="343"/>
      <c r="V212" s="343"/>
      <c r="W212" s="340">
        <f>W209-W211</f>
        <v>0</v>
      </c>
      <c r="X212" s="343"/>
      <c r="Y212" s="343"/>
      <c r="Z212" s="343"/>
      <c r="AA212" s="343"/>
      <c r="AB212" s="343"/>
      <c r="AC212" s="343"/>
      <c r="AD212" s="343"/>
      <c r="AE212" s="343"/>
      <c r="AF212" s="343"/>
      <c r="AG212" s="343"/>
      <c r="AH212" s="343"/>
      <c r="AI212" s="343"/>
      <c r="AJ212" s="353"/>
      <c r="AK212" s="354"/>
      <c r="AL212" s="343"/>
      <c r="AM212" s="355"/>
      <c r="AN212" s="355"/>
      <c r="AO212" s="355"/>
      <c r="AP212" s="355"/>
      <c r="AQ212" s="340"/>
      <c r="AR212" s="356"/>
      <c r="AS212" s="357"/>
      <c r="AT212" s="356"/>
    </row>
    <row r="213" spans="1:46" s="264" customFormat="1" ht="25.05" customHeight="1">
      <c r="A213" s="493">
        <f>A209+1</f>
        <v>50</v>
      </c>
      <c r="B213" s="308" t="s">
        <v>219</v>
      </c>
      <c r="C213" s="308" t="s">
        <v>220</v>
      </c>
      <c r="D213" s="517"/>
      <c r="E213" s="541">
        <v>25.714285714285701</v>
      </c>
      <c r="F213" s="576"/>
      <c r="G213" s="311"/>
      <c r="H213" s="310"/>
      <c r="I213" s="311" t="s">
        <v>83</v>
      </c>
      <c r="J213" s="308" t="s">
        <v>60</v>
      </c>
      <c r="K213" s="312" t="str">
        <f>K216</f>
        <v>2/3</v>
      </c>
      <c r="L213" s="308" t="s">
        <v>8</v>
      </c>
      <c r="M213" s="313" t="s">
        <v>61</v>
      </c>
      <c r="N213" s="364">
        <f>WORKDAY.INTL(O213,-INDEX(O$12:O$15,MATCH($L213,$L$12:$L$15,0)),1,IF(N$18="China",'China Holidays'!$A$2:$A$82,'Thai Holidays'!$A$2:$A$63))</f>
        <v>46160</v>
      </c>
      <c r="O213" s="350">
        <v>46163</v>
      </c>
      <c r="P213" s="350">
        <v>46170</v>
      </c>
      <c r="Q213" s="350">
        <v>46171</v>
      </c>
      <c r="R213" s="350">
        <v>46182</v>
      </c>
      <c r="S213" s="350">
        <f>R213+1</f>
        <v>46183</v>
      </c>
      <c r="T213" s="350">
        <v>46197</v>
      </c>
      <c r="U213" s="350">
        <v>46225</v>
      </c>
      <c r="V213" s="350">
        <v>46230</v>
      </c>
      <c r="W213" s="350">
        <v>46244</v>
      </c>
      <c r="X213" s="350">
        <v>46246</v>
      </c>
      <c r="Y213" s="350">
        <v>46246</v>
      </c>
      <c r="Z213" s="350">
        <v>46267</v>
      </c>
      <c r="AA213" s="350">
        <v>46281</v>
      </c>
      <c r="AB213" s="350">
        <v>46341</v>
      </c>
      <c r="AC213" s="350">
        <v>46344</v>
      </c>
      <c r="AD213" s="350">
        <v>46345</v>
      </c>
      <c r="AE213" s="350">
        <v>46396</v>
      </c>
      <c r="AF213" s="350">
        <v>46410</v>
      </c>
      <c r="AG213" s="350">
        <v>46417</v>
      </c>
      <c r="AH213" s="350">
        <v>46431</v>
      </c>
      <c r="AI213" s="350">
        <v>46447</v>
      </c>
      <c r="AJ213" s="316">
        <v>25.714285714285701</v>
      </c>
      <c r="AK213" s="351"/>
      <c r="AL213" s="350" t="str">
        <f>TEXT(AL215,"d-mmm-yy")</f>
        <v>6-Feb-27</v>
      </c>
      <c r="AM213" s="327"/>
      <c r="AN213" s="327"/>
      <c r="AO213" s="327"/>
      <c r="AP213" s="327"/>
      <c r="AQ213" s="311"/>
      <c r="AR213" s="329"/>
      <c r="AS213" s="330" t="s">
        <v>62</v>
      </c>
      <c r="AT213" s="331">
        <v>46459</v>
      </c>
    </row>
    <row r="214" spans="1:46" s="264" customFormat="1" ht="25.05" customHeight="1">
      <c r="A214" s="491"/>
      <c r="B214" s="308" t="str">
        <f>B213</f>
        <v>RFQ-PIP-050</v>
      </c>
      <c r="C214" s="308" t="str">
        <f>C213</f>
        <v>GLOBE VALVE (FLANGE END)</v>
      </c>
      <c r="D214" s="539"/>
      <c r="E214" s="542"/>
      <c r="F214" s="577"/>
      <c r="G214" s="311"/>
      <c r="H214" s="310"/>
      <c r="I214" s="311" t="str">
        <f>I213</f>
        <v>Piping</v>
      </c>
      <c r="J214" s="308"/>
      <c r="K214" s="322"/>
      <c r="L214" s="308"/>
      <c r="M214" s="323" t="s">
        <v>63</v>
      </c>
      <c r="N214" s="367"/>
      <c r="O214" s="325">
        <v>46163</v>
      </c>
      <c r="P214" s="325">
        <v>46170</v>
      </c>
      <c r="Q214" s="325">
        <v>46171</v>
      </c>
      <c r="R214" s="325">
        <v>46182</v>
      </c>
      <c r="S214" s="325">
        <v>46183</v>
      </c>
      <c r="T214" s="325">
        <v>46197</v>
      </c>
      <c r="U214" s="325">
        <v>46225</v>
      </c>
      <c r="V214" s="325">
        <v>46230</v>
      </c>
      <c r="W214" s="325">
        <v>46244</v>
      </c>
      <c r="X214" s="325">
        <v>46246</v>
      </c>
      <c r="Y214" s="325">
        <v>46246</v>
      </c>
      <c r="Z214" s="325">
        <v>46267</v>
      </c>
      <c r="AA214" s="325">
        <v>46281</v>
      </c>
      <c r="AB214" s="325">
        <v>46341</v>
      </c>
      <c r="AC214" s="325">
        <v>46344</v>
      </c>
      <c r="AD214" s="325">
        <v>46345</v>
      </c>
      <c r="AE214" s="325">
        <v>46396</v>
      </c>
      <c r="AF214" s="325">
        <v>46410</v>
      </c>
      <c r="AG214" s="325">
        <v>46417</v>
      </c>
      <c r="AH214" s="325">
        <v>46431</v>
      </c>
      <c r="AI214" s="325">
        <v>46447</v>
      </c>
      <c r="AJ214" s="316"/>
      <c r="AK214" s="326"/>
      <c r="AL214" s="325">
        <f>W214+AK215</f>
        <v>46424</v>
      </c>
      <c r="AM214" s="327"/>
      <c r="AN214" s="327"/>
      <c r="AO214" s="327"/>
      <c r="AP214" s="327"/>
      <c r="AQ214" s="328">
        <f>AM215-AL214</f>
        <v>28</v>
      </c>
      <c r="AR214" s="329"/>
      <c r="AS214" s="330"/>
      <c r="AT214" s="331"/>
    </row>
    <row r="215" spans="1:46" s="264" customFormat="1" ht="25.05" customHeight="1">
      <c r="A215" s="491"/>
      <c r="B215" s="308" t="str">
        <f>B213</f>
        <v>RFQ-PIP-050</v>
      </c>
      <c r="C215" s="308" t="s">
        <v>220</v>
      </c>
      <c r="D215" s="531"/>
      <c r="E215" s="542"/>
      <c r="F215" s="578"/>
      <c r="G215" s="311">
        <v>28</v>
      </c>
      <c r="H215" s="310" t="s">
        <v>214</v>
      </c>
      <c r="I215" s="311" t="s">
        <v>83</v>
      </c>
      <c r="J215" s="308" t="s">
        <v>60</v>
      </c>
      <c r="K215" s="308" t="str">
        <f>K216</f>
        <v>2/3</v>
      </c>
      <c r="L215" s="308" t="s">
        <v>8</v>
      </c>
      <c r="M215" s="313" t="s">
        <v>65</v>
      </c>
      <c r="N215" s="350"/>
      <c r="O215" s="350">
        <v>46166</v>
      </c>
      <c r="P215" s="350">
        <f>WORKDAY.INTL(O215,INDEX(P$8:P$11,MATCH($L215,$L$8:$L$11,0)),1,IF(P$18="China",'China Holidays'!$A$2:$A$82,'Thai Holidays'!$A$2:$A$63))</f>
        <v>46182</v>
      </c>
      <c r="Q215" s="350">
        <f>WORKDAY.INTL(P215,INDEX(Q$8:Q$11,MATCH($L215,$L$8:$L$11,0)),1,IF(Q$18="China",'China Holidays'!$A$2:$A$82,'Thai Holidays'!$A$2:$A$63))</f>
        <v>46182</v>
      </c>
      <c r="R215" s="350">
        <f>WORKDAY.INTL(Q215,INDEX(R$8:R$11,MATCH($L215,$L$8:$L$11,0)),1,IF(R$18="China",'China Holidays'!$A$2:$A$82,'Thai Holidays'!$A$2:$A$63))</f>
        <v>46182</v>
      </c>
      <c r="S215" s="350">
        <f>WORKDAY.INTL(R215,INDEX(S$8:S$11,MATCH($L215,$L$8:$L$11,0)),1,IF(S$18="China",'China Holidays'!$A$2:$A$82,'Thai Holidays'!$A$2:$A$63))</f>
        <v>46182</v>
      </c>
      <c r="T215" s="350">
        <f>WORKDAY.INTL(S215,INDEX(T$8:T$11,MATCH($L215,$L$8:$L$11,0)),1,IF(T$18="China",'China Holidays'!$A$2:$A$82,'Thai Holidays'!$A$2:$A$63))</f>
        <v>46197</v>
      </c>
      <c r="U215" s="350">
        <f>WORKDAY.INTL(T215,INDEX(U$8:U$11,MATCH($L215,$L$8:$L$11,0)),1,IF(U$18="China",'China Holidays'!$A$2:$A$82,'Thai Holidays'!$A$2:$A$63))</f>
        <v>46216</v>
      </c>
      <c r="V215" s="350">
        <f>WORKDAY.INTL(U215,INDEX(V$8:V$11,MATCH($L215,$L$8:$L$11,0)),1,IF(V$18="China",'China Holidays'!$A$2:$A$82,'Thai Holidays'!$A$2:$A$63))</f>
        <v>46230</v>
      </c>
      <c r="W215" s="350">
        <f>W213</f>
        <v>46244</v>
      </c>
      <c r="X215" s="350">
        <f>WORKDAY.INTL(W215,INDEX(X$12:X$15,MATCH($L215,$L$12:$L$15,0)),1,IF(X$18="China",'China Holidays'!$A$2:$A$82,'Thai Holidays'!$A$2:$A$63))</f>
        <v>46246</v>
      </c>
      <c r="Y215" s="350">
        <f>WORKDAY.INTL(X215,INDEX(Y$12:Y$15,MATCH($L215,$L$12:$L$15,0)),1,IF(Y$18="China",'China Holidays'!$A$2:$A$82,'Thai Holidays'!$A$2:$A$63))</f>
        <v>46253</v>
      </c>
      <c r="Z215" s="350">
        <f>WORKDAY.INTL(Y215,INDEX(Z$12:Z$15,MATCH($L215,$L$12:$L$15,0)),1,IF(Z$18="China",'China Holidays'!$A$2:$A$82,'Thai Holidays'!$A$2:$A$63))</f>
        <v>46274</v>
      </c>
      <c r="AA215" s="350">
        <f>WORKDAY.INTL(Z215,INDEX(AA$12:AA$15,MATCH($L215,$L$12:$L$15,0)),1,IF(AA$18="China",'China Holidays'!$A$2:$A$82,'Thai Holidays'!$A$2:$A$63))</f>
        <v>46288</v>
      </c>
      <c r="AB215" s="350">
        <f>AA215+60</f>
        <v>46348</v>
      </c>
      <c r="AC215" s="350">
        <f>AB215+3</f>
        <v>46351</v>
      </c>
      <c r="AD215" s="350">
        <f>AC215+1</f>
        <v>46352</v>
      </c>
      <c r="AE215" s="350">
        <f>AF215-14</f>
        <v>46403</v>
      </c>
      <c r="AF215" s="350">
        <f>AG215-7</f>
        <v>46417</v>
      </c>
      <c r="AG215" s="350">
        <f>AL215</f>
        <v>46424</v>
      </c>
      <c r="AH215" s="350">
        <f>AL215+14</f>
        <v>46438</v>
      </c>
      <c r="AI215" s="350">
        <f>AL215+30</f>
        <v>46454</v>
      </c>
      <c r="AJ215" s="362"/>
      <c r="AK215" s="326">
        <f>AJ213*7</f>
        <v>179.99999999999991</v>
      </c>
      <c r="AL215" s="350">
        <f>W215+AK215</f>
        <v>46424</v>
      </c>
      <c r="AM215" s="327">
        <f>AT213-7</f>
        <v>46452</v>
      </c>
      <c r="AN215" s="327">
        <f>AO215-7</f>
        <v>46469</v>
      </c>
      <c r="AO215" s="327">
        <v>46476</v>
      </c>
      <c r="AP215" s="327"/>
      <c r="AQ215" s="311">
        <f>AM215-AL215</f>
        <v>28</v>
      </c>
      <c r="AR215" s="329"/>
      <c r="AS215" s="330" t="s">
        <v>66</v>
      </c>
      <c r="AT215" s="331">
        <v>46476</v>
      </c>
    </row>
    <row r="216" spans="1:46" s="264" customFormat="1" ht="25.05" customHeight="1">
      <c r="A216" s="492"/>
      <c r="B216" s="337" t="str">
        <f>B213</f>
        <v>RFQ-PIP-050</v>
      </c>
      <c r="C216" s="337" t="s">
        <v>220</v>
      </c>
      <c r="D216" s="531"/>
      <c r="E216" s="544"/>
      <c r="F216" s="578"/>
      <c r="G216" s="340"/>
      <c r="H216" s="339"/>
      <c r="I216" s="340" t="s">
        <v>83</v>
      </c>
      <c r="J216" s="337" t="s">
        <v>60</v>
      </c>
      <c r="K216" s="490" t="s">
        <v>215</v>
      </c>
      <c r="L216" s="337" t="s">
        <v>8</v>
      </c>
      <c r="M216" s="341" t="s">
        <v>67</v>
      </c>
      <c r="N216" s="343">
        <v>46174</v>
      </c>
      <c r="O216" s="343">
        <v>46167</v>
      </c>
      <c r="P216" s="343">
        <v>46183</v>
      </c>
      <c r="Q216" s="343">
        <v>46183</v>
      </c>
      <c r="R216" s="343">
        <v>46183</v>
      </c>
      <c r="S216" s="343">
        <v>46188</v>
      </c>
      <c r="T216" s="343"/>
      <c r="U216" s="343"/>
      <c r="V216" s="343"/>
      <c r="W216" s="340">
        <f>W213-W215</f>
        <v>0</v>
      </c>
      <c r="X216" s="343"/>
      <c r="Y216" s="343"/>
      <c r="Z216" s="343"/>
      <c r="AA216" s="343"/>
      <c r="AB216" s="343"/>
      <c r="AC216" s="343"/>
      <c r="AD216" s="343"/>
      <c r="AE216" s="343"/>
      <c r="AF216" s="343"/>
      <c r="AG216" s="343"/>
      <c r="AH216" s="343"/>
      <c r="AI216" s="343"/>
      <c r="AJ216" s="353"/>
      <c r="AK216" s="354"/>
      <c r="AL216" s="343"/>
      <c r="AM216" s="355"/>
      <c r="AN216" s="355"/>
      <c r="AO216" s="355"/>
      <c r="AP216" s="355" t="s">
        <v>216</v>
      </c>
      <c r="AQ216" s="340"/>
      <c r="AR216" s="356"/>
      <c r="AS216" s="357"/>
      <c r="AT216" s="356"/>
    </row>
    <row r="217" spans="1:46" s="264" customFormat="1" ht="25.05" customHeight="1">
      <c r="A217" s="493">
        <f>A213+1</f>
        <v>51</v>
      </c>
      <c r="B217" s="308" t="s">
        <v>221</v>
      </c>
      <c r="C217" s="308" t="s">
        <v>222</v>
      </c>
      <c r="D217" s="531"/>
      <c r="E217" s="541">
        <v>25.714285714285701</v>
      </c>
      <c r="F217" s="578"/>
      <c r="G217" s="311"/>
      <c r="H217" s="310"/>
      <c r="I217" s="311" t="s">
        <v>83</v>
      </c>
      <c r="J217" s="308" t="s">
        <v>60</v>
      </c>
      <c r="K217" s="312" t="str">
        <f>K220</f>
        <v>2/3</v>
      </c>
      <c r="L217" s="308" t="s">
        <v>8</v>
      </c>
      <c r="M217" s="313" t="s">
        <v>61</v>
      </c>
      <c r="N217" s="364">
        <f>WORKDAY.INTL(O217,-INDEX(O$12:O$15,MATCH($L217,$L$12:$L$15,0)),1,IF(N$18="China",'China Holidays'!$A$2:$A$82,'Thai Holidays'!$A$2:$A$63))</f>
        <v>46160</v>
      </c>
      <c r="O217" s="350">
        <v>46163</v>
      </c>
      <c r="P217" s="350">
        <v>46170</v>
      </c>
      <c r="Q217" s="350">
        <v>46171</v>
      </c>
      <c r="R217" s="350">
        <v>46182</v>
      </c>
      <c r="S217" s="350">
        <f>R217+1</f>
        <v>46183</v>
      </c>
      <c r="T217" s="350">
        <v>46197</v>
      </c>
      <c r="U217" s="350">
        <v>46225</v>
      </c>
      <c r="V217" s="350">
        <v>46230</v>
      </c>
      <c r="W217" s="350">
        <v>46244</v>
      </c>
      <c r="X217" s="350">
        <v>46246</v>
      </c>
      <c r="Y217" s="350">
        <v>46246</v>
      </c>
      <c r="Z217" s="350">
        <v>46267</v>
      </c>
      <c r="AA217" s="350">
        <v>46281</v>
      </c>
      <c r="AB217" s="350">
        <v>46341</v>
      </c>
      <c r="AC217" s="350">
        <v>46344</v>
      </c>
      <c r="AD217" s="350">
        <v>46345</v>
      </c>
      <c r="AE217" s="350">
        <v>46396</v>
      </c>
      <c r="AF217" s="350">
        <v>46410</v>
      </c>
      <c r="AG217" s="350">
        <v>46417</v>
      </c>
      <c r="AH217" s="350">
        <v>46431</v>
      </c>
      <c r="AI217" s="350">
        <v>46447</v>
      </c>
      <c r="AJ217" s="316">
        <v>25.714285714285701</v>
      </c>
      <c r="AK217" s="351"/>
      <c r="AL217" s="350" t="str">
        <f>TEXT(AL219,"d-mmm-yy")</f>
        <v>6-Feb-27</v>
      </c>
      <c r="AM217" s="327"/>
      <c r="AN217" s="327"/>
      <c r="AO217" s="327"/>
      <c r="AP217" s="327"/>
      <c r="AQ217" s="311"/>
      <c r="AR217" s="329"/>
      <c r="AS217" s="330" t="s">
        <v>62</v>
      </c>
      <c r="AT217" s="331">
        <v>46459</v>
      </c>
    </row>
    <row r="218" spans="1:46" s="264" customFormat="1" ht="25.05" customHeight="1">
      <c r="A218" s="491"/>
      <c r="B218" s="308" t="str">
        <f>B217</f>
        <v>RFQ-PIP-051</v>
      </c>
      <c r="C218" s="308" t="str">
        <f>C217</f>
        <v>GLOBE VALVE (WELDED END)</v>
      </c>
      <c r="D218" s="539"/>
      <c r="E218" s="542"/>
      <c r="F218" s="577"/>
      <c r="G218" s="311"/>
      <c r="H218" s="310"/>
      <c r="I218" s="311" t="str">
        <f>I217</f>
        <v>Piping</v>
      </c>
      <c r="J218" s="308"/>
      <c r="K218" s="322"/>
      <c r="L218" s="308"/>
      <c r="M218" s="323" t="s">
        <v>63</v>
      </c>
      <c r="N218" s="367"/>
      <c r="O218" s="325">
        <v>46163</v>
      </c>
      <c r="P218" s="325">
        <v>46170</v>
      </c>
      <c r="Q218" s="325">
        <v>46171</v>
      </c>
      <c r="R218" s="325">
        <v>46182</v>
      </c>
      <c r="S218" s="325">
        <v>46183</v>
      </c>
      <c r="T218" s="325">
        <v>46197</v>
      </c>
      <c r="U218" s="325">
        <v>46225</v>
      </c>
      <c r="V218" s="325">
        <v>46230</v>
      </c>
      <c r="W218" s="325">
        <v>46244</v>
      </c>
      <c r="X218" s="325">
        <v>46246</v>
      </c>
      <c r="Y218" s="325">
        <v>46246</v>
      </c>
      <c r="Z218" s="325">
        <v>46267</v>
      </c>
      <c r="AA218" s="325">
        <v>46281</v>
      </c>
      <c r="AB218" s="325">
        <v>46341</v>
      </c>
      <c r="AC218" s="325">
        <v>46344</v>
      </c>
      <c r="AD218" s="325">
        <v>46345</v>
      </c>
      <c r="AE218" s="325">
        <v>46396</v>
      </c>
      <c r="AF218" s="325">
        <v>46410</v>
      </c>
      <c r="AG218" s="325">
        <v>46417</v>
      </c>
      <c r="AH218" s="325">
        <v>46431</v>
      </c>
      <c r="AI218" s="325">
        <v>46447</v>
      </c>
      <c r="AJ218" s="316"/>
      <c r="AK218" s="326"/>
      <c r="AL218" s="325">
        <f>W218+AK219</f>
        <v>46424</v>
      </c>
      <c r="AM218" s="327"/>
      <c r="AN218" s="327"/>
      <c r="AO218" s="327"/>
      <c r="AP218" s="327"/>
      <c r="AQ218" s="328">
        <f>AM219-AL218</f>
        <v>28</v>
      </c>
      <c r="AR218" s="329"/>
      <c r="AS218" s="330"/>
      <c r="AT218" s="331"/>
    </row>
    <row r="219" spans="1:46" s="264" customFormat="1" ht="25.05" customHeight="1">
      <c r="A219" s="491"/>
      <c r="B219" s="308" t="str">
        <f>B217</f>
        <v>RFQ-PIP-051</v>
      </c>
      <c r="C219" s="308" t="s">
        <v>222</v>
      </c>
      <c r="D219" s="531"/>
      <c r="E219" s="542"/>
      <c r="F219" s="578"/>
      <c r="G219" s="311">
        <v>28</v>
      </c>
      <c r="H219" s="310" t="s">
        <v>214</v>
      </c>
      <c r="I219" s="311" t="s">
        <v>83</v>
      </c>
      <c r="J219" s="308" t="s">
        <v>60</v>
      </c>
      <c r="K219" s="308" t="str">
        <f>K220</f>
        <v>2/3</v>
      </c>
      <c r="L219" s="308" t="s">
        <v>8</v>
      </c>
      <c r="M219" s="313" t="s">
        <v>65</v>
      </c>
      <c r="N219" s="350"/>
      <c r="O219" s="350">
        <v>46166</v>
      </c>
      <c r="P219" s="350">
        <f>WORKDAY.INTL(O219,INDEX(P$8:P$11,MATCH($L219,$L$8:$L$11,0)),1,IF(P$18="China",'China Holidays'!$A$2:$A$82,'Thai Holidays'!$A$2:$A$63))</f>
        <v>46182</v>
      </c>
      <c r="Q219" s="350">
        <f>WORKDAY.INTL(P219,INDEX(Q$8:Q$11,MATCH($L219,$L$8:$L$11,0)),1,IF(Q$18="China",'China Holidays'!$A$2:$A$82,'Thai Holidays'!$A$2:$A$63))</f>
        <v>46182</v>
      </c>
      <c r="R219" s="350">
        <f>WORKDAY.INTL(Q219,INDEX(R$8:R$11,MATCH($L219,$L$8:$L$11,0)),1,IF(R$18="China",'China Holidays'!$A$2:$A$82,'Thai Holidays'!$A$2:$A$63))</f>
        <v>46182</v>
      </c>
      <c r="S219" s="350">
        <f>WORKDAY.INTL(R219,INDEX(S$8:S$11,MATCH($L219,$L$8:$L$11,0)),1,IF(S$18="China",'China Holidays'!$A$2:$A$82,'Thai Holidays'!$A$2:$A$63))</f>
        <v>46182</v>
      </c>
      <c r="T219" s="350">
        <f>WORKDAY.INTL(S219,INDEX(T$8:T$11,MATCH($L219,$L$8:$L$11,0)),1,IF(T$18="China",'China Holidays'!$A$2:$A$82,'Thai Holidays'!$A$2:$A$63))</f>
        <v>46197</v>
      </c>
      <c r="U219" s="350">
        <f>WORKDAY.INTL(T219,INDEX(U$8:U$11,MATCH($L219,$L$8:$L$11,0)),1,IF(U$18="China",'China Holidays'!$A$2:$A$82,'Thai Holidays'!$A$2:$A$63))</f>
        <v>46216</v>
      </c>
      <c r="V219" s="350">
        <f>WORKDAY.INTL(U219,INDEX(V$8:V$11,MATCH($L219,$L$8:$L$11,0)),1,IF(V$18="China",'China Holidays'!$A$2:$A$82,'Thai Holidays'!$A$2:$A$63))</f>
        <v>46230</v>
      </c>
      <c r="W219" s="350">
        <f>W217</f>
        <v>46244</v>
      </c>
      <c r="X219" s="350">
        <f>WORKDAY.INTL(W219,INDEX(X$12:X$15,MATCH($L219,$L$12:$L$15,0)),1,IF(X$18="China",'China Holidays'!$A$2:$A$82,'Thai Holidays'!$A$2:$A$63))</f>
        <v>46246</v>
      </c>
      <c r="Y219" s="350">
        <f>WORKDAY.INTL(X219,INDEX(Y$12:Y$15,MATCH($L219,$L$12:$L$15,0)),1,IF(Y$18="China",'China Holidays'!$A$2:$A$82,'Thai Holidays'!$A$2:$A$63))</f>
        <v>46253</v>
      </c>
      <c r="Z219" s="350">
        <f>WORKDAY.INTL(Y219,INDEX(Z$12:Z$15,MATCH($L219,$L$12:$L$15,0)),1,IF(Z$18="China",'China Holidays'!$A$2:$A$82,'Thai Holidays'!$A$2:$A$63))</f>
        <v>46274</v>
      </c>
      <c r="AA219" s="350">
        <f>WORKDAY.INTL(Z219,INDEX(AA$12:AA$15,MATCH($L219,$L$12:$L$15,0)),1,IF(AA$18="China",'China Holidays'!$A$2:$A$82,'Thai Holidays'!$A$2:$A$63))</f>
        <v>46288</v>
      </c>
      <c r="AB219" s="350">
        <f>AA219+60</f>
        <v>46348</v>
      </c>
      <c r="AC219" s="350">
        <f>AB219+3</f>
        <v>46351</v>
      </c>
      <c r="AD219" s="350">
        <f>AC219+1</f>
        <v>46352</v>
      </c>
      <c r="AE219" s="350">
        <f>AF219-14</f>
        <v>46403</v>
      </c>
      <c r="AF219" s="350">
        <f>AG219-7</f>
        <v>46417</v>
      </c>
      <c r="AG219" s="350">
        <f>AL219</f>
        <v>46424</v>
      </c>
      <c r="AH219" s="350">
        <f>AL219+14</f>
        <v>46438</v>
      </c>
      <c r="AI219" s="350">
        <f>AL219+30</f>
        <v>46454</v>
      </c>
      <c r="AJ219" s="362"/>
      <c r="AK219" s="326">
        <f>AJ217*7</f>
        <v>179.99999999999991</v>
      </c>
      <c r="AL219" s="350">
        <f>W219+AK219</f>
        <v>46424</v>
      </c>
      <c r="AM219" s="327">
        <f>AT217-7</f>
        <v>46452</v>
      </c>
      <c r="AN219" s="327">
        <f>AO219-7</f>
        <v>46454</v>
      </c>
      <c r="AO219" s="327">
        <v>46461</v>
      </c>
      <c r="AP219" s="327"/>
      <c r="AQ219" s="311">
        <f>AM219-AL219</f>
        <v>28</v>
      </c>
      <c r="AR219" s="329"/>
      <c r="AS219" s="330" t="s">
        <v>66</v>
      </c>
      <c r="AT219" s="331">
        <v>46476</v>
      </c>
    </row>
    <row r="220" spans="1:46" s="264" customFormat="1" ht="25.05" customHeight="1">
      <c r="A220" s="492"/>
      <c r="B220" s="337" t="str">
        <f>B217</f>
        <v>RFQ-PIP-051</v>
      </c>
      <c r="C220" s="337" t="s">
        <v>222</v>
      </c>
      <c r="D220" s="532"/>
      <c r="E220" s="544"/>
      <c r="F220" s="579"/>
      <c r="G220" s="340"/>
      <c r="H220" s="339"/>
      <c r="I220" s="340" t="s">
        <v>83</v>
      </c>
      <c r="J220" s="337" t="s">
        <v>60</v>
      </c>
      <c r="K220" s="490" t="s">
        <v>215</v>
      </c>
      <c r="L220" s="337" t="s">
        <v>8</v>
      </c>
      <c r="M220" s="341" t="s">
        <v>67</v>
      </c>
      <c r="N220" s="343">
        <v>46174</v>
      </c>
      <c r="O220" s="343">
        <v>46167</v>
      </c>
      <c r="P220" s="343">
        <v>46183</v>
      </c>
      <c r="Q220" s="343">
        <v>46183</v>
      </c>
      <c r="R220" s="343">
        <v>46183</v>
      </c>
      <c r="S220" s="343">
        <v>46188</v>
      </c>
      <c r="T220" s="343"/>
      <c r="U220" s="343"/>
      <c r="V220" s="343"/>
      <c r="W220" s="340">
        <f>W217-W219</f>
        <v>0</v>
      </c>
      <c r="X220" s="343"/>
      <c r="Y220" s="343"/>
      <c r="Z220" s="343"/>
      <c r="AA220" s="343"/>
      <c r="AB220" s="343"/>
      <c r="AC220" s="343"/>
      <c r="AD220" s="343"/>
      <c r="AE220" s="343"/>
      <c r="AF220" s="343"/>
      <c r="AG220" s="343"/>
      <c r="AH220" s="343"/>
      <c r="AI220" s="343"/>
      <c r="AJ220" s="353"/>
      <c r="AK220" s="354"/>
      <c r="AL220" s="343"/>
      <c r="AM220" s="355"/>
      <c r="AN220" s="355"/>
      <c r="AO220" s="355"/>
      <c r="AP220" s="355"/>
      <c r="AQ220" s="340"/>
      <c r="AR220" s="356"/>
      <c r="AS220" s="357"/>
      <c r="AT220" s="356"/>
    </row>
    <row r="221" spans="1:46" s="264" customFormat="1" ht="25.05" customHeight="1">
      <c r="A221" s="493">
        <f>A217+1</f>
        <v>52</v>
      </c>
      <c r="B221" s="308" t="s">
        <v>223</v>
      </c>
      <c r="C221" s="308" t="s">
        <v>224</v>
      </c>
      <c r="D221" s="517"/>
      <c r="E221" s="541">
        <v>28</v>
      </c>
      <c r="F221" s="576"/>
      <c r="G221" s="311"/>
      <c r="H221" s="310"/>
      <c r="I221" s="311" t="s">
        <v>83</v>
      </c>
      <c r="J221" s="308" t="s">
        <v>60</v>
      </c>
      <c r="K221" s="312" t="str">
        <f>K224</f>
        <v>2/3</v>
      </c>
      <c r="L221" s="308" t="s">
        <v>8</v>
      </c>
      <c r="M221" s="313" t="s">
        <v>61</v>
      </c>
      <c r="N221" s="364">
        <f>WORKDAY.INTL(O221,-INDEX(O$12:O$15,MATCH($L221,$L$12:$L$15,0)),1,IF(N$18="China",'China Holidays'!$A$2:$A$82,'Thai Holidays'!$A$2:$A$63))</f>
        <v>46160</v>
      </c>
      <c r="O221" s="350">
        <v>46163</v>
      </c>
      <c r="P221" s="350">
        <v>46170</v>
      </c>
      <c r="Q221" s="350">
        <v>46171</v>
      </c>
      <c r="R221" s="350">
        <v>46182</v>
      </c>
      <c r="S221" s="350">
        <f>R221+1</f>
        <v>46183</v>
      </c>
      <c r="T221" s="350">
        <v>46197</v>
      </c>
      <c r="U221" s="350">
        <v>46225</v>
      </c>
      <c r="V221" s="350">
        <v>46230</v>
      </c>
      <c r="W221" s="350">
        <v>46244</v>
      </c>
      <c r="X221" s="350">
        <v>46246</v>
      </c>
      <c r="Y221" s="350">
        <v>46246</v>
      </c>
      <c r="Z221" s="350">
        <v>46267</v>
      </c>
      <c r="AA221" s="350">
        <v>46281</v>
      </c>
      <c r="AB221" s="350">
        <v>46341</v>
      </c>
      <c r="AC221" s="350">
        <v>46344</v>
      </c>
      <c r="AD221" s="350">
        <v>46345</v>
      </c>
      <c r="AE221" s="350">
        <v>46412</v>
      </c>
      <c r="AF221" s="350">
        <v>46426</v>
      </c>
      <c r="AG221" s="350">
        <v>46433</v>
      </c>
      <c r="AH221" s="350">
        <v>46447</v>
      </c>
      <c r="AI221" s="350">
        <v>46463</v>
      </c>
      <c r="AJ221" s="316">
        <v>28</v>
      </c>
      <c r="AK221" s="351"/>
      <c r="AL221" s="350" t="str">
        <f>TEXT(AL223,"d-mmm-yy")</f>
        <v>22-Feb-27</v>
      </c>
      <c r="AM221" s="327"/>
      <c r="AN221" s="327"/>
      <c r="AO221" s="327"/>
      <c r="AP221" s="327"/>
      <c r="AQ221" s="311"/>
      <c r="AR221" s="329"/>
      <c r="AS221" s="330" t="s">
        <v>62</v>
      </c>
      <c r="AT221" s="331">
        <v>46459</v>
      </c>
    </row>
    <row r="222" spans="1:46" s="264" customFormat="1" ht="25.05" customHeight="1">
      <c r="A222" s="491"/>
      <c r="B222" s="308" t="str">
        <f>B221</f>
        <v>RFQ-PIP-052</v>
      </c>
      <c r="C222" s="308" t="str">
        <f>C221</f>
        <v>CHECK VALVE (FLANGE END)</v>
      </c>
      <c r="D222" s="539"/>
      <c r="E222" s="542"/>
      <c r="F222" s="577"/>
      <c r="G222" s="311"/>
      <c r="H222" s="310"/>
      <c r="I222" s="311" t="str">
        <f>I221</f>
        <v>Piping</v>
      </c>
      <c r="J222" s="308"/>
      <c r="K222" s="322"/>
      <c r="L222" s="308"/>
      <c r="M222" s="323" t="s">
        <v>63</v>
      </c>
      <c r="N222" s="367"/>
      <c r="O222" s="325">
        <v>46163</v>
      </c>
      <c r="P222" s="325">
        <v>46170</v>
      </c>
      <c r="Q222" s="325">
        <v>46171</v>
      </c>
      <c r="R222" s="325">
        <v>46182</v>
      </c>
      <c r="S222" s="325">
        <v>46183</v>
      </c>
      <c r="T222" s="325">
        <v>46197</v>
      </c>
      <c r="U222" s="325">
        <v>46225</v>
      </c>
      <c r="V222" s="325">
        <v>46230</v>
      </c>
      <c r="W222" s="325">
        <v>46244</v>
      </c>
      <c r="X222" s="325">
        <v>46246</v>
      </c>
      <c r="Y222" s="325">
        <v>46246</v>
      </c>
      <c r="Z222" s="325">
        <v>46267</v>
      </c>
      <c r="AA222" s="325">
        <v>46281</v>
      </c>
      <c r="AB222" s="325">
        <v>46341</v>
      </c>
      <c r="AC222" s="325">
        <v>46344</v>
      </c>
      <c r="AD222" s="325">
        <v>46345</v>
      </c>
      <c r="AE222" s="325">
        <v>46412</v>
      </c>
      <c r="AF222" s="325">
        <v>46426</v>
      </c>
      <c r="AG222" s="325">
        <v>46433</v>
      </c>
      <c r="AH222" s="325">
        <v>46447</v>
      </c>
      <c r="AI222" s="325">
        <v>46463</v>
      </c>
      <c r="AJ222" s="316"/>
      <c r="AK222" s="326"/>
      <c r="AL222" s="325">
        <f>W222+AK223</f>
        <v>46440</v>
      </c>
      <c r="AM222" s="327"/>
      <c r="AN222" s="327"/>
      <c r="AO222" s="327"/>
      <c r="AP222" s="327"/>
      <c r="AQ222" s="328">
        <f>AM223-AL222</f>
        <v>12</v>
      </c>
      <c r="AR222" s="329"/>
      <c r="AS222" s="330"/>
      <c r="AT222" s="331"/>
    </row>
    <row r="223" spans="1:46" s="264" customFormat="1" ht="25.05" customHeight="1">
      <c r="A223" s="491"/>
      <c r="B223" s="308" t="str">
        <f>B221</f>
        <v>RFQ-PIP-052</v>
      </c>
      <c r="C223" s="308" t="s">
        <v>224</v>
      </c>
      <c r="D223" s="531"/>
      <c r="E223" s="542"/>
      <c r="F223" s="578"/>
      <c r="G223" s="311">
        <v>12</v>
      </c>
      <c r="H223" s="310" t="s">
        <v>214</v>
      </c>
      <c r="I223" s="311" t="s">
        <v>83</v>
      </c>
      <c r="J223" s="308" t="s">
        <v>60</v>
      </c>
      <c r="K223" s="308" t="str">
        <f>K224</f>
        <v>2/3</v>
      </c>
      <c r="L223" s="308" t="s">
        <v>8</v>
      </c>
      <c r="M223" s="313" t="s">
        <v>65</v>
      </c>
      <c r="N223" s="350"/>
      <c r="O223" s="350">
        <v>46166</v>
      </c>
      <c r="P223" s="350">
        <f>WORKDAY.INTL(O223,INDEX(P$8:P$11,MATCH($L223,$L$8:$L$11,0)),1,IF(P$18="China",'China Holidays'!$A$2:$A$82,'Thai Holidays'!$A$2:$A$63))</f>
        <v>46182</v>
      </c>
      <c r="Q223" s="350">
        <f>WORKDAY.INTL(P223,INDEX(Q$8:Q$11,MATCH($L223,$L$8:$L$11,0)),1,IF(Q$18="China",'China Holidays'!$A$2:$A$82,'Thai Holidays'!$A$2:$A$63))</f>
        <v>46182</v>
      </c>
      <c r="R223" s="350">
        <f>WORKDAY.INTL(Q223,INDEX(R$8:R$11,MATCH($L223,$L$8:$L$11,0)),1,IF(R$18="China",'China Holidays'!$A$2:$A$82,'Thai Holidays'!$A$2:$A$63))</f>
        <v>46182</v>
      </c>
      <c r="S223" s="350">
        <f>WORKDAY.INTL(R223,INDEX(S$8:S$11,MATCH($L223,$L$8:$L$11,0)),1,IF(S$18="China",'China Holidays'!$A$2:$A$82,'Thai Holidays'!$A$2:$A$63))</f>
        <v>46182</v>
      </c>
      <c r="T223" s="350">
        <f>WORKDAY.INTL(S223,INDEX(T$8:T$11,MATCH($L223,$L$8:$L$11,0)),1,IF(T$18="China",'China Holidays'!$A$2:$A$82,'Thai Holidays'!$A$2:$A$63))</f>
        <v>46197</v>
      </c>
      <c r="U223" s="350">
        <f>WORKDAY.INTL(T223,INDEX(U$8:U$11,MATCH($L223,$L$8:$L$11,0)),1,IF(U$18="China",'China Holidays'!$A$2:$A$82,'Thai Holidays'!$A$2:$A$63))</f>
        <v>46216</v>
      </c>
      <c r="V223" s="350">
        <f>WORKDAY.INTL(U223,INDEX(V$8:V$11,MATCH($L223,$L$8:$L$11,0)),1,IF(V$18="China",'China Holidays'!$A$2:$A$82,'Thai Holidays'!$A$2:$A$63))</f>
        <v>46230</v>
      </c>
      <c r="W223" s="350">
        <f>W221</f>
        <v>46244</v>
      </c>
      <c r="X223" s="350">
        <f>WORKDAY.INTL(W223,INDEX(X$12:X$15,MATCH($L223,$L$12:$L$15,0)),1,IF(X$18="China",'China Holidays'!$A$2:$A$82,'Thai Holidays'!$A$2:$A$63))</f>
        <v>46246</v>
      </c>
      <c r="Y223" s="350">
        <f>WORKDAY.INTL(X223,INDEX(Y$12:Y$15,MATCH($L223,$L$12:$L$15,0)),1,IF(Y$18="China",'China Holidays'!$A$2:$A$82,'Thai Holidays'!$A$2:$A$63))</f>
        <v>46253</v>
      </c>
      <c r="Z223" s="350">
        <f>WORKDAY.INTL(Y223,INDEX(Z$12:Z$15,MATCH($L223,$L$12:$L$15,0)),1,IF(Z$18="China",'China Holidays'!$A$2:$A$82,'Thai Holidays'!$A$2:$A$63))</f>
        <v>46274</v>
      </c>
      <c r="AA223" s="350">
        <f>WORKDAY.INTL(Z223,INDEX(AA$12:AA$15,MATCH($L223,$L$12:$L$15,0)),1,IF(AA$18="China",'China Holidays'!$A$2:$A$82,'Thai Holidays'!$A$2:$A$63))</f>
        <v>46288</v>
      </c>
      <c r="AB223" s="350">
        <f>AA223+60</f>
        <v>46348</v>
      </c>
      <c r="AC223" s="350">
        <f>AB223+3</f>
        <v>46351</v>
      </c>
      <c r="AD223" s="350">
        <f>AC223+1</f>
        <v>46352</v>
      </c>
      <c r="AE223" s="350">
        <f>AF223-14</f>
        <v>46419</v>
      </c>
      <c r="AF223" s="350">
        <f>AG223-7</f>
        <v>46433</v>
      </c>
      <c r="AG223" s="350">
        <f>AL223</f>
        <v>46440</v>
      </c>
      <c r="AH223" s="350">
        <f>AL223+14</f>
        <v>46454</v>
      </c>
      <c r="AI223" s="350">
        <f>AL223+30</f>
        <v>46470</v>
      </c>
      <c r="AJ223" s="362"/>
      <c r="AK223" s="326">
        <f>AJ221*7</f>
        <v>196</v>
      </c>
      <c r="AL223" s="350">
        <f>W223+AK223</f>
        <v>46440</v>
      </c>
      <c r="AM223" s="327">
        <f>AT221-7</f>
        <v>46452</v>
      </c>
      <c r="AN223" s="327">
        <f>AO223-7</f>
        <v>46469</v>
      </c>
      <c r="AO223" s="327">
        <v>46476</v>
      </c>
      <c r="AP223" s="327"/>
      <c r="AQ223" s="311">
        <f>AM223-AL223</f>
        <v>12</v>
      </c>
      <c r="AR223" s="329"/>
      <c r="AS223" s="330" t="s">
        <v>66</v>
      </c>
      <c r="AT223" s="331">
        <v>46476</v>
      </c>
    </row>
    <row r="224" spans="1:46" s="264" customFormat="1" ht="25.05" customHeight="1">
      <c r="A224" s="492"/>
      <c r="B224" s="337" t="str">
        <f>B221</f>
        <v>RFQ-PIP-052</v>
      </c>
      <c r="C224" s="337" t="s">
        <v>224</v>
      </c>
      <c r="D224" s="531"/>
      <c r="E224" s="544"/>
      <c r="F224" s="578"/>
      <c r="G224" s="340"/>
      <c r="H224" s="339"/>
      <c r="I224" s="340" t="s">
        <v>83</v>
      </c>
      <c r="J224" s="337" t="s">
        <v>60</v>
      </c>
      <c r="K224" s="490" t="s">
        <v>215</v>
      </c>
      <c r="L224" s="337" t="s">
        <v>8</v>
      </c>
      <c r="M224" s="341" t="s">
        <v>67</v>
      </c>
      <c r="N224" s="343">
        <v>46174</v>
      </c>
      <c r="O224" s="343">
        <v>46167</v>
      </c>
      <c r="P224" s="343">
        <v>46183</v>
      </c>
      <c r="Q224" s="343">
        <v>46183</v>
      </c>
      <c r="R224" s="343">
        <v>46183</v>
      </c>
      <c r="S224" s="343">
        <v>46188</v>
      </c>
      <c r="T224" s="343"/>
      <c r="U224" s="343"/>
      <c r="V224" s="343"/>
      <c r="W224" s="340">
        <f>W221-W223</f>
        <v>0</v>
      </c>
      <c r="X224" s="343"/>
      <c r="Y224" s="343"/>
      <c r="Z224" s="343"/>
      <c r="AA224" s="343"/>
      <c r="AB224" s="343"/>
      <c r="AC224" s="343"/>
      <c r="AD224" s="343"/>
      <c r="AE224" s="343"/>
      <c r="AF224" s="343"/>
      <c r="AG224" s="343"/>
      <c r="AH224" s="343"/>
      <c r="AI224" s="343"/>
      <c r="AJ224" s="353"/>
      <c r="AK224" s="354"/>
      <c r="AL224" s="343"/>
      <c r="AM224" s="355"/>
      <c r="AN224" s="355"/>
      <c r="AO224" s="355"/>
      <c r="AP224" s="355" t="s">
        <v>216</v>
      </c>
      <c r="AQ224" s="340"/>
      <c r="AR224" s="356"/>
      <c r="AS224" s="357"/>
      <c r="AT224" s="356"/>
    </row>
    <row r="225" spans="1:46" s="264" customFormat="1" ht="25.05" customHeight="1">
      <c r="A225" s="493">
        <f>A221+1</f>
        <v>53</v>
      </c>
      <c r="B225" s="308" t="s">
        <v>225</v>
      </c>
      <c r="C225" s="308" t="s">
        <v>226</v>
      </c>
      <c r="D225" s="531"/>
      <c r="E225" s="541">
        <v>28</v>
      </c>
      <c r="F225" s="578"/>
      <c r="G225" s="311"/>
      <c r="H225" s="310"/>
      <c r="I225" s="311" t="s">
        <v>83</v>
      </c>
      <c r="J225" s="308" t="s">
        <v>60</v>
      </c>
      <c r="K225" s="312" t="str">
        <f>K228</f>
        <v>2/3</v>
      </c>
      <c r="L225" s="308" t="s">
        <v>8</v>
      </c>
      <c r="M225" s="313" t="s">
        <v>61</v>
      </c>
      <c r="N225" s="364">
        <f>WORKDAY.INTL(O225,-INDEX(O$12:O$15,MATCH($L225,$L$12:$L$15,0)),1,IF(N$18="China",'China Holidays'!$A$2:$A$82,'Thai Holidays'!$A$2:$A$63))</f>
        <v>46160</v>
      </c>
      <c r="O225" s="350">
        <v>46163</v>
      </c>
      <c r="P225" s="350">
        <v>46170</v>
      </c>
      <c r="Q225" s="350">
        <v>46171</v>
      </c>
      <c r="R225" s="350">
        <v>46182</v>
      </c>
      <c r="S225" s="350">
        <f>R225+1</f>
        <v>46183</v>
      </c>
      <c r="T225" s="350">
        <v>46197</v>
      </c>
      <c r="U225" s="350">
        <v>46225</v>
      </c>
      <c r="V225" s="350">
        <v>46230</v>
      </c>
      <c r="W225" s="350">
        <v>46244</v>
      </c>
      <c r="X225" s="350">
        <v>46246</v>
      </c>
      <c r="Y225" s="350">
        <v>46246</v>
      </c>
      <c r="Z225" s="350">
        <v>46267</v>
      </c>
      <c r="AA225" s="350">
        <v>46281</v>
      </c>
      <c r="AB225" s="350">
        <v>46341</v>
      </c>
      <c r="AC225" s="350">
        <v>46344</v>
      </c>
      <c r="AD225" s="350">
        <v>46345</v>
      </c>
      <c r="AE225" s="350">
        <v>46412</v>
      </c>
      <c r="AF225" s="350">
        <v>46426</v>
      </c>
      <c r="AG225" s="350">
        <v>46433</v>
      </c>
      <c r="AH225" s="350">
        <v>46447</v>
      </c>
      <c r="AI225" s="350">
        <v>46463</v>
      </c>
      <c r="AJ225" s="316">
        <v>28</v>
      </c>
      <c r="AK225" s="351"/>
      <c r="AL225" s="350" t="str">
        <f>TEXT(AL227,"d-mmm-yy")</f>
        <v>22-Feb-27</v>
      </c>
      <c r="AM225" s="327"/>
      <c r="AN225" s="327"/>
      <c r="AO225" s="327"/>
      <c r="AP225" s="327"/>
      <c r="AQ225" s="311"/>
      <c r="AR225" s="329"/>
      <c r="AS225" s="330" t="s">
        <v>62</v>
      </c>
      <c r="AT225" s="331">
        <v>46459</v>
      </c>
    </row>
    <row r="226" spans="1:46" s="264" customFormat="1" ht="25.05" customHeight="1">
      <c r="A226" s="491"/>
      <c r="B226" s="308" t="str">
        <f>B225</f>
        <v>RFQ-PIP-053</v>
      </c>
      <c r="C226" s="308" t="str">
        <f>C225</f>
        <v>CHECK VALVE (WELDED END)</v>
      </c>
      <c r="D226" s="539"/>
      <c r="E226" s="542"/>
      <c r="F226" s="577"/>
      <c r="G226" s="311"/>
      <c r="H226" s="310"/>
      <c r="I226" s="311" t="str">
        <f>I225</f>
        <v>Piping</v>
      </c>
      <c r="J226" s="308"/>
      <c r="K226" s="322"/>
      <c r="L226" s="308"/>
      <c r="M226" s="323" t="s">
        <v>63</v>
      </c>
      <c r="N226" s="367"/>
      <c r="O226" s="325">
        <v>46163</v>
      </c>
      <c r="P226" s="325">
        <v>46170</v>
      </c>
      <c r="Q226" s="325">
        <v>46171</v>
      </c>
      <c r="R226" s="325">
        <v>46182</v>
      </c>
      <c r="S226" s="325">
        <v>46183</v>
      </c>
      <c r="T226" s="325">
        <v>46197</v>
      </c>
      <c r="U226" s="325">
        <v>46225</v>
      </c>
      <c r="V226" s="325">
        <v>46230</v>
      </c>
      <c r="W226" s="325">
        <v>46244</v>
      </c>
      <c r="X226" s="325">
        <v>46246</v>
      </c>
      <c r="Y226" s="325">
        <v>46246</v>
      </c>
      <c r="Z226" s="325">
        <v>46267</v>
      </c>
      <c r="AA226" s="325">
        <v>46281</v>
      </c>
      <c r="AB226" s="325">
        <v>46341</v>
      </c>
      <c r="AC226" s="325">
        <v>46344</v>
      </c>
      <c r="AD226" s="325">
        <v>46345</v>
      </c>
      <c r="AE226" s="325">
        <v>46412</v>
      </c>
      <c r="AF226" s="325">
        <v>46426</v>
      </c>
      <c r="AG226" s="325">
        <v>46433</v>
      </c>
      <c r="AH226" s="325">
        <v>46447</v>
      </c>
      <c r="AI226" s="325">
        <v>46463</v>
      </c>
      <c r="AJ226" s="316"/>
      <c r="AK226" s="326"/>
      <c r="AL226" s="325">
        <f>W226+AK227</f>
        <v>46440</v>
      </c>
      <c r="AM226" s="327"/>
      <c r="AN226" s="327"/>
      <c r="AO226" s="327"/>
      <c r="AP226" s="327"/>
      <c r="AQ226" s="328">
        <f>AM227-AL226</f>
        <v>12</v>
      </c>
      <c r="AR226" s="329"/>
      <c r="AS226" s="330"/>
      <c r="AT226" s="331"/>
    </row>
    <row r="227" spans="1:46" s="264" customFormat="1" ht="25.05" customHeight="1">
      <c r="A227" s="491"/>
      <c r="B227" s="308" t="str">
        <f>B225</f>
        <v>RFQ-PIP-053</v>
      </c>
      <c r="C227" s="308" t="s">
        <v>226</v>
      </c>
      <c r="D227" s="531"/>
      <c r="E227" s="542"/>
      <c r="F227" s="578"/>
      <c r="G227" s="311">
        <v>12</v>
      </c>
      <c r="H227" s="310" t="s">
        <v>214</v>
      </c>
      <c r="I227" s="311" t="s">
        <v>83</v>
      </c>
      <c r="J227" s="308" t="s">
        <v>60</v>
      </c>
      <c r="K227" s="308" t="str">
        <f>K228</f>
        <v>2/3</v>
      </c>
      <c r="L227" s="308" t="s">
        <v>8</v>
      </c>
      <c r="M227" s="313" t="s">
        <v>65</v>
      </c>
      <c r="N227" s="350"/>
      <c r="O227" s="350">
        <v>46166</v>
      </c>
      <c r="P227" s="350">
        <f>WORKDAY.INTL(O227,INDEX(P$8:P$11,MATCH($L227,$L$8:$L$11,0)),1,IF(P$18="China",'China Holidays'!$A$2:$A$82,'Thai Holidays'!$A$2:$A$63))</f>
        <v>46182</v>
      </c>
      <c r="Q227" s="350">
        <f>WORKDAY.INTL(P227,INDEX(Q$8:Q$11,MATCH($L227,$L$8:$L$11,0)),1,IF(Q$18="China",'China Holidays'!$A$2:$A$82,'Thai Holidays'!$A$2:$A$63))</f>
        <v>46182</v>
      </c>
      <c r="R227" s="350">
        <f>WORKDAY.INTL(Q227,INDEX(R$8:R$11,MATCH($L227,$L$8:$L$11,0)),1,IF(R$18="China",'China Holidays'!$A$2:$A$82,'Thai Holidays'!$A$2:$A$63))</f>
        <v>46182</v>
      </c>
      <c r="S227" s="350">
        <f>WORKDAY.INTL(R227,INDEX(S$8:S$11,MATCH($L227,$L$8:$L$11,0)),1,IF(S$18="China",'China Holidays'!$A$2:$A$82,'Thai Holidays'!$A$2:$A$63))</f>
        <v>46182</v>
      </c>
      <c r="T227" s="350">
        <f>WORKDAY.INTL(S227,INDEX(T$8:T$11,MATCH($L227,$L$8:$L$11,0)),1,IF(T$18="China",'China Holidays'!$A$2:$A$82,'Thai Holidays'!$A$2:$A$63))</f>
        <v>46197</v>
      </c>
      <c r="U227" s="350">
        <f>WORKDAY.INTL(T227,INDEX(U$8:U$11,MATCH($L227,$L$8:$L$11,0)),1,IF(U$18="China",'China Holidays'!$A$2:$A$82,'Thai Holidays'!$A$2:$A$63))</f>
        <v>46216</v>
      </c>
      <c r="V227" s="350">
        <f>WORKDAY.INTL(U227,INDEX(V$8:V$11,MATCH($L227,$L$8:$L$11,0)),1,IF(V$18="China",'China Holidays'!$A$2:$A$82,'Thai Holidays'!$A$2:$A$63))</f>
        <v>46230</v>
      </c>
      <c r="W227" s="350">
        <f>W225</f>
        <v>46244</v>
      </c>
      <c r="X227" s="350">
        <f>WORKDAY.INTL(W227,INDEX(X$12:X$15,MATCH($L227,$L$12:$L$15,0)),1,IF(X$18="China",'China Holidays'!$A$2:$A$82,'Thai Holidays'!$A$2:$A$63))</f>
        <v>46246</v>
      </c>
      <c r="Y227" s="350">
        <f>WORKDAY.INTL(X227,INDEX(Y$12:Y$15,MATCH($L227,$L$12:$L$15,0)),1,IF(Y$18="China",'China Holidays'!$A$2:$A$82,'Thai Holidays'!$A$2:$A$63))</f>
        <v>46253</v>
      </c>
      <c r="Z227" s="350">
        <f>WORKDAY.INTL(Y227,INDEX(Z$12:Z$15,MATCH($L227,$L$12:$L$15,0)),1,IF(Z$18="China",'China Holidays'!$A$2:$A$82,'Thai Holidays'!$A$2:$A$63))</f>
        <v>46274</v>
      </c>
      <c r="AA227" s="350">
        <f>WORKDAY.INTL(Z227,INDEX(AA$12:AA$15,MATCH($L227,$L$12:$L$15,0)),1,IF(AA$18="China",'China Holidays'!$A$2:$A$82,'Thai Holidays'!$A$2:$A$63))</f>
        <v>46288</v>
      </c>
      <c r="AB227" s="350">
        <f>AA227+60</f>
        <v>46348</v>
      </c>
      <c r="AC227" s="350">
        <f>AB227+3</f>
        <v>46351</v>
      </c>
      <c r="AD227" s="350">
        <f>AC227+1</f>
        <v>46352</v>
      </c>
      <c r="AE227" s="350">
        <f>AF227-14</f>
        <v>46419</v>
      </c>
      <c r="AF227" s="350">
        <f>AG227-7</f>
        <v>46433</v>
      </c>
      <c r="AG227" s="350">
        <f>AL227</f>
        <v>46440</v>
      </c>
      <c r="AH227" s="350">
        <f>AL227+14</f>
        <v>46454</v>
      </c>
      <c r="AI227" s="350">
        <f>AL227+30</f>
        <v>46470</v>
      </c>
      <c r="AJ227" s="362"/>
      <c r="AK227" s="326">
        <f>AJ225*7</f>
        <v>196</v>
      </c>
      <c r="AL227" s="350">
        <f>W227+AK227</f>
        <v>46440</v>
      </c>
      <c r="AM227" s="327">
        <f>AT225-7</f>
        <v>46452</v>
      </c>
      <c r="AN227" s="327">
        <f>AO227-7</f>
        <v>46454</v>
      </c>
      <c r="AO227" s="327">
        <v>46461</v>
      </c>
      <c r="AP227" s="327"/>
      <c r="AQ227" s="311">
        <f>AM227-AL227</f>
        <v>12</v>
      </c>
      <c r="AR227" s="329"/>
      <c r="AS227" s="330" t="s">
        <v>66</v>
      </c>
      <c r="AT227" s="331">
        <v>46476</v>
      </c>
    </row>
    <row r="228" spans="1:46" s="264" customFormat="1" ht="25.05" customHeight="1">
      <c r="A228" s="492"/>
      <c r="B228" s="337" t="str">
        <f>B225</f>
        <v>RFQ-PIP-053</v>
      </c>
      <c r="C228" s="337" t="s">
        <v>226</v>
      </c>
      <c r="D228" s="532"/>
      <c r="E228" s="544"/>
      <c r="F228" s="579"/>
      <c r="G228" s="340"/>
      <c r="H228" s="339"/>
      <c r="I228" s="340" t="s">
        <v>83</v>
      </c>
      <c r="J228" s="337" t="s">
        <v>60</v>
      </c>
      <c r="K228" s="490" t="s">
        <v>215</v>
      </c>
      <c r="L228" s="337" t="s">
        <v>8</v>
      </c>
      <c r="M228" s="341" t="s">
        <v>67</v>
      </c>
      <c r="N228" s="343">
        <v>46174</v>
      </c>
      <c r="O228" s="343">
        <v>46167</v>
      </c>
      <c r="P228" s="343">
        <v>46183</v>
      </c>
      <c r="Q228" s="343">
        <v>46183</v>
      </c>
      <c r="R228" s="343">
        <v>46183</v>
      </c>
      <c r="S228" s="343">
        <v>46188</v>
      </c>
      <c r="T228" s="343"/>
      <c r="U228" s="343"/>
      <c r="V228" s="343"/>
      <c r="W228" s="340">
        <f>W225-W227</f>
        <v>0</v>
      </c>
      <c r="X228" s="343"/>
      <c r="Y228" s="343"/>
      <c r="Z228" s="343"/>
      <c r="AA228" s="343"/>
      <c r="AB228" s="343"/>
      <c r="AC228" s="343"/>
      <c r="AD228" s="343"/>
      <c r="AE228" s="343"/>
      <c r="AF228" s="343"/>
      <c r="AG228" s="343"/>
      <c r="AH228" s="343"/>
      <c r="AI228" s="343"/>
      <c r="AJ228" s="353"/>
      <c r="AK228" s="354"/>
      <c r="AL228" s="343"/>
      <c r="AM228" s="355"/>
      <c r="AN228" s="355"/>
      <c r="AO228" s="355"/>
      <c r="AP228" s="355"/>
      <c r="AQ228" s="340"/>
      <c r="AR228" s="356"/>
      <c r="AS228" s="357"/>
      <c r="AT228" s="356"/>
    </row>
    <row r="229" spans="1:46" s="264" customFormat="1" ht="25.05" customHeight="1">
      <c r="A229" s="493">
        <f>A225+1</f>
        <v>54</v>
      </c>
      <c r="B229" s="308" t="s">
        <v>227</v>
      </c>
      <c r="C229" s="308" t="s">
        <v>228</v>
      </c>
      <c r="D229" s="517"/>
      <c r="E229" s="541">
        <v>28</v>
      </c>
      <c r="F229" s="576"/>
      <c r="G229" s="311"/>
      <c r="H229" s="310"/>
      <c r="I229" s="311" t="s">
        <v>83</v>
      </c>
      <c r="J229" s="308" t="s">
        <v>60</v>
      </c>
      <c r="K229" s="312" t="str">
        <f>K232</f>
        <v>2/3</v>
      </c>
      <c r="L229" s="308" t="s">
        <v>7</v>
      </c>
      <c r="M229" s="313" t="s">
        <v>61</v>
      </c>
      <c r="N229" s="364">
        <f>WORKDAY.INTL(O229,-INDEX(O$12:O$15,MATCH($L229,$L$12:$L$15,0)),1,IF(N$18="China",'China Holidays'!$A$2:$A$82,'Thai Holidays'!$A$2:$A$63))</f>
        <v>46162</v>
      </c>
      <c r="O229" s="350">
        <v>46163</v>
      </c>
      <c r="P229" s="350">
        <v>46170</v>
      </c>
      <c r="Q229" s="350">
        <v>46171</v>
      </c>
      <c r="R229" s="350">
        <v>46182</v>
      </c>
      <c r="S229" s="350">
        <f>R229+1</f>
        <v>46183</v>
      </c>
      <c r="T229" s="350">
        <v>46197</v>
      </c>
      <c r="U229" s="350">
        <v>46225</v>
      </c>
      <c r="V229" s="350">
        <v>46230</v>
      </c>
      <c r="W229" s="350">
        <v>46244</v>
      </c>
      <c r="X229" s="350">
        <v>46246</v>
      </c>
      <c r="Y229" s="350">
        <v>46253</v>
      </c>
      <c r="Z229" s="350">
        <v>46281</v>
      </c>
      <c r="AA229" s="350">
        <v>46295</v>
      </c>
      <c r="AB229" s="350">
        <v>46355</v>
      </c>
      <c r="AC229" s="350">
        <v>46358</v>
      </c>
      <c r="AD229" s="350">
        <v>46359</v>
      </c>
      <c r="AE229" s="350">
        <v>46419</v>
      </c>
      <c r="AF229" s="350">
        <v>46433</v>
      </c>
      <c r="AG229" s="350">
        <v>46440</v>
      </c>
      <c r="AH229" s="350">
        <v>46454</v>
      </c>
      <c r="AI229" s="350">
        <v>46470</v>
      </c>
      <c r="AJ229" s="316">
        <v>28</v>
      </c>
      <c r="AK229" s="351"/>
      <c r="AL229" s="350" t="str">
        <f>TEXT(AL231,"d-mmm-yy")</f>
        <v>22-Feb-27</v>
      </c>
      <c r="AM229" s="327"/>
      <c r="AN229" s="327"/>
      <c r="AO229" s="327"/>
      <c r="AP229" s="327"/>
      <c r="AQ229" s="311"/>
      <c r="AR229" s="329"/>
      <c r="AS229" s="330" t="s">
        <v>62</v>
      </c>
      <c r="AT229" s="331">
        <v>46459</v>
      </c>
    </row>
    <row r="230" spans="1:46" s="264" customFormat="1" ht="25.05" customHeight="1">
      <c r="A230" s="491"/>
      <c r="B230" s="308" t="str">
        <f>B229</f>
        <v>RFQ-PIP-054</v>
      </c>
      <c r="C230" s="308" t="str">
        <f>C229</f>
        <v>COMPACT CHECK VALVE (WELDED END)</v>
      </c>
      <c r="D230" s="539"/>
      <c r="E230" s="542"/>
      <c r="F230" s="577"/>
      <c r="G230" s="311"/>
      <c r="H230" s="310"/>
      <c r="I230" s="311" t="str">
        <f>I229</f>
        <v>Piping</v>
      </c>
      <c r="J230" s="308"/>
      <c r="K230" s="322"/>
      <c r="L230" s="308"/>
      <c r="M230" s="323" t="s">
        <v>63</v>
      </c>
      <c r="N230" s="367"/>
      <c r="O230" s="325">
        <v>46163</v>
      </c>
      <c r="P230" s="325">
        <v>46170</v>
      </c>
      <c r="Q230" s="325">
        <v>46171</v>
      </c>
      <c r="R230" s="325">
        <v>46182</v>
      </c>
      <c r="S230" s="325">
        <v>46183</v>
      </c>
      <c r="T230" s="325">
        <v>46197</v>
      </c>
      <c r="U230" s="325">
        <v>46225</v>
      </c>
      <c r="V230" s="325">
        <v>46230</v>
      </c>
      <c r="W230" s="325">
        <v>46244</v>
      </c>
      <c r="X230" s="325">
        <v>46246</v>
      </c>
      <c r="Y230" s="325">
        <v>46253</v>
      </c>
      <c r="Z230" s="325">
        <v>46281</v>
      </c>
      <c r="AA230" s="325">
        <v>46295</v>
      </c>
      <c r="AB230" s="325">
        <v>46355</v>
      </c>
      <c r="AC230" s="325">
        <v>46358</v>
      </c>
      <c r="AD230" s="325">
        <v>46359</v>
      </c>
      <c r="AE230" s="325">
        <v>46419</v>
      </c>
      <c r="AF230" s="325">
        <v>46433</v>
      </c>
      <c r="AG230" s="325">
        <v>46440</v>
      </c>
      <c r="AH230" s="325">
        <v>46454</v>
      </c>
      <c r="AI230" s="325">
        <v>46470</v>
      </c>
      <c r="AJ230" s="316"/>
      <c r="AK230" s="326"/>
      <c r="AL230" s="325">
        <f>W230+AK231</f>
        <v>46440</v>
      </c>
      <c r="AM230" s="327"/>
      <c r="AN230" s="327"/>
      <c r="AO230" s="327"/>
      <c r="AP230" s="327"/>
      <c r="AQ230" s="328">
        <f>AM231-AL230</f>
        <v>12</v>
      </c>
      <c r="AR230" s="329"/>
      <c r="AS230" s="330"/>
      <c r="AT230" s="331"/>
    </row>
    <row r="231" spans="1:46" s="264" customFormat="1" ht="25.05" customHeight="1">
      <c r="A231" s="491"/>
      <c r="B231" s="308" t="str">
        <f>B229</f>
        <v>RFQ-PIP-054</v>
      </c>
      <c r="C231" s="308" t="s">
        <v>228</v>
      </c>
      <c r="D231" s="531"/>
      <c r="E231" s="542"/>
      <c r="F231" s="578"/>
      <c r="G231" s="311">
        <v>12</v>
      </c>
      <c r="H231" s="310" t="s">
        <v>214</v>
      </c>
      <c r="I231" s="311" t="s">
        <v>83</v>
      </c>
      <c r="J231" s="308" t="s">
        <v>60</v>
      </c>
      <c r="K231" s="308" t="str">
        <f>K232</f>
        <v>2/3</v>
      </c>
      <c r="L231" s="308" t="s">
        <v>7</v>
      </c>
      <c r="M231" s="313" t="s">
        <v>65</v>
      </c>
      <c r="N231" s="350"/>
      <c r="O231" s="350">
        <v>46167</v>
      </c>
      <c r="P231" s="350">
        <f>WORKDAY.INTL(O231,INDEX(P$8:P$11,MATCH($L231,$L$8:$L$11,0)),1,IF(P$18="China",'China Holidays'!$A$2:$A$82,'Thai Holidays'!$A$2:$A$63))</f>
        <v>46183</v>
      </c>
      <c r="Q231" s="350">
        <f>WORKDAY.INTL(P231,INDEX(Q$8:Q$11,MATCH($L231,$L$8:$L$11,0)),1,IF(Q$18="China",'China Holidays'!$A$2:$A$82,'Thai Holidays'!$A$2:$A$63))</f>
        <v>46183</v>
      </c>
      <c r="R231" s="350">
        <f>WORKDAY.INTL(Q231,INDEX(R$8:R$11,MATCH($L231,$L$8:$L$11,0)),1,IF(R$18="China",'China Holidays'!$A$2:$A$82,'Thai Holidays'!$A$2:$A$63))</f>
        <v>46183</v>
      </c>
      <c r="S231" s="350">
        <f>WORKDAY.INTL(R231,INDEX(S$8:S$11,MATCH($L231,$L$8:$L$11,0)),1,IF(S$18="China",'China Holidays'!$A$2:$A$82,'Thai Holidays'!$A$2:$A$63))</f>
        <v>46183</v>
      </c>
      <c r="T231" s="350">
        <f>WORKDAY.INTL(S231,INDEX(T$8:T$11,MATCH($L231,$L$8:$L$11,0)),1,IF(T$18="China",'China Holidays'!$A$2:$A$82,'Thai Holidays'!$A$2:$A$63))</f>
        <v>46198</v>
      </c>
      <c r="U231" s="350">
        <v>46216</v>
      </c>
      <c r="V231" s="350">
        <f>WORKDAY.INTL(U231,INDEX(V$8:V$11,MATCH($L231,$L$8:$L$11,0)),1,IF(V$18="China",'China Holidays'!$A$2:$A$82,'Thai Holidays'!$A$2:$A$63))</f>
        <v>46230</v>
      </c>
      <c r="W231" s="350">
        <f>W229</f>
        <v>46244</v>
      </c>
      <c r="X231" s="350">
        <f>WORKDAY.INTL(W231,INDEX(X$12:X$15,MATCH($L231,$L$12:$L$15,0)),1,IF(X$18="China",'China Holidays'!$A$2:$A$82,'Thai Holidays'!$A$2:$A$63))</f>
        <v>46246</v>
      </c>
      <c r="Y231" s="350">
        <f>WORKDAY.INTL(X231,INDEX(Y$12:Y$15,MATCH($L231,$L$12:$L$15,0)),1,IF(Y$18="China",'China Holidays'!$A$2:$A$82,'Thai Holidays'!$A$2:$A$63))</f>
        <v>46253</v>
      </c>
      <c r="Z231" s="350">
        <f>WORKDAY.INTL(Y231,INDEX(Z$12:Z$15,MATCH($L231,$L$12:$L$15,0)),1,IF(Z$18="China",'China Holidays'!$A$2:$A$82,'Thai Holidays'!$A$2:$A$63))</f>
        <v>46281</v>
      </c>
      <c r="AA231" s="350">
        <f>WORKDAY.INTL(Z231,INDEX(AA$12:AA$15,MATCH($L231,$L$12:$L$15,0)),1,IF(AA$18="China",'China Holidays'!$A$2:$A$82,'Thai Holidays'!$A$2:$A$63))</f>
        <v>46295</v>
      </c>
      <c r="AB231" s="350">
        <f>AA231+60</f>
        <v>46355</v>
      </c>
      <c r="AC231" s="350">
        <f>AB231+3</f>
        <v>46358</v>
      </c>
      <c r="AD231" s="350">
        <f>AC231+1</f>
        <v>46359</v>
      </c>
      <c r="AE231" s="350">
        <f>AF231-14</f>
        <v>46419</v>
      </c>
      <c r="AF231" s="350">
        <f>AG231-7</f>
        <v>46433</v>
      </c>
      <c r="AG231" s="350">
        <f>AL231</f>
        <v>46440</v>
      </c>
      <c r="AH231" s="350">
        <f>AL231+14</f>
        <v>46454</v>
      </c>
      <c r="AI231" s="350">
        <f>AL231+30</f>
        <v>46470</v>
      </c>
      <c r="AJ231" s="362"/>
      <c r="AK231" s="326">
        <f>AJ229*7</f>
        <v>196</v>
      </c>
      <c r="AL231" s="350">
        <f>W231+AK231</f>
        <v>46440</v>
      </c>
      <c r="AM231" s="327">
        <f>AT229-7</f>
        <v>46452</v>
      </c>
      <c r="AN231" s="327">
        <f>AO231-7</f>
        <v>46454</v>
      </c>
      <c r="AO231" s="327">
        <v>46461</v>
      </c>
      <c r="AP231" s="327"/>
      <c r="AQ231" s="311">
        <f>AM231-AL231</f>
        <v>12</v>
      </c>
      <c r="AR231" s="329"/>
      <c r="AS231" s="330" t="s">
        <v>66</v>
      </c>
      <c r="AT231" s="331">
        <v>46476</v>
      </c>
    </row>
    <row r="232" spans="1:46" s="264" customFormat="1" ht="25.05" customHeight="1">
      <c r="A232" s="492"/>
      <c r="B232" s="337" t="str">
        <f>B229</f>
        <v>RFQ-PIP-054</v>
      </c>
      <c r="C232" s="337" t="s">
        <v>228</v>
      </c>
      <c r="D232" s="532"/>
      <c r="E232" s="544"/>
      <c r="F232" s="579"/>
      <c r="G232" s="340"/>
      <c r="H232" s="339"/>
      <c r="I232" s="340" t="s">
        <v>83</v>
      </c>
      <c r="J232" s="337" t="s">
        <v>60</v>
      </c>
      <c r="K232" s="490" t="s">
        <v>215</v>
      </c>
      <c r="L232" s="337" t="s">
        <v>7</v>
      </c>
      <c r="M232" s="341" t="s">
        <v>67</v>
      </c>
      <c r="N232" s="343">
        <v>46174</v>
      </c>
      <c r="O232" s="343">
        <v>46167</v>
      </c>
      <c r="P232" s="343">
        <v>46183</v>
      </c>
      <c r="Q232" s="343">
        <v>46183</v>
      </c>
      <c r="R232" s="343">
        <v>46183</v>
      </c>
      <c r="S232" s="343">
        <v>46188</v>
      </c>
      <c r="T232" s="343"/>
      <c r="U232" s="343"/>
      <c r="V232" s="343"/>
      <c r="W232" s="340">
        <f>W229-W231</f>
        <v>0</v>
      </c>
      <c r="X232" s="343"/>
      <c r="Y232" s="343"/>
      <c r="Z232" s="343"/>
      <c r="AA232" s="343"/>
      <c r="AB232" s="343"/>
      <c r="AC232" s="343"/>
      <c r="AD232" s="343"/>
      <c r="AE232" s="343"/>
      <c r="AF232" s="343"/>
      <c r="AG232" s="343"/>
      <c r="AH232" s="343"/>
      <c r="AI232" s="343"/>
      <c r="AJ232" s="353"/>
      <c r="AK232" s="354"/>
      <c r="AL232" s="343"/>
      <c r="AM232" s="355"/>
      <c r="AN232" s="355"/>
      <c r="AO232" s="355"/>
      <c r="AP232" s="355"/>
      <c r="AQ232" s="340"/>
      <c r="AR232" s="356"/>
      <c r="AS232" s="357"/>
      <c r="AT232" s="356"/>
    </row>
    <row r="233" spans="1:46" s="264" customFormat="1" ht="25.05" customHeight="1">
      <c r="A233" s="493">
        <f>A229+1</f>
        <v>55</v>
      </c>
      <c r="B233" s="308" t="s">
        <v>229</v>
      </c>
      <c r="C233" s="308" t="s">
        <v>230</v>
      </c>
      <c r="D233" s="419"/>
      <c r="E233" s="541">
        <v>8.5714285714285694</v>
      </c>
      <c r="F233" s="419"/>
      <c r="G233" s="311"/>
      <c r="H233" s="310"/>
      <c r="I233" s="311" t="s">
        <v>231</v>
      </c>
      <c r="J233" s="308" t="s">
        <v>60</v>
      </c>
      <c r="K233" s="312">
        <f>K236</f>
        <v>2</v>
      </c>
      <c r="L233" s="308" t="s">
        <v>6</v>
      </c>
      <c r="M233" s="313" t="s">
        <v>61</v>
      </c>
      <c r="N233" s="364">
        <f>WORKDAY.INTL(O233,-INDEX(O$12:O$15,MATCH($L233,$L$12:$L$15,0)),1,IF(N$18="China",'China Holidays'!$A$2:$A$82,'Thai Holidays'!$A$2:$A$63))</f>
        <v>46164</v>
      </c>
      <c r="O233" s="350">
        <v>46167</v>
      </c>
      <c r="P233" s="350">
        <v>46167</v>
      </c>
      <c r="Q233" s="350">
        <v>46168</v>
      </c>
      <c r="R233" s="350">
        <v>46171</v>
      </c>
      <c r="S233" s="350">
        <v>46172</v>
      </c>
      <c r="T233" s="350">
        <v>46175</v>
      </c>
      <c r="U233" s="350">
        <v>46178</v>
      </c>
      <c r="V233" s="350">
        <v>46182</v>
      </c>
      <c r="W233" s="350">
        <v>46183</v>
      </c>
      <c r="X233" s="350" t="str">
        <f>TEXT(X235,"d-mmm-yy")</f>
        <v>12-Jun-26</v>
      </c>
      <c r="Y233" s="350">
        <v>46190</v>
      </c>
      <c r="Z233" s="350">
        <f>Y233</f>
        <v>46190</v>
      </c>
      <c r="AA233" s="350">
        <f>Y233</f>
        <v>46190</v>
      </c>
      <c r="AB233" s="350">
        <v>46190</v>
      </c>
      <c r="AC233" s="350">
        <v>46195</v>
      </c>
      <c r="AD233" s="350">
        <v>46197</v>
      </c>
      <c r="AE233" s="350">
        <v>46233</v>
      </c>
      <c r="AF233" s="350">
        <v>46240</v>
      </c>
      <c r="AG233" s="350">
        <v>46243</v>
      </c>
      <c r="AH233" s="350">
        <v>46257</v>
      </c>
      <c r="AI233" s="350">
        <v>46273</v>
      </c>
      <c r="AJ233" s="316">
        <v>8.5714285714285694</v>
      </c>
      <c r="AK233" s="351"/>
      <c r="AL233" s="350" t="str">
        <f>TEXT(AL235,"d-mmm-yy")</f>
        <v>9-Aug-26</v>
      </c>
      <c r="AM233" s="327"/>
      <c r="AN233" s="327"/>
      <c r="AO233" s="327"/>
      <c r="AP233" s="327"/>
      <c r="AQ233" s="311"/>
      <c r="AR233" s="329"/>
      <c r="AS233" s="330" t="s">
        <v>62</v>
      </c>
      <c r="AT233" s="331">
        <v>46258</v>
      </c>
    </row>
    <row r="234" spans="1:46" s="264" customFormat="1" ht="25.05" customHeight="1">
      <c r="A234" s="491"/>
      <c r="B234" s="308" t="str">
        <f>B233</f>
        <v>RFQ-STR-055</v>
      </c>
      <c r="C234" s="308" t="str">
        <f>C233</f>
        <v>Primary Steel - Plates for topside</v>
      </c>
      <c r="D234" s="414"/>
      <c r="E234" s="542"/>
      <c r="F234" s="416"/>
      <c r="G234" s="311"/>
      <c r="H234" s="310"/>
      <c r="I234" s="311" t="s">
        <v>231</v>
      </c>
      <c r="J234" s="308"/>
      <c r="K234" s="322"/>
      <c r="L234" s="308"/>
      <c r="M234" s="323" t="s">
        <v>63</v>
      </c>
      <c r="N234" s="367"/>
      <c r="O234" s="325">
        <v>46167</v>
      </c>
      <c r="P234" s="325">
        <v>46167</v>
      </c>
      <c r="Q234" s="325">
        <v>46168</v>
      </c>
      <c r="R234" s="325">
        <v>46171</v>
      </c>
      <c r="S234" s="325">
        <v>46172</v>
      </c>
      <c r="T234" s="325">
        <v>46175</v>
      </c>
      <c r="U234" s="325">
        <v>46178</v>
      </c>
      <c r="V234" s="325">
        <v>46182</v>
      </c>
      <c r="W234" s="325">
        <v>46183</v>
      </c>
      <c r="X234" s="325" t="s">
        <v>232</v>
      </c>
      <c r="Y234" s="325">
        <v>46190</v>
      </c>
      <c r="Z234" s="421">
        <v>46200</v>
      </c>
      <c r="AA234" s="421">
        <v>46210</v>
      </c>
      <c r="AB234" s="421">
        <v>46217</v>
      </c>
      <c r="AC234" s="325">
        <v>46195</v>
      </c>
      <c r="AD234" s="325">
        <v>46197</v>
      </c>
      <c r="AE234" s="325">
        <v>46233</v>
      </c>
      <c r="AF234" s="325">
        <v>46240</v>
      </c>
      <c r="AG234" s="325">
        <v>46243</v>
      </c>
      <c r="AH234" s="325">
        <v>46257</v>
      </c>
      <c r="AI234" s="325">
        <v>46273</v>
      </c>
      <c r="AJ234" s="365"/>
      <c r="AK234" s="326"/>
      <c r="AL234" s="325">
        <f>W234+AK235</f>
        <v>46243</v>
      </c>
      <c r="AM234" s="327"/>
      <c r="AN234" s="327"/>
      <c r="AO234" s="327"/>
      <c r="AP234" s="327"/>
      <c r="AQ234" s="328">
        <f>AM235-AL234</f>
        <v>8</v>
      </c>
      <c r="AR234" s="329"/>
      <c r="AS234" s="330"/>
      <c r="AT234" s="331"/>
    </row>
    <row r="235" spans="1:46" s="264" customFormat="1" ht="25.05" customHeight="1">
      <c r="A235" s="491"/>
      <c r="B235" s="308" t="str">
        <f>B233</f>
        <v>RFQ-STR-055</v>
      </c>
      <c r="C235" s="308" t="s">
        <v>230</v>
      </c>
      <c r="D235" s="360"/>
      <c r="E235" s="542"/>
      <c r="F235" s="360"/>
      <c r="G235" s="311">
        <v>8</v>
      </c>
      <c r="H235" s="310" t="s">
        <v>233</v>
      </c>
      <c r="I235" s="311" t="s">
        <v>231</v>
      </c>
      <c r="J235" s="308" t="s">
        <v>60</v>
      </c>
      <c r="K235" s="308">
        <f>K236</f>
        <v>2</v>
      </c>
      <c r="L235" s="308" t="s">
        <v>6</v>
      </c>
      <c r="M235" s="313" t="s">
        <v>65</v>
      </c>
      <c r="N235" s="350">
        <v>46120</v>
      </c>
      <c r="O235" s="350">
        <v>46162</v>
      </c>
      <c r="P235" s="350">
        <f>O235+3</f>
        <v>46165</v>
      </c>
      <c r="Q235" s="350">
        <f>WORKDAY.INTL(P235,INDEX(Q$8:Q$11,MATCH($L235,$L$8:$L$11,0)),1,IF(Q$18="China",'China Holidays'!$A$2:$A$82,'Thai Holidays'!$A$2:$A$63))</f>
        <v>46165</v>
      </c>
      <c r="R235" s="350">
        <f>WORKDAY.INTL(Q235,INDEX(R$8:R$11,MATCH($L235,$L$8:$L$11,0)),1,IF(R$18="China",'China Holidays'!$A$2:$A$82,'Thai Holidays'!$A$2:$A$63))</f>
        <v>46165</v>
      </c>
      <c r="S235" s="350">
        <f>WORKDAY.INTL(R235,INDEX(S$8:S$11,MATCH($L235,$L$8:$L$11,0)),1,IF(S$18="China",'China Holidays'!$A$2:$A$82,'Thai Holidays'!$A$2:$A$63))</f>
        <v>46165</v>
      </c>
      <c r="T235" s="350">
        <f>O235+14+2</f>
        <v>46178</v>
      </c>
      <c r="U235" s="350">
        <f>T235</f>
        <v>46178</v>
      </c>
      <c r="V235" s="350">
        <f>U235+3</f>
        <v>46181</v>
      </c>
      <c r="W235" s="350">
        <f>V235+2</f>
        <v>46183</v>
      </c>
      <c r="X235" s="350">
        <f>W235+2</f>
        <v>46185</v>
      </c>
      <c r="Y235" s="350">
        <f>X235+5</f>
        <v>46190</v>
      </c>
      <c r="Z235" s="350">
        <f>Y235+10</f>
        <v>46200</v>
      </c>
      <c r="AA235" s="350">
        <f>Z235+10</f>
        <v>46210</v>
      </c>
      <c r="AB235" s="350">
        <f>AA235+7</f>
        <v>46217</v>
      </c>
      <c r="AC235" s="350">
        <f>AA235+5</f>
        <v>46215</v>
      </c>
      <c r="AD235" s="350">
        <f>AC235+2</f>
        <v>46217</v>
      </c>
      <c r="AE235" s="350">
        <f>AF235-7</f>
        <v>46233</v>
      </c>
      <c r="AF235" s="350">
        <f>AG235-3</f>
        <v>46240</v>
      </c>
      <c r="AG235" s="350">
        <f>AL235</f>
        <v>46243</v>
      </c>
      <c r="AH235" s="350">
        <f>AL235+14</f>
        <v>46257</v>
      </c>
      <c r="AI235" s="350">
        <f>AL235+30</f>
        <v>46273</v>
      </c>
      <c r="AJ235" s="362"/>
      <c r="AK235" s="326">
        <f>AJ233*7</f>
        <v>59.999999999999986</v>
      </c>
      <c r="AL235" s="350">
        <f>W235+AK235</f>
        <v>46243</v>
      </c>
      <c r="AM235" s="327">
        <f>AT233-7</f>
        <v>46251</v>
      </c>
      <c r="AN235" s="327">
        <f>AO235-3</f>
        <v>46247</v>
      </c>
      <c r="AO235" s="327">
        <v>46250</v>
      </c>
      <c r="AP235" s="327" t="s">
        <v>234</v>
      </c>
      <c r="AQ235" s="311">
        <f>AM235-AL235</f>
        <v>8</v>
      </c>
      <c r="AR235" s="329"/>
      <c r="AS235" s="330" t="s">
        <v>66</v>
      </c>
      <c r="AT235" s="331">
        <v>46275</v>
      </c>
    </row>
    <row r="236" spans="1:46" s="264" customFormat="1" ht="25.05" customHeight="1">
      <c r="A236" s="492"/>
      <c r="B236" s="337" t="str">
        <f>B233</f>
        <v>RFQ-STR-055</v>
      </c>
      <c r="C236" s="337" t="s">
        <v>230</v>
      </c>
      <c r="D236" s="395"/>
      <c r="E236" s="544"/>
      <c r="F236" s="395"/>
      <c r="G236" s="340"/>
      <c r="H236" s="339"/>
      <c r="I236" s="340" t="s">
        <v>231</v>
      </c>
      <c r="J236" s="337" t="s">
        <v>60</v>
      </c>
      <c r="K236" s="308">
        <v>2</v>
      </c>
      <c r="L236" s="337" t="s">
        <v>6</v>
      </c>
      <c r="M236" s="341" t="s">
        <v>67</v>
      </c>
      <c r="N236" s="343">
        <v>46120</v>
      </c>
      <c r="O236" s="343">
        <v>46162</v>
      </c>
      <c r="P236" s="343">
        <v>46175</v>
      </c>
      <c r="Q236" s="343">
        <v>46175</v>
      </c>
      <c r="R236" s="343">
        <v>46179</v>
      </c>
      <c r="S236" s="343">
        <v>46179</v>
      </c>
      <c r="T236" s="343">
        <v>46179</v>
      </c>
      <c r="U236" s="343">
        <v>46185</v>
      </c>
      <c r="V236" s="343">
        <v>46185</v>
      </c>
      <c r="W236" s="343">
        <v>46185</v>
      </c>
      <c r="X236" s="343">
        <v>46185</v>
      </c>
      <c r="Y236" s="343">
        <v>46190</v>
      </c>
      <c r="Z236" s="343">
        <v>46190</v>
      </c>
      <c r="AA236" s="343"/>
      <c r="AB236" s="343"/>
      <c r="AC236" s="343"/>
      <c r="AD236" s="343"/>
      <c r="AE236" s="343"/>
      <c r="AF236" s="343"/>
      <c r="AG236" s="343"/>
      <c r="AH236" s="343"/>
      <c r="AI236" s="343"/>
      <c r="AJ236" s="353"/>
      <c r="AK236" s="354"/>
      <c r="AL236" s="343"/>
      <c r="AM236" s="355"/>
      <c r="AN236" s="355"/>
      <c r="AO236" s="355"/>
      <c r="AP236" s="355"/>
      <c r="AQ236" s="340"/>
      <c r="AR236" s="356"/>
      <c r="AS236" s="357"/>
      <c r="AT236" s="356"/>
    </row>
    <row r="237" spans="1:46" s="264" customFormat="1" ht="25.05" customHeight="1">
      <c r="A237" s="493">
        <v>56</v>
      </c>
      <c r="B237" s="308" t="s">
        <v>235</v>
      </c>
      <c r="C237" s="308" t="s">
        <v>236</v>
      </c>
      <c r="D237" s="419"/>
      <c r="E237" s="541">
        <v>14.285714285714301</v>
      </c>
      <c r="F237" s="419"/>
      <c r="G237" s="311"/>
      <c r="H237" s="310"/>
      <c r="I237" s="311" t="s">
        <v>231</v>
      </c>
      <c r="J237" s="308" t="s">
        <v>60</v>
      </c>
      <c r="K237" s="312">
        <f>K240</f>
        <v>2</v>
      </c>
      <c r="L237" s="308" t="s">
        <v>6</v>
      </c>
      <c r="M237" s="313" t="s">
        <v>61</v>
      </c>
      <c r="N237" s="364">
        <f>WORKDAY.INTL(O237,-INDEX(O$12:O$15,MATCH($L237,$L$12:$L$15,0)),1,IF(N$18="China",'China Holidays'!$A$2:$A$82,'Thai Holidays'!$A$2:$A$63))</f>
        <v>46164</v>
      </c>
      <c r="O237" s="350">
        <v>46167</v>
      </c>
      <c r="P237" s="350">
        <v>46167</v>
      </c>
      <c r="Q237" s="350">
        <v>46168</v>
      </c>
      <c r="R237" s="350">
        <v>46172</v>
      </c>
      <c r="S237" s="350">
        <v>46173</v>
      </c>
      <c r="T237" s="350">
        <v>46189</v>
      </c>
      <c r="U237" s="350">
        <v>46198</v>
      </c>
      <c r="V237" s="350">
        <v>46201</v>
      </c>
      <c r="W237" s="350">
        <v>46205</v>
      </c>
      <c r="X237" s="350" t="str">
        <f>TEXT(X239,"d-mmm-yy")</f>
        <v>6-Jul-26</v>
      </c>
      <c r="Y237" s="350">
        <v>46212</v>
      </c>
      <c r="Z237" s="350">
        <f>Y237</f>
        <v>46212</v>
      </c>
      <c r="AA237" s="350">
        <f>Y237</f>
        <v>46212</v>
      </c>
      <c r="AB237" s="350">
        <v>46212</v>
      </c>
      <c r="AC237" s="350">
        <v>46217</v>
      </c>
      <c r="AD237" s="350">
        <v>46219</v>
      </c>
      <c r="AE237" s="350">
        <v>46295</v>
      </c>
      <c r="AF237" s="350">
        <v>46302</v>
      </c>
      <c r="AG237" s="350">
        <v>46305</v>
      </c>
      <c r="AH237" s="350">
        <v>46319</v>
      </c>
      <c r="AI237" s="350">
        <v>46335</v>
      </c>
      <c r="AJ237" s="316">
        <f>90/7</f>
        <v>12.8571428571429</v>
      </c>
      <c r="AK237" s="351"/>
      <c r="AL237" s="350" t="str">
        <f>TEXT(AL239,"d-mmm-yy")</f>
        <v>2-Oct-26</v>
      </c>
      <c r="AM237" s="327"/>
      <c r="AN237" s="327"/>
      <c r="AO237" s="327"/>
      <c r="AP237" s="327"/>
      <c r="AQ237" s="311"/>
      <c r="AR237" s="329"/>
      <c r="AS237" s="330" t="s">
        <v>62</v>
      </c>
      <c r="AT237" s="331">
        <f>AT233+32</f>
        <v>46290</v>
      </c>
    </row>
    <row r="238" spans="1:46" s="264" customFormat="1" ht="25.05" customHeight="1">
      <c r="A238" s="491"/>
      <c r="B238" s="308" t="str">
        <f>B237</f>
        <v>RFQ-STR-056</v>
      </c>
      <c r="C238" s="308" t="str">
        <f>C237</f>
        <v>Primary Steel – Beam for topside</v>
      </c>
      <c r="D238" s="414"/>
      <c r="E238" s="542"/>
      <c r="F238" s="416"/>
      <c r="G238" s="311"/>
      <c r="H238" s="310"/>
      <c r="I238" s="311" t="s">
        <v>231</v>
      </c>
      <c r="J238" s="308"/>
      <c r="K238" s="322"/>
      <c r="L238" s="308"/>
      <c r="M238" s="323" t="s">
        <v>63</v>
      </c>
      <c r="N238" s="367"/>
      <c r="O238" s="325">
        <v>46186</v>
      </c>
      <c r="P238" s="325">
        <v>46191</v>
      </c>
      <c r="Q238" s="325">
        <v>46191</v>
      </c>
      <c r="R238" s="325">
        <v>46191</v>
      </c>
      <c r="S238" s="325">
        <v>46191</v>
      </c>
      <c r="T238" s="325">
        <v>46200</v>
      </c>
      <c r="U238" s="325">
        <v>46202</v>
      </c>
      <c r="V238" s="325">
        <v>46205</v>
      </c>
      <c r="W238" s="325">
        <v>46207</v>
      </c>
      <c r="X238" s="325">
        <v>46209</v>
      </c>
      <c r="Y238" s="325">
        <v>46214</v>
      </c>
      <c r="Z238" s="325">
        <v>46224</v>
      </c>
      <c r="AA238" s="325">
        <v>46234</v>
      </c>
      <c r="AB238" s="325">
        <v>46241</v>
      </c>
      <c r="AC238" s="325">
        <v>46239</v>
      </c>
      <c r="AD238" s="325">
        <v>46241</v>
      </c>
      <c r="AE238" s="325">
        <v>46287</v>
      </c>
      <c r="AF238" s="325">
        <v>46294</v>
      </c>
      <c r="AG238" s="325">
        <v>46297</v>
      </c>
      <c r="AH238" s="325">
        <v>46311</v>
      </c>
      <c r="AI238" s="325">
        <v>46327</v>
      </c>
      <c r="AJ238" s="365"/>
      <c r="AK238" s="326"/>
      <c r="AL238" s="325">
        <f>W238+AK239</f>
        <v>46297</v>
      </c>
      <c r="AM238" s="327"/>
      <c r="AN238" s="327"/>
      <c r="AO238" s="327"/>
      <c r="AP238" s="327"/>
      <c r="AQ238" s="328">
        <f>AM239-AL238</f>
        <v>1</v>
      </c>
      <c r="AR238" s="329"/>
      <c r="AS238" s="330"/>
      <c r="AT238" s="331"/>
    </row>
    <row r="239" spans="1:46" s="264" customFormat="1" ht="25.05" customHeight="1">
      <c r="A239" s="491"/>
      <c r="B239" s="308" t="str">
        <f>B237</f>
        <v>RFQ-STR-056</v>
      </c>
      <c r="C239" s="308" t="s">
        <v>236</v>
      </c>
      <c r="D239" s="360"/>
      <c r="E239" s="542"/>
      <c r="F239" s="360"/>
      <c r="G239" s="311">
        <v>1</v>
      </c>
      <c r="H239" s="310" t="s">
        <v>233</v>
      </c>
      <c r="I239" s="311" t="s">
        <v>231</v>
      </c>
      <c r="J239" s="308" t="s">
        <v>60</v>
      </c>
      <c r="K239" s="308">
        <f>K240</f>
        <v>2</v>
      </c>
      <c r="L239" s="308" t="s">
        <v>6</v>
      </c>
      <c r="M239" s="313" t="s">
        <v>65</v>
      </c>
      <c r="N239" s="350">
        <v>46137</v>
      </c>
      <c r="O239" s="350">
        <v>46186</v>
      </c>
      <c r="P239" s="350">
        <f>O239+5</f>
        <v>46191</v>
      </c>
      <c r="Q239" s="350">
        <f>WORKDAY.INTL(P239,INDEX(Q$8:Q$11,MATCH($L239,$L$8:$L$11,0)),1,IF(Q$18="China",'China Holidays'!$A$2:$A$82,'Thai Holidays'!$A$2:$A$63))</f>
        <v>46191</v>
      </c>
      <c r="R239" s="350">
        <f>WORKDAY.INTL(Q239,INDEX(R$8:R$11,MATCH($L239,$L$8:$L$11,0)),1,IF(R$18="China",'China Holidays'!$A$2:$A$82,'Thai Holidays'!$A$2:$A$63))</f>
        <v>46191</v>
      </c>
      <c r="S239" s="350">
        <f>WORKDAY.INTL(R239,INDEX(S$8:S$11,MATCH($L239,$L$8:$L$11,0)),1,IF(S$18="China",'China Holidays'!$A$2:$A$82,'Thai Holidays'!$A$2:$A$63))</f>
        <v>46191</v>
      </c>
      <c r="T239" s="410">
        <f>O239+14</f>
        <v>46200</v>
      </c>
      <c r="U239" s="350">
        <f>T239+2</f>
        <v>46202</v>
      </c>
      <c r="V239" s="350">
        <f>U239+3</f>
        <v>46205</v>
      </c>
      <c r="W239" s="350">
        <f>V239+2</f>
        <v>46207</v>
      </c>
      <c r="X239" s="350">
        <f>W239+2</f>
        <v>46209</v>
      </c>
      <c r="Y239" s="350">
        <f>X239+5</f>
        <v>46214</v>
      </c>
      <c r="Z239" s="350">
        <f>Y239+10</f>
        <v>46224</v>
      </c>
      <c r="AA239" s="350">
        <f>Z239+10</f>
        <v>46234</v>
      </c>
      <c r="AB239" s="350">
        <f>AA239+7</f>
        <v>46241</v>
      </c>
      <c r="AC239" s="350">
        <f>AA239+5</f>
        <v>46239</v>
      </c>
      <c r="AD239" s="350">
        <f>AC239+2</f>
        <v>46241</v>
      </c>
      <c r="AE239" s="350">
        <f>AF239-7</f>
        <v>46287</v>
      </c>
      <c r="AF239" s="350">
        <f>AG239-3</f>
        <v>46294</v>
      </c>
      <c r="AG239" s="350">
        <f>AL239</f>
        <v>46297</v>
      </c>
      <c r="AH239" s="350">
        <f>AL239+14</f>
        <v>46311</v>
      </c>
      <c r="AI239" s="350">
        <f>AL239+30</f>
        <v>46327</v>
      </c>
      <c r="AJ239" s="362"/>
      <c r="AK239" s="326">
        <f>AJ237*7</f>
        <v>90.000000000000298</v>
      </c>
      <c r="AL239" s="350">
        <f>W239+AK239</f>
        <v>46297</v>
      </c>
      <c r="AM239" s="327">
        <f>AT239-7</f>
        <v>46298</v>
      </c>
      <c r="AN239" s="327">
        <f>AO239-3</f>
        <v>46288</v>
      </c>
      <c r="AO239" s="327">
        <v>46291</v>
      </c>
      <c r="AP239" s="327" t="s">
        <v>237</v>
      </c>
      <c r="AQ239" s="311">
        <f>AM239-AL239</f>
        <v>1</v>
      </c>
      <c r="AR239" s="329"/>
      <c r="AS239" s="330" t="s">
        <v>66</v>
      </c>
      <c r="AT239" s="331">
        <f>AT235+30</f>
        <v>46305</v>
      </c>
    </row>
    <row r="240" spans="1:46" s="264" customFormat="1" ht="25.05" customHeight="1">
      <c r="A240" s="492"/>
      <c r="B240" s="337" t="str">
        <f>B237</f>
        <v>RFQ-STR-056</v>
      </c>
      <c r="C240" s="308" t="s">
        <v>236</v>
      </c>
      <c r="D240" s="395"/>
      <c r="E240" s="544"/>
      <c r="F240" s="395"/>
      <c r="G240" s="340"/>
      <c r="H240" s="339"/>
      <c r="I240" s="340" t="s">
        <v>231</v>
      </c>
      <c r="J240" s="337" t="s">
        <v>60</v>
      </c>
      <c r="K240" s="308">
        <v>2</v>
      </c>
      <c r="L240" s="337" t="s">
        <v>6</v>
      </c>
      <c r="M240" s="341" t="s">
        <v>67</v>
      </c>
      <c r="N240" s="343">
        <v>46137</v>
      </c>
      <c r="O240" s="343">
        <v>46162</v>
      </c>
      <c r="P240" s="343">
        <v>46175</v>
      </c>
      <c r="Q240" s="343">
        <v>46175</v>
      </c>
      <c r="R240" s="343">
        <v>46179</v>
      </c>
      <c r="S240" s="343">
        <v>46179</v>
      </c>
      <c r="T240" s="343">
        <v>46179</v>
      </c>
      <c r="U240" s="343"/>
      <c r="V240" s="343"/>
      <c r="W240" s="340">
        <f>W237-W239</f>
        <v>-2</v>
      </c>
      <c r="X240" s="343"/>
      <c r="Y240" s="343"/>
      <c r="Z240" s="343"/>
      <c r="AA240" s="343"/>
      <c r="AB240" s="343"/>
      <c r="AC240" s="343"/>
      <c r="AD240" s="343"/>
      <c r="AE240" s="343"/>
      <c r="AF240" s="343"/>
      <c r="AG240" s="343"/>
      <c r="AH240" s="343"/>
      <c r="AI240" s="343"/>
      <c r="AJ240" s="353"/>
      <c r="AK240" s="354"/>
      <c r="AL240" s="343"/>
      <c r="AM240" s="355"/>
      <c r="AN240" s="355"/>
      <c r="AO240" s="355"/>
      <c r="AP240" s="355"/>
      <c r="AQ240" s="340"/>
      <c r="AR240" s="356"/>
      <c r="AS240" s="357"/>
      <c r="AT240" s="356"/>
    </row>
    <row r="241" spans="1:46" s="264" customFormat="1" ht="25.05" customHeight="1">
      <c r="A241" s="493">
        <v>57</v>
      </c>
      <c r="B241" s="308" t="s">
        <v>238</v>
      </c>
      <c r="C241" s="308" t="s">
        <v>239</v>
      </c>
      <c r="D241" s="419"/>
      <c r="E241" s="541">
        <v>14.285714285714301</v>
      </c>
      <c r="F241" s="419"/>
      <c r="G241" s="311"/>
      <c r="H241" s="310"/>
      <c r="I241" s="311" t="s">
        <v>231</v>
      </c>
      <c r="J241" s="308" t="s">
        <v>60</v>
      </c>
      <c r="K241" s="312">
        <f>K244</f>
        <v>2</v>
      </c>
      <c r="L241" s="308" t="s">
        <v>6</v>
      </c>
      <c r="M241" s="313" t="s">
        <v>61</v>
      </c>
      <c r="N241" s="364">
        <f>WORKDAY.INTL(O241,-INDEX(O$12:O$15,MATCH($L241,$L$12:$L$15,0)),1,IF(N$18="China",'China Holidays'!$A$2:$A$82,'Thai Holidays'!$A$2:$A$63))</f>
        <v>46164</v>
      </c>
      <c r="O241" s="350">
        <v>46167</v>
      </c>
      <c r="P241" s="350">
        <v>46167</v>
      </c>
      <c r="Q241" s="350">
        <v>46168</v>
      </c>
      <c r="R241" s="350">
        <v>46172</v>
      </c>
      <c r="S241" s="350">
        <v>46173</v>
      </c>
      <c r="T241" s="350">
        <v>46189</v>
      </c>
      <c r="U241" s="350">
        <v>46198</v>
      </c>
      <c r="V241" s="350">
        <v>46201</v>
      </c>
      <c r="W241" s="350">
        <v>46205</v>
      </c>
      <c r="X241" s="350" t="str">
        <f>TEXT(X243,"d-mmm-yy")</f>
        <v>8-Jul-26</v>
      </c>
      <c r="Y241" s="350">
        <v>46212</v>
      </c>
      <c r="Z241" s="350">
        <f>Y241</f>
        <v>46212</v>
      </c>
      <c r="AA241" s="350">
        <f>Y241</f>
        <v>46212</v>
      </c>
      <c r="AB241" s="350">
        <v>46212</v>
      </c>
      <c r="AC241" s="350">
        <v>46217</v>
      </c>
      <c r="AD241" s="350">
        <v>46219</v>
      </c>
      <c r="AE241" s="350">
        <v>46295</v>
      </c>
      <c r="AF241" s="350">
        <v>46302</v>
      </c>
      <c r="AG241" s="350">
        <v>46305</v>
      </c>
      <c r="AH241" s="350">
        <v>46319</v>
      </c>
      <c r="AI241" s="350">
        <v>46335</v>
      </c>
      <c r="AJ241" s="316">
        <f>90/7</f>
        <v>12.8571428571429</v>
      </c>
      <c r="AK241" s="351"/>
      <c r="AL241" s="350" t="str">
        <f>TEXT(AL243,"d-mmm-yy")</f>
        <v>4-Oct-26</v>
      </c>
      <c r="AM241" s="327"/>
      <c r="AN241" s="327"/>
      <c r="AO241" s="327"/>
      <c r="AP241" s="327"/>
      <c r="AQ241" s="311"/>
      <c r="AR241" s="329"/>
      <c r="AS241" s="330" t="s">
        <v>62</v>
      </c>
      <c r="AT241" s="331">
        <v>46307</v>
      </c>
    </row>
    <row r="242" spans="1:46" s="268" customFormat="1" ht="25.05" customHeight="1">
      <c r="A242" s="497"/>
      <c r="B242" s="308" t="str">
        <f>B241</f>
        <v>RFQ-STR-057</v>
      </c>
      <c r="C242" s="308" t="str">
        <f>C241</f>
        <v>Secondary Steel – Beam for topside</v>
      </c>
      <c r="D242" s="368"/>
      <c r="E242" s="547"/>
      <c r="F242" s="408"/>
      <c r="G242" s="311"/>
      <c r="H242" s="310"/>
      <c r="I242" s="422" t="s">
        <v>231</v>
      </c>
      <c r="J242" s="308"/>
      <c r="K242" s="322"/>
      <c r="L242" s="308"/>
      <c r="M242" s="423" t="s">
        <v>63</v>
      </c>
      <c r="N242" s="367"/>
      <c r="O242" s="421">
        <v>46188</v>
      </c>
      <c r="P242" s="421">
        <v>46193</v>
      </c>
      <c r="Q242" s="421">
        <v>46193</v>
      </c>
      <c r="R242" s="421">
        <v>46193</v>
      </c>
      <c r="S242" s="421">
        <v>46193</v>
      </c>
      <c r="T242" s="421">
        <v>46202</v>
      </c>
      <c r="U242" s="421">
        <v>46204</v>
      </c>
      <c r="V242" s="421">
        <v>46207</v>
      </c>
      <c r="W242" s="421">
        <v>46209</v>
      </c>
      <c r="X242" s="421">
        <v>46211</v>
      </c>
      <c r="Y242" s="421">
        <v>46216</v>
      </c>
      <c r="Z242" s="421">
        <v>46226</v>
      </c>
      <c r="AA242" s="421">
        <v>46236</v>
      </c>
      <c r="AB242" s="421">
        <v>46243</v>
      </c>
      <c r="AC242" s="421">
        <v>46241</v>
      </c>
      <c r="AD242" s="421">
        <v>46243</v>
      </c>
      <c r="AE242" s="421">
        <v>46289</v>
      </c>
      <c r="AF242" s="421">
        <v>46296</v>
      </c>
      <c r="AG242" s="421">
        <v>46299</v>
      </c>
      <c r="AH242" s="421">
        <v>46313</v>
      </c>
      <c r="AI242" s="421">
        <v>46329</v>
      </c>
      <c r="AJ242" s="365"/>
      <c r="AK242" s="424"/>
      <c r="AL242" s="421">
        <f>W242+AK243</f>
        <v>46299</v>
      </c>
      <c r="AM242" s="425"/>
      <c r="AN242" s="327"/>
      <c r="AO242" s="327"/>
      <c r="AP242" s="327"/>
      <c r="AQ242" s="426">
        <f>AM243-AL242</f>
        <v>1</v>
      </c>
      <c r="AR242" s="427"/>
      <c r="AS242" s="428"/>
      <c r="AT242" s="429"/>
    </row>
    <row r="243" spans="1:46" s="264" customFormat="1" ht="25.05" customHeight="1">
      <c r="A243" s="491"/>
      <c r="B243" s="308" t="str">
        <f>B241</f>
        <v>RFQ-STR-057</v>
      </c>
      <c r="C243" s="308" t="s">
        <v>239</v>
      </c>
      <c r="D243" s="360"/>
      <c r="E243" s="542"/>
      <c r="F243" s="360"/>
      <c r="G243" s="311">
        <v>1</v>
      </c>
      <c r="H243" s="310" t="s">
        <v>240</v>
      </c>
      <c r="I243" s="311" t="s">
        <v>231</v>
      </c>
      <c r="J243" s="308" t="s">
        <v>60</v>
      </c>
      <c r="K243" s="308">
        <f>K244</f>
        <v>2</v>
      </c>
      <c r="L243" s="308" t="s">
        <v>6</v>
      </c>
      <c r="M243" s="313" t="s">
        <v>65</v>
      </c>
      <c r="N243" s="350">
        <v>46137</v>
      </c>
      <c r="O243" s="350">
        <v>46188</v>
      </c>
      <c r="P243" s="350">
        <f>O243+5</f>
        <v>46193</v>
      </c>
      <c r="Q243" s="350">
        <f>WORKDAY.INTL(P243,INDEX(Q$8:Q$11,MATCH($L243,$L$8:$L$11,0)),1,IF(Q$18="China",'China Holidays'!$A$2:$A$82,'Thai Holidays'!$A$2:$A$63))</f>
        <v>46193</v>
      </c>
      <c r="R243" s="350">
        <f>WORKDAY.INTL(Q243,INDEX(R$8:R$11,MATCH($L243,$L$8:$L$11,0)),1,IF(R$18="China",'China Holidays'!$A$2:$A$82,'Thai Holidays'!$A$2:$A$63))</f>
        <v>46193</v>
      </c>
      <c r="S243" s="350">
        <f>WORKDAY.INTL(R243,INDEX(S$8:S$11,MATCH($L243,$L$8:$L$11,0)),1,IF(S$18="China",'China Holidays'!$A$2:$A$82,'Thai Holidays'!$A$2:$A$63))</f>
        <v>46193</v>
      </c>
      <c r="T243" s="410">
        <f>O243+14</f>
        <v>46202</v>
      </c>
      <c r="U243" s="350">
        <f>T243+2</f>
        <v>46204</v>
      </c>
      <c r="V243" s="350">
        <f>U243+3</f>
        <v>46207</v>
      </c>
      <c r="W243" s="350">
        <f>V243+2</f>
        <v>46209</v>
      </c>
      <c r="X243" s="350">
        <f>W243+2</f>
        <v>46211</v>
      </c>
      <c r="Y243" s="350">
        <f>X243+5</f>
        <v>46216</v>
      </c>
      <c r="Z243" s="350">
        <f>Y243+10</f>
        <v>46226</v>
      </c>
      <c r="AA243" s="350">
        <f>Z243+10</f>
        <v>46236</v>
      </c>
      <c r="AB243" s="350">
        <f>AA243+7</f>
        <v>46243</v>
      </c>
      <c r="AC243" s="350">
        <f>AA243+5</f>
        <v>46241</v>
      </c>
      <c r="AD243" s="350">
        <f>AC243+2</f>
        <v>46243</v>
      </c>
      <c r="AE243" s="350">
        <f>AF243-7</f>
        <v>46289</v>
      </c>
      <c r="AF243" s="350">
        <f>AG243-3</f>
        <v>46296</v>
      </c>
      <c r="AG243" s="350">
        <f>AL243</f>
        <v>46299</v>
      </c>
      <c r="AH243" s="350">
        <f>AL243+14</f>
        <v>46313</v>
      </c>
      <c r="AI243" s="350">
        <f>AL243+30</f>
        <v>46329</v>
      </c>
      <c r="AJ243" s="362"/>
      <c r="AK243" s="326">
        <f>AJ241*7</f>
        <v>90.000000000000298</v>
      </c>
      <c r="AL243" s="350">
        <f>W243+AK243</f>
        <v>46299</v>
      </c>
      <c r="AM243" s="327">
        <f>AT241-7</f>
        <v>46300</v>
      </c>
      <c r="AN243" s="327">
        <f>AO243-3</f>
        <v>46292</v>
      </c>
      <c r="AO243" s="327">
        <v>46295</v>
      </c>
      <c r="AP243" s="327" t="s">
        <v>237</v>
      </c>
      <c r="AQ243" s="311">
        <f>AM243-AL243</f>
        <v>1</v>
      </c>
      <c r="AR243" s="329"/>
      <c r="AS243" s="330" t="s">
        <v>66</v>
      </c>
      <c r="AT243" s="331">
        <v>46318</v>
      </c>
    </row>
    <row r="244" spans="1:46" s="264" customFormat="1" ht="25.05" customHeight="1">
      <c r="A244" s="492"/>
      <c r="B244" s="337" t="str">
        <f>B241</f>
        <v>RFQ-STR-057</v>
      </c>
      <c r="C244" s="308" t="s">
        <v>239</v>
      </c>
      <c r="D244" s="395"/>
      <c r="E244" s="544"/>
      <c r="F244" s="395"/>
      <c r="G244" s="340"/>
      <c r="H244" s="339"/>
      <c r="I244" s="340" t="s">
        <v>231</v>
      </c>
      <c r="J244" s="337" t="s">
        <v>60</v>
      </c>
      <c r="K244" s="308">
        <v>2</v>
      </c>
      <c r="L244" s="337" t="s">
        <v>6</v>
      </c>
      <c r="M244" s="341" t="s">
        <v>67</v>
      </c>
      <c r="N244" s="343">
        <v>46137</v>
      </c>
      <c r="O244" s="343">
        <v>46204</v>
      </c>
      <c r="P244" s="343"/>
      <c r="Q244" s="343"/>
      <c r="R244" s="343" t="s">
        <v>241</v>
      </c>
      <c r="S244" s="343"/>
      <c r="T244" s="343"/>
      <c r="U244" s="343"/>
      <c r="V244" s="343"/>
      <c r="W244" s="340">
        <f>W241-W243</f>
        <v>-4</v>
      </c>
      <c r="X244" s="343"/>
      <c r="Y244" s="343"/>
      <c r="Z244" s="343"/>
      <c r="AA244" s="343"/>
      <c r="AB244" s="343"/>
      <c r="AC244" s="343"/>
      <c r="AD244" s="343"/>
      <c r="AE244" s="343"/>
      <c r="AF244" s="343"/>
      <c r="AG244" s="343"/>
      <c r="AH244" s="343"/>
      <c r="AI244" s="343"/>
      <c r="AJ244" s="353"/>
      <c r="AK244" s="354"/>
      <c r="AL244" s="343"/>
      <c r="AM244" s="355"/>
      <c r="AN244" s="355"/>
      <c r="AO244" s="355"/>
      <c r="AP244" s="355"/>
      <c r="AQ244" s="340"/>
      <c r="AR244" s="356"/>
      <c r="AS244" s="357"/>
      <c r="AT244" s="356"/>
    </row>
    <row r="245" spans="1:46" s="264" customFormat="1" ht="25.05" customHeight="1">
      <c r="A245" s="493">
        <v>58</v>
      </c>
      <c r="B245" s="308" t="s">
        <v>242</v>
      </c>
      <c r="C245" s="308" t="s">
        <v>243</v>
      </c>
      <c r="D245" s="419"/>
      <c r="E245" s="541">
        <v>12.8571428571429</v>
      </c>
      <c r="F245" s="419"/>
      <c r="G245" s="311"/>
      <c r="H245" s="310"/>
      <c r="I245" s="311" t="s">
        <v>231</v>
      </c>
      <c r="J245" s="308" t="s">
        <v>60</v>
      </c>
      <c r="K245" s="312">
        <f>K248</f>
        <v>3</v>
      </c>
      <c r="L245" s="308" t="s">
        <v>6</v>
      </c>
      <c r="M245" s="313" t="s">
        <v>61</v>
      </c>
      <c r="N245" s="364">
        <f>WORKDAY.INTL(O245,-INDEX(O$12:O$15,MATCH($L245,$L$12:$L$15,0)),1,IF(N$18="China",'China Holidays'!$A$2:$A$82,'Thai Holidays'!$A$2:$A$63))</f>
        <v>46164</v>
      </c>
      <c r="O245" s="350">
        <v>46167</v>
      </c>
      <c r="P245" s="350">
        <v>46167</v>
      </c>
      <c r="Q245" s="350">
        <v>46168</v>
      </c>
      <c r="R245" s="350">
        <v>46171</v>
      </c>
      <c r="S245" s="350">
        <v>46172</v>
      </c>
      <c r="T245" s="350">
        <v>46175</v>
      </c>
      <c r="U245" s="350">
        <v>46178</v>
      </c>
      <c r="V245" s="350">
        <v>46182</v>
      </c>
      <c r="W245" s="350">
        <v>46183</v>
      </c>
      <c r="X245" s="350" t="str">
        <f>TEXT(X247,"d-mmm-yy")</f>
        <v>28-Jul-26</v>
      </c>
      <c r="Y245" s="350">
        <v>46190</v>
      </c>
      <c r="Z245" s="350">
        <f>Y245</f>
        <v>46190</v>
      </c>
      <c r="AA245" s="350">
        <f>Y245</f>
        <v>46190</v>
      </c>
      <c r="AB245" s="350">
        <v>46190</v>
      </c>
      <c r="AC245" s="350">
        <v>46195</v>
      </c>
      <c r="AD245" s="350">
        <v>46197</v>
      </c>
      <c r="AE245" s="350">
        <v>46263</v>
      </c>
      <c r="AF245" s="350">
        <v>46270</v>
      </c>
      <c r="AG245" s="350">
        <v>46273</v>
      </c>
      <c r="AH245" s="350">
        <v>46287</v>
      </c>
      <c r="AI245" s="350">
        <v>46303</v>
      </c>
      <c r="AJ245" s="316">
        <v>12.8571428571429</v>
      </c>
      <c r="AK245" s="351"/>
      <c r="AL245" s="350" t="str">
        <f>TEXT(AL247,"d-mmm-yy")</f>
        <v>24-Oct-26</v>
      </c>
      <c r="AM245" s="327"/>
      <c r="AN245" s="327"/>
      <c r="AO245" s="327"/>
      <c r="AP245" s="327"/>
      <c r="AQ245" s="311"/>
      <c r="AR245" s="329"/>
      <c r="AS245" s="330" t="s">
        <v>62</v>
      </c>
      <c r="AT245" s="331">
        <v>46329</v>
      </c>
    </row>
    <row r="246" spans="1:46" s="264" customFormat="1" ht="25.05" customHeight="1">
      <c r="A246" s="491"/>
      <c r="B246" s="308" t="str">
        <f>B245</f>
        <v>RFQ-STR-058</v>
      </c>
      <c r="C246" s="308" t="str">
        <f>C245</f>
        <v xml:space="preserve">Topside Tertiary Steel </v>
      </c>
      <c r="D246" s="414"/>
      <c r="E246" s="542"/>
      <c r="F246" s="416"/>
      <c r="G246" s="311"/>
      <c r="H246" s="310"/>
      <c r="I246" s="311" t="s">
        <v>231</v>
      </c>
      <c r="J246" s="308"/>
      <c r="K246" s="322"/>
      <c r="L246" s="308"/>
      <c r="M246" s="323" t="s">
        <v>63</v>
      </c>
      <c r="N246" s="367"/>
      <c r="O246" s="325">
        <v>46208</v>
      </c>
      <c r="P246" s="325">
        <v>46220</v>
      </c>
      <c r="Q246" s="325">
        <v>46220</v>
      </c>
      <c r="R246" s="325">
        <v>46220</v>
      </c>
      <c r="S246" s="325">
        <v>46220</v>
      </c>
      <c r="T246" s="325">
        <v>46222</v>
      </c>
      <c r="U246" s="325">
        <v>46224</v>
      </c>
      <c r="V246" s="325">
        <v>46227</v>
      </c>
      <c r="W246" s="325">
        <v>46229</v>
      </c>
      <c r="X246" s="325">
        <v>46231</v>
      </c>
      <c r="Y246" s="325">
        <v>46236</v>
      </c>
      <c r="Z246" s="325">
        <v>46246</v>
      </c>
      <c r="AA246" s="325">
        <v>46256</v>
      </c>
      <c r="AB246" s="325">
        <v>46263</v>
      </c>
      <c r="AC246" s="325">
        <v>46261</v>
      </c>
      <c r="AD246" s="325">
        <v>46263</v>
      </c>
      <c r="AE246" s="325">
        <v>46309</v>
      </c>
      <c r="AF246" s="325">
        <v>46316</v>
      </c>
      <c r="AG246" s="325">
        <v>46319</v>
      </c>
      <c r="AH246" s="325">
        <v>46333</v>
      </c>
      <c r="AI246" s="325">
        <v>46349</v>
      </c>
      <c r="AJ246" s="365"/>
      <c r="AK246" s="326"/>
      <c r="AL246" s="325">
        <f>W246+AK247</f>
        <v>46319</v>
      </c>
      <c r="AM246" s="327"/>
      <c r="AN246" s="327"/>
      <c r="AO246" s="327"/>
      <c r="AP246" s="327"/>
      <c r="AQ246" s="328">
        <f>AM247-AL246</f>
        <v>3</v>
      </c>
      <c r="AR246" s="329"/>
      <c r="AS246" s="330"/>
      <c r="AT246" s="331"/>
    </row>
    <row r="247" spans="1:46" s="264" customFormat="1" ht="25.05" customHeight="1">
      <c r="A247" s="491"/>
      <c r="B247" s="308" t="str">
        <f>B245</f>
        <v>RFQ-STR-058</v>
      </c>
      <c r="C247" s="308" t="s">
        <v>243</v>
      </c>
      <c r="D247" s="360"/>
      <c r="E247" s="542"/>
      <c r="F247" s="360"/>
      <c r="G247" s="311">
        <v>3</v>
      </c>
      <c r="H247" s="310" t="s">
        <v>240</v>
      </c>
      <c r="I247" s="311" t="s">
        <v>231</v>
      </c>
      <c r="J247" s="308" t="s">
        <v>60</v>
      </c>
      <c r="K247" s="308">
        <f>K248</f>
        <v>3</v>
      </c>
      <c r="L247" s="308" t="s">
        <v>6</v>
      </c>
      <c r="M247" s="313" t="s">
        <v>65</v>
      </c>
      <c r="N247" s="350">
        <f>N245</f>
        <v>46164</v>
      </c>
      <c r="O247" s="350">
        <v>46208</v>
      </c>
      <c r="P247" s="350">
        <f>WORKDAY.INTL(O247,INDEX(P$8:P$11,MATCH($L247,$L$8:$L$11,0)),1,IF(P$18="China",'China Holidays'!$A$2:$A$82,'Thai Holidays'!$A$2:$A$63))</f>
        <v>46220</v>
      </c>
      <c r="Q247" s="350">
        <f>WORKDAY.INTL(P247,INDEX(Q$8:Q$11,MATCH($L247,$L$8:$L$11,0)),1,IF(Q$18="China",'China Holidays'!$A$2:$A$82,'Thai Holidays'!$A$2:$A$63))</f>
        <v>46220</v>
      </c>
      <c r="R247" s="350">
        <f>WORKDAY.INTL(Q247,INDEX(R$8:R$11,MATCH($L247,$L$8:$L$11,0)),1,IF(R$18="China",'China Holidays'!$A$2:$A$82,'Thai Holidays'!$A$2:$A$63))</f>
        <v>46220</v>
      </c>
      <c r="S247" s="350">
        <f>WORKDAY.INTL(R247,INDEX(S$8:S$11,MATCH($L247,$L$8:$L$11,0)),1,IF(S$18="China",'China Holidays'!$A$2:$A$82,'Thai Holidays'!$A$2:$A$63))</f>
        <v>46220</v>
      </c>
      <c r="T247" s="410">
        <f>O247+14</f>
        <v>46222</v>
      </c>
      <c r="U247" s="350">
        <f>T247+2</f>
        <v>46224</v>
      </c>
      <c r="V247" s="350">
        <f>U247+3</f>
        <v>46227</v>
      </c>
      <c r="W247" s="350">
        <f>V247+2</f>
        <v>46229</v>
      </c>
      <c r="X247" s="350">
        <f t="shared" ref="X247:X249" si="24">W247+2</f>
        <v>46231</v>
      </c>
      <c r="Y247" s="350">
        <f>X247+5</f>
        <v>46236</v>
      </c>
      <c r="Z247" s="350">
        <f>Y247+10</f>
        <v>46246</v>
      </c>
      <c r="AA247" s="350">
        <f>Z247+10</f>
        <v>46256</v>
      </c>
      <c r="AB247" s="350">
        <f>AA247+7</f>
        <v>46263</v>
      </c>
      <c r="AC247" s="350">
        <f>AA247+5</f>
        <v>46261</v>
      </c>
      <c r="AD247" s="350">
        <f>AC247+2</f>
        <v>46263</v>
      </c>
      <c r="AE247" s="350">
        <f>AF247-7</f>
        <v>46309</v>
      </c>
      <c r="AF247" s="350">
        <f>AG247-3</f>
        <v>46316</v>
      </c>
      <c r="AG247" s="350">
        <f>AL247</f>
        <v>46319</v>
      </c>
      <c r="AH247" s="350">
        <f>AL247+14</f>
        <v>46333</v>
      </c>
      <c r="AI247" s="350">
        <f>AL247+30</f>
        <v>46349</v>
      </c>
      <c r="AJ247" s="362"/>
      <c r="AK247" s="326">
        <f>AJ245*7</f>
        <v>90.000000000000298</v>
      </c>
      <c r="AL247" s="350">
        <f>W247+AK247</f>
        <v>46319</v>
      </c>
      <c r="AM247" s="327">
        <f>AT245-7</f>
        <v>46322</v>
      </c>
      <c r="AN247" s="327">
        <f>AO247-3</f>
        <v>46332</v>
      </c>
      <c r="AO247" s="327">
        <v>46335</v>
      </c>
      <c r="AP247" s="327"/>
      <c r="AQ247" s="311">
        <f>AM247-AL247</f>
        <v>3</v>
      </c>
      <c r="AR247" s="329"/>
      <c r="AS247" s="330" t="s">
        <v>66</v>
      </c>
      <c r="AT247" s="331">
        <v>46365</v>
      </c>
    </row>
    <row r="248" spans="1:46" s="264" customFormat="1" ht="25.05" customHeight="1">
      <c r="A248" s="492"/>
      <c r="B248" s="337" t="str">
        <f>B245</f>
        <v>RFQ-STR-058</v>
      </c>
      <c r="C248" s="337" t="s">
        <v>243</v>
      </c>
      <c r="D248" s="395"/>
      <c r="E248" s="544"/>
      <c r="F248" s="395"/>
      <c r="G248" s="340"/>
      <c r="H248" s="339"/>
      <c r="I248" s="340" t="s">
        <v>231</v>
      </c>
      <c r="J248" s="337" t="s">
        <v>60</v>
      </c>
      <c r="K248" s="308">
        <v>3</v>
      </c>
      <c r="L248" s="337" t="s">
        <v>6</v>
      </c>
      <c r="M248" s="341" t="s">
        <v>67</v>
      </c>
      <c r="N248" s="340"/>
      <c r="O248" s="343"/>
      <c r="P248" s="343"/>
      <c r="Q248" s="343"/>
      <c r="R248" s="343"/>
      <c r="S248" s="343"/>
      <c r="T248" s="343"/>
      <c r="U248" s="343"/>
      <c r="V248" s="343"/>
      <c r="W248" s="340">
        <f>W245-W247</f>
        <v>-46</v>
      </c>
      <c r="X248" s="343"/>
      <c r="Y248" s="343"/>
      <c r="Z248" s="343"/>
      <c r="AA248" s="343"/>
      <c r="AB248" s="343"/>
      <c r="AC248" s="343"/>
      <c r="AD248" s="343"/>
      <c r="AE248" s="343"/>
      <c r="AF248" s="343"/>
      <c r="AG248" s="343"/>
      <c r="AH248" s="343"/>
      <c r="AI248" s="343"/>
      <c r="AJ248" s="353"/>
      <c r="AK248" s="354"/>
      <c r="AL248" s="343"/>
      <c r="AM248" s="355"/>
      <c r="AN248" s="355"/>
      <c r="AO248" s="355"/>
      <c r="AP248" s="355"/>
      <c r="AQ248" s="340"/>
      <c r="AR248" s="356"/>
      <c r="AS248" s="357"/>
      <c r="AT248" s="356"/>
    </row>
    <row r="249" spans="1:46" s="264" customFormat="1" ht="25.05" customHeight="1">
      <c r="A249" s="493">
        <f>A245+1</f>
        <v>59</v>
      </c>
      <c r="B249" s="308" t="s">
        <v>244</v>
      </c>
      <c r="C249" s="308" t="s">
        <v>245</v>
      </c>
      <c r="D249" s="420"/>
      <c r="E249" s="545">
        <v>12.8571428571429</v>
      </c>
      <c r="F249" s="420"/>
      <c r="G249" s="311"/>
      <c r="H249" s="310"/>
      <c r="I249" s="311" t="s">
        <v>231</v>
      </c>
      <c r="J249" s="308" t="s">
        <v>60</v>
      </c>
      <c r="K249" s="312">
        <f>K252</f>
        <v>2</v>
      </c>
      <c r="L249" s="308" t="s">
        <v>6</v>
      </c>
      <c r="M249" s="313" t="s">
        <v>61</v>
      </c>
      <c r="N249" s="364">
        <f>WORKDAY.INTL(O249,-INDEX(O$12:O$15,MATCH($L249,$L$12:$L$15,0)),1,IF(N$18="China",'China Holidays'!$A$2:$A$82,'Thai Holidays'!$A$2:$A$63))</f>
        <v>46164</v>
      </c>
      <c r="O249" s="350">
        <v>46167</v>
      </c>
      <c r="P249" s="350">
        <v>46167</v>
      </c>
      <c r="Q249" s="350">
        <v>46168</v>
      </c>
      <c r="R249" s="350">
        <v>46171</v>
      </c>
      <c r="S249" s="350">
        <v>46172</v>
      </c>
      <c r="T249" s="350">
        <v>46175</v>
      </c>
      <c r="U249" s="350">
        <v>46178</v>
      </c>
      <c r="V249" s="350">
        <v>46182</v>
      </c>
      <c r="W249" s="350">
        <v>46183</v>
      </c>
      <c r="X249" s="350">
        <f t="shared" si="24"/>
        <v>46185</v>
      </c>
      <c r="Y249" s="350">
        <v>46190</v>
      </c>
      <c r="Z249" s="350">
        <f>Y249</f>
        <v>46190</v>
      </c>
      <c r="AA249" s="350">
        <f>Y249</f>
        <v>46190</v>
      </c>
      <c r="AB249" s="350">
        <v>46190</v>
      </c>
      <c r="AC249" s="350">
        <v>46195</v>
      </c>
      <c r="AD249" s="350">
        <v>46197</v>
      </c>
      <c r="AE249" s="350">
        <v>46263</v>
      </c>
      <c r="AF249" s="350">
        <v>46270</v>
      </c>
      <c r="AG249" s="350">
        <v>46273</v>
      </c>
      <c r="AH249" s="350">
        <v>46287</v>
      </c>
      <c r="AI249" s="350">
        <v>46303</v>
      </c>
      <c r="AJ249" s="430">
        <v>8</v>
      </c>
      <c r="AK249" s="431"/>
      <c r="AL249" s="350" t="str">
        <f>TEXT(AL251,"d-mmm-yy")</f>
        <v>24-Sep-26</v>
      </c>
      <c r="AM249" s="327"/>
      <c r="AN249" s="327"/>
      <c r="AO249" s="327"/>
      <c r="AP249" s="327"/>
      <c r="AQ249" s="311"/>
      <c r="AR249" s="329"/>
      <c r="AS249" s="330" t="s">
        <v>62</v>
      </c>
      <c r="AT249" s="331">
        <v>46318</v>
      </c>
    </row>
    <row r="250" spans="1:46" s="264" customFormat="1" ht="25.05" customHeight="1">
      <c r="A250" s="491"/>
      <c r="B250" s="308" t="str">
        <f>B249</f>
        <v>RFQ-STR-059</v>
      </c>
      <c r="C250" s="308" t="str">
        <f>C249</f>
        <v xml:space="preserve">Primary Steel - Tubular for topside </v>
      </c>
      <c r="D250" s="414"/>
      <c r="E250" s="542"/>
      <c r="F250" s="416"/>
      <c r="G250" s="311"/>
      <c r="H250" s="310"/>
      <c r="I250" s="311" t="s">
        <v>231</v>
      </c>
      <c r="J250" s="308"/>
      <c r="K250" s="322"/>
      <c r="L250" s="308"/>
      <c r="M250" s="323" t="s">
        <v>63</v>
      </c>
      <c r="N250" s="367"/>
      <c r="O250" s="325">
        <v>46212</v>
      </c>
      <c r="P250" s="325">
        <v>46226</v>
      </c>
      <c r="Q250" s="325">
        <v>46226</v>
      </c>
      <c r="R250" s="325">
        <v>46226</v>
      </c>
      <c r="S250" s="325">
        <v>46226</v>
      </c>
      <c r="T250" s="325">
        <v>46226</v>
      </c>
      <c r="U250" s="325">
        <v>46228</v>
      </c>
      <c r="V250" s="325">
        <v>46231</v>
      </c>
      <c r="W250" s="325">
        <v>46233</v>
      </c>
      <c r="X250" s="325">
        <v>46234</v>
      </c>
      <c r="Y250" s="325">
        <v>46239</v>
      </c>
      <c r="Z250" s="325">
        <v>46247</v>
      </c>
      <c r="AA250" s="325">
        <v>46257</v>
      </c>
      <c r="AB250" s="325">
        <v>46264</v>
      </c>
      <c r="AC250" s="325">
        <v>46264</v>
      </c>
      <c r="AD250" s="325">
        <v>46269</v>
      </c>
      <c r="AE250" s="325">
        <v>46274</v>
      </c>
      <c r="AF250" s="325">
        <v>46279</v>
      </c>
      <c r="AG250" s="325">
        <v>46284</v>
      </c>
      <c r="AH250" s="325">
        <v>46289</v>
      </c>
      <c r="AI250" s="325">
        <v>46294</v>
      </c>
      <c r="AJ250" s="365"/>
      <c r="AK250" s="326"/>
      <c r="AL250" s="325">
        <f>W250+AK251</f>
        <v>46289</v>
      </c>
      <c r="AM250" s="327"/>
      <c r="AN250" s="327"/>
      <c r="AO250" s="327"/>
      <c r="AP250" s="327"/>
      <c r="AQ250" s="328">
        <f>AM251-AL250</f>
        <v>22</v>
      </c>
      <c r="AR250" s="329"/>
      <c r="AS250" s="330"/>
      <c r="AT250" s="331"/>
    </row>
    <row r="251" spans="1:46" s="264" customFormat="1" ht="25.05" customHeight="1">
      <c r="A251" s="491"/>
      <c r="B251" s="308" t="str">
        <f>B249</f>
        <v>RFQ-STR-059</v>
      </c>
      <c r="C251" s="308" t="s">
        <v>245</v>
      </c>
      <c r="D251" s="360"/>
      <c r="E251" s="542"/>
      <c r="F251" s="360"/>
      <c r="G251" s="311">
        <v>11</v>
      </c>
      <c r="H251" s="310" t="s">
        <v>233</v>
      </c>
      <c r="I251" s="311" t="s">
        <v>231</v>
      </c>
      <c r="J251" s="308" t="s">
        <v>60</v>
      </c>
      <c r="K251" s="308">
        <f>K252</f>
        <v>2</v>
      </c>
      <c r="L251" s="308" t="s">
        <v>6</v>
      </c>
      <c r="M251" s="313" t="s">
        <v>65</v>
      </c>
      <c r="N251" s="350">
        <f>N249</f>
        <v>46164</v>
      </c>
      <c r="O251" s="350">
        <f>T251-14</f>
        <v>46212</v>
      </c>
      <c r="P251" s="350">
        <f>WORKDAY.INTL(O251,INDEX(P$8:P$11,MATCH($L251,$L$8:$L$11,0)),1,IF(P$18="China",'China Holidays'!$A$2:$A$82,'Thai Holidays'!$A$2:$A$63))</f>
        <v>46226</v>
      </c>
      <c r="Q251" s="350">
        <f>WORKDAY.INTL(P251,INDEX(Q$8:Q$11,MATCH($L251,$L$8:$L$11,0)),1,IF(Q$18="China",'China Holidays'!$A$2:$A$82,'Thai Holidays'!$A$2:$A$63))</f>
        <v>46226</v>
      </c>
      <c r="R251" s="350">
        <f>WORKDAY.INTL(Q251,INDEX(R$8:R$11,MATCH($L251,$L$8:$L$11,0)),1,IF(R$18="China",'China Holidays'!$A$2:$A$82,'Thai Holidays'!$A$2:$A$63))</f>
        <v>46226</v>
      </c>
      <c r="S251" s="350">
        <f>WORKDAY.INTL(R251,INDEX(S$8:S$11,MATCH($L251,$L$8:$L$11,0)),1,IF(S$18="China",'China Holidays'!$A$2:$A$82,'Thai Holidays'!$A$2:$A$63))</f>
        <v>46226</v>
      </c>
      <c r="T251" s="410">
        <f>U251-2</f>
        <v>46226</v>
      </c>
      <c r="U251" s="350">
        <f>V251-3</f>
        <v>46228</v>
      </c>
      <c r="V251" s="350">
        <f>W251-2</f>
        <v>46231</v>
      </c>
      <c r="W251" s="410">
        <v>46233</v>
      </c>
      <c r="X251" s="350">
        <f>W251+1</f>
        <v>46234</v>
      </c>
      <c r="Y251" s="350">
        <f>X251+5</f>
        <v>46239</v>
      </c>
      <c r="Z251" s="350">
        <f>AA251-10</f>
        <v>46247</v>
      </c>
      <c r="AA251" s="350">
        <f>AB251-7</f>
        <v>46257</v>
      </c>
      <c r="AB251" s="410">
        <v>46264</v>
      </c>
      <c r="AC251" s="350">
        <f>AA251+7</f>
        <v>46264</v>
      </c>
      <c r="AD251" s="350">
        <f t="shared" ref="AD251:AI251" si="25">AC251+5</f>
        <v>46269</v>
      </c>
      <c r="AE251" s="350">
        <f t="shared" si="25"/>
        <v>46274</v>
      </c>
      <c r="AF251" s="350">
        <f t="shared" si="25"/>
        <v>46279</v>
      </c>
      <c r="AG251" s="350">
        <f t="shared" si="25"/>
        <v>46284</v>
      </c>
      <c r="AH251" s="350">
        <f t="shared" si="25"/>
        <v>46289</v>
      </c>
      <c r="AI251" s="350">
        <f t="shared" si="25"/>
        <v>46294</v>
      </c>
      <c r="AJ251" s="362"/>
      <c r="AK251" s="326">
        <f>AJ249*7</f>
        <v>56</v>
      </c>
      <c r="AL251" s="350">
        <f>W251+AK251</f>
        <v>46289</v>
      </c>
      <c r="AM251" s="327">
        <f>AT249-7</f>
        <v>46311</v>
      </c>
      <c r="AN251" s="327">
        <f>AO251-3</f>
        <v>46317</v>
      </c>
      <c r="AO251" s="327">
        <v>46320</v>
      </c>
      <c r="AP251" s="327" t="s">
        <v>246</v>
      </c>
      <c r="AQ251" s="311">
        <f>AM251-AL251</f>
        <v>22</v>
      </c>
      <c r="AR251" s="329"/>
      <c r="AS251" s="330" t="s">
        <v>66</v>
      </c>
      <c r="AT251" s="331">
        <v>46349</v>
      </c>
    </row>
    <row r="252" spans="1:46" s="264" customFormat="1" ht="25.05" customHeight="1">
      <c r="A252" s="492"/>
      <c r="B252" s="337" t="str">
        <f>B249</f>
        <v>RFQ-STR-059</v>
      </c>
      <c r="C252" s="337" t="s">
        <v>245</v>
      </c>
      <c r="D252" s="363"/>
      <c r="E252" s="546"/>
      <c r="F252" s="363"/>
      <c r="G252" s="340"/>
      <c r="H252" s="339"/>
      <c r="I252" s="340" t="s">
        <v>231</v>
      </c>
      <c r="J252" s="337" t="s">
        <v>60</v>
      </c>
      <c r="K252" s="308">
        <v>2</v>
      </c>
      <c r="L252" s="337" t="s">
        <v>6</v>
      </c>
      <c r="M252" s="341" t="s">
        <v>67</v>
      </c>
      <c r="N252" s="343">
        <v>46137</v>
      </c>
      <c r="O252" s="343">
        <v>46163</v>
      </c>
      <c r="P252" s="343">
        <v>46175</v>
      </c>
      <c r="Q252" s="343">
        <v>46175</v>
      </c>
      <c r="R252" s="343">
        <v>46179</v>
      </c>
      <c r="S252" s="343">
        <v>46179</v>
      </c>
      <c r="T252" s="343">
        <v>46179</v>
      </c>
      <c r="U252" s="343"/>
      <c r="V252" s="343"/>
      <c r="W252" s="343"/>
      <c r="X252" s="343"/>
      <c r="Y252" s="343"/>
      <c r="Z252" s="343"/>
      <c r="AA252" s="343"/>
      <c r="AB252" s="343"/>
      <c r="AC252" s="343"/>
      <c r="AD252" s="432"/>
      <c r="AE252" s="343"/>
      <c r="AF252" s="343"/>
      <c r="AG252" s="343"/>
      <c r="AH252" s="343"/>
      <c r="AI252" s="343"/>
      <c r="AJ252" s="353"/>
      <c r="AK252" s="354"/>
      <c r="AL252" s="343"/>
      <c r="AM252" s="355"/>
      <c r="AN252" s="355"/>
      <c r="AO252" s="355"/>
      <c r="AP252" s="355"/>
      <c r="AQ252" s="340"/>
      <c r="AR252" s="356"/>
      <c r="AS252" s="357"/>
      <c r="AT252" s="356"/>
    </row>
    <row r="253" spans="1:46" s="264" customFormat="1" ht="25.05" customHeight="1">
      <c r="A253" s="493">
        <f>A249+1</f>
        <v>60</v>
      </c>
      <c r="B253" s="308" t="s">
        <v>247</v>
      </c>
      <c r="C253" s="308" t="s">
        <v>248</v>
      </c>
      <c r="D253" s="433"/>
      <c r="E253" s="545">
        <v>8.5714285714285694</v>
      </c>
      <c r="F253" s="433"/>
      <c r="G253" s="311"/>
      <c r="H253" s="310"/>
      <c r="I253" s="311" t="s">
        <v>231</v>
      </c>
      <c r="J253" s="308" t="s">
        <v>60</v>
      </c>
      <c r="K253" s="312">
        <f>K256</f>
        <v>2</v>
      </c>
      <c r="L253" s="308" t="s">
        <v>6</v>
      </c>
      <c r="M253" s="313" t="s">
        <v>61</v>
      </c>
      <c r="N253" s="364">
        <f>WORKDAY.INTL(O253,-INDEX(O$12:O$15,MATCH($L253,$L$12:$L$15,0)),1,IF(N$18="China",'China Holidays'!$A$2:$A$82,'Thai Holidays'!$A$2:$A$63))</f>
        <v>46164</v>
      </c>
      <c r="O253" s="350">
        <v>46167</v>
      </c>
      <c r="P253" s="350">
        <v>46167</v>
      </c>
      <c r="Q253" s="350">
        <v>46168</v>
      </c>
      <c r="R253" s="350">
        <v>46171</v>
      </c>
      <c r="S253" s="350">
        <v>46172</v>
      </c>
      <c r="T253" s="350">
        <v>46175</v>
      </c>
      <c r="U253" s="350">
        <v>46178</v>
      </c>
      <c r="V253" s="350">
        <v>46182</v>
      </c>
      <c r="W253" s="350">
        <v>46183</v>
      </c>
      <c r="X253" s="350">
        <f>W253+2</f>
        <v>46185</v>
      </c>
      <c r="Y253" s="350">
        <v>46190</v>
      </c>
      <c r="Z253" s="350">
        <f>Y253</f>
        <v>46190</v>
      </c>
      <c r="AA253" s="350">
        <f>Y253</f>
        <v>46190</v>
      </c>
      <c r="AB253" s="350">
        <v>46190</v>
      </c>
      <c r="AC253" s="350">
        <v>46195</v>
      </c>
      <c r="AD253" s="350">
        <v>46197</v>
      </c>
      <c r="AE253" s="350">
        <v>46233</v>
      </c>
      <c r="AF253" s="350">
        <v>46240</v>
      </c>
      <c r="AG253" s="350">
        <v>46243</v>
      </c>
      <c r="AH253" s="350">
        <v>46257</v>
      </c>
      <c r="AI253" s="350">
        <v>46273</v>
      </c>
      <c r="AJ253" s="316">
        <v>8.5714285714285694</v>
      </c>
      <c r="AK253" s="351"/>
      <c r="AL253" s="350" t="str">
        <f>TEXT(AL255,"d-mmm-yy")</f>
        <v>19-Oct-26</v>
      </c>
      <c r="AM253" s="327"/>
      <c r="AN253" s="327"/>
      <c r="AO253" s="327"/>
      <c r="AP253" s="327"/>
      <c r="AQ253" s="311"/>
      <c r="AR253" s="329"/>
      <c r="AS253" s="330" t="s">
        <v>62</v>
      </c>
      <c r="AT253" s="331">
        <v>46346</v>
      </c>
    </row>
    <row r="254" spans="1:46" s="264" customFormat="1" ht="25.05" customHeight="1">
      <c r="A254" s="491"/>
      <c r="B254" s="308" t="str">
        <f>B253</f>
        <v>RFQ-STR-060</v>
      </c>
      <c r="C254" s="308" t="str">
        <f>C253</f>
        <v>Primary Steel - Plates for jacket</v>
      </c>
      <c r="D254" s="414"/>
      <c r="E254" s="542"/>
      <c r="F254" s="416"/>
      <c r="G254" s="311"/>
      <c r="H254" s="310"/>
      <c r="I254" s="311" t="s">
        <v>231</v>
      </c>
      <c r="J254" s="308"/>
      <c r="K254" s="322"/>
      <c r="L254" s="308"/>
      <c r="M254" s="323" t="s">
        <v>63</v>
      </c>
      <c r="N254" s="367"/>
      <c r="O254" s="325">
        <v>46167</v>
      </c>
      <c r="P254" s="325">
        <v>46167</v>
      </c>
      <c r="Q254" s="325">
        <v>46168</v>
      </c>
      <c r="R254" s="325">
        <v>46171</v>
      </c>
      <c r="S254" s="325">
        <v>46172</v>
      </c>
      <c r="T254" s="325">
        <v>46175</v>
      </c>
      <c r="U254" s="325">
        <v>46221</v>
      </c>
      <c r="V254" s="325">
        <v>46231</v>
      </c>
      <c r="W254" s="325">
        <v>46233</v>
      </c>
      <c r="X254" s="325">
        <v>46235</v>
      </c>
      <c r="Y254" s="325">
        <v>46240</v>
      </c>
      <c r="Z254" s="325">
        <v>46250</v>
      </c>
      <c r="AA254" s="325">
        <v>46260</v>
      </c>
      <c r="AB254" s="325">
        <v>46267</v>
      </c>
      <c r="AC254" s="325">
        <v>46265</v>
      </c>
      <c r="AD254" s="325">
        <v>46267</v>
      </c>
      <c r="AE254" s="325">
        <v>46283</v>
      </c>
      <c r="AF254" s="325">
        <v>46290</v>
      </c>
      <c r="AG254" s="325">
        <v>46293</v>
      </c>
      <c r="AH254" s="325">
        <v>46314</v>
      </c>
      <c r="AI254" s="325">
        <v>46330</v>
      </c>
      <c r="AJ254" s="316"/>
      <c r="AK254" s="326"/>
      <c r="AL254" s="325">
        <f>W254+AK255</f>
        <v>46293</v>
      </c>
      <c r="AM254" s="327"/>
      <c r="AN254" s="327"/>
      <c r="AO254" s="327"/>
      <c r="AP254" s="327"/>
      <c r="AQ254" s="328">
        <f>AM255-AL254</f>
        <v>21</v>
      </c>
      <c r="AR254" s="329"/>
      <c r="AS254" s="330"/>
      <c r="AT254" s="331"/>
    </row>
    <row r="255" spans="1:46" s="264" customFormat="1" ht="25.05" customHeight="1">
      <c r="A255" s="491"/>
      <c r="B255" s="308" t="str">
        <f>B253</f>
        <v>RFQ-STR-060</v>
      </c>
      <c r="C255" s="308" t="s">
        <v>248</v>
      </c>
      <c r="D255" s="417"/>
      <c r="E255" s="542"/>
      <c r="F255" s="417"/>
      <c r="G255" s="311">
        <v>25</v>
      </c>
      <c r="H255" s="310" t="s">
        <v>233</v>
      </c>
      <c r="I255" s="311" t="s">
        <v>231</v>
      </c>
      <c r="J255" s="308" t="s">
        <v>60</v>
      </c>
      <c r="K255" s="308">
        <f>K256</f>
        <v>2</v>
      </c>
      <c r="L255" s="308" t="s">
        <v>6</v>
      </c>
      <c r="M255" s="313" t="s">
        <v>65</v>
      </c>
      <c r="N255" s="350">
        <v>46120</v>
      </c>
      <c r="O255" s="350">
        <v>46233</v>
      </c>
      <c r="P255" s="350">
        <f>O255+5</f>
        <v>46238</v>
      </c>
      <c r="Q255" s="350">
        <f>WORKDAY.INTL(P255,INDEX(Q$8:Q$11,MATCH($L255,$L$8:$L$11,0)),1,IF(Q$18="China",'China Holidays'!$A$2:$A$82,'Thai Holidays'!$A$2:$A$63))</f>
        <v>46238</v>
      </c>
      <c r="R255" s="350">
        <f>WORKDAY.INTL(Q255,INDEX(R$8:R$11,MATCH($L255,$L$8:$L$11,0)),1,IF(R$18="China",'China Holidays'!$A$2:$A$82,'Thai Holidays'!$A$2:$A$63))</f>
        <v>46238</v>
      </c>
      <c r="S255" s="350">
        <f>WORKDAY.INTL(R255,INDEX(S$8:S$11,MATCH($L255,$L$8:$L$11,0)),1,IF(S$18="China",'China Holidays'!$A$2:$A$82,'Thai Holidays'!$A$2:$A$63))</f>
        <v>46238</v>
      </c>
      <c r="T255" s="350">
        <f>O255+14</f>
        <v>46247</v>
      </c>
      <c r="U255" s="350">
        <f>T255+2</f>
        <v>46249</v>
      </c>
      <c r="V255" s="350">
        <f>U255+3</f>
        <v>46252</v>
      </c>
      <c r="W255" s="350">
        <f>V255+2</f>
        <v>46254</v>
      </c>
      <c r="X255" s="350">
        <f>W255+2</f>
        <v>46256</v>
      </c>
      <c r="Y255" s="350">
        <f>X255+5</f>
        <v>46261</v>
      </c>
      <c r="Z255" s="350">
        <f>Y255+10</f>
        <v>46271</v>
      </c>
      <c r="AA255" s="350">
        <f>Z255+10</f>
        <v>46281</v>
      </c>
      <c r="AB255" s="350">
        <f>AA255+7</f>
        <v>46288</v>
      </c>
      <c r="AC255" s="350">
        <f>AA255+5</f>
        <v>46286</v>
      </c>
      <c r="AD255" s="350">
        <f>AC255+2</f>
        <v>46288</v>
      </c>
      <c r="AE255" s="350">
        <f>AF255-7</f>
        <v>46304</v>
      </c>
      <c r="AF255" s="350">
        <f>AG255-3</f>
        <v>46311</v>
      </c>
      <c r="AG255" s="350">
        <f>AL255</f>
        <v>46314</v>
      </c>
      <c r="AH255" s="350">
        <f>AL255+14</f>
        <v>46328</v>
      </c>
      <c r="AI255" s="350">
        <f>AL255+30</f>
        <v>46344</v>
      </c>
      <c r="AJ255" s="362"/>
      <c r="AK255" s="326">
        <f>AJ253*7</f>
        <v>59.999999999999986</v>
      </c>
      <c r="AL255" s="350">
        <f>W255+AK255</f>
        <v>46314</v>
      </c>
      <c r="AM255" s="327">
        <v>46314</v>
      </c>
      <c r="AN255" s="327">
        <v>46314</v>
      </c>
      <c r="AO255" s="327">
        <v>46291</v>
      </c>
      <c r="AP255" s="327"/>
      <c r="AQ255" s="311">
        <f>AM255-AL256</f>
        <v>46314</v>
      </c>
      <c r="AR255" s="329"/>
      <c r="AS255" s="330" t="s">
        <v>66</v>
      </c>
      <c r="AT255" s="331">
        <v>46368</v>
      </c>
    </row>
    <row r="256" spans="1:46" s="264" customFormat="1" ht="25.05" customHeight="1">
      <c r="A256" s="492"/>
      <c r="B256" s="337" t="str">
        <f>B253</f>
        <v>RFQ-STR-060</v>
      </c>
      <c r="C256" s="337" t="s">
        <v>248</v>
      </c>
      <c r="D256" s="418"/>
      <c r="E256" s="544"/>
      <c r="F256" s="418"/>
      <c r="G256" s="340"/>
      <c r="H256" s="339"/>
      <c r="I256" s="340" t="s">
        <v>231</v>
      </c>
      <c r="J256" s="337" t="s">
        <v>60</v>
      </c>
      <c r="K256" s="308">
        <v>2</v>
      </c>
      <c r="L256" s="337" t="s">
        <v>6</v>
      </c>
      <c r="M256" s="341" t="s">
        <v>67</v>
      </c>
      <c r="N256" s="343">
        <v>46137</v>
      </c>
      <c r="O256" s="343">
        <v>46162</v>
      </c>
      <c r="P256" s="343">
        <v>46175</v>
      </c>
      <c r="Q256" s="343">
        <v>46175</v>
      </c>
      <c r="R256" s="343">
        <v>46179</v>
      </c>
      <c r="S256" s="343">
        <v>46179</v>
      </c>
      <c r="T256" s="343">
        <v>46179</v>
      </c>
      <c r="U256" s="343">
        <v>46185</v>
      </c>
      <c r="V256" s="343">
        <v>46190</v>
      </c>
      <c r="W256" s="343"/>
      <c r="X256" s="343"/>
      <c r="Y256" s="343"/>
      <c r="Z256" s="343"/>
      <c r="AA256" s="343"/>
      <c r="AB256" s="343"/>
      <c r="AC256" s="343"/>
      <c r="AD256" s="343"/>
      <c r="AE256" s="343"/>
      <c r="AF256" s="343"/>
      <c r="AG256" s="343"/>
      <c r="AH256" s="343"/>
      <c r="AI256" s="343"/>
      <c r="AJ256" s="353"/>
      <c r="AK256" s="354"/>
      <c r="AL256" s="350"/>
      <c r="AM256" s="355"/>
      <c r="AN256" s="355"/>
      <c r="AO256" s="355"/>
      <c r="AP256" s="355"/>
      <c r="AQ256" s="340"/>
      <c r="AR256" s="356"/>
      <c r="AS256" s="357"/>
      <c r="AT256" s="356"/>
    </row>
    <row r="257" spans="1:46" s="264" customFormat="1" ht="25.05" customHeight="1">
      <c r="A257" s="493">
        <f>A253+1</f>
        <v>61</v>
      </c>
      <c r="B257" s="308" t="s">
        <v>249</v>
      </c>
      <c r="C257" s="308" t="s">
        <v>250</v>
      </c>
      <c r="D257" s="420"/>
      <c r="E257" s="545">
        <v>14.285714285714301</v>
      </c>
      <c r="F257" s="420"/>
      <c r="G257" s="311"/>
      <c r="H257" s="310"/>
      <c r="I257" s="311" t="s">
        <v>231</v>
      </c>
      <c r="J257" s="308" t="s">
        <v>60</v>
      </c>
      <c r="K257" s="312">
        <f>K260</f>
        <v>3</v>
      </c>
      <c r="L257" s="308" t="s">
        <v>6</v>
      </c>
      <c r="M257" s="313" t="s">
        <v>61</v>
      </c>
      <c r="N257" s="364">
        <f>WORKDAY.INTL(O257,-INDEX(O$12:O$15,MATCH($L257,$L$12:$L$15,0)),1,IF(N$18="China",'China Holidays'!$A$2:$A$82,'Thai Holidays'!$A$2:$A$63))</f>
        <v>46164</v>
      </c>
      <c r="O257" s="350">
        <v>46167</v>
      </c>
      <c r="P257" s="350">
        <v>46167</v>
      </c>
      <c r="Q257" s="350">
        <v>46168</v>
      </c>
      <c r="R257" s="350">
        <v>46172</v>
      </c>
      <c r="S257" s="350">
        <v>46173</v>
      </c>
      <c r="T257" s="350">
        <v>46189</v>
      </c>
      <c r="U257" s="350">
        <v>46198</v>
      </c>
      <c r="V257" s="350">
        <v>46201</v>
      </c>
      <c r="W257" s="350">
        <v>46205</v>
      </c>
      <c r="X257" s="350">
        <f>W257+2</f>
        <v>46207</v>
      </c>
      <c r="Y257" s="350">
        <v>46214</v>
      </c>
      <c r="Z257" s="350">
        <f>Y257</f>
        <v>46214</v>
      </c>
      <c r="AA257" s="350">
        <f>Y257</f>
        <v>46214</v>
      </c>
      <c r="AB257" s="350">
        <v>46214</v>
      </c>
      <c r="AC257" s="350">
        <v>46219</v>
      </c>
      <c r="AD257" s="350">
        <v>46221</v>
      </c>
      <c r="AE257" s="350">
        <v>46295</v>
      </c>
      <c r="AF257" s="350">
        <v>46302</v>
      </c>
      <c r="AG257" s="350">
        <v>46305</v>
      </c>
      <c r="AH257" s="350">
        <v>46319</v>
      </c>
      <c r="AI257" s="350">
        <v>46335</v>
      </c>
      <c r="AJ257" s="316">
        <v>14.285714285714301</v>
      </c>
      <c r="AK257" s="351"/>
      <c r="AL257" s="350" t="str">
        <f>TEXT(AL259,"d-mmm-yy")</f>
        <v>18-Nov-26</v>
      </c>
      <c r="AM257" s="327"/>
      <c r="AN257" s="327"/>
      <c r="AO257" s="327"/>
      <c r="AP257" s="327"/>
      <c r="AQ257" s="311"/>
      <c r="AR257" s="329"/>
      <c r="AS257" s="330" t="s">
        <v>62</v>
      </c>
      <c r="AT257" s="331">
        <v>46346</v>
      </c>
    </row>
    <row r="258" spans="1:46" s="264" customFormat="1" ht="25.05" customHeight="1">
      <c r="A258" s="491"/>
      <c r="B258" s="308" t="str">
        <f>B257</f>
        <v>RFQ-STR-061</v>
      </c>
      <c r="C258" s="308" t="str">
        <f>C257</f>
        <v xml:space="preserve">Secondary Steel -Beam for jacket </v>
      </c>
      <c r="D258" s="414"/>
      <c r="E258" s="542"/>
      <c r="F258" s="416"/>
      <c r="G258" s="311"/>
      <c r="H258" s="310"/>
      <c r="I258" s="311" t="s">
        <v>231</v>
      </c>
      <c r="J258" s="308"/>
      <c r="K258" s="322"/>
      <c r="L258" s="308"/>
      <c r="M258" s="323" t="s">
        <v>63</v>
      </c>
      <c r="N258" s="367"/>
      <c r="O258" s="325">
        <v>46213</v>
      </c>
      <c r="P258" s="325">
        <v>46218</v>
      </c>
      <c r="Q258" s="325">
        <v>46218</v>
      </c>
      <c r="R258" s="325">
        <v>46218</v>
      </c>
      <c r="S258" s="325">
        <v>46218</v>
      </c>
      <c r="T258" s="325">
        <v>46227</v>
      </c>
      <c r="U258" s="325">
        <v>46229</v>
      </c>
      <c r="V258" s="325">
        <v>46232</v>
      </c>
      <c r="W258" s="325">
        <v>46234</v>
      </c>
      <c r="X258" s="325">
        <v>46236</v>
      </c>
      <c r="Y258" s="325">
        <v>46241</v>
      </c>
      <c r="Z258" s="325">
        <v>46251</v>
      </c>
      <c r="AA258" s="325">
        <v>46261</v>
      </c>
      <c r="AB258" s="325">
        <v>46268</v>
      </c>
      <c r="AC258" s="325">
        <v>46266</v>
      </c>
      <c r="AD258" s="325">
        <v>46268</v>
      </c>
      <c r="AE258" s="325">
        <v>46314</v>
      </c>
      <c r="AF258" s="325">
        <v>46321</v>
      </c>
      <c r="AG258" s="325">
        <v>46324</v>
      </c>
      <c r="AH258" s="325">
        <v>46338</v>
      </c>
      <c r="AI258" s="325">
        <v>46354</v>
      </c>
      <c r="AJ258" s="365"/>
      <c r="AK258" s="326"/>
      <c r="AL258" s="325">
        <f>W258+AK259</f>
        <v>46334</v>
      </c>
      <c r="AM258" s="327"/>
      <c r="AN258" s="327"/>
      <c r="AO258" s="327"/>
      <c r="AP258" s="327"/>
      <c r="AQ258" s="328">
        <f>AM259-AL258</f>
        <v>5</v>
      </c>
      <c r="AR258" s="329"/>
      <c r="AS258" s="330"/>
      <c r="AT258" s="331"/>
    </row>
    <row r="259" spans="1:46" s="264" customFormat="1" ht="25.05" customHeight="1">
      <c r="A259" s="491"/>
      <c r="B259" s="308" t="str">
        <f>B257</f>
        <v>RFQ-STR-061</v>
      </c>
      <c r="C259" s="308" t="s">
        <v>250</v>
      </c>
      <c r="D259" s="417"/>
      <c r="E259" s="542"/>
      <c r="F259" s="417"/>
      <c r="G259" s="311">
        <v>5</v>
      </c>
      <c r="H259" s="310" t="s">
        <v>240</v>
      </c>
      <c r="I259" s="311" t="s">
        <v>231</v>
      </c>
      <c r="J259" s="308" t="s">
        <v>60</v>
      </c>
      <c r="K259" s="308">
        <f>K260</f>
        <v>3</v>
      </c>
      <c r="L259" s="308" t="s">
        <v>6</v>
      </c>
      <c r="M259" s="313" t="s">
        <v>65</v>
      </c>
      <c r="N259" s="350">
        <v>46137</v>
      </c>
      <c r="O259" s="350">
        <v>46223</v>
      </c>
      <c r="P259" s="350">
        <f>O259+5</f>
        <v>46228</v>
      </c>
      <c r="Q259" s="350">
        <f>WORKDAY.INTL(P259,INDEX(Q$8:Q$11,MATCH($L259,$L$8:$L$11,0)),1,IF(Q$18="China",'China Holidays'!$A$2:$A$82,'Thai Holidays'!$A$2:$A$63))</f>
        <v>46228</v>
      </c>
      <c r="R259" s="350">
        <f>WORKDAY.INTL(Q259,INDEX(R$8:R$11,MATCH($L259,$L$8:$L$11,0)),1,IF(R$18="China",'China Holidays'!$A$2:$A$82,'Thai Holidays'!$A$2:$A$63))</f>
        <v>46228</v>
      </c>
      <c r="S259" s="350">
        <f>WORKDAY.INTL(R259,INDEX(S$8:S$11,MATCH($L259,$L$8:$L$11,0)),1,IF(S$18="China",'China Holidays'!$A$2:$A$82,'Thai Holidays'!$A$2:$A$63))</f>
        <v>46228</v>
      </c>
      <c r="T259" s="350">
        <f>O259+14</f>
        <v>46237</v>
      </c>
      <c r="U259" s="350">
        <f>T259+2</f>
        <v>46239</v>
      </c>
      <c r="V259" s="350">
        <f>U259+3</f>
        <v>46242</v>
      </c>
      <c r="W259" s="350">
        <f>V259+2</f>
        <v>46244</v>
      </c>
      <c r="X259" s="350">
        <f>W259+2</f>
        <v>46246</v>
      </c>
      <c r="Y259" s="350">
        <f>X259+5</f>
        <v>46251</v>
      </c>
      <c r="Z259" s="350">
        <f>Y259+10</f>
        <v>46261</v>
      </c>
      <c r="AA259" s="350">
        <f>Z259+10</f>
        <v>46271</v>
      </c>
      <c r="AB259" s="350">
        <f>AA259+7</f>
        <v>46278</v>
      </c>
      <c r="AC259" s="350">
        <f>AA259+5</f>
        <v>46276</v>
      </c>
      <c r="AD259" s="350">
        <f>AC259+2</f>
        <v>46278</v>
      </c>
      <c r="AE259" s="350">
        <f>AF259-7</f>
        <v>46334</v>
      </c>
      <c r="AF259" s="350">
        <f>AG259-3</f>
        <v>46341</v>
      </c>
      <c r="AG259" s="350">
        <f>AL259</f>
        <v>46344</v>
      </c>
      <c r="AH259" s="350">
        <f>AL259+14</f>
        <v>46358</v>
      </c>
      <c r="AI259" s="350">
        <f>AL259+30</f>
        <v>46374</v>
      </c>
      <c r="AJ259" s="362"/>
      <c r="AK259" s="326">
        <f>AJ257*7</f>
        <v>100.0000000000001</v>
      </c>
      <c r="AL259" s="350">
        <f>W259+AK259</f>
        <v>46344</v>
      </c>
      <c r="AM259" s="327">
        <f>AT257-7</f>
        <v>46339</v>
      </c>
      <c r="AN259" s="327">
        <v>46331</v>
      </c>
      <c r="AO259" s="327">
        <v>46325</v>
      </c>
      <c r="AP259" s="327"/>
      <c r="AQ259" s="311">
        <f>AM259-AL259</f>
        <v>-5</v>
      </c>
      <c r="AR259" s="329"/>
      <c r="AS259" s="330" t="s">
        <v>66</v>
      </c>
      <c r="AT259" s="331">
        <v>46368</v>
      </c>
    </row>
    <row r="260" spans="1:46" s="264" customFormat="1" ht="25.05" customHeight="1">
      <c r="A260" s="492"/>
      <c r="B260" s="337" t="str">
        <f>B257</f>
        <v>RFQ-STR-061</v>
      </c>
      <c r="C260" s="337" t="s">
        <v>250</v>
      </c>
      <c r="D260" s="395"/>
      <c r="E260" s="544"/>
      <c r="F260" s="395"/>
      <c r="G260" s="340"/>
      <c r="H260" s="339"/>
      <c r="I260" s="340" t="s">
        <v>231</v>
      </c>
      <c r="J260" s="337" t="s">
        <v>60</v>
      </c>
      <c r="K260" s="308">
        <v>3</v>
      </c>
      <c r="L260" s="337" t="s">
        <v>6</v>
      </c>
      <c r="M260" s="341" t="s">
        <v>67</v>
      </c>
      <c r="N260" s="350">
        <v>46137</v>
      </c>
      <c r="O260" s="343">
        <v>46204</v>
      </c>
      <c r="P260" s="343"/>
      <c r="Q260" s="343"/>
      <c r="R260" s="343"/>
      <c r="S260" s="343"/>
      <c r="T260" s="343"/>
      <c r="U260" s="343"/>
      <c r="V260" s="343"/>
      <c r="W260" s="343"/>
      <c r="X260" s="343"/>
      <c r="Y260" s="343"/>
      <c r="Z260" s="343"/>
      <c r="AA260" s="343"/>
      <c r="AB260" s="343"/>
      <c r="AC260" s="343">
        <f>AC259-10</f>
        <v>46266</v>
      </c>
      <c r="AD260" s="343">
        <f>AD259-10</f>
        <v>46268</v>
      </c>
      <c r="AE260" s="343">
        <f>AE259-10</f>
        <v>46324</v>
      </c>
      <c r="AF260" s="343"/>
      <c r="AG260" s="343"/>
      <c r="AH260" s="343"/>
      <c r="AI260" s="343"/>
      <c r="AJ260" s="353"/>
      <c r="AK260" s="354"/>
      <c r="AL260" s="350"/>
      <c r="AM260" s="355"/>
      <c r="AN260" s="355"/>
      <c r="AO260" s="355"/>
      <c r="AP260" s="355"/>
      <c r="AQ260" s="340"/>
      <c r="AR260" s="356"/>
      <c r="AS260" s="357"/>
      <c r="AT260" s="356"/>
    </row>
    <row r="261" spans="1:46" s="264" customFormat="1" ht="25.05" customHeight="1">
      <c r="A261" s="498">
        <f>A257+1</f>
        <v>62</v>
      </c>
      <c r="B261" s="308" t="s">
        <v>251</v>
      </c>
      <c r="C261" s="308" t="s">
        <v>252</v>
      </c>
      <c r="D261" s="433"/>
      <c r="E261" s="545">
        <v>12.8571428571429</v>
      </c>
      <c r="F261" s="433"/>
      <c r="G261" s="311"/>
      <c r="H261" s="310"/>
      <c r="I261" s="311" t="s">
        <v>231</v>
      </c>
      <c r="J261" s="308" t="s">
        <v>60</v>
      </c>
      <c r="K261" s="312">
        <f>K264</f>
        <v>2</v>
      </c>
      <c r="L261" s="308" t="s">
        <v>6</v>
      </c>
      <c r="M261" s="313" t="s">
        <v>61</v>
      </c>
      <c r="N261" s="364">
        <f>WORKDAY.INTL(O261,-INDEX(O$12:O$15,MATCH($L261,$L$12:$L$15,0)),1,IF(N$18="China",'China Holidays'!$A$2:$A$82,'Thai Holidays'!$A$2:$A$63))</f>
        <v>46164</v>
      </c>
      <c r="O261" s="350">
        <v>46167</v>
      </c>
      <c r="P261" s="350">
        <v>46167</v>
      </c>
      <c r="Q261" s="350">
        <v>46168</v>
      </c>
      <c r="R261" s="350">
        <v>46171</v>
      </c>
      <c r="S261" s="350">
        <v>46172</v>
      </c>
      <c r="T261" s="350">
        <v>46175</v>
      </c>
      <c r="U261" s="350">
        <v>46178</v>
      </c>
      <c r="V261" s="350">
        <v>46182</v>
      </c>
      <c r="W261" s="350">
        <v>46183</v>
      </c>
      <c r="X261" s="350">
        <f>W261+2</f>
        <v>46185</v>
      </c>
      <c r="Y261" s="350">
        <v>46190</v>
      </c>
      <c r="Z261" s="350">
        <f>Y261</f>
        <v>46190</v>
      </c>
      <c r="AA261" s="350">
        <f>Y261</f>
        <v>46190</v>
      </c>
      <c r="AB261" s="350">
        <v>46190</v>
      </c>
      <c r="AC261" s="350">
        <v>46195</v>
      </c>
      <c r="AD261" s="350">
        <v>46197</v>
      </c>
      <c r="AE261" s="350">
        <v>46263</v>
      </c>
      <c r="AF261" s="350">
        <v>46270</v>
      </c>
      <c r="AG261" s="350">
        <v>46273</v>
      </c>
      <c r="AH261" s="350">
        <v>46287</v>
      </c>
      <c r="AI261" s="350">
        <v>46303</v>
      </c>
      <c r="AJ261" s="316">
        <v>8</v>
      </c>
      <c r="AK261" s="351"/>
      <c r="AL261" s="350" t="str">
        <f>TEXT(AL263,"d-mmm-yy")</f>
        <v>6-Sep-26</v>
      </c>
      <c r="AM261" s="327"/>
      <c r="AN261" s="327"/>
      <c r="AO261" s="327"/>
      <c r="AP261" s="327"/>
      <c r="AQ261" s="311"/>
      <c r="AR261" s="329"/>
      <c r="AS261" s="330" t="s">
        <v>62</v>
      </c>
      <c r="AT261" s="331">
        <v>46314</v>
      </c>
    </row>
    <row r="262" spans="1:46" s="264" customFormat="1" ht="25.05" customHeight="1">
      <c r="A262" s="499"/>
      <c r="B262" s="434" t="str">
        <f>B261</f>
        <v>RFQ-STR-062</v>
      </c>
      <c r="C262" s="434" t="str">
        <f>C261</f>
        <v xml:space="preserve">Primary Steel -Tubular for jacket </v>
      </c>
      <c r="D262" s="414"/>
      <c r="E262" s="542"/>
      <c r="F262" s="416"/>
      <c r="G262" s="311"/>
      <c r="H262" s="310"/>
      <c r="I262" s="311" t="s">
        <v>231</v>
      </c>
      <c r="J262" s="308"/>
      <c r="K262" s="322"/>
      <c r="L262" s="308"/>
      <c r="M262" s="323" t="s">
        <v>63</v>
      </c>
      <c r="N262" s="367"/>
      <c r="O262" s="325">
        <v>46167</v>
      </c>
      <c r="P262" s="325">
        <v>46167</v>
      </c>
      <c r="Q262" s="325">
        <v>46168</v>
      </c>
      <c r="R262" s="325">
        <v>46171</v>
      </c>
      <c r="S262" s="325">
        <v>46172</v>
      </c>
      <c r="T262" s="325">
        <v>46175</v>
      </c>
      <c r="U262" s="325">
        <v>46221</v>
      </c>
      <c r="V262" s="325">
        <v>46231</v>
      </c>
      <c r="W262" s="325">
        <v>46233</v>
      </c>
      <c r="X262" s="325">
        <v>46235</v>
      </c>
      <c r="Y262" s="325">
        <v>46240</v>
      </c>
      <c r="Z262" s="325">
        <v>46250</v>
      </c>
      <c r="AA262" s="325">
        <v>46260</v>
      </c>
      <c r="AB262" s="421">
        <v>46293</v>
      </c>
      <c r="AC262" s="421">
        <v>46294</v>
      </c>
      <c r="AD262" s="421">
        <v>46295</v>
      </c>
      <c r="AE262" s="421">
        <v>46298</v>
      </c>
      <c r="AF262" s="421">
        <v>46299</v>
      </c>
      <c r="AG262" s="421">
        <v>46300</v>
      </c>
      <c r="AH262" s="325">
        <v>46303</v>
      </c>
      <c r="AI262" s="325">
        <v>46318</v>
      </c>
      <c r="AJ262" s="316"/>
      <c r="AK262" s="326"/>
      <c r="AL262" s="421">
        <f>W262+AK263</f>
        <v>46289</v>
      </c>
      <c r="AM262" s="327"/>
      <c r="AN262" s="327"/>
      <c r="AO262" s="327"/>
      <c r="AP262" s="327"/>
      <c r="AQ262" s="328">
        <f>AM263-AL262</f>
        <v>16</v>
      </c>
      <c r="AR262" s="329"/>
      <c r="AS262" s="330"/>
      <c r="AT262" s="331"/>
    </row>
    <row r="263" spans="1:46" s="264" customFormat="1" ht="25.05" customHeight="1">
      <c r="A263" s="499"/>
      <c r="B263" s="308" t="str">
        <f>B261</f>
        <v>RFQ-STR-062</v>
      </c>
      <c r="C263" s="308" t="s">
        <v>252</v>
      </c>
      <c r="D263" s="417"/>
      <c r="E263" s="542"/>
      <c r="F263" s="417"/>
      <c r="G263" s="311">
        <v>2</v>
      </c>
      <c r="H263" s="310" t="s">
        <v>233</v>
      </c>
      <c r="I263" s="311" t="s">
        <v>231</v>
      </c>
      <c r="J263" s="308" t="s">
        <v>60</v>
      </c>
      <c r="K263" s="308">
        <f>K264</f>
        <v>2</v>
      </c>
      <c r="L263" s="308" t="s">
        <v>6</v>
      </c>
      <c r="M263" s="313" t="s">
        <v>65</v>
      </c>
      <c r="N263" s="350">
        <f>N261</f>
        <v>46164</v>
      </c>
      <c r="O263" s="350">
        <f>T263-14</f>
        <v>46194</v>
      </c>
      <c r="P263" s="350">
        <f>WORKDAY.INTL(O263,INDEX(P$8:P$11,MATCH($L263,$L$8:$L$11,0)),1,IF(P$18="China",'China Holidays'!$A$2:$A$82,'Thai Holidays'!$A$2:$A$63))</f>
        <v>46206</v>
      </c>
      <c r="Q263" s="350">
        <f>WORKDAY.INTL(P263,INDEX(Q$8:Q$11,MATCH($L263,$L$8:$L$11,0)),1,IF(Q$18="China",'China Holidays'!$A$2:$A$82,'Thai Holidays'!$A$2:$A$63))</f>
        <v>46206</v>
      </c>
      <c r="R263" s="350">
        <f>WORKDAY.INTL(Q263,INDEX(R$8:R$11,MATCH($L263,$L$8:$L$11,0)),1,IF(R$18="China",'China Holidays'!$A$2:$A$82,'Thai Holidays'!$A$2:$A$63))</f>
        <v>46206</v>
      </c>
      <c r="S263" s="350">
        <f>WORKDAY.INTL(R263,INDEX(S$8:S$11,MATCH($L263,$L$8:$L$11,0)),1,IF(S$18="China",'China Holidays'!$A$2:$A$82,'Thai Holidays'!$A$2:$A$63))</f>
        <v>46206</v>
      </c>
      <c r="T263" s="350">
        <f>U263-2</f>
        <v>46208</v>
      </c>
      <c r="U263" s="350">
        <f>V263-3</f>
        <v>46210</v>
      </c>
      <c r="V263" s="350">
        <f>W263-2</f>
        <v>46213</v>
      </c>
      <c r="W263" s="350">
        <f>X263-2</f>
        <v>46215</v>
      </c>
      <c r="X263" s="350">
        <f>Y263-5</f>
        <v>46217</v>
      </c>
      <c r="Y263" s="350">
        <f>Z263-10</f>
        <v>46222</v>
      </c>
      <c r="Z263" s="350">
        <f>AA263-10</f>
        <v>46232</v>
      </c>
      <c r="AA263" s="350">
        <f>AB263-7</f>
        <v>46242</v>
      </c>
      <c r="AB263" s="350">
        <v>46249</v>
      </c>
      <c r="AC263" s="350">
        <f>AA263+5</f>
        <v>46247</v>
      </c>
      <c r="AD263" s="350">
        <f>AG256</f>
        <v>0</v>
      </c>
      <c r="AE263" s="350">
        <f>AD263+3</f>
        <v>3</v>
      </c>
      <c r="AF263" s="350">
        <f>AE263+3</f>
        <v>6</v>
      </c>
      <c r="AG263" s="350">
        <f>AF263+3</f>
        <v>9</v>
      </c>
      <c r="AH263" s="350">
        <f>AG263+3</f>
        <v>12</v>
      </c>
      <c r="AI263" s="350">
        <f>AH263+3</f>
        <v>15</v>
      </c>
      <c r="AJ263" s="362"/>
      <c r="AK263" s="326">
        <f>AJ261*7</f>
        <v>56</v>
      </c>
      <c r="AL263" s="350">
        <f>W263+AK263</f>
        <v>46271</v>
      </c>
      <c r="AM263" s="327">
        <v>46305</v>
      </c>
      <c r="AN263" s="327">
        <v>46305</v>
      </c>
      <c r="AO263" s="327">
        <v>46295</v>
      </c>
      <c r="AP263" s="327"/>
      <c r="AQ263" s="311">
        <f>AM263-AL263</f>
        <v>34</v>
      </c>
      <c r="AR263" s="329"/>
      <c r="AS263" s="330" t="s">
        <v>66</v>
      </c>
      <c r="AT263" s="331">
        <v>46340</v>
      </c>
    </row>
    <row r="264" spans="1:46" s="264" customFormat="1" ht="25.05" customHeight="1">
      <c r="A264" s="500"/>
      <c r="B264" s="337" t="str">
        <f>B261</f>
        <v>RFQ-STR-062</v>
      </c>
      <c r="C264" s="308" t="s">
        <v>252</v>
      </c>
      <c r="D264" s="418"/>
      <c r="E264" s="544"/>
      <c r="F264" s="418"/>
      <c r="G264" s="340"/>
      <c r="H264" s="339"/>
      <c r="I264" s="340" t="s">
        <v>231</v>
      </c>
      <c r="J264" s="337" t="s">
        <v>60</v>
      </c>
      <c r="K264" s="308">
        <v>2</v>
      </c>
      <c r="L264" s="337" t="s">
        <v>6</v>
      </c>
      <c r="M264" s="341" t="s">
        <v>67</v>
      </c>
      <c r="N264" s="343">
        <v>46137</v>
      </c>
      <c r="O264" s="343">
        <v>46163</v>
      </c>
      <c r="P264" s="343">
        <v>46175</v>
      </c>
      <c r="Q264" s="343"/>
      <c r="R264" s="343"/>
      <c r="S264" s="343"/>
      <c r="T264" s="343"/>
      <c r="U264" s="343"/>
      <c r="V264" s="343"/>
      <c r="W264" s="343"/>
      <c r="X264" s="343"/>
      <c r="Y264" s="343"/>
      <c r="Z264" s="343"/>
      <c r="AA264" s="343"/>
      <c r="AB264" s="343"/>
      <c r="AC264" s="343"/>
      <c r="AD264" s="343"/>
      <c r="AE264" s="343"/>
      <c r="AF264" s="343"/>
      <c r="AG264" s="343"/>
      <c r="AH264" s="343"/>
      <c r="AI264" s="343"/>
      <c r="AJ264" s="353"/>
      <c r="AK264" s="354"/>
      <c r="AL264" s="350"/>
      <c r="AM264" s="355"/>
      <c r="AN264" s="355"/>
      <c r="AO264" s="355"/>
      <c r="AP264" s="355"/>
      <c r="AQ264" s="340"/>
      <c r="AR264" s="356"/>
      <c r="AS264" s="357"/>
      <c r="AT264" s="356"/>
    </row>
    <row r="265" spans="1:46" s="267" customFormat="1" ht="25.05" customHeight="1">
      <c r="A265" s="494">
        <f>A261+1</f>
        <v>63</v>
      </c>
      <c r="B265" s="374" t="s">
        <v>253</v>
      </c>
      <c r="C265" s="374" t="s">
        <v>254</v>
      </c>
      <c r="D265" s="435"/>
      <c r="E265" s="545">
        <v>12.8571428571429</v>
      </c>
      <c r="F265" s="435"/>
      <c r="G265" s="436"/>
      <c r="H265" s="376"/>
      <c r="I265" s="402" t="s">
        <v>231</v>
      </c>
      <c r="J265" s="374" t="s">
        <v>60</v>
      </c>
      <c r="K265" s="377">
        <f>K267</f>
        <v>2</v>
      </c>
      <c r="L265" s="374" t="s">
        <v>6</v>
      </c>
      <c r="M265" s="378" t="s">
        <v>61</v>
      </c>
      <c r="N265" s="403">
        <f>WORKDAY.INTL(O265,-INDEX(O$12:O$15,MATCH($L265,$L$12:$L$15,0)),1,IF(N$18="China",'China Holidays'!$A$2:$A$82,'Thai Holidays'!$A$2:$A$63))</f>
        <v>46164</v>
      </c>
      <c r="O265" s="404">
        <v>46167</v>
      </c>
      <c r="P265" s="404">
        <v>46167</v>
      </c>
      <c r="Q265" s="404">
        <v>46168</v>
      </c>
      <c r="R265" s="404">
        <v>46171</v>
      </c>
      <c r="S265" s="404">
        <v>46172</v>
      </c>
      <c r="T265" s="404">
        <v>46175</v>
      </c>
      <c r="U265" s="404">
        <v>46178</v>
      </c>
      <c r="V265" s="404">
        <v>46182</v>
      </c>
      <c r="W265" s="404">
        <v>46183</v>
      </c>
      <c r="X265" s="404">
        <f>W265+2</f>
        <v>46185</v>
      </c>
      <c r="Y265" s="404">
        <v>46190</v>
      </c>
      <c r="Z265" s="404">
        <f>Y265</f>
        <v>46190</v>
      </c>
      <c r="AA265" s="404">
        <f>Y265</f>
        <v>46190</v>
      </c>
      <c r="AB265" s="404">
        <v>46190</v>
      </c>
      <c r="AC265" s="404">
        <v>46195</v>
      </c>
      <c r="AD265" s="404">
        <v>46197</v>
      </c>
      <c r="AE265" s="404">
        <v>46263</v>
      </c>
      <c r="AF265" s="404">
        <v>46270</v>
      </c>
      <c r="AG265" s="404">
        <v>46273</v>
      </c>
      <c r="AH265" s="404">
        <v>46287</v>
      </c>
      <c r="AI265" s="404">
        <v>46303</v>
      </c>
      <c r="AJ265" s="401">
        <v>12.8571428571429</v>
      </c>
      <c r="AK265" s="381"/>
      <c r="AL265" s="404" t="str">
        <f>TEXT(AL266,"d-mmm-yy")</f>
        <v>8-Sep-26</v>
      </c>
      <c r="AM265" s="405"/>
      <c r="AN265" s="405"/>
      <c r="AO265" s="405"/>
      <c r="AP265" s="405"/>
      <c r="AQ265" s="436"/>
      <c r="AR265" s="437"/>
      <c r="AS265" s="438"/>
      <c r="AT265" s="439"/>
    </row>
    <row r="266" spans="1:46" s="267" customFormat="1" ht="25.05" customHeight="1">
      <c r="A266" s="495"/>
      <c r="B266" s="374" t="s">
        <v>253</v>
      </c>
      <c r="C266" s="374" t="s">
        <v>254</v>
      </c>
      <c r="D266" s="440"/>
      <c r="E266" s="543"/>
      <c r="F266" s="440"/>
      <c r="G266" s="436">
        <v>49</v>
      </c>
      <c r="H266" s="376" t="s">
        <v>233</v>
      </c>
      <c r="I266" s="402" t="s">
        <v>231</v>
      </c>
      <c r="J266" s="374" t="s">
        <v>60</v>
      </c>
      <c r="K266" s="374">
        <f>K267</f>
        <v>2</v>
      </c>
      <c r="L266" s="374" t="s">
        <v>6</v>
      </c>
      <c r="M266" s="378" t="s">
        <v>65</v>
      </c>
      <c r="N266" s="404">
        <f>N265</f>
        <v>46164</v>
      </c>
      <c r="O266" s="404">
        <v>46162</v>
      </c>
      <c r="P266" s="404">
        <v>46165</v>
      </c>
      <c r="Q266" s="404">
        <f>WORKDAY.INTL(P266,INDEX(Q$8:Q$11,MATCH($L266,$L$8:$L$11,0)),1,IF(Q$18="China",'China Holidays'!$A$2:$A$82,'Thai Holidays'!$A$2:$A$63))</f>
        <v>46165</v>
      </c>
      <c r="R266" s="404">
        <f>WORKDAY.INTL(Q266,INDEX(R$8:R$11,MATCH($L266,$L$8:$L$11,0)),1,IF(R$18="China",'China Holidays'!$A$2:$A$82,'Thai Holidays'!$A$2:$A$63))</f>
        <v>46165</v>
      </c>
      <c r="S266" s="404">
        <f>WORKDAY.INTL(R266,INDEX(S$8:S$11,MATCH($L266,$L$8:$L$11,0)),1,IF(S$18="China",'China Holidays'!$A$2:$A$82,'Thai Holidays'!$A$2:$A$63))</f>
        <v>46165</v>
      </c>
      <c r="T266" s="404">
        <f>O266+14+2</f>
        <v>46178</v>
      </c>
      <c r="U266" s="404">
        <f>T266</f>
        <v>46178</v>
      </c>
      <c r="V266" s="404">
        <f>U266+3</f>
        <v>46181</v>
      </c>
      <c r="W266" s="404">
        <f>V266+2</f>
        <v>46183</v>
      </c>
      <c r="X266" s="404">
        <f>WORKDAY.INTL(W266,INDEX(X$12:X$15,MATCH($L266,$L$12:$L$15,0)),1,IF(X$18="China",'China Holidays'!$A$2:$A$82,'Thai Holidays'!$A$2:$A$63))</f>
        <v>46185</v>
      </c>
      <c r="Y266" s="404">
        <f>X266+5</f>
        <v>46190</v>
      </c>
      <c r="Z266" s="404">
        <f>Y266</f>
        <v>46190</v>
      </c>
      <c r="AA266" s="404">
        <f>Y266</f>
        <v>46190</v>
      </c>
      <c r="AB266" s="404">
        <f>AA266</f>
        <v>46190</v>
      </c>
      <c r="AC266" s="404">
        <f>AA266+5</f>
        <v>46195</v>
      </c>
      <c r="AD266" s="404">
        <f>AC266+2</f>
        <v>46197</v>
      </c>
      <c r="AE266" s="404">
        <f>AF266-7</f>
        <v>46263</v>
      </c>
      <c r="AF266" s="404">
        <f>AG266-3</f>
        <v>46270</v>
      </c>
      <c r="AG266" s="404">
        <f>AL266</f>
        <v>46273</v>
      </c>
      <c r="AH266" s="404">
        <f>AL266+14</f>
        <v>46287</v>
      </c>
      <c r="AI266" s="404">
        <f>AL266+30</f>
        <v>46303</v>
      </c>
      <c r="AJ266" s="375"/>
      <c r="AK266" s="384">
        <v>90</v>
      </c>
      <c r="AL266" s="404">
        <f>W266+AK266</f>
        <v>46273</v>
      </c>
      <c r="AM266" s="405">
        <v>46322</v>
      </c>
      <c r="AN266" s="405"/>
      <c r="AO266" s="405"/>
      <c r="AP266" s="405"/>
      <c r="AQ266" s="436">
        <f>AM266-AL266</f>
        <v>49</v>
      </c>
      <c r="AR266" s="441"/>
      <c r="AS266" s="442"/>
      <c r="AT266" s="443" t="s">
        <v>255</v>
      </c>
    </row>
    <row r="267" spans="1:46" s="267" customFormat="1" ht="25.05" customHeight="1">
      <c r="A267" s="496"/>
      <c r="B267" s="385" t="s">
        <v>253</v>
      </c>
      <c r="C267" s="385" t="s">
        <v>254</v>
      </c>
      <c r="D267" s="444"/>
      <c r="E267" s="546"/>
      <c r="F267" s="444"/>
      <c r="G267" s="445"/>
      <c r="H267" s="388"/>
      <c r="I267" s="387" t="s">
        <v>231</v>
      </c>
      <c r="J267" s="385" t="s">
        <v>60</v>
      </c>
      <c r="K267" s="374">
        <v>2</v>
      </c>
      <c r="L267" s="385" t="s">
        <v>6</v>
      </c>
      <c r="M267" s="389" t="s">
        <v>67</v>
      </c>
      <c r="N267" s="387"/>
      <c r="O267" s="390"/>
      <c r="P267" s="390"/>
      <c r="Q267" s="390"/>
      <c r="R267" s="390"/>
      <c r="S267" s="390"/>
      <c r="T267" s="390"/>
      <c r="U267" s="390"/>
      <c r="V267" s="390"/>
      <c r="W267" s="387"/>
      <c r="X267" s="390"/>
      <c r="Y267" s="390"/>
      <c r="Z267" s="390"/>
      <c r="AA267" s="390"/>
      <c r="AB267" s="390"/>
      <c r="AC267" s="390"/>
      <c r="AD267" s="390"/>
      <c r="AE267" s="390"/>
      <c r="AF267" s="390"/>
      <c r="AG267" s="390"/>
      <c r="AH267" s="390"/>
      <c r="AI267" s="390"/>
      <c r="AJ267" s="386"/>
      <c r="AK267" s="391"/>
      <c r="AL267" s="390"/>
      <c r="AM267" s="392"/>
      <c r="AN267" s="392"/>
      <c r="AO267" s="392"/>
      <c r="AP267" s="392"/>
      <c r="AQ267" s="445"/>
      <c r="AR267" s="446"/>
      <c r="AS267" s="447"/>
      <c r="AT267" s="347"/>
    </row>
    <row r="268" spans="1:46" s="264" customFormat="1" ht="25.05" customHeight="1">
      <c r="A268" s="493">
        <f>A265+1</f>
        <v>64</v>
      </c>
      <c r="B268" s="308" t="s">
        <v>256</v>
      </c>
      <c r="C268" s="308" t="s">
        <v>257</v>
      </c>
      <c r="D268" s="433"/>
      <c r="E268" s="545">
        <v>8.5714285714285694</v>
      </c>
      <c r="F268" s="433"/>
      <c r="G268" s="311"/>
      <c r="H268" s="310"/>
      <c r="I268" s="311" t="s">
        <v>231</v>
      </c>
      <c r="J268" s="308" t="s">
        <v>60</v>
      </c>
      <c r="K268" s="312">
        <f>K271</f>
        <v>2</v>
      </c>
      <c r="L268" s="308" t="s">
        <v>6</v>
      </c>
      <c r="M268" s="313" t="s">
        <v>61</v>
      </c>
      <c r="N268" s="364">
        <f>WORKDAY.INTL(O268,-INDEX(O$12:O$15,MATCH($L268,$L$12:$L$15,0)),1,IF(N$18="China",'China Holidays'!$A$2:$A$82,'Thai Holidays'!$A$2:$A$63))</f>
        <v>46164</v>
      </c>
      <c r="O268" s="350">
        <v>46167</v>
      </c>
      <c r="P268" s="350">
        <v>46167</v>
      </c>
      <c r="Q268" s="350">
        <v>46168</v>
      </c>
      <c r="R268" s="350">
        <v>46171</v>
      </c>
      <c r="S268" s="350">
        <v>46172</v>
      </c>
      <c r="T268" s="350">
        <v>46175</v>
      </c>
      <c r="U268" s="350">
        <v>46178</v>
      </c>
      <c r="V268" s="350">
        <v>46182</v>
      </c>
      <c r="W268" s="350">
        <v>46183</v>
      </c>
      <c r="X268" s="350">
        <f>W268+2</f>
        <v>46185</v>
      </c>
      <c r="Y268" s="350">
        <v>46190</v>
      </c>
      <c r="Z268" s="350">
        <f>Y268</f>
        <v>46190</v>
      </c>
      <c r="AA268" s="350">
        <f>Y268</f>
        <v>46190</v>
      </c>
      <c r="AB268" s="350">
        <v>46190</v>
      </c>
      <c r="AC268" s="350">
        <v>46195</v>
      </c>
      <c r="AD268" s="350">
        <v>46197</v>
      </c>
      <c r="AE268" s="350">
        <v>46233</v>
      </c>
      <c r="AF268" s="350">
        <v>46240</v>
      </c>
      <c r="AG268" s="350">
        <v>46243</v>
      </c>
      <c r="AH268" s="350">
        <v>46257</v>
      </c>
      <c r="AI268" s="350">
        <v>46273</v>
      </c>
      <c r="AJ268" s="316">
        <v>8.5714285714285694</v>
      </c>
      <c r="AK268" s="351"/>
      <c r="AL268" s="350" t="str">
        <f>TEXT(AL270,"d-mmm-yy")</f>
        <v>25-Dec-26</v>
      </c>
      <c r="AM268" s="327"/>
      <c r="AN268" s="327"/>
      <c r="AO268" s="327"/>
      <c r="AP268" s="327"/>
      <c r="AQ268" s="311"/>
      <c r="AR268" s="329"/>
      <c r="AS268" s="330" t="s">
        <v>62</v>
      </c>
      <c r="AT268" s="331">
        <v>46464</v>
      </c>
    </row>
    <row r="269" spans="1:46" s="264" customFormat="1" ht="25.05" customHeight="1">
      <c r="A269" s="491"/>
      <c r="B269" s="308" t="str">
        <f>B268</f>
        <v>RFQ-STR-064</v>
      </c>
      <c r="C269" s="308" t="str">
        <f>C268</f>
        <v>Primary Steel - Plates for Pile</v>
      </c>
      <c r="D269" s="414"/>
      <c r="E269" s="542"/>
      <c r="F269" s="416"/>
      <c r="G269" s="311"/>
      <c r="H269" s="310"/>
      <c r="I269" s="311" t="s">
        <v>231</v>
      </c>
      <c r="J269" s="308"/>
      <c r="K269" s="322"/>
      <c r="L269" s="308"/>
      <c r="M269" s="323" t="s">
        <v>63</v>
      </c>
      <c r="N269" s="367"/>
      <c r="O269" s="325">
        <v>46300</v>
      </c>
      <c r="P269" s="325">
        <v>46315</v>
      </c>
      <c r="Q269" s="325">
        <v>46315</v>
      </c>
      <c r="R269" s="325">
        <v>46315</v>
      </c>
      <c r="S269" s="325">
        <v>46315</v>
      </c>
      <c r="T269" s="325">
        <v>46314</v>
      </c>
      <c r="U269" s="325">
        <v>46316</v>
      </c>
      <c r="V269" s="325">
        <v>46319</v>
      </c>
      <c r="W269" s="325">
        <v>46321</v>
      </c>
      <c r="X269" s="325">
        <v>46323</v>
      </c>
      <c r="Y269" s="325">
        <v>46328</v>
      </c>
      <c r="Z269" s="325">
        <v>46338</v>
      </c>
      <c r="AA269" s="325">
        <v>46348</v>
      </c>
      <c r="AB269" s="325">
        <v>46355</v>
      </c>
      <c r="AC269" s="325">
        <v>46353</v>
      </c>
      <c r="AD269" s="325">
        <v>46355</v>
      </c>
      <c r="AE269" s="325">
        <v>46371</v>
      </c>
      <c r="AF269" s="325">
        <v>46378</v>
      </c>
      <c r="AG269" s="325">
        <v>46381</v>
      </c>
      <c r="AH269" s="325">
        <v>46395</v>
      </c>
      <c r="AI269" s="325">
        <v>46411</v>
      </c>
      <c r="AJ269" s="316"/>
      <c r="AK269" s="326"/>
      <c r="AL269" s="325">
        <f>W269+AK270</f>
        <v>46381</v>
      </c>
      <c r="AM269" s="327"/>
      <c r="AN269" s="327"/>
      <c r="AO269" s="327"/>
      <c r="AP269" s="327"/>
      <c r="AQ269" s="328">
        <f>AM270-AL269</f>
        <v>76</v>
      </c>
      <c r="AR269" s="329"/>
      <c r="AS269" s="330"/>
      <c r="AT269" s="331"/>
    </row>
    <row r="270" spans="1:46" s="264" customFormat="1" ht="25.05" customHeight="1">
      <c r="A270" s="491"/>
      <c r="B270" s="308" t="str">
        <f>B268</f>
        <v>RFQ-STR-064</v>
      </c>
      <c r="C270" s="308" t="s">
        <v>257</v>
      </c>
      <c r="D270" s="417"/>
      <c r="E270" s="542"/>
      <c r="F270" s="417"/>
      <c r="G270" s="311">
        <v>81</v>
      </c>
      <c r="H270" s="310" t="s">
        <v>258</v>
      </c>
      <c r="I270" s="311" t="s">
        <v>231</v>
      </c>
      <c r="J270" s="308" t="s">
        <v>60</v>
      </c>
      <c r="K270" s="308">
        <f>K271</f>
        <v>2</v>
      </c>
      <c r="L270" s="308" t="s">
        <v>6</v>
      </c>
      <c r="M270" s="313" t="s">
        <v>65</v>
      </c>
      <c r="N270" s="350">
        <v>46120</v>
      </c>
      <c r="O270" s="350">
        <v>46300</v>
      </c>
      <c r="P270" s="350">
        <f>WORKDAY.INTL(O270,INDEX(P$8:P$11,MATCH($L270,$L$8:$L$11,0)),1,IF(P$18="China",'China Holidays'!$A$2:$A$82,'Thai Holidays'!$A$2:$A$63))</f>
        <v>46315</v>
      </c>
      <c r="Q270" s="350">
        <f>WORKDAY.INTL(P270,INDEX(Q$8:Q$11,MATCH($L270,$L$8:$L$11,0)),1,IF(Q$18="China",'China Holidays'!$A$2:$A$82,'Thai Holidays'!$A$2:$A$63))</f>
        <v>46315</v>
      </c>
      <c r="R270" s="350">
        <f>WORKDAY.INTL(Q270,INDEX(R$8:R$11,MATCH($L270,$L$8:$L$11,0)),1,IF(R$18="China",'China Holidays'!$A$2:$A$82,'Thai Holidays'!$A$2:$A$63))</f>
        <v>46315</v>
      </c>
      <c r="S270" s="350">
        <f>WORKDAY.INTL(R270,INDEX(S$8:S$11,MATCH($L270,$L$8:$L$11,0)),1,IF(S$18="China",'China Holidays'!$A$2:$A$82,'Thai Holidays'!$A$2:$A$63))</f>
        <v>46315</v>
      </c>
      <c r="T270" s="350">
        <f>O270+14</f>
        <v>46314</v>
      </c>
      <c r="U270" s="350">
        <f>T270+2</f>
        <v>46316</v>
      </c>
      <c r="V270" s="350">
        <f>U270+3</f>
        <v>46319</v>
      </c>
      <c r="W270" s="350">
        <f>V270+2</f>
        <v>46321</v>
      </c>
      <c r="X270" s="350">
        <f>W270+2</f>
        <v>46323</v>
      </c>
      <c r="Y270" s="350">
        <f>X270+5</f>
        <v>46328</v>
      </c>
      <c r="Z270" s="350">
        <f>Y270+10</f>
        <v>46338</v>
      </c>
      <c r="AA270" s="350">
        <f>Z270+10</f>
        <v>46348</v>
      </c>
      <c r="AB270" s="350">
        <f>AA270+7</f>
        <v>46355</v>
      </c>
      <c r="AC270" s="350">
        <f>AA270+5</f>
        <v>46353</v>
      </c>
      <c r="AD270" s="350">
        <f>AC270+2</f>
        <v>46355</v>
      </c>
      <c r="AE270" s="350">
        <f>AF270-7</f>
        <v>46371</v>
      </c>
      <c r="AF270" s="350">
        <f>AG270-3</f>
        <v>46378</v>
      </c>
      <c r="AG270" s="350">
        <f>AL270</f>
        <v>46381</v>
      </c>
      <c r="AH270" s="350">
        <f>AL270+14</f>
        <v>46395</v>
      </c>
      <c r="AI270" s="350">
        <f>AL270+30</f>
        <v>46411</v>
      </c>
      <c r="AJ270" s="362"/>
      <c r="AK270" s="326">
        <f>AJ268*7</f>
        <v>59.999999999999986</v>
      </c>
      <c r="AL270" s="350">
        <f>W270+AK270</f>
        <v>46381</v>
      </c>
      <c r="AM270" s="327">
        <f>AT268-7</f>
        <v>46457</v>
      </c>
      <c r="AN270" s="327">
        <f>AO270-3</f>
        <v>46432</v>
      </c>
      <c r="AO270" s="327">
        <v>46435</v>
      </c>
      <c r="AP270" s="327"/>
      <c r="AQ270" s="311">
        <f>AM270-AL270</f>
        <v>76</v>
      </c>
      <c r="AR270" s="329"/>
      <c r="AS270" s="330" t="s">
        <v>66</v>
      </c>
      <c r="AT270" s="331">
        <v>46521</v>
      </c>
    </row>
    <row r="271" spans="1:46" s="264" customFormat="1" ht="25.05" customHeight="1">
      <c r="A271" s="492"/>
      <c r="B271" s="337" t="str">
        <f>B268</f>
        <v>RFQ-STR-064</v>
      </c>
      <c r="C271" s="337" t="s">
        <v>257</v>
      </c>
      <c r="D271" s="400"/>
      <c r="E271" s="546"/>
      <c r="F271" s="400"/>
      <c r="G271" s="340"/>
      <c r="H271" s="339"/>
      <c r="I271" s="340" t="s">
        <v>231</v>
      </c>
      <c r="J271" s="337" t="s">
        <v>60</v>
      </c>
      <c r="K271" s="308">
        <v>2</v>
      </c>
      <c r="L271" s="337" t="s">
        <v>6</v>
      </c>
      <c r="M271" s="341" t="s">
        <v>67</v>
      </c>
      <c r="N271" s="350">
        <v>46120</v>
      </c>
      <c r="O271" s="343">
        <v>46162</v>
      </c>
      <c r="P271" s="343">
        <v>46175</v>
      </c>
      <c r="Q271" s="343">
        <v>46175</v>
      </c>
      <c r="R271" s="343">
        <v>46179</v>
      </c>
      <c r="S271" s="343">
        <v>46179</v>
      </c>
      <c r="T271" s="343">
        <v>46179</v>
      </c>
      <c r="U271" s="343">
        <v>46185</v>
      </c>
      <c r="V271" s="343">
        <v>46190</v>
      </c>
      <c r="W271" s="340">
        <f>W268-W270</f>
        <v>-138</v>
      </c>
      <c r="X271" s="343"/>
      <c r="Y271" s="343"/>
      <c r="Z271" s="343"/>
      <c r="AA271" s="343"/>
      <c r="AB271" s="343"/>
      <c r="AC271" s="343"/>
      <c r="AD271" s="343"/>
      <c r="AE271" s="343"/>
      <c r="AF271" s="343"/>
      <c r="AG271" s="343"/>
      <c r="AH271" s="343"/>
      <c r="AI271" s="343"/>
      <c r="AJ271" s="353"/>
      <c r="AK271" s="354"/>
      <c r="AL271" s="343"/>
      <c r="AM271" s="355"/>
      <c r="AN271" s="355"/>
      <c r="AO271" s="355"/>
      <c r="AP271" s="355"/>
      <c r="AQ271" s="340"/>
      <c r="AR271" s="356"/>
      <c r="AS271" s="357"/>
      <c r="AT271" s="356"/>
    </row>
    <row r="272" spans="1:46" s="264" customFormat="1" ht="25.05" customHeight="1">
      <c r="A272" s="493">
        <f>A268+1</f>
        <v>65</v>
      </c>
      <c r="B272" s="308" t="s">
        <v>259</v>
      </c>
      <c r="C272" s="308" t="s">
        <v>260</v>
      </c>
      <c r="D272" s="433"/>
      <c r="E272" s="545">
        <v>12.8571428571429</v>
      </c>
      <c r="F272" s="433"/>
      <c r="G272" s="311"/>
      <c r="H272" s="310"/>
      <c r="I272" s="311" t="s">
        <v>231</v>
      </c>
      <c r="J272" s="308" t="s">
        <v>60</v>
      </c>
      <c r="K272" s="312">
        <f>K275</f>
        <v>2</v>
      </c>
      <c r="L272" s="308" t="s">
        <v>6</v>
      </c>
      <c r="M272" s="313" t="s">
        <v>61</v>
      </c>
      <c r="N272" s="364">
        <f>WORKDAY.INTL(O272,-INDEX(O$12:O$15,MATCH($L272,$L$12:$L$15,0)),1,IF(N$18="China",'China Holidays'!$A$2:$A$82,'Thai Holidays'!$A$2:$A$63))</f>
        <v>46164</v>
      </c>
      <c r="O272" s="350">
        <v>46167</v>
      </c>
      <c r="P272" s="350">
        <v>46167</v>
      </c>
      <c r="Q272" s="350">
        <v>46168</v>
      </c>
      <c r="R272" s="350">
        <v>46171</v>
      </c>
      <c r="S272" s="350">
        <v>46172</v>
      </c>
      <c r="T272" s="350">
        <v>46175</v>
      </c>
      <c r="U272" s="350">
        <v>46178</v>
      </c>
      <c r="V272" s="350">
        <v>46182</v>
      </c>
      <c r="W272" s="350">
        <v>46183</v>
      </c>
      <c r="X272" s="350">
        <f>W272+2</f>
        <v>46185</v>
      </c>
      <c r="Y272" s="350">
        <v>46190</v>
      </c>
      <c r="Z272" s="350">
        <v>46190</v>
      </c>
      <c r="AA272" s="350">
        <v>46190</v>
      </c>
      <c r="AB272" s="350">
        <v>46190</v>
      </c>
      <c r="AC272" s="350">
        <v>46195</v>
      </c>
      <c r="AD272" s="350">
        <v>46197</v>
      </c>
      <c r="AE272" s="350">
        <v>46263</v>
      </c>
      <c r="AF272" s="350">
        <v>46270</v>
      </c>
      <c r="AG272" s="350">
        <v>46273</v>
      </c>
      <c r="AH272" s="350">
        <v>46287</v>
      </c>
      <c r="AI272" s="350">
        <v>46303</v>
      </c>
      <c r="AJ272" s="316">
        <v>12.8571428571429</v>
      </c>
      <c r="AK272" s="351"/>
      <c r="AL272" s="350" t="str">
        <f>TEXT(AL274,"d-mmm-yy")</f>
        <v>4-Feb-27</v>
      </c>
      <c r="AM272" s="327"/>
      <c r="AN272" s="327"/>
      <c r="AO272" s="327"/>
      <c r="AP272" s="327"/>
      <c r="AQ272" s="311"/>
      <c r="AR272" s="329"/>
      <c r="AS272" s="330" t="s">
        <v>62</v>
      </c>
      <c r="AT272" s="331">
        <v>46464</v>
      </c>
    </row>
    <row r="273" spans="1:46" s="264" customFormat="1" ht="25.05" customHeight="1">
      <c r="A273" s="491"/>
      <c r="B273" s="308" t="str">
        <f>B272</f>
        <v>RFQ-STR-065</v>
      </c>
      <c r="C273" s="308" t="str">
        <f>C272</f>
        <v>Primary Steel -Tubular for Pile</v>
      </c>
      <c r="D273" s="414"/>
      <c r="E273" s="542"/>
      <c r="F273" s="416"/>
      <c r="G273" s="311"/>
      <c r="H273" s="310"/>
      <c r="I273" s="311" t="s">
        <v>231</v>
      </c>
      <c r="J273" s="308"/>
      <c r="K273" s="322"/>
      <c r="L273" s="308"/>
      <c r="M273" s="323" t="s">
        <v>63</v>
      </c>
      <c r="N273" s="367"/>
      <c r="O273" s="325">
        <v>46309</v>
      </c>
      <c r="P273" s="325">
        <v>46324</v>
      </c>
      <c r="Q273" s="325">
        <v>46324</v>
      </c>
      <c r="R273" s="325">
        <v>46324</v>
      </c>
      <c r="S273" s="325">
        <v>46324</v>
      </c>
      <c r="T273" s="325">
        <v>46325</v>
      </c>
      <c r="U273" s="325">
        <v>46327</v>
      </c>
      <c r="V273" s="325">
        <v>46330</v>
      </c>
      <c r="W273" s="325">
        <v>46332</v>
      </c>
      <c r="X273" s="325">
        <v>46334</v>
      </c>
      <c r="Y273" s="325">
        <v>46339</v>
      </c>
      <c r="Z273" s="325">
        <v>46349</v>
      </c>
      <c r="AA273" s="325">
        <v>46359</v>
      </c>
      <c r="AB273" s="325">
        <v>46366</v>
      </c>
      <c r="AC273" s="325">
        <v>46364</v>
      </c>
      <c r="AD273" s="325">
        <v>46381</v>
      </c>
      <c r="AE273" s="325">
        <v>46412</v>
      </c>
      <c r="AF273" s="325">
        <v>46419</v>
      </c>
      <c r="AG273" s="325">
        <v>46422</v>
      </c>
      <c r="AH273" s="325">
        <v>46436</v>
      </c>
      <c r="AI273" s="325">
        <v>46452</v>
      </c>
      <c r="AJ273" s="316"/>
      <c r="AK273" s="326"/>
      <c r="AL273" s="325">
        <f>W273+AK274</f>
        <v>46422</v>
      </c>
      <c r="AM273" s="327"/>
      <c r="AN273" s="327"/>
      <c r="AO273" s="327"/>
      <c r="AP273" s="327"/>
      <c r="AQ273" s="328">
        <f>AM274-AL273</f>
        <v>35</v>
      </c>
      <c r="AR273" s="329"/>
      <c r="AS273" s="330"/>
      <c r="AT273" s="331"/>
    </row>
    <row r="274" spans="1:46" s="264" customFormat="1" ht="25.05" customHeight="1">
      <c r="A274" s="491"/>
      <c r="B274" s="308" t="str">
        <f>B272</f>
        <v>RFQ-STR-065</v>
      </c>
      <c r="C274" s="308" t="s">
        <v>260</v>
      </c>
      <c r="D274" s="417"/>
      <c r="E274" s="542"/>
      <c r="F274" s="417"/>
      <c r="G274" s="311">
        <v>35</v>
      </c>
      <c r="H274" s="310" t="s">
        <v>258</v>
      </c>
      <c r="I274" s="311" t="s">
        <v>231</v>
      </c>
      <c r="J274" s="308" t="s">
        <v>60</v>
      </c>
      <c r="K274" s="308">
        <f>K275</f>
        <v>2</v>
      </c>
      <c r="L274" s="308" t="s">
        <v>6</v>
      </c>
      <c r="M274" s="313" t="s">
        <v>65</v>
      </c>
      <c r="N274" s="350">
        <f>N272</f>
        <v>46164</v>
      </c>
      <c r="O274" s="350">
        <f>T274-14-2</f>
        <v>46309</v>
      </c>
      <c r="P274" s="350">
        <f>WORKDAY.INTL(O274,INDEX(P$8:P$11,MATCH($L274,$L$8:$L$11,0)),1,IF(P$18="China",'China Holidays'!$A$2:$A$82,'Thai Holidays'!$A$2:$A$63))</f>
        <v>46324</v>
      </c>
      <c r="Q274" s="350">
        <f>WORKDAY.INTL(P274,INDEX(Q$8:Q$11,MATCH($L274,$L$8:$L$11,0)),1,IF(Q$18="China",'China Holidays'!$A$2:$A$82,'Thai Holidays'!$A$2:$A$63))</f>
        <v>46324</v>
      </c>
      <c r="R274" s="350">
        <f>WORKDAY.INTL(Q274,INDEX(R$8:R$11,MATCH($L274,$L$8:$L$11,0)),1,IF(R$18="China",'China Holidays'!$A$2:$A$82,'Thai Holidays'!$A$2:$A$63))</f>
        <v>46324</v>
      </c>
      <c r="S274" s="350">
        <f>WORKDAY.INTL(R274,INDEX(S$8:S$11,MATCH($L274,$L$8:$L$11,0)),1,IF(S$18="China",'China Holidays'!$A$2:$A$82,'Thai Holidays'!$A$2:$A$63))</f>
        <v>46324</v>
      </c>
      <c r="T274" s="350">
        <f>U274-2</f>
        <v>46325</v>
      </c>
      <c r="U274" s="350">
        <f>V274-3</f>
        <v>46327</v>
      </c>
      <c r="V274" s="350">
        <f>W274-2</f>
        <v>46330</v>
      </c>
      <c r="W274" s="350">
        <f>X274-2</f>
        <v>46332</v>
      </c>
      <c r="X274" s="350">
        <f>Y274-5</f>
        <v>46334</v>
      </c>
      <c r="Y274" s="350">
        <f>Z274-10</f>
        <v>46339</v>
      </c>
      <c r="Z274" s="350">
        <f>AA274-10</f>
        <v>46349</v>
      </c>
      <c r="AA274" s="350">
        <f>AB274-7</f>
        <v>46359</v>
      </c>
      <c r="AB274" s="350">
        <v>46366</v>
      </c>
      <c r="AC274" s="350">
        <f>AA274+5</f>
        <v>46364</v>
      </c>
      <c r="AD274" s="350">
        <f>AG270</f>
        <v>46381</v>
      </c>
      <c r="AE274" s="350">
        <f>AF274-7</f>
        <v>46412</v>
      </c>
      <c r="AF274" s="350">
        <f>AG274-3</f>
        <v>46419</v>
      </c>
      <c r="AG274" s="350">
        <f>AL274</f>
        <v>46422</v>
      </c>
      <c r="AH274" s="350">
        <f>AL274+14</f>
        <v>46436</v>
      </c>
      <c r="AI274" s="350">
        <f>AL274+30</f>
        <v>46452</v>
      </c>
      <c r="AJ274" s="362"/>
      <c r="AK274" s="326">
        <f>AJ272*7</f>
        <v>90.000000000000298</v>
      </c>
      <c r="AL274" s="350">
        <f>W274+AK274</f>
        <v>46422</v>
      </c>
      <c r="AM274" s="327">
        <f>AT272-7</f>
        <v>46457</v>
      </c>
      <c r="AN274" s="327">
        <f>AO274-3</f>
        <v>46440</v>
      </c>
      <c r="AO274" s="327">
        <v>46443</v>
      </c>
      <c r="AP274" s="327"/>
      <c r="AQ274" s="311">
        <f>AM274-AL274</f>
        <v>35</v>
      </c>
      <c r="AR274" s="329"/>
      <c r="AS274" s="330" t="s">
        <v>66</v>
      </c>
      <c r="AT274" s="331">
        <v>46521</v>
      </c>
    </row>
    <row r="275" spans="1:46" s="264" customFormat="1" ht="25.05" customHeight="1">
      <c r="A275" s="492"/>
      <c r="B275" s="337" t="str">
        <f>B272</f>
        <v>RFQ-STR-065</v>
      </c>
      <c r="C275" s="337" t="s">
        <v>260</v>
      </c>
      <c r="D275" s="400"/>
      <c r="E275" s="546"/>
      <c r="F275" s="400"/>
      <c r="G275" s="340"/>
      <c r="H275" s="339"/>
      <c r="I275" s="340" t="s">
        <v>231</v>
      </c>
      <c r="J275" s="337" t="s">
        <v>60</v>
      </c>
      <c r="K275" s="308">
        <v>2</v>
      </c>
      <c r="L275" s="337" t="s">
        <v>6</v>
      </c>
      <c r="M275" s="341" t="s">
        <v>67</v>
      </c>
      <c r="N275" s="340"/>
      <c r="O275" s="343">
        <v>46163</v>
      </c>
      <c r="P275" s="343">
        <v>46179</v>
      </c>
      <c r="Q275" s="343">
        <v>46179</v>
      </c>
      <c r="R275" s="343">
        <v>46179</v>
      </c>
      <c r="S275" s="343">
        <v>46179</v>
      </c>
      <c r="T275" s="343">
        <v>46179</v>
      </c>
      <c r="U275" s="343">
        <v>46185</v>
      </c>
      <c r="V275" s="343"/>
      <c r="W275" s="340">
        <f>W272-W274</f>
        <v>-149</v>
      </c>
      <c r="X275" s="343"/>
      <c r="Y275" s="343"/>
      <c r="Z275" s="343"/>
      <c r="AA275" s="343"/>
      <c r="AB275" s="343"/>
      <c r="AC275" s="343"/>
      <c r="AD275" s="343"/>
      <c r="AE275" s="343"/>
      <c r="AF275" s="343"/>
      <c r="AG275" s="343"/>
      <c r="AH275" s="343"/>
      <c r="AI275" s="343"/>
      <c r="AJ275" s="353"/>
      <c r="AK275" s="354"/>
      <c r="AL275" s="343"/>
      <c r="AM275" s="355"/>
      <c r="AN275" s="355"/>
      <c r="AO275" s="355"/>
      <c r="AP275" s="355"/>
      <c r="AQ275" s="340"/>
      <c r="AR275" s="356"/>
      <c r="AS275" s="357"/>
      <c r="AT275" s="356"/>
    </row>
    <row r="276" spans="1:46" s="269" customFormat="1" ht="25.05" customHeight="1">
      <c r="A276" s="494">
        <f>A272+1</f>
        <v>66</v>
      </c>
      <c r="B276" s="374" t="s">
        <v>261</v>
      </c>
      <c r="C276" s="374" t="s">
        <v>262</v>
      </c>
      <c r="D276" s="448"/>
      <c r="E276" s="545">
        <v>24</v>
      </c>
      <c r="F276" s="448"/>
      <c r="G276" s="436"/>
      <c r="H276" s="376"/>
      <c r="I276" s="402" t="s">
        <v>83</v>
      </c>
      <c r="J276" s="374" t="s">
        <v>60</v>
      </c>
      <c r="K276" s="377">
        <f>K278</f>
        <v>3</v>
      </c>
      <c r="L276" s="374" t="s">
        <v>6</v>
      </c>
      <c r="M276" s="378" t="s">
        <v>61</v>
      </c>
      <c r="N276" s="403">
        <f>WORKDAY.INTL(O276,-INDEX(O$12:O$15,MATCH($L276,$L$12:$L$15,0)),1,IF(N$18="China",'China Holidays'!$A$2:$A$82,'Thai Holidays'!$A$2:$A$63))</f>
        <v>46164</v>
      </c>
      <c r="O276" s="404">
        <v>46167</v>
      </c>
      <c r="P276" s="404">
        <v>46175</v>
      </c>
      <c r="Q276" s="404">
        <v>46176</v>
      </c>
      <c r="R276" s="404">
        <v>46183</v>
      </c>
      <c r="S276" s="404">
        <f>R276+1</f>
        <v>46184</v>
      </c>
      <c r="T276" s="404">
        <v>46198</v>
      </c>
      <c r="U276" s="404">
        <v>46226</v>
      </c>
      <c r="V276" s="404">
        <v>46233</v>
      </c>
      <c r="W276" s="404">
        <v>46247</v>
      </c>
      <c r="X276" s="404">
        <v>46251</v>
      </c>
      <c r="Y276" s="404">
        <v>46258</v>
      </c>
      <c r="Z276" s="404">
        <v>46286</v>
      </c>
      <c r="AA276" s="404">
        <v>46300</v>
      </c>
      <c r="AB276" s="404">
        <v>46330</v>
      </c>
      <c r="AC276" s="404">
        <v>46330</v>
      </c>
      <c r="AD276" s="404">
        <v>46332</v>
      </c>
      <c r="AE276" s="404">
        <v>46401</v>
      </c>
      <c r="AF276" s="404">
        <v>46408</v>
      </c>
      <c r="AG276" s="404">
        <v>46415</v>
      </c>
      <c r="AH276" s="404">
        <v>46429</v>
      </c>
      <c r="AI276" s="404">
        <v>46445</v>
      </c>
      <c r="AJ276" s="401">
        <v>24</v>
      </c>
      <c r="AK276" s="381"/>
      <c r="AL276" s="404" t="str">
        <f>TEXT(AL277,"d-mmm-yy")</f>
        <v>28-Jan-27</v>
      </c>
      <c r="AM276" s="405"/>
      <c r="AN276" s="405"/>
      <c r="AO276" s="405"/>
      <c r="AP276" s="405"/>
      <c r="AQ276" s="436"/>
      <c r="AR276" s="437"/>
      <c r="AS276" s="438"/>
      <c r="AT276" s="439"/>
    </row>
    <row r="277" spans="1:46" s="269" customFormat="1" ht="25.05" customHeight="1">
      <c r="A277" s="495"/>
      <c r="B277" s="374" t="s">
        <v>261</v>
      </c>
      <c r="C277" s="374" t="s">
        <v>262</v>
      </c>
      <c r="D277" s="449"/>
      <c r="E277" s="543"/>
      <c r="F277" s="449"/>
      <c r="G277" s="436">
        <v>4</v>
      </c>
      <c r="H277" s="376" t="s">
        <v>263</v>
      </c>
      <c r="I277" s="402" t="s">
        <v>83</v>
      </c>
      <c r="J277" s="374" t="s">
        <v>60</v>
      </c>
      <c r="K277" s="374">
        <f>K278</f>
        <v>3</v>
      </c>
      <c r="L277" s="374" t="s">
        <v>6</v>
      </c>
      <c r="M277" s="378" t="s">
        <v>65</v>
      </c>
      <c r="N277" s="404">
        <v>46161</v>
      </c>
      <c r="O277" s="450">
        <f>WORKDAY.INTL(N277,INDEX(O$8:O$11,MATCH($L277,$L$8:$L$11,0)),1,IF(O$18="China",'China Holidays'!$A$2:$A$82,'Thai Holidays'!$A$2:$A$63))</f>
        <v>46162</v>
      </c>
      <c r="P277" s="450">
        <f>WORKDAY.INTL(O277,INDEX(P$8:P$11,MATCH($L277,$L$8:$L$11,0)),1,IF(P$18="China",'China Holidays'!$A$2:$A$82,'Thai Holidays'!$A$2:$A$63))</f>
        <v>46178</v>
      </c>
      <c r="Q277" s="450">
        <f>WORKDAY.INTL(P277,INDEX(Q$8:Q$11,MATCH($L277,$L$8:$L$11,0)),1,IF(Q$18="China",'China Holidays'!$A$2:$A$82,'Thai Holidays'!$A$2:$A$63))</f>
        <v>46178</v>
      </c>
      <c r="R277" s="450">
        <f>WORKDAY.INTL(Q277,INDEX(R$8:R$11,MATCH($L277,$L$8:$L$11,0)),1,IF(R$18="China",'China Holidays'!$A$2:$A$82,'Thai Holidays'!$A$2:$A$63))</f>
        <v>46178</v>
      </c>
      <c r="S277" s="450">
        <f>WORKDAY.INTL(R277,INDEX(S$8:S$11,MATCH($L277,$L$8:$L$11,0)),1,IF(S$18="China",'China Holidays'!$A$2:$A$82,'Thai Holidays'!$A$2:$A$63))</f>
        <v>46178</v>
      </c>
      <c r="T277" s="450">
        <f>WORKDAY.INTL(S277,INDEX(T$8:T$11,MATCH($L277,$L$8:$L$11,0)),1,IF(T$18="China",'China Holidays'!$A$2:$A$82,'Thai Holidays'!$A$2:$A$63))</f>
        <v>46195</v>
      </c>
      <c r="U277" s="450">
        <f>WORKDAY.INTL(T277,INDEX(U$8:U$11,MATCH($L277,$L$8:$L$11,0)),1,IF(U$18="China",'China Holidays'!$A$2:$A$82,'Thai Holidays'!$A$2:$A$63))</f>
        <v>46218</v>
      </c>
      <c r="V277" s="450">
        <f>WORKDAY.INTL(U277,INDEX(V$8:V$11,MATCH($L277,$L$8:$L$11,0)),1,IF(V$18="China",'China Holidays'!$A$2:$A$82,'Thai Holidays'!$A$2:$A$63))</f>
        <v>46234</v>
      </c>
      <c r="W277" s="450">
        <f>WORKDAY.INTL(V277,INDEX(W$8:W$11,MATCH($L277,$L$8:$L$11,0)),1,IF(W$18="China",'China Holidays'!$A$2:$A$82,'Thai Holidays'!$A$2:$A$63))</f>
        <v>46247</v>
      </c>
      <c r="X277" s="404">
        <f>WORKDAY.INTL(W277,INDEX(X$12:X$15,MATCH($L277,$L$12:$L$15,0)),1,IF(X$18="China",'China Holidays'!$A$2:$A$82,'Thai Holidays'!$A$2:$A$63))</f>
        <v>46251</v>
      </c>
      <c r="Y277" s="404">
        <f>WORKDAY.INTL(X277,INDEX(Y$12:Y$15,MATCH($L277,$L$12:$L$15,0)),1,IF(Y$18="China",'China Holidays'!$A$2:$A$82,'Thai Holidays'!$A$2:$A$63))</f>
        <v>46258</v>
      </c>
      <c r="Z277" s="404">
        <f>WORKDAY.INTL(Y277,INDEX(Z$12:Z$15,MATCH($L277,$L$12:$L$15,0)),1,IF(Z$18="China",'China Holidays'!$A$2:$A$82,'Thai Holidays'!$A$2:$A$63))</f>
        <v>46286</v>
      </c>
      <c r="AA277" s="404">
        <f>WORKDAY.INTL(Z277,INDEX(AA$12:AA$15,MATCH($L277,$L$12:$L$15,0)),1,IF(AA$18="China",'China Holidays'!$A$2:$A$82,'Thai Holidays'!$A$2:$A$63))</f>
        <v>46300</v>
      </c>
      <c r="AB277" s="404">
        <f>AA277+30</f>
        <v>46330</v>
      </c>
      <c r="AC277" s="404">
        <f>AB277</f>
        <v>46330</v>
      </c>
      <c r="AD277" s="404">
        <f>AC277+2</f>
        <v>46332</v>
      </c>
      <c r="AE277" s="404">
        <f>AF277-7</f>
        <v>46401</v>
      </c>
      <c r="AF277" s="404">
        <f>AG277-7</f>
        <v>46408</v>
      </c>
      <c r="AG277" s="404">
        <f>AL277</f>
        <v>46415</v>
      </c>
      <c r="AH277" s="404">
        <f>AL277+14</f>
        <v>46429</v>
      </c>
      <c r="AI277" s="404">
        <f>AL277+30</f>
        <v>46445</v>
      </c>
      <c r="AJ277" s="375"/>
      <c r="AK277" s="384">
        <v>168</v>
      </c>
      <c r="AL277" s="404">
        <f>W277+AK277</f>
        <v>46415</v>
      </c>
      <c r="AM277" s="405">
        <v>46419</v>
      </c>
      <c r="AN277" s="405"/>
      <c r="AO277" s="405"/>
      <c r="AP277" s="405"/>
      <c r="AQ277" s="436">
        <f>AM277-AL277</f>
        <v>4</v>
      </c>
      <c r="AR277" s="441"/>
      <c r="AS277" s="442"/>
      <c r="AT277" s="319"/>
    </row>
    <row r="278" spans="1:46" s="269" customFormat="1" ht="25.05" customHeight="1">
      <c r="A278" s="496"/>
      <c r="B278" s="385" t="s">
        <v>261</v>
      </c>
      <c r="C278" s="385" t="s">
        <v>262</v>
      </c>
      <c r="D278" s="451"/>
      <c r="E278" s="546"/>
      <c r="F278" s="451"/>
      <c r="G278" s="445"/>
      <c r="H278" s="388"/>
      <c r="I278" s="387" t="s">
        <v>83</v>
      </c>
      <c r="J278" s="385" t="s">
        <v>60</v>
      </c>
      <c r="K278" s="374">
        <v>3</v>
      </c>
      <c r="L278" s="385" t="s">
        <v>6</v>
      </c>
      <c r="M278" s="389" t="s">
        <v>67</v>
      </c>
      <c r="N278" s="387"/>
      <c r="O278" s="390"/>
      <c r="P278" s="390"/>
      <c r="Q278" s="390"/>
      <c r="R278" s="390"/>
      <c r="S278" s="390"/>
      <c r="T278" s="390"/>
      <c r="U278" s="390"/>
      <c r="V278" s="390"/>
      <c r="W278" s="452"/>
      <c r="X278" s="390"/>
      <c r="Y278" s="390"/>
      <c r="Z278" s="390"/>
      <c r="AA278" s="390"/>
      <c r="AB278" s="390"/>
      <c r="AC278" s="390"/>
      <c r="AD278" s="390"/>
      <c r="AE278" s="390"/>
      <c r="AF278" s="390"/>
      <c r="AG278" s="390"/>
      <c r="AH278" s="390"/>
      <c r="AI278" s="390"/>
      <c r="AJ278" s="386"/>
      <c r="AK278" s="391"/>
      <c r="AL278" s="390"/>
      <c r="AM278" s="392"/>
      <c r="AN278" s="392"/>
      <c r="AO278" s="392"/>
      <c r="AP278" s="392"/>
      <c r="AQ278" s="445"/>
      <c r="AR278" s="446"/>
      <c r="AS278" s="447"/>
      <c r="AT278" s="347"/>
    </row>
    <row r="279" spans="1:46" s="264" customFormat="1" ht="25.05" customHeight="1">
      <c r="A279" s="493">
        <f>A276+1</f>
        <v>67</v>
      </c>
      <c r="B279" s="308" t="s">
        <v>264</v>
      </c>
      <c r="C279" s="308" t="s">
        <v>265</v>
      </c>
      <c r="D279" s="419"/>
      <c r="E279" s="541">
        <v>12.8571428571429</v>
      </c>
      <c r="F279" s="419"/>
      <c r="G279" s="311"/>
      <c r="H279" s="310"/>
      <c r="I279" s="311" t="s">
        <v>83</v>
      </c>
      <c r="J279" s="308" t="s">
        <v>60</v>
      </c>
      <c r="K279" s="312">
        <f>K282</f>
        <v>3</v>
      </c>
      <c r="L279" s="308" t="s">
        <v>9</v>
      </c>
      <c r="M279" s="313" t="s">
        <v>61</v>
      </c>
      <c r="N279" s="364">
        <f>WORKDAY.INTL(O279,-INDEX(O$12:O$15,MATCH($L279,$L$12:$L$15,0)),1,IF(N$18="China",'China Holidays'!$A$2:$A$82,'Thai Holidays'!$A$2:$A$63))</f>
        <v>46218</v>
      </c>
      <c r="O279" s="350">
        <v>46223</v>
      </c>
      <c r="P279" s="350">
        <v>46230</v>
      </c>
      <c r="Q279" s="350">
        <v>46231</v>
      </c>
      <c r="R279" s="350">
        <v>46237</v>
      </c>
      <c r="S279" s="350">
        <f>R279+1</f>
        <v>46238</v>
      </c>
      <c r="T279" s="350">
        <v>46244</v>
      </c>
      <c r="U279" s="350">
        <v>46254</v>
      </c>
      <c r="V279" s="350">
        <v>46258</v>
      </c>
      <c r="W279" s="350">
        <v>46265</v>
      </c>
      <c r="X279" s="350">
        <v>46267</v>
      </c>
      <c r="Y279" s="350">
        <v>46274</v>
      </c>
      <c r="Z279" s="350">
        <v>46288</v>
      </c>
      <c r="AA279" s="350">
        <v>46302</v>
      </c>
      <c r="AB279" s="350">
        <v>46332</v>
      </c>
      <c r="AC279" s="350">
        <v>46332</v>
      </c>
      <c r="AD279" s="350">
        <v>46334</v>
      </c>
      <c r="AE279" s="350">
        <v>46341</v>
      </c>
      <c r="AF279" s="350">
        <v>46348</v>
      </c>
      <c r="AG279" s="350">
        <v>46355</v>
      </c>
      <c r="AH279" s="350">
        <v>46369</v>
      </c>
      <c r="AI279" s="350">
        <v>46385</v>
      </c>
      <c r="AJ279" s="316">
        <v>12.8571428571429</v>
      </c>
      <c r="AK279" s="351"/>
      <c r="AL279" s="350" t="str">
        <f>TEXT(AL281,"d-mmm-yy")</f>
        <v>29-Nov-26</v>
      </c>
      <c r="AM279" s="327"/>
      <c r="AN279" s="327"/>
      <c r="AO279" s="327"/>
      <c r="AP279" s="327"/>
      <c r="AQ279" s="311"/>
      <c r="AR279" s="329"/>
      <c r="AS279" s="330" t="s">
        <v>62</v>
      </c>
      <c r="AT279" s="331">
        <v>46367</v>
      </c>
    </row>
    <row r="280" spans="1:46" s="264" customFormat="1" ht="25.05" customHeight="1">
      <c r="A280" s="491"/>
      <c r="B280" s="308" t="str">
        <f>B279</f>
        <v>RFQ-PIP-067</v>
      </c>
      <c r="C280" s="308" t="str">
        <f>C279</f>
        <v>CS Fitting</v>
      </c>
      <c r="D280" s="414"/>
      <c r="E280" s="542"/>
      <c r="F280" s="416"/>
      <c r="G280" s="311"/>
      <c r="H280" s="310"/>
      <c r="I280" s="311" t="s">
        <v>83</v>
      </c>
      <c r="J280" s="308"/>
      <c r="K280" s="322"/>
      <c r="L280" s="308"/>
      <c r="M280" s="323" t="s">
        <v>63</v>
      </c>
      <c r="N280" s="367"/>
      <c r="O280" s="325">
        <v>46223</v>
      </c>
      <c r="P280" s="325">
        <v>46230</v>
      </c>
      <c r="Q280" s="325">
        <v>46231</v>
      </c>
      <c r="R280" s="325">
        <v>46237</v>
      </c>
      <c r="S280" s="325">
        <v>46238</v>
      </c>
      <c r="T280" s="325">
        <v>46244</v>
      </c>
      <c r="U280" s="325">
        <v>46254</v>
      </c>
      <c r="V280" s="325">
        <v>46258</v>
      </c>
      <c r="W280" s="325">
        <v>46265</v>
      </c>
      <c r="X280" s="325">
        <v>46267</v>
      </c>
      <c r="Y280" s="325">
        <v>46274</v>
      </c>
      <c r="Z280" s="325">
        <v>46288</v>
      </c>
      <c r="AA280" s="325">
        <v>46302</v>
      </c>
      <c r="AB280" s="325">
        <v>46332</v>
      </c>
      <c r="AC280" s="325">
        <v>46332</v>
      </c>
      <c r="AD280" s="325">
        <v>46334</v>
      </c>
      <c r="AE280" s="325">
        <v>46341</v>
      </c>
      <c r="AF280" s="325">
        <v>46348</v>
      </c>
      <c r="AG280" s="325">
        <v>46355</v>
      </c>
      <c r="AH280" s="325">
        <v>46369</v>
      </c>
      <c r="AI280" s="325">
        <v>46385</v>
      </c>
      <c r="AJ280" s="365"/>
      <c r="AK280" s="326"/>
      <c r="AL280" s="325">
        <f>W280+AK281</f>
        <v>46355</v>
      </c>
      <c r="AM280" s="327"/>
      <c r="AN280" s="327"/>
      <c r="AO280" s="327"/>
      <c r="AP280" s="327"/>
      <c r="AQ280" s="328">
        <f>AM281-AL280</f>
        <v>5</v>
      </c>
      <c r="AR280" s="329"/>
      <c r="AS280" s="330"/>
      <c r="AT280" s="331"/>
    </row>
    <row r="281" spans="1:46" s="264" customFormat="1" ht="25.05" customHeight="1">
      <c r="A281" s="491"/>
      <c r="B281" s="308" t="str">
        <f>B279</f>
        <v>RFQ-PIP-067</v>
      </c>
      <c r="C281" s="308" t="s">
        <v>265</v>
      </c>
      <c r="D281" s="359"/>
      <c r="E281" s="543"/>
      <c r="F281" s="359"/>
      <c r="G281" s="311">
        <v>5</v>
      </c>
      <c r="H281" s="310" t="s">
        <v>263</v>
      </c>
      <c r="I281" s="311" t="s">
        <v>83</v>
      </c>
      <c r="J281" s="308" t="s">
        <v>60</v>
      </c>
      <c r="K281" s="308">
        <f>K282</f>
        <v>3</v>
      </c>
      <c r="L281" s="308" t="s">
        <v>9</v>
      </c>
      <c r="M281" s="313" t="s">
        <v>65</v>
      </c>
      <c r="N281" s="350">
        <v>46208</v>
      </c>
      <c r="O281" s="350">
        <v>46216</v>
      </c>
      <c r="P281" s="350">
        <f>WORKDAY.INTL(O281,INDEX(P$8:P$11,MATCH($L281,$L$8:$L$11,0)),1,IF(P$18="China",'China Holidays'!$A$2:$A$82,'Thai Holidays'!$A$2:$A$63))</f>
        <v>46230</v>
      </c>
      <c r="Q281" s="350">
        <f>WORKDAY.INTL(P281,INDEX(Q$8:Q$11,MATCH($L281,$L$8:$L$11,0)),1,IF(Q$18="China",'China Holidays'!$A$2:$A$82,'Thai Holidays'!$A$2:$A$63))</f>
        <v>46230</v>
      </c>
      <c r="R281" s="350">
        <f>WORKDAY.INTL(Q281,INDEX(R$8:R$11,MATCH($L281,$L$8:$L$11,0)),1,IF(R$18="China",'China Holidays'!$A$2:$A$82,'Thai Holidays'!$A$2:$A$63))</f>
        <v>46230</v>
      </c>
      <c r="S281" s="350">
        <f>WORKDAY.INTL(R281,INDEX(S$8:S$11,MATCH($L281,$L$8:$L$11,0)),1,IF(S$18="China",'China Holidays'!$A$2:$A$82,'Thai Holidays'!$A$2:$A$63))</f>
        <v>46230</v>
      </c>
      <c r="T281" s="350">
        <v>46235</v>
      </c>
      <c r="U281" s="350">
        <v>46243</v>
      </c>
      <c r="V281" s="350">
        <f>WORKDAY.INTL(U281,INDEX(V$8:V$11,MATCH($L281,$L$8:$L$11,0)),1,IF(V$18="China",'China Holidays'!$A$2:$A$82,'Thai Holidays'!$A$2:$A$63))</f>
        <v>46258</v>
      </c>
      <c r="W281" s="350">
        <f>WORKDAY.INTL(V281,INDEX(W$8:W$11,MATCH($L281,$L$8:$L$11,0)),1,IF(W$18="China",'China Holidays'!$A$2:$A$82,'Thai Holidays'!$A$2:$A$63))</f>
        <v>46265</v>
      </c>
      <c r="X281" s="350">
        <f>WORKDAY.INTL(W281,INDEX(X$12:X$15,MATCH($L281,$L$12:$L$15,0)),1,IF(X$18="China",'China Holidays'!$A$2:$A$82,'Thai Holidays'!$A$2:$A$63))</f>
        <v>46267</v>
      </c>
      <c r="Y281" s="350">
        <f>WORKDAY.INTL(X281,INDEX(Y$12:Y$15,MATCH($L281,$L$12:$L$15,0)),1,IF(Y$18="China",'China Holidays'!$A$2:$A$82,'Thai Holidays'!$A$2:$A$63))</f>
        <v>46274</v>
      </c>
      <c r="Z281" s="350">
        <f>WORKDAY.INTL(Y281,INDEX(Z$12:Z$15,MATCH($L281,$L$12:$L$15,0)),1,IF(Z$18="China",'China Holidays'!$A$2:$A$82,'Thai Holidays'!$A$2:$A$63))</f>
        <v>46288</v>
      </c>
      <c r="AA281" s="350">
        <f>WORKDAY.INTL(Z281,INDEX(AA$12:AA$15,MATCH($L281,$L$12:$L$15,0)),1,IF(AA$18="China",'China Holidays'!$A$2:$A$82,'Thai Holidays'!$A$2:$A$63))</f>
        <v>46302</v>
      </c>
      <c r="AB281" s="350">
        <f>AA281+30</f>
        <v>46332</v>
      </c>
      <c r="AC281" s="350">
        <f>AB281</f>
        <v>46332</v>
      </c>
      <c r="AD281" s="350">
        <f>AC281+2</f>
        <v>46334</v>
      </c>
      <c r="AE281" s="350">
        <f>AF281-7</f>
        <v>46341</v>
      </c>
      <c r="AF281" s="350">
        <f>AG281-7</f>
        <v>46348</v>
      </c>
      <c r="AG281" s="350">
        <f>AL281</f>
        <v>46355</v>
      </c>
      <c r="AH281" s="350">
        <f>AL281+14</f>
        <v>46369</v>
      </c>
      <c r="AI281" s="350">
        <f>AL281+30</f>
        <v>46385</v>
      </c>
      <c r="AJ281" s="362"/>
      <c r="AK281" s="326">
        <f>AJ279*7</f>
        <v>90.000000000000298</v>
      </c>
      <c r="AL281" s="350">
        <f>W281+AK281</f>
        <v>46355</v>
      </c>
      <c r="AM281" s="327">
        <f>AT279-7</f>
        <v>46360</v>
      </c>
      <c r="AN281" s="327">
        <f>AO281-7</f>
        <v>46360</v>
      </c>
      <c r="AO281" s="327">
        <v>46367</v>
      </c>
      <c r="AP281" s="327"/>
      <c r="AQ281" s="311">
        <f>AM281-AL281</f>
        <v>5</v>
      </c>
      <c r="AR281" s="329"/>
      <c r="AS281" s="330" t="s">
        <v>66</v>
      </c>
      <c r="AT281" s="331">
        <v>46367</v>
      </c>
    </row>
    <row r="282" spans="1:46" s="264" customFormat="1" ht="25.05" customHeight="1">
      <c r="A282" s="492"/>
      <c r="B282" s="337" t="str">
        <f>B279</f>
        <v>RFQ-PIP-067</v>
      </c>
      <c r="C282" s="337" t="s">
        <v>265</v>
      </c>
      <c r="D282" s="363"/>
      <c r="E282" s="546"/>
      <c r="F282" s="363"/>
      <c r="G282" s="340"/>
      <c r="H282" s="339"/>
      <c r="I282" s="340" t="s">
        <v>83</v>
      </c>
      <c r="J282" s="337" t="s">
        <v>60</v>
      </c>
      <c r="K282" s="308">
        <v>3</v>
      </c>
      <c r="L282" s="337" t="s">
        <v>9</v>
      </c>
      <c r="M282" s="341" t="s">
        <v>67</v>
      </c>
      <c r="N282" s="343"/>
      <c r="O282" s="343"/>
      <c r="P282" s="343"/>
      <c r="Q282" s="343"/>
      <c r="R282" s="343"/>
      <c r="S282" s="343"/>
      <c r="T282" s="343"/>
      <c r="U282" s="343"/>
      <c r="V282" s="343"/>
      <c r="W282" s="340">
        <f>W279-W281</f>
        <v>0</v>
      </c>
      <c r="X282" s="343"/>
      <c r="Y282" s="343"/>
      <c r="Z282" s="343"/>
      <c r="AA282" s="343"/>
      <c r="AB282" s="343"/>
      <c r="AC282" s="343"/>
      <c r="AD282" s="343"/>
      <c r="AE282" s="343"/>
      <c r="AF282" s="343"/>
      <c r="AG282" s="343"/>
      <c r="AH282" s="343"/>
      <c r="AI282" s="343"/>
      <c r="AJ282" s="353"/>
      <c r="AK282" s="354"/>
      <c r="AL282" s="343"/>
      <c r="AM282" s="355"/>
      <c r="AN282" s="355"/>
      <c r="AO282" s="355"/>
      <c r="AP282" s="355"/>
      <c r="AQ282" s="340"/>
      <c r="AR282" s="356"/>
      <c r="AS282" s="357"/>
      <c r="AT282" s="356"/>
    </row>
    <row r="283" spans="1:46" s="264" customFormat="1" ht="27" customHeight="1">
      <c r="A283" s="493">
        <f>A279+1</f>
        <v>68</v>
      </c>
      <c r="B283" s="308" t="s">
        <v>266</v>
      </c>
      <c r="C283" s="308" t="s">
        <v>267</v>
      </c>
      <c r="D283" s="415"/>
      <c r="E283" s="541">
        <v>24</v>
      </c>
      <c r="F283" s="415"/>
      <c r="G283" s="311"/>
      <c r="H283" s="310"/>
      <c r="I283" s="311" t="s">
        <v>83</v>
      </c>
      <c r="J283" s="308" t="s">
        <v>60</v>
      </c>
      <c r="K283" s="312">
        <f>K286</f>
        <v>3</v>
      </c>
      <c r="L283" s="308" t="s">
        <v>9</v>
      </c>
      <c r="M283" s="313" t="s">
        <v>61</v>
      </c>
      <c r="N283" s="364">
        <f>WORKDAY.INTL(O283,-INDEX(O$12:O$15,MATCH($L283,$L$12:$L$15,0)),1,IF(N$18="China",'China Holidays'!$A$2:$A$82,'Thai Holidays'!$A$2:$A$63))</f>
        <v>46218</v>
      </c>
      <c r="O283" s="350">
        <v>46223</v>
      </c>
      <c r="P283" s="350">
        <v>46230</v>
      </c>
      <c r="Q283" s="350">
        <v>46231</v>
      </c>
      <c r="R283" s="350">
        <v>46237</v>
      </c>
      <c r="S283" s="350">
        <f>R283+1</f>
        <v>46238</v>
      </c>
      <c r="T283" s="350">
        <v>46244</v>
      </c>
      <c r="U283" s="350">
        <v>46254</v>
      </c>
      <c r="V283" s="350">
        <v>46258</v>
      </c>
      <c r="W283" s="350">
        <v>46265</v>
      </c>
      <c r="X283" s="350">
        <v>46267</v>
      </c>
      <c r="Y283" s="350">
        <v>46274</v>
      </c>
      <c r="Z283" s="350">
        <v>46288</v>
      </c>
      <c r="AA283" s="350">
        <v>46302</v>
      </c>
      <c r="AB283" s="350">
        <v>46332</v>
      </c>
      <c r="AC283" s="350">
        <v>46332</v>
      </c>
      <c r="AD283" s="350">
        <v>46334</v>
      </c>
      <c r="AE283" s="350">
        <v>46419</v>
      </c>
      <c r="AF283" s="350">
        <v>46426</v>
      </c>
      <c r="AG283" s="350">
        <v>46433</v>
      </c>
      <c r="AH283" s="350">
        <v>46447</v>
      </c>
      <c r="AI283" s="350">
        <v>46463</v>
      </c>
      <c r="AJ283" s="316">
        <v>24</v>
      </c>
      <c r="AK283" s="351"/>
      <c r="AL283" s="350" t="str">
        <f>TEXT(AL285,"d-mmm-yy")</f>
        <v>15-Feb-27</v>
      </c>
      <c r="AM283" s="327"/>
      <c r="AN283" s="327"/>
      <c r="AO283" s="327"/>
      <c r="AP283" s="327"/>
      <c r="AQ283" s="311"/>
      <c r="AR283" s="329"/>
      <c r="AS283" s="330" t="s">
        <v>62</v>
      </c>
      <c r="AT283" s="331">
        <v>46446</v>
      </c>
    </row>
    <row r="284" spans="1:46" s="264" customFormat="1" ht="25.05" customHeight="1">
      <c r="A284" s="491"/>
      <c r="B284" s="308" t="str">
        <f>B283</f>
        <v>RFQ-PIP-068</v>
      </c>
      <c r="C284" s="308" t="str">
        <f>C283</f>
        <v>SS &amp; DSS Fitting</v>
      </c>
      <c r="D284" s="414"/>
      <c r="E284" s="542"/>
      <c r="F284" s="416"/>
      <c r="G284" s="311"/>
      <c r="H284" s="310"/>
      <c r="I284" s="311" t="s">
        <v>83</v>
      </c>
      <c r="J284" s="308"/>
      <c r="K284" s="322"/>
      <c r="L284" s="308"/>
      <c r="M284" s="323" t="s">
        <v>63</v>
      </c>
      <c r="N284" s="367"/>
      <c r="O284" s="325">
        <v>46216</v>
      </c>
      <c r="P284" s="325">
        <v>46223</v>
      </c>
      <c r="Q284" s="325">
        <v>46224</v>
      </c>
      <c r="R284" s="325">
        <v>46230</v>
      </c>
      <c r="S284" s="325">
        <v>46231</v>
      </c>
      <c r="T284" s="325">
        <v>46237</v>
      </c>
      <c r="U284" s="325">
        <v>46247</v>
      </c>
      <c r="V284" s="325">
        <v>46251</v>
      </c>
      <c r="W284" s="325">
        <v>46258</v>
      </c>
      <c r="X284" s="325">
        <v>46260</v>
      </c>
      <c r="Y284" s="325">
        <v>46267</v>
      </c>
      <c r="Z284" s="325">
        <v>46281</v>
      </c>
      <c r="AA284" s="325">
        <v>46295</v>
      </c>
      <c r="AB284" s="325">
        <v>46325</v>
      </c>
      <c r="AC284" s="325">
        <v>46325</v>
      </c>
      <c r="AD284" s="325">
        <v>46327</v>
      </c>
      <c r="AE284" s="325">
        <v>46412</v>
      </c>
      <c r="AF284" s="325">
        <v>46419</v>
      </c>
      <c r="AG284" s="325">
        <v>46426</v>
      </c>
      <c r="AH284" s="325">
        <v>46440</v>
      </c>
      <c r="AI284" s="325">
        <v>46456</v>
      </c>
      <c r="AJ284" s="316"/>
      <c r="AK284" s="326"/>
      <c r="AL284" s="325">
        <f>W284+AK285</f>
        <v>46426</v>
      </c>
      <c r="AM284" s="327"/>
      <c r="AN284" s="327"/>
      <c r="AO284" s="327"/>
      <c r="AP284" s="327"/>
      <c r="AQ284" s="328">
        <f>AM285-AL284</f>
        <v>13</v>
      </c>
      <c r="AR284" s="329"/>
      <c r="AS284" s="330"/>
      <c r="AT284" s="331"/>
    </row>
    <row r="285" spans="1:46" s="264" customFormat="1" ht="25.05" customHeight="1">
      <c r="A285" s="491"/>
      <c r="B285" s="308" t="str">
        <f>B283</f>
        <v>RFQ-PIP-068</v>
      </c>
      <c r="C285" s="308" t="s">
        <v>267</v>
      </c>
      <c r="D285" s="399"/>
      <c r="E285" s="543"/>
      <c r="F285" s="399"/>
      <c r="G285" s="311">
        <v>6</v>
      </c>
      <c r="H285" s="310" t="s">
        <v>263</v>
      </c>
      <c r="I285" s="311" t="s">
        <v>83</v>
      </c>
      <c r="J285" s="308" t="s">
        <v>60</v>
      </c>
      <c r="K285" s="308">
        <f>K286</f>
        <v>3</v>
      </c>
      <c r="L285" s="308" t="s">
        <v>9</v>
      </c>
      <c r="M285" s="313" t="s">
        <v>65</v>
      </c>
      <c r="N285" s="350">
        <v>46208</v>
      </c>
      <c r="O285" s="350">
        <v>46216</v>
      </c>
      <c r="P285" s="350">
        <f>WORKDAY.INTL(O285,INDEX(P$8:P$11,MATCH($L285,$L$8:$L$11,0)),1,IF(P$18="China",'China Holidays'!$A$2:$A$82,'Thai Holidays'!$A$2:$A$63))</f>
        <v>46230</v>
      </c>
      <c r="Q285" s="350">
        <f>WORKDAY.INTL(P285,INDEX(Q$8:Q$11,MATCH($L285,$L$8:$L$11,0)),1,IF(Q$18="China",'China Holidays'!$A$2:$A$82,'Thai Holidays'!$A$2:$A$63))</f>
        <v>46230</v>
      </c>
      <c r="R285" s="350">
        <f>WORKDAY.INTL(Q285,INDEX(R$8:R$11,MATCH($L285,$L$8:$L$11,0)),1,IF(R$18="China",'China Holidays'!$A$2:$A$82,'Thai Holidays'!$A$2:$A$63))</f>
        <v>46230</v>
      </c>
      <c r="S285" s="350">
        <f>WORKDAY.INTL(R285,INDEX(S$8:S$11,MATCH($L285,$L$8:$L$11,0)),1,IF(S$18="China",'China Holidays'!$A$2:$A$82,'Thai Holidays'!$A$2:$A$63))</f>
        <v>46230</v>
      </c>
      <c r="T285" s="350">
        <v>46235</v>
      </c>
      <c r="U285" s="350">
        <v>46243</v>
      </c>
      <c r="V285" s="350">
        <f>WORKDAY.INTL(U285,INDEX(V$8:V$11,MATCH($L285,$L$8:$L$11,0)),1,IF(V$18="China",'China Holidays'!$A$2:$A$82,'Thai Holidays'!$A$2:$A$63))</f>
        <v>46258</v>
      </c>
      <c r="W285" s="350">
        <f>WORKDAY.INTL(V285,INDEX(W$8:W$11,MATCH($L285,$L$8:$L$11,0)),1,IF(W$18="China",'China Holidays'!$A$2:$A$82,'Thai Holidays'!$A$2:$A$63))</f>
        <v>46265</v>
      </c>
      <c r="X285" s="350">
        <f>WORKDAY.INTL(W285,INDEX(X$12:X$15,MATCH($L285,$L$12:$L$15,0)),1,IF(X$18="China",'China Holidays'!$A$2:$A$82,'Thai Holidays'!$A$2:$A$63))</f>
        <v>46267</v>
      </c>
      <c r="Y285" s="350">
        <f>WORKDAY.INTL(X285,INDEX(Y$12:Y$15,MATCH($L285,$L$12:$L$15,0)),1,IF(Y$18="China",'China Holidays'!$A$2:$A$82,'Thai Holidays'!$A$2:$A$63))</f>
        <v>46274</v>
      </c>
      <c r="Z285" s="350">
        <f>WORKDAY.INTL(Y285,INDEX(Z$12:Z$15,MATCH($L285,$L$12:$L$15,0)),1,IF(Z$18="China",'China Holidays'!$A$2:$A$82,'Thai Holidays'!$A$2:$A$63))</f>
        <v>46288</v>
      </c>
      <c r="AA285" s="350">
        <f>WORKDAY.INTL(Z285,INDEX(AA$12:AA$15,MATCH($L285,$L$12:$L$15,0)),1,IF(AA$18="China",'China Holidays'!$A$2:$A$82,'Thai Holidays'!$A$2:$A$63))</f>
        <v>46302</v>
      </c>
      <c r="AB285" s="350">
        <f>AA285+30</f>
        <v>46332</v>
      </c>
      <c r="AC285" s="350">
        <f>AB285</f>
        <v>46332</v>
      </c>
      <c r="AD285" s="350">
        <f>AC285+2</f>
        <v>46334</v>
      </c>
      <c r="AE285" s="350">
        <f>AF285-7</f>
        <v>46419</v>
      </c>
      <c r="AF285" s="350">
        <f>AG285-7</f>
        <v>46426</v>
      </c>
      <c r="AG285" s="350">
        <f>AL285</f>
        <v>46433</v>
      </c>
      <c r="AH285" s="350">
        <f>AL285+14</f>
        <v>46447</v>
      </c>
      <c r="AI285" s="350">
        <f>AL285+30</f>
        <v>46463</v>
      </c>
      <c r="AJ285" s="362"/>
      <c r="AK285" s="326">
        <f>AJ283*7</f>
        <v>168</v>
      </c>
      <c r="AL285" s="350">
        <f>W285+AK285</f>
        <v>46433</v>
      </c>
      <c r="AM285" s="327">
        <f>AT283-7</f>
        <v>46439</v>
      </c>
      <c r="AN285" s="327">
        <f>AO285-7</f>
        <v>46436</v>
      </c>
      <c r="AO285" s="327">
        <v>46443</v>
      </c>
      <c r="AP285" s="327"/>
      <c r="AQ285" s="311">
        <f>AM285-AL285</f>
        <v>6</v>
      </c>
      <c r="AR285" s="329"/>
      <c r="AS285" s="330" t="s">
        <v>66</v>
      </c>
      <c r="AT285" s="331">
        <v>46446</v>
      </c>
    </row>
    <row r="286" spans="1:46" s="264" customFormat="1" ht="25.05" customHeight="1">
      <c r="A286" s="492"/>
      <c r="B286" s="337" t="str">
        <f>B283</f>
        <v>RFQ-PIP-068</v>
      </c>
      <c r="C286" s="337" t="s">
        <v>267</v>
      </c>
      <c r="D286" s="400"/>
      <c r="E286" s="546"/>
      <c r="F286" s="400"/>
      <c r="G286" s="340"/>
      <c r="H286" s="339"/>
      <c r="I286" s="340" t="s">
        <v>83</v>
      </c>
      <c r="J286" s="337" t="s">
        <v>60</v>
      </c>
      <c r="K286" s="308">
        <v>3</v>
      </c>
      <c r="L286" s="337" t="s">
        <v>9</v>
      </c>
      <c r="M286" s="341" t="s">
        <v>67</v>
      </c>
      <c r="N286" s="343"/>
      <c r="O286" s="343"/>
      <c r="P286" s="343"/>
      <c r="Q286" s="343"/>
      <c r="R286" s="343"/>
      <c r="S286" s="343"/>
      <c r="T286" s="343"/>
      <c r="U286" s="343"/>
      <c r="V286" s="343"/>
      <c r="W286" s="343"/>
      <c r="X286" s="343"/>
      <c r="Y286" s="343"/>
      <c r="Z286" s="343"/>
      <c r="AA286" s="343"/>
      <c r="AB286" s="343"/>
      <c r="AC286" s="343"/>
      <c r="AD286" s="343"/>
      <c r="AE286" s="343"/>
      <c r="AF286" s="343"/>
      <c r="AG286" s="343"/>
      <c r="AH286" s="343"/>
      <c r="AI286" s="343"/>
      <c r="AJ286" s="353"/>
      <c r="AK286" s="354"/>
      <c r="AL286" s="343"/>
      <c r="AM286" s="355"/>
      <c r="AN286" s="355"/>
      <c r="AO286" s="355"/>
      <c r="AP286" s="355"/>
      <c r="AQ286" s="340"/>
      <c r="AR286" s="356"/>
      <c r="AS286" s="357"/>
      <c r="AT286" s="356"/>
    </row>
    <row r="287" spans="1:46" s="264" customFormat="1" ht="25.05" customHeight="1">
      <c r="A287" s="493">
        <f>A283+1</f>
        <v>69</v>
      </c>
      <c r="B287" s="308" t="s">
        <v>268</v>
      </c>
      <c r="C287" s="308" t="s">
        <v>269</v>
      </c>
      <c r="D287" s="415"/>
      <c r="E287" s="541">
        <v>12.8571428571429</v>
      </c>
      <c r="F287" s="415"/>
      <c r="G287" s="311"/>
      <c r="H287" s="310"/>
      <c r="I287" s="311" t="s">
        <v>83</v>
      </c>
      <c r="J287" s="308" t="s">
        <v>60</v>
      </c>
      <c r="K287" s="312">
        <f>K290</f>
        <v>3</v>
      </c>
      <c r="L287" s="308" t="s">
        <v>9</v>
      </c>
      <c r="M287" s="313" t="s">
        <v>61</v>
      </c>
      <c r="N287" s="364">
        <f>WORKDAY.INTL(O287,-INDEX(O$12:O$15,MATCH($L287,$L$12:$L$15,0)),1,IF(N$18="China",'China Holidays'!$A$2:$A$82,'Thai Holidays'!$A$2:$A$63))</f>
        <v>46218</v>
      </c>
      <c r="O287" s="350">
        <v>46223</v>
      </c>
      <c r="P287" s="350">
        <v>46230</v>
      </c>
      <c r="Q287" s="350">
        <v>46231</v>
      </c>
      <c r="R287" s="350">
        <v>46237</v>
      </c>
      <c r="S287" s="350">
        <f>R287+1</f>
        <v>46238</v>
      </c>
      <c r="T287" s="350">
        <v>46244</v>
      </c>
      <c r="U287" s="350">
        <v>46254</v>
      </c>
      <c r="V287" s="350">
        <v>46258</v>
      </c>
      <c r="W287" s="350">
        <v>46265</v>
      </c>
      <c r="X287" s="350">
        <v>46267</v>
      </c>
      <c r="Y287" s="350">
        <v>46274</v>
      </c>
      <c r="Z287" s="350">
        <v>46288</v>
      </c>
      <c r="AA287" s="350">
        <v>46302</v>
      </c>
      <c r="AB287" s="350">
        <v>46332</v>
      </c>
      <c r="AC287" s="350">
        <v>46332</v>
      </c>
      <c r="AD287" s="350">
        <v>46334</v>
      </c>
      <c r="AE287" s="350">
        <v>46341</v>
      </c>
      <c r="AF287" s="350">
        <v>46348</v>
      </c>
      <c r="AG287" s="350">
        <v>46355</v>
      </c>
      <c r="AH287" s="350">
        <v>46369</v>
      </c>
      <c r="AI287" s="350">
        <v>46385</v>
      </c>
      <c r="AJ287" s="316">
        <v>12.8571428571429</v>
      </c>
      <c r="AK287" s="351"/>
      <c r="AL287" s="350" t="str">
        <f>TEXT(AL289,"d-mmm-yy")</f>
        <v>29-Nov-26</v>
      </c>
      <c r="AM287" s="327"/>
      <c r="AN287" s="327"/>
      <c r="AO287" s="327"/>
      <c r="AP287" s="327"/>
      <c r="AQ287" s="311"/>
      <c r="AR287" s="329"/>
      <c r="AS287" s="330" t="s">
        <v>62</v>
      </c>
      <c r="AT287" s="331">
        <v>46367</v>
      </c>
    </row>
    <row r="288" spans="1:46" s="264" customFormat="1" ht="25.05" customHeight="1">
      <c r="A288" s="491"/>
      <c r="B288" s="308" t="str">
        <f>B287</f>
        <v>RFQ-PIP-069</v>
      </c>
      <c r="C288" s="308" t="str">
        <f>C287</f>
        <v>CS Flange</v>
      </c>
      <c r="D288" s="414"/>
      <c r="E288" s="542"/>
      <c r="F288" s="416"/>
      <c r="G288" s="311"/>
      <c r="H288" s="310"/>
      <c r="I288" s="311" t="s">
        <v>83</v>
      </c>
      <c r="J288" s="308"/>
      <c r="K288" s="322"/>
      <c r="L288" s="308"/>
      <c r="M288" s="323" t="s">
        <v>63</v>
      </c>
      <c r="N288" s="367"/>
      <c r="O288" s="325">
        <v>46223</v>
      </c>
      <c r="P288" s="325">
        <v>46230</v>
      </c>
      <c r="Q288" s="325">
        <v>46231</v>
      </c>
      <c r="R288" s="325">
        <v>46237</v>
      </c>
      <c r="S288" s="325">
        <v>46238</v>
      </c>
      <c r="T288" s="325">
        <v>46244</v>
      </c>
      <c r="U288" s="325">
        <v>46254</v>
      </c>
      <c r="V288" s="325">
        <v>46258</v>
      </c>
      <c r="W288" s="325">
        <v>46265</v>
      </c>
      <c r="X288" s="325">
        <v>46267</v>
      </c>
      <c r="Y288" s="325">
        <v>46274</v>
      </c>
      <c r="Z288" s="325">
        <v>46288</v>
      </c>
      <c r="AA288" s="325">
        <v>46302</v>
      </c>
      <c r="AB288" s="325">
        <v>46332</v>
      </c>
      <c r="AC288" s="325">
        <v>46332</v>
      </c>
      <c r="AD288" s="325">
        <v>46334</v>
      </c>
      <c r="AE288" s="325">
        <v>46341</v>
      </c>
      <c r="AF288" s="325">
        <v>46348</v>
      </c>
      <c r="AG288" s="325">
        <v>46355</v>
      </c>
      <c r="AH288" s="325">
        <v>46369</v>
      </c>
      <c r="AI288" s="325">
        <v>46385</v>
      </c>
      <c r="AJ288" s="316"/>
      <c r="AK288" s="326"/>
      <c r="AL288" s="325">
        <f>W288+AK289</f>
        <v>46355</v>
      </c>
      <c r="AM288" s="327"/>
      <c r="AN288" s="327"/>
      <c r="AO288" s="327"/>
      <c r="AP288" s="327"/>
      <c r="AQ288" s="328">
        <f>AM289-AL288</f>
        <v>5</v>
      </c>
      <c r="AR288" s="329"/>
      <c r="AS288" s="330"/>
      <c r="AT288" s="331"/>
    </row>
    <row r="289" spans="1:46" s="264" customFormat="1" ht="25.05" customHeight="1">
      <c r="A289" s="491"/>
      <c r="B289" s="308" t="str">
        <f>B287</f>
        <v>RFQ-PIP-069</v>
      </c>
      <c r="C289" s="308" t="s">
        <v>269</v>
      </c>
      <c r="D289" s="399"/>
      <c r="E289" s="543"/>
      <c r="F289" s="399"/>
      <c r="G289" s="311">
        <v>5</v>
      </c>
      <c r="H289" s="310" t="s">
        <v>263</v>
      </c>
      <c r="I289" s="311" t="s">
        <v>83</v>
      </c>
      <c r="J289" s="308" t="s">
        <v>60</v>
      </c>
      <c r="K289" s="308">
        <f>K290</f>
        <v>3</v>
      </c>
      <c r="L289" s="308" t="s">
        <v>9</v>
      </c>
      <c r="M289" s="313" t="s">
        <v>65</v>
      </c>
      <c r="N289" s="350">
        <v>46208</v>
      </c>
      <c r="O289" s="350">
        <v>46216</v>
      </c>
      <c r="P289" s="350">
        <f>WORKDAY.INTL(O289,INDEX(P$8:P$11,MATCH($L289,$L$8:$L$11,0)),1,IF(P$18="China",'China Holidays'!$A$2:$A$82,'Thai Holidays'!$A$2:$A$63))</f>
        <v>46230</v>
      </c>
      <c r="Q289" s="350">
        <f>WORKDAY.INTL(P289,INDEX(Q$8:Q$11,MATCH($L289,$L$8:$L$11,0)),1,IF(Q$18="China",'China Holidays'!$A$2:$A$82,'Thai Holidays'!$A$2:$A$63))</f>
        <v>46230</v>
      </c>
      <c r="R289" s="350">
        <f>WORKDAY.INTL(Q289,INDEX(R$8:R$11,MATCH($L289,$L$8:$L$11,0)),1,IF(R$18="China",'China Holidays'!$A$2:$A$82,'Thai Holidays'!$A$2:$A$63))</f>
        <v>46230</v>
      </c>
      <c r="S289" s="350">
        <f>WORKDAY.INTL(R289,INDEX(S$8:S$11,MATCH($L289,$L$8:$L$11,0)),1,IF(S$18="China",'China Holidays'!$A$2:$A$82,'Thai Holidays'!$A$2:$A$63))</f>
        <v>46230</v>
      </c>
      <c r="T289" s="350">
        <v>46235</v>
      </c>
      <c r="U289" s="350">
        <v>46243</v>
      </c>
      <c r="V289" s="350">
        <f>WORKDAY.INTL(U289,INDEX(V$8:V$11,MATCH($L289,$L$8:$L$11,0)),1,IF(V$18="China",'China Holidays'!$A$2:$A$82,'Thai Holidays'!$A$2:$A$63))</f>
        <v>46258</v>
      </c>
      <c r="W289" s="350">
        <f>WORKDAY.INTL(V289,INDEX(W$8:W$11,MATCH($L289,$L$8:$L$11,0)),1,IF(W$18="China",'China Holidays'!$A$2:$A$82,'Thai Holidays'!$A$2:$A$63))</f>
        <v>46265</v>
      </c>
      <c r="X289" s="350">
        <f>WORKDAY.INTL(W289,INDEX(X$12:X$15,MATCH($L289,$L$12:$L$15,0)),1,IF(X$18="China",'China Holidays'!$A$2:$A$82,'Thai Holidays'!$A$2:$A$63))</f>
        <v>46267</v>
      </c>
      <c r="Y289" s="350">
        <f>WORKDAY.INTL(X289,INDEX(Y$12:Y$15,MATCH($L289,$L$12:$L$15,0)),1,IF(Y$18="China",'China Holidays'!$A$2:$A$82,'Thai Holidays'!$A$2:$A$63))</f>
        <v>46274</v>
      </c>
      <c r="Z289" s="350">
        <f>WORKDAY.INTL(Y289,INDEX(Z$12:Z$15,MATCH($L289,$L$12:$L$15,0)),1,IF(Z$18="China",'China Holidays'!$A$2:$A$82,'Thai Holidays'!$A$2:$A$63))</f>
        <v>46288</v>
      </c>
      <c r="AA289" s="350">
        <f>WORKDAY.INTL(Z289,INDEX(AA$12:AA$15,MATCH($L289,$L$12:$L$15,0)),1,IF(AA$18="China",'China Holidays'!$A$2:$A$82,'Thai Holidays'!$A$2:$A$63))</f>
        <v>46302</v>
      </c>
      <c r="AB289" s="350">
        <f>AA289+30</f>
        <v>46332</v>
      </c>
      <c r="AC289" s="350">
        <f>AB289</f>
        <v>46332</v>
      </c>
      <c r="AD289" s="350">
        <f>AC289+2</f>
        <v>46334</v>
      </c>
      <c r="AE289" s="350">
        <f>AF289-7</f>
        <v>46341</v>
      </c>
      <c r="AF289" s="350">
        <f>AG289-7</f>
        <v>46348</v>
      </c>
      <c r="AG289" s="350">
        <f>AL289</f>
        <v>46355</v>
      </c>
      <c r="AH289" s="350">
        <f>AL289+14</f>
        <v>46369</v>
      </c>
      <c r="AI289" s="350">
        <f>AL289+30</f>
        <v>46385</v>
      </c>
      <c r="AJ289" s="362"/>
      <c r="AK289" s="326">
        <f>AJ287*7</f>
        <v>90.000000000000298</v>
      </c>
      <c r="AL289" s="350">
        <f>W289+AK289</f>
        <v>46355</v>
      </c>
      <c r="AM289" s="327">
        <f>AT287-7</f>
        <v>46360</v>
      </c>
      <c r="AN289" s="327">
        <f>AO289-7</f>
        <v>46379</v>
      </c>
      <c r="AO289" s="327">
        <v>46386</v>
      </c>
      <c r="AP289" s="327"/>
      <c r="AQ289" s="311">
        <f>AM289-AL289</f>
        <v>5</v>
      </c>
      <c r="AR289" s="329"/>
      <c r="AS289" s="330" t="s">
        <v>66</v>
      </c>
      <c r="AT289" s="331">
        <v>46367</v>
      </c>
    </row>
    <row r="290" spans="1:46" s="264" customFormat="1" ht="25.05" customHeight="1">
      <c r="A290" s="492"/>
      <c r="B290" s="337" t="str">
        <f>B287</f>
        <v>RFQ-PIP-069</v>
      </c>
      <c r="C290" s="337" t="s">
        <v>269</v>
      </c>
      <c r="D290" s="400"/>
      <c r="E290" s="546"/>
      <c r="F290" s="400"/>
      <c r="G290" s="340"/>
      <c r="H290" s="339"/>
      <c r="I290" s="340" t="s">
        <v>83</v>
      </c>
      <c r="J290" s="337" t="s">
        <v>60</v>
      </c>
      <c r="K290" s="308">
        <v>3</v>
      </c>
      <c r="L290" s="337" t="s">
        <v>9</v>
      </c>
      <c r="M290" s="341" t="s">
        <v>67</v>
      </c>
      <c r="N290" s="343"/>
      <c r="O290" s="343"/>
      <c r="P290" s="343"/>
      <c r="Q290" s="343"/>
      <c r="R290" s="343"/>
      <c r="S290" s="343"/>
      <c r="T290" s="343"/>
      <c r="U290" s="343"/>
      <c r="V290" s="343"/>
      <c r="W290" s="340">
        <f>W287-W289</f>
        <v>0</v>
      </c>
      <c r="X290" s="343"/>
      <c r="Y290" s="343"/>
      <c r="Z290" s="343"/>
      <c r="AA290" s="343"/>
      <c r="AB290" s="343"/>
      <c r="AC290" s="343"/>
      <c r="AD290" s="343"/>
      <c r="AE290" s="343"/>
      <c r="AF290" s="343"/>
      <c r="AG290" s="343"/>
      <c r="AH290" s="343"/>
      <c r="AI290" s="343"/>
      <c r="AJ290" s="353"/>
      <c r="AK290" s="354"/>
      <c r="AL290" s="343"/>
      <c r="AM290" s="355"/>
      <c r="AN290" s="355"/>
      <c r="AO290" s="355"/>
      <c r="AP290" s="355"/>
      <c r="AQ290" s="340"/>
      <c r="AR290" s="356"/>
      <c r="AS290" s="357"/>
      <c r="AT290" s="356"/>
    </row>
    <row r="291" spans="1:46" s="264" customFormat="1" ht="25.05" customHeight="1">
      <c r="A291" s="493">
        <f>A287+1</f>
        <v>70</v>
      </c>
      <c r="B291" s="308" t="s">
        <v>270</v>
      </c>
      <c r="C291" s="308" t="s">
        <v>271</v>
      </c>
      <c r="D291" s="415"/>
      <c r="E291" s="541">
        <v>24</v>
      </c>
      <c r="F291" s="415"/>
      <c r="G291" s="311"/>
      <c r="H291" s="310"/>
      <c r="I291" s="311" t="s">
        <v>83</v>
      </c>
      <c r="J291" s="308" t="s">
        <v>60</v>
      </c>
      <c r="K291" s="312">
        <f>K294</f>
        <v>3</v>
      </c>
      <c r="L291" s="308" t="s">
        <v>9</v>
      </c>
      <c r="M291" s="313" t="s">
        <v>61</v>
      </c>
      <c r="N291" s="364">
        <f>WORKDAY.INTL(O291,-INDEX(O$12:O$15,MATCH($L291,$L$12:$L$15,0)),1,IF(N$18="China",'China Holidays'!$A$2:$A$82,'Thai Holidays'!$A$2:$A$63))</f>
        <v>46218</v>
      </c>
      <c r="O291" s="350">
        <v>46223</v>
      </c>
      <c r="P291" s="350">
        <v>46230</v>
      </c>
      <c r="Q291" s="350">
        <v>46231</v>
      </c>
      <c r="R291" s="350">
        <v>46237</v>
      </c>
      <c r="S291" s="350">
        <f>R291+1</f>
        <v>46238</v>
      </c>
      <c r="T291" s="350">
        <v>46244</v>
      </c>
      <c r="U291" s="350">
        <v>46254</v>
      </c>
      <c r="V291" s="350">
        <v>46258</v>
      </c>
      <c r="W291" s="350">
        <v>46265</v>
      </c>
      <c r="X291" s="350">
        <v>46267</v>
      </c>
      <c r="Y291" s="350">
        <v>46274</v>
      </c>
      <c r="Z291" s="350">
        <v>46288</v>
      </c>
      <c r="AA291" s="350">
        <v>46302</v>
      </c>
      <c r="AB291" s="350">
        <v>46332</v>
      </c>
      <c r="AC291" s="350">
        <v>46332</v>
      </c>
      <c r="AD291" s="350">
        <v>46334</v>
      </c>
      <c r="AE291" s="350">
        <v>46419</v>
      </c>
      <c r="AF291" s="350">
        <v>46426</v>
      </c>
      <c r="AG291" s="350">
        <v>46433</v>
      </c>
      <c r="AH291" s="350">
        <v>46447</v>
      </c>
      <c r="AI291" s="350">
        <v>46463</v>
      </c>
      <c r="AJ291" s="316">
        <v>24</v>
      </c>
      <c r="AK291" s="351"/>
      <c r="AL291" s="350" t="str">
        <f>TEXT(AL293,"d-mmm-yy")</f>
        <v>15-Feb-27</v>
      </c>
      <c r="AM291" s="327"/>
      <c r="AN291" s="327"/>
      <c r="AO291" s="327"/>
      <c r="AP291" s="327"/>
      <c r="AQ291" s="311"/>
      <c r="AR291" s="329"/>
      <c r="AS291" s="330" t="s">
        <v>62</v>
      </c>
      <c r="AT291" s="331">
        <v>46446</v>
      </c>
    </row>
    <row r="292" spans="1:46" s="264" customFormat="1" ht="25.05" customHeight="1">
      <c r="A292" s="491"/>
      <c r="B292" s="308" t="str">
        <f>B291</f>
        <v>RFQ-PIP-070</v>
      </c>
      <c r="C292" s="308" t="str">
        <f>C291</f>
        <v>SS &amp; DSS Flange</v>
      </c>
      <c r="D292" s="414"/>
      <c r="E292" s="542"/>
      <c r="F292" s="416"/>
      <c r="G292" s="311"/>
      <c r="H292" s="310"/>
      <c r="I292" s="311" t="s">
        <v>83</v>
      </c>
      <c r="J292" s="308"/>
      <c r="K292" s="322"/>
      <c r="L292" s="308"/>
      <c r="M292" s="323" t="s">
        <v>63</v>
      </c>
      <c r="N292" s="367"/>
      <c r="O292" s="325">
        <v>46216</v>
      </c>
      <c r="P292" s="325">
        <v>46223</v>
      </c>
      <c r="Q292" s="325">
        <v>46224</v>
      </c>
      <c r="R292" s="325">
        <v>46230</v>
      </c>
      <c r="S292" s="325">
        <v>46231</v>
      </c>
      <c r="T292" s="325">
        <v>46237</v>
      </c>
      <c r="U292" s="325">
        <v>46247</v>
      </c>
      <c r="V292" s="325">
        <v>46251</v>
      </c>
      <c r="W292" s="325">
        <v>46258</v>
      </c>
      <c r="X292" s="325">
        <v>46260</v>
      </c>
      <c r="Y292" s="325">
        <v>46267</v>
      </c>
      <c r="Z292" s="325">
        <v>46281</v>
      </c>
      <c r="AA292" s="325">
        <v>46295</v>
      </c>
      <c r="AB292" s="325">
        <v>46325</v>
      </c>
      <c r="AC292" s="325">
        <v>46325</v>
      </c>
      <c r="AD292" s="325">
        <v>46327</v>
      </c>
      <c r="AE292" s="325">
        <v>46412</v>
      </c>
      <c r="AF292" s="325">
        <v>46419</v>
      </c>
      <c r="AG292" s="325">
        <v>46426</v>
      </c>
      <c r="AH292" s="325">
        <v>46440</v>
      </c>
      <c r="AI292" s="325">
        <v>46456</v>
      </c>
      <c r="AJ292" s="316"/>
      <c r="AK292" s="326"/>
      <c r="AL292" s="325">
        <f>W292+AK293</f>
        <v>46426</v>
      </c>
      <c r="AM292" s="327"/>
      <c r="AN292" s="327"/>
      <c r="AO292" s="327"/>
      <c r="AP292" s="327"/>
      <c r="AQ292" s="328">
        <f>AM293-AL292</f>
        <v>13</v>
      </c>
      <c r="AR292" s="329"/>
      <c r="AS292" s="330"/>
      <c r="AT292" s="331"/>
    </row>
    <row r="293" spans="1:46" s="264" customFormat="1" ht="25.05" customHeight="1">
      <c r="A293" s="491"/>
      <c r="B293" s="308" t="str">
        <f>B291</f>
        <v>RFQ-PIP-070</v>
      </c>
      <c r="C293" s="308" t="s">
        <v>271</v>
      </c>
      <c r="D293" s="399"/>
      <c r="E293" s="543"/>
      <c r="F293" s="399"/>
      <c r="G293" s="311">
        <v>6</v>
      </c>
      <c r="H293" s="310" t="s">
        <v>263</v>
      </c>
      <c r="I293" s="311" t="s">
        <v>83</v>
      </c>
      <c r="J293" s="308" t="s">
        <v>60</v>
      </c>
      <c r="K293" s="308">
        <f>K294</f>
        <v>3</v>
      </c>
      <c r="L293" s="308" t="s">
        <v>9</v>
      </c>
      <c r="M293" s="313" t="s">
        <v>65</v>
      </c>
      <c r="N293" s="350">
        <v>46208</v>
      </c>
      <c r="O293" s="350">
        <v>46216</v>
      </c>
      <c r="P293" s="350">
        <f>WORKDAY.INTL(O293,INDEX(P$8:P$11,MATCH($L293,$L$8:$L$11,0)),1,IF(P$18="China",'China Holidays'!$A$2:$A$82,'Thai Holidays'!$A$2:$A$63))</f>
        <v>46230</v>
      </c>
      <c r="Q293" s="350">
        <f>WORKDAY.INTL(P293,INDEX(Q$8:Q$11,MATCH($L293,$L$8:$L$11,0)),1,IF(Q$18="China",'China Holidays'!$A$2:$A$82,'Thai Holidays'!$A$2:$A$63))</f>
        <v>46230</v>
      </c>
      <c r="R293" s="350">
        <f>WORKDAY.INTL(Q293,INDEX(R$8:R$11,MATCH($L293,$L$8:$L$11,0)),1,IF(R$18="China",'China Holidays'!$A$2:$A$82,'Thai Holidays'!$A$2:$A$63))</f>
        <v>46230</v>
      </c>
      <c r="S293" s="350">
        <f>WORKDAY.INTL(R293,INDEX(S$8:S$11,MATCH($L293,$L$8:$L$11,0)),1,IF(S$18="China",'China Holidays'!$A$2:$A$82,'Thai Holidays'!$A$2:$A$63))</f>
        <v>46230</v>
      </c>
      <c r="T293" s="350">
        <v>46235</v>
      </c>
      <c r="U293" s="350">
        <v>46243</v>
      </c>
      <c r="V293" s="350">
        <f>WORKDAY.INTL(U293,INDEX(V$8:V$11,MATCH($L293,$L$8:$L$11,0)),1,IF(V$18="China",'China Holidays'!$A$2:$A$82,'Thai Holidays'!$A$2:$A$63))</f>
        <v>46258</v>
      </c>
      <c r="W293" s="350">
        <f>WORKDAY.INTL(V293,INDEX(W$8:W$11,MATCH($L293,$L$8:$L$11,0)),1,IF(W$18="China",'China Holidays'!$A$2:$A$82,'Thai Holidays'!$A$2:$A$63))</f>
        <v>46265</v>
      </c>
      <c r="X293" s="350">
        <f>WORKDAY.INTL(W293,INDEX(X$12:X$15,MATCH($L293,$L$12:$L$15,0)),1,IF(X$18="China",'China Holidays'!$A$2:$A$82,'Thai Holidays'!$A$2:$A$63))</f>
        <v>46267</v>
      </c>
      <c r="Y293" s="350">
        <f>WORKDAY.INTL(X293,INDEX(Y$12:Y$15,MATCH($L293,$L$12:$L$15,0)),1,IF(Y$18="China",'China Holidays'!$A$2:$A$82,'Thai Holidays'!$A$2:$A$63))</f>
        <v>46274</v>
      </c>
      <c r="Z293" s="350">
        <f>WORKDAY.INTL(Y293,INDEX(Z$12:Z$15,MATCH($L293,$L$12:$L$15,0)),1,IF(Z$18="China",'China Holidays'!$A$2:$A$82,'Thai Holidays'!$A$2:$A$63))</f>
        <v>46288</v>
      </c>
      <c r="AA293" s="350">
        <f>WORKDAY.INTL(Z293,INDEX(AA$12:AA$15,MATCH($L293,$L$12:$L$15,0)),1,IF(AA$18="China",'China Holidays'!$A$2:$A$82,'Thai Holidays'!$A$2:$A$63))</f>
        <v>46302</v>
      </c>
      <c r="AB293" s="350">
        <f>AA293+30</f>
        <v>46332</v>
      </c>
      <c r="AC293" s="350">
        <f>AB293</f>
        <v>46332</v>
      </c>
      <c r="AD293" s="350">
        <f>AC293+2</f>
        <v>46334</v>
      </c>
      <c r="AE293" s="350">
        <f>AF293-7</f>
        <v>46419</v>
      </c>
      <c r="AF293" s="350">
        <f>AG293-7</f>
        <v>46426</v>
      </c>
      <c r="AG293" s="350">
        <f>AL293</f>
        <v>46433</v>
      </c>
      <c r="AH293" s="350">
        <f>AL293+14</f>
        <v>46447</v>
      </c>
      <c r="AI293" s="350">
        <f>AL293+30</f>
        <v>46463</v>
      </c>
      <c r="AJ293" s="362"/>
      <c r="AK293" s="326">
        <f>AJ291*7</f>
        <v>168</v>
      </c>
      <c r="AL293" s="350">
        <f>W293+AK293</f>
        <v>46433</v>
      </c>
      <c r="AM293" s="327">
        <f>AT291-7</f>
        <v>46439</v>
      </c>
      <c r="AN293" s="327">
        <f>AO293-7</f>
        <v>46454</v>
      </c>
      <c r="AO293" s="327">
        <v>46461</v>
      </c>
      <c r="AP293" s="327"/>
      <c r="AQ293" s="311">
        <f>AM293-AL293</f>
        <v>6</v>
      </c>
      <c r="AR293" s="329"/>
      <c r="AS293" s="330" t="s">
        <v>66</v>
      </c>
      <c r="AT293" s="331">
        <v>46446</v>
      </c>
    </row>
    <row r="294" spans="1:46" s="264" customFormat="1" ht="25.05" customHeight="1">
      <c r="A294" s="492"/>
      <c r="B294" s="337" t="str">
        <f>B291</f>
        <v>RFQ-PIP-070</v>
      </c>
      <c r="C294" s="337" t="s">
        <v>271</v>
      </c>
      <c r="D294" s="418"/>
      <c r="E294" s="544"/>
      <c r="F294" s="418"/>
      <c r="G294" s="340"/>
      <c r="H294" s="339"/>
      <c r="I294" s="340" t="s">
        <v>83</v>
      </c>
      <c r="J294" s="337" t="s">
        <v>60</v>
      </c>
      <c r="K294" s="308">
        <v>3</v>
      </c>
      <c r="L294" s="337" t="s">
        <v>9</v>
      </c>
      <c r="M294" s="341" t="s">
        <v>67</v>
      </c>
      <c r="N294" s="343"/>
      <c r="O294" s="343"/>
      <c r="P294" s="343"/>
      <c r="Q294" s="343"/>
      <c r="R294" s="343"/>
      <c r="S294" s="343"/>
      <c r="T294" s="343"/>
      <c r="U294" s="343"/>
      <c r="V294" s="343"/>
      <c r="W294" s="343"/>
      <c r="X294" s="343"/>
      <c r="Y294" s="343"/>
      <c r="Z294" s="343"/>
      <c r="AA294" s="343"/>
      <c r="AB294" s="343"/>
      <c r="AC294" s="343"/>
      <c r="AD294" s="343"/>
      <c r="AE294" s="343"/>
      <c r="AF294" s="343"/>
      <c r="AG294" s="343"/>
      <c r="AH294" s="343"/>
      <c r="AI294" s="343"/>
      <c r="AJ294" s="353"/>
      <c r="AK294" s="354"/>
      <c r="AL294" s="343"/>
      <c r="AM294" s="355"/>
      <c r="AN294" s="355"/>
      <c r="AO294" s="355"/>
      <c r="AP294" s="355"/>
      <c r="AQ294" s="340"/>
      <c r="AR294" s="356"/>
      <c r="AS294" s="357"/>
      <c r="AT294" s="356"/>
    </row>
    <row r="295" spans="1:46" s="264" customFormat="1" ht="25.05" customHeight="1">
      <c r="A295" s="493">
        <f>A291+1</f>
        <v>71</v>
      </c>
      <c r="B295" s="308" t="s">
        <v>272</v>
      </c>
      <c r="C295" s="308" t="s">
        <v>273</v>
      </c>
      <c r="D295" s="419"/>
      <c r="E295" s="541">
        <v>12.8571428571429</v>
      </c>
      <c r="F295" s="419"/>
      <c r="G295" s="311"/>
      <c r="H295" s="310"/>
      <c r="I295" s="311" t="s">
        <v>83</v>
      </c>
      <c r="J295" s="308" t="s">
        <v>60</v>
      </c>
      <c r="K295" s="312">
        <f>K298</f>
        <v>3</v>
      </c>
      <c r="L295" s="308" t="s">
        <v>9</v>
      </c>
      <c r="M295" s="313" t="s">
        <v>61</v>
      </c>
      <c r="N295" s="364">
        <f>WORKDAY.INTL(O295,-INDEX(O$12:O$15,MATCH($L295,$L$12:$L$15,0)),1,IF(N$18="China",'China Holidays'!$A$2:$A$82,'Thai Holidays'!$A$2:$A$63))</f>
        <v>46218</v>
      </c>
      <c r="O295" s="350">
        <v>46223</v>
      </c>
      <c r="P295" s="350">
        <v>46230</v>
      </c>
      <c r="Q295" s="350">
        <v>46231</v>
      </c>
      <c r="R295" s="350">
        <v>46237</v>
      </c>
      <c r="S295" s="350">
        <f>R295+1</f>
        <v>46238</v>
      </c>
      <c r="T295" s="350">
        <v>46244</v>
      </c>
      <c r="U295" s="350">
        <v>46254</v>
      </c>
      <c r="V295" s="350">
        <v>46258</v>
      </c>
      <c r="W295" s="350">
        <v>46265</v>
      </c>
      <c r="X295" s="350">
        <v>46267</v>
      </c>
      <c r="Y295" s="350">
        <v>46274</v>
      </c>
      <c r="Z295" s="350">
        <v>46288</v>
      </c>
      <c r="AA295" s="350">
        <v>46302</v>
      </c>
      <c r="AB295" s="350">
        <v>46332</v>
      </c>
      <c r="AC295" s="350">
        <v>46332</v>
      </c>
      <c r="AD295" s="350">
        <v>46334</v>
      </c>
      <c r="AE295" s="350">
        <v>46341</v>
      </c>
      <c r="AF295" s="350">
        <v>46348</v>
      </c>
      <c r="AG295" s="350">
        <v>46355</v>
      </c>
      <c r="AH295" s="350">
        <v>46369</v>
      </c>
      <c r="AI295" s="350">
        <v>46385</v>
      </c>
      <c r="AJ295" s="316">
        <v>12.8571428571429</v>
      </c>
      <c r="AK295" s="351"/>
      <c r="AL295" s="350" t="str">
        <f>TEXT(AL297,"d-mmm-yy")</f>
        <v>29-Nov-26</v>
      </c>
      <c r="AM295" s="327"/>
      <c r="AN295" s="327"/>
      <c r="AO295" s="327"/>
      <c r="AP295" s="327"/>
      <c r="AQ295" s="311"/>
      <c r="AR295" s="329"/>
      <c r="AS295" s="330" t="s">
        <v>62</v>
      </c>
      <c r="AT295" s="331">
        <v>46367</v>
      </c>
    </row>
    <row r="296" spans="1:46" s="264" customFormat="1" ht="25.05" customHeight="1">
      <c r="A296" s="491"/>
      <c r="B296" s="308" t="str">
        <f>B295</f>
        <v>RFQ-PIP-071</v>
      </c>
      <c r="C296" s="308" t="str">
        <f>C295</f>
        <v>SAW Welded Pipe</v>
      </c>
      <c r="D296" s="414"/>
      <c r="E296" s="542"/>
      <c r="F296" s="416"/>
      <c r="G296" s="311"/>
      <c r="H296" s="310"/>
      <c r="I296" s="311" t="s">
        <v>83</v>
      </c>
      <c r="J296" s="308"/>
      <c r="K296" s="322"/>
      <c r="L296" s="308"/>
      <c r="M296" s="323" t="s">
        <v>63</v>
      </c>
      <c r="N296" s="367"/>
      <c r="O296" s="325">
        <v>46223</v>
      </c>
      <c r="P296" s="325">
        <v>46230</v>
      </c>
      <c r="Q296" s="325">
        <v>46231</v>
      </c>
      <c r="R296" s="325">
        <v>46237</v>
      </c>
      <c r="S296" s="325">
        <v>46238</v>
      </c>
      <c r="T296" s="325">
        <v>46244</v>
      </c>
      <c r="U296" s="325">
        <v>46254</v>
      </c>
      <c r="V296" s="325">
        <v>46258</v>
      </c>
      <c r="W296" s="325">
        <v>46265</v>
      </c>
      <c r="X296" s="325">
        <v>46267</v>
      </c>
      <c r="Y296" s="325">
        <v>46274</v>
      </c>
      <c r="Z296" s="325">
        <v>46288</v>
      </c>
      <c r="AA296" s="325">
        <v>46302</v>
      </c>
      <c r="AB296" s="325">
        <v>46332</v>
      </c>
      <c r="AC296" s="325">
        <v>46332</v>
      </c>
      <c r="AD296" s="325">
        <v>46334</v>
      </c>
      <c r="AE296" s="325">
        <v>46341</v>
      </c>
      <c r="AF296" s="325">
        <v>46348</v>
      </c>
      <c r="AG296" s="325">
        <v>46355</v>
      </c>
      <c r="AH296" s="325">
        <v>46369</v>
      </c>
      <c r="AI296" s="325">
        <v>46385</v>
      </c>
      <c r="AJ296" s="365"/>
      <c r="AK296" s="326"/>
      <c r="AL296" s="325">
        <f>W296+AK297</f>
        <v>46355</v>
      </c>
      <c r="AM296" s="327"/>
      <c r="AN296" s="327"/>
      <c r="AO296" s="327"/>
      <c r="AP296" s="327"/>
      <c r="AQ296" s="328">
        <f>AM297-AL296</f>
        <v>5</v>
      </c>
      <c r="AR296" s="329"/>
      <c r="AS296" s="330"/>
      <c r="AT296" s="331"/>
    </row>
    <row r="297" spans="1:46" s="264" customFormat="1" ht="25.05" customHeight="1">
      <c r="A297" s="491"/>
      <c r="B297" s="308" t="str">
        <f>B295</f>
        <v>RFQ-PIP-071</v>
      </c>
      <c r="C297" s="308" t="s">
        <v>273</v>
      </c>
      <c r="D297" s="359"/>
      <c r="E297" s="543"/>
      <c r="F297" s="359"/>
      <c r="G297" s="311">
        <v>5</v>
      </c>
      <c r="H297" s="310" t="s">
        <v>263</v>
      </c>
      <c r="I297" s="311" t="s">
        <v>83</v>
      </c>
      <c r="J297" s="308" t="s">
        <v>60</v>
      </c>
      <c r="K297" s="308">
        <f>K298</f>
        <v>3</v>
      </c>
      <c r="L297" s="308" t="s">
        <v>9</v>
      </c>
      <c r="M297" s="313" t="s">
        <v>65</v>
      </c>
      <c r="N297" s="350">
        <v>46208</v>
      </c>
      <c r="O297" s="350">
        <v>46216</v>
      </c>
      <c r="P297" s="350">
        <f>WORKDAY.INTL(O297,INDEX(P$8:P$11,MATCH($L297,$L$8:$L$11,0)),1,IF(P$18="China",'China Holidays'!$A$2:$A$82,'Thai Holidays'!$A$2:$A$63))</f>
        <v>46230</v>
      </c>
      <c r="Q297" s="350">
        <f>WORKDAY.INTL(P297,INDEX(Q$8:Q$11,MATCH($L297,$L$8:$L$11,0)),1,IF(Q$18="China",'China Holidays'!$A$2:$A$82,'Thai Holidays'!$A$2:$A$63))</f>
        <v>46230</v>
      </c>
      <c r="R297" s="350">
        <f>WORKDAY.INTL(Q297,INDEX(R$8:R$11,MATCH($L297,$L$8:$L$11,0)),1,IF(R$18="China",'China Holidays'!$A$2:$A$82,'Thai Holidays'!$A$2:$A$63))</f>
        <v>46230</v>
      </c>
      <c r="S297" s="350">
        <f>WORKDAY.INTL(R297,INDEX(S$8:S$11,MATCH($L297,$L$8:$L$11,0)),1,IF(S$18="China",'China Holidays'!$A$2:$A$82,'Thai Holidays'!$A$2:$A$63))</f>
        <v>46230</v>
      </c>
      <c r="T297" s="350">
        <v>46235</v>
      </c>
      <c r="U297" s="350">
        <v>46243</v>
      </c>
      <c r="V297" s="350">
        <f>WORKDAY.INTL(U297,INDEX(V$8:V$11,MATCH($L297,$L$8:$L$11,0)),1,IF(V$18="China",'China Holidays'!$A$2:$A$82,'Thai Holidays'!$A$2:$A$63))</f>
        <v>46258</v>
      </c>
      <c r="W297" s="350">
        <f>WORKDAY.INTL(V297,INDEX(W$8:W$11,MATCH($L297,$L$8:$L$11,0)),1,IF(W$18="China",'China Holidays'!$A$2:$A$82,'Thai Holidays'!$A$2:$A$63))</f>
        <v>46265</v>
      </c>
      <c r="X297" s="350">
        <f>WORKDAY.INTL(W297,INDEX(X$12:X$15,MATCH($L297,$L$12:$L$15,0)),1,IF(X$18="China",'China Holidays'!$A$2:$A$82,'Thai Holidays'!$A$2:$A$63))</f>
        <v>46267</v>
      </c>
      <c r="Y297" s="350">
        <f>WORKDAY.INTL(X297,INDEX(Y$12:Y$15,MATCH($L297,$L$12:$L$15,0)),1,IF(Y$18="China",'China Holidays'!$A$2:$A$82,'Thai Holidays'!$A$2:$A$63))</f>
        <v>46274</v>
      </c>
      <c r="Z297" s="350">
        <f>WORKDAY.INTL(Y297,INDEX(Z$12:Z$15,MATCH($L297,$L$12:$L$15,0)),1,IF(Z$18="China",'China Holidays'!$A$2:$A$82,'Thai Holidays'!$A$2:$A$63))</f>
        <v>46288</v>
      </c>
      <c r="AA297" s="350">
        <f>WORKDAY.INTL(Z297,INDEX(AA$12:AA$15,MATCH($L297,$L$12:$L$15,0)),1,IF(AA$18="China",'China Holidays'!$A$2:$A$82,'Thai Holidays'!$A$2:$A$63))</f>
        <v>46302</v>
      </c>
      <c r="AB297" s="350">
        <f>AA297+30</f>
        <v>46332</v>
      </c>
      <c r="AC297" s="350">
        <f>AB297</f>
        <v>46332</v>
      </c>
      <c r="AD297" s="350">
        <f>AC297+2</f>
        <v>46334</v>
      </c>
      <c r="AE297" s="350">
        <f>AF297-7</f>
        <v>46341</v>
      </c>
      <c r="AF297" s="350">
        <f>AG297-7</f>
        <v>46348</v>
      </c>
      <c r="AG297" s="350">
        <f>AL297</f>
        <v>46355</v>
      </c>
      <c r="AH297" s="350">
        <f>AL297+14</f>
        <v>46369</v>
      </c>
      <c r="AI297" s="350">
        <f>AL297+30</f>
        <v>46385</v>
      </c>
      <c r="AJ297" s="362"/>
      <c r="AK297" s="326">
        <f>AJ295*7</f>
        <v>90.000000000000298</v>
      </c>
      <c r="AL297" s="350">
        <f>W297+AK297</f>
        <v>46355</v>
      </c>
      <c r="AM297" s="327">
        <f>AT295-7</f>
        <v>46360</v>
      </c>
      <c r="AN297" s="327">
        <f>AO297-7</f>
        <v>46360</v>
      </c>
      <c r="AO297" s="327">
        <v>46367</v>
      </c>
      <c r="AP297" s="327"/>
      <c r="AQ297" s="311">
        <f>AM297-AL297</f>
        <v>5</v>
      </c>
      <c r="AR297" s="329"/>
      <c r="AS297" s="330" t="s">
        <v>66</v>
      </c>
      <c r="AT297" s="331">
        <v>46367</v>
      </c>
    </row>
    <row r="298" spans="1:46" s="264" customFormat="1" ht="25.05" customHeight="1">
      <c r="A298" s="492"/>
      <c r="B298" s="337" t="str">
        <f>B295</f>
        <v>RFQ-PIP-071</v>
      </c>
      <c r="C298" s="337" t="s">
        <v>273</v>
      </c>
      <c r="D298" s="363"/>
      <c r="E298" s="546"/>
      <c r="F298" s="363"/>
      <c r="G298" s="340"/>
      <c r="H298" s="339"/>
      <c r="I298" s="340" t="s">
        <v>83</v>
      </c>
      <c r="J298" s="337" t="s">
        <v>60</v>
      </c>
      <c r="K298" s="308">
        <v>3</v>
      </c>
      <c r="L298" s="337" t="s">
        <v>9</v>
      </c>
      <c r="M298" s="341" t="s">
        <v>67</v>
      </c>
      <c r="N298" s="343"/>
      <c r="O298" s="343"/>
      <c r="P298" s="343"/>
      <c r="Q298" s="343"/>
      <c r="R298" s="343"/>
      <c r="S298" s="343"/>
      <c r="T298" s="343"/>
      <c r="U298" s="343"/>
      <c r="V298" s="343"/>
      <c r="W298" s="340">
        <f>W295-W297</f>
        <v>0</v>
      </c>
      <c r="X298" s="343"/>
      <c r="Y298" s="343"/>
      <c r="Z298" s="343"/>
      <c r="AA298" s="343"/>
      <c r="AB298" s="343"/>
      <c r="AC298" s="343"/>
      <c r="AD298" s="343"/>
      <c r="AE298" s="343"/>
      <c r="AF298" s="343"/>
      <c r="AG298" s="343"/>
      <c r="AH298" s="343"/>
      <c r="AI298" s="343"/>
      <c r="AJ298" s="353"/>
      <c r="AK298" s="354"/>
      <c r="AL298" s="343"/>
      <c r="AM298" s="355"/>
      <c r="AN298" s="355"/>
      <c r="AO298" s="355"/>
      <c r="AP298" s="355"/>
      <c r="AQ298" s="340"/>
      <c r="AR298" s="356"/>
      <c r="AS298" s="357"/>
      <c r="AT298" s="356"/>
    </row>
    <row r="299" spans="1:46" s="264" customFormat="1" ht="25.05" customHeight="1">
      <c r="A299" s="493">
        <f>A295+1</f>
        <v>72</v>
      </c>
      <c r="B299" s="308" t="s">
        <v>274</v>
      </c>
      <c r="C299" s="308" t="s">
        <v>275</v>
      </c>
      <c r="D299" s="419"/>
      <c r="E299" s="541">
        <v>12.8571428571429</v>
      </c>
      <c r="F299" s="419"/>
      <c r="G299" s="311"/>
      <c r="H299" s="310"/>
      <c r="I299" s="311" t="s">
        <v>83</v>
      </c>
      <c r="J299" s="308" t="s">
        <v>60</v>
      </c>
      <c r="K299" s="312">
        <f>K302</f>
        <v>3</v>
      </c>
      <c r="L299" s="308" t="s">
        <v>9</v>
      </c>
      <c r="M299" s="313" t="s">
        <v>61</v>
      </c>
      <c r="N299" s="364">
        <f>WORKDAY.INTL(O299,-INDEX(O$12:O$15,MATCH($L299,$L$12:$L$15,0)),1,IF(N$18="China",'China Holidays'!$A$2:$A$82,'Thai Holidays'!$A$2:$A$63))</f>
        <v>46218</v>
      </c>
      <c r="O299" s="350">
        <v>46223</v>
      </c>
      <c r="P299" s="350">
        <v>46230</v>
      </c>
      <c r="Q299" s="350">
        <v>46231</v>
      </c>
      <c r="R299" s="350">
        <v>46237</v>
      </c>
      <c r="S299" s="350">
        <f>R299+1</f>
        <v>46238</v>
      </c>
      <c r="T299" s="350">
        <v>46244</v>
      </c>
      <c r="U299" s="350">
        <v>46254</v>
      </c>
      <c r="V299" s="350">
        <v>46258</v>
      </c>
      <c r="W299" s="350">
        <v>46265</v>
      </c>
      <c r="X299" s="350">
        <v>46267</v>
      </c>
      <c r="Y299" s="350">
        <v>46274</v>
      </c>
      <c r="Z299" s="350">
        <v>46288</v>
      </c>
      <c r="AA299" s="350">
        <v>46302</v>
      </c>
      <c r="AB299" s="350">
        <v>46332</v>
      </c>
      <c r="AC299" s="350">
        <v>46332</v>
      </c>
      <c r="AD299" s="350">
        <v>46334</v>
      </c>
      <c r="AE299" s="350">
        <v>46341</v>
      </c>
      <c r="AF299" s="350">
        <v>46348</v>
      </c>
      <c r="AG299" s="350">
        <v>46355</v>
      </c>
      <c r="AH299" s="350">
        <v>46369</v>
      </c>
      <c r="AI299" s="350">
        <v>46385</v>
      </c>
      <c r="AJ299" s="316">
        <v>12.8571428571429</v>
      </c>
      <c r="AK299" s="351"/>
      <c r="AL299" s="350" t="str">
        <f>TEXT(AL301,"d-mmm-yy")</f>
        <v>29-Nov-26</v>
      </c>
      <c r="AM299" s="327"/>
      <c r="AN299" s="327"/>
      <c r="AO299" s="327"/>
      <c r="AP299" s="327"/>
      <c r="AQ299" s="311"/>
      <c r="AR299" s="329"/>
      <c r="AS299" s="330" t="s">
        <v>62</v>
      </c>
      <c r="AT299" s="331">
        <v>46367</v>
      </c>
    </row>
    <row r="300" spans="1:46" s="264" customFormat="1" ht="25.05" customHeight="1">
      <c r="A300" s="491"/>
      <c r="B300" s="308" t="str">
        <f>B299</f>
        <v>RFQ-PIP-072</v>
      </c>
      <c r="C300" s="308" t="str">
        <f>C299</f>
        <v>CS Pipe</v>
      </c>
      <c r="D300" s="414"/>
      <c r="E300" s="542"/>
      <c r="F300" s="416"/>
      <c r="G300" s="311"/>
      <c r="H300" s="310"/>
      <c r="I300" s="311" t="s">
        <v>83</v>
      </c>
      <c r="J300" s="308"/>
      <c r="K300" s="322"/>
      <c r="L300" s="308"/>
      <c r="M300" s="323" t="s">
        <v>63</v>
      </c>
      <c r="N300" s="367"/>
      <c r="O300" s="325">
        <v>46223</v>
      </c>
      <c r="P300" s="325">
        <v>46230</v>
      </c>
      <c r="Q300" s="325">
        <v>46231</v>
      </c>
      <c r="R300" s="325">
        <v>46237</v>
      </c>
      <c r="S300" s="325">
        <v>46238</v>
      </c>
      <c r="T300" s="325">
        <v>46244</v>
      </c>
      <c r="U300" s="325">
        <v>46254</v>
      </c>
      <c r="V300" s="325">
        <v>46258</v>
      </c>
      <c r="W300" s="325">
        <v>46265</v>
      </c>
      <c r="X300" s="325">
        <v>46267</v>
      </c>
      <c r="Y300" s="325">
        <v>46274</v>
      </c>
      <c r="Z300" s="325">
        <v>46288</v>
      </c>
      <c r="AA300" s="325">
        <v>46302</v>
      </c>
      <c r="AB300" s="325">
        <v>46332</v>
      </c>
      <c r="AC300" s="325">
        <v>46332</v>
      </c>
      <c r="AD300" s="325">
        <v>46334</v>
      </c>
      <c r="AE300" s="325">
        <v>46341</v>
      </c>
      <c r="AF300" s="325">
        <v>46348</v>
      </c>
      <c r="AG300" s="325">
        <v>46355</v>
      </c>
      <c r="AH300" s="325">
        <v>46369</v>
      </c>
      <c r="AI300" s="325">
        <v>46385</v>
      </c>
      <c r="AJ300" s="365"/>
      <c r="AK300" s="326"/>
      <c r="AL300" s="325">
        <f>W300+AK301</f>
        <v>46355</v>
      </c>
      <c r="AM300" s="327"/>
      <c r="AN300" s="327"/>
      <c r="AO300" s="327"/>
      <c r="AP300" s="327"/>
      <c r="AQ300" s="328">
        <f>AM301-AL300</f>
        <v>5</v>
      </c>
      <c r="AR300" s="329"/>
      <c r="AS300" s="330"/>
      <c r="AT300" s="331"/>
    </row>
    <row r="301" spans="1:46" s="264" customFormat="1" ht="25.05" customHeight="1">
      <c r="A301" s="491"/>
      <c r="B301" s="308" t="str">
        <f>B299</f>
        <v>RFQ-PIP-072</v>
      </c>
      <c r="C301" s="308" t="s">
        <v>275</v>
      </c>
      <c r="D301" s="359"/>
      <c r="E301" s="543"/>
      <c r="F301" s="359"/>
      <c r="G301" s="311">
        <v>5</v>
      </c>
      <c r="H301" s="310" t="s">
        <v>263</v>
      </c>
      <c r="I301" s="311" t="s">
        <v>83</v>
      </c>
      <c r="J301" s="308" t="s">
        <v>60</v>
      </c>
      <c r="K301" s="308">
        <f>K302</f>
        <v>3</v>
      </c>
      <c r="L301" s="308" t="s">
        <v>9</v>
      </c>
      <c r="M301" s="313" t="s">
        <v>65</v>
      </c>
      <c r="N301" s="350">
        <v>46208</v>
      </c>
      <c r="O301" s="350">
        <v>46216</v>
      </c>
      <c r="P301" s="350">
        <f>WORKDAY.INTL(O301,INDEX(P$8:P$11,MATCH($L301,$L$8:$L$11,0)),1,IF(P$18="China",'China Holidays'!$A$2:$A$82,'Thai Holidays'!$A$2:$A$63))</f>
        <v>46230</v>
      </c>
      <c r="Q301" s="350">
        <f>WORKDAY.INTL(P301,INDEX(Q$8:Q$11,MATCH($L301,$L$8:$L$11,0)),1,IF(Q$18="China",'China Holidays'!$A$2:$A$82,'Thai Holidays'!$A$2:$A$63))</f>
        <v>46230</v>
      </c>
      <c r="R301" s="350">
        <f>WORKDAY.INTL(Q301,INDEX(R$8:R$11,MATCH($L301,$L$8:$L$11,0)),1,IF(R$18="China",'China Holidays'!$A$2:$A$82,'Thai Holidays'!$A$2:$A$63))</f>
        <v>46230</v>
      </c>
      <c r="S301" s="350">
        <f>WORKDAY.INTL(R301,INDEX(S$8:S$11,MATCH($L301,$L$8:$L$11,0)),1,IF(S$18="China",'China Holidays'!$A$2:$A$82,'Thai Holidays'!$A$2:$A$63))</f>
        <v>46230</v>
      </c>
      <c r="T301" s="350">
        <v>46235</v>
      </c>
      <c r="U301" s="350">
        <v>46243</v>
      </c>
      <c r="V301" s="350">
        <f>WORKDAY.INTL(U301,INDEX(V$8:V$11,MATCH($L301,$L$8:$L$11,0)),1,IF(V$18="China",'China Holidays'!$A$2:$A$82,'Thai Holidays'!$A$2:$A$63))</f>
        <v>46258</v>
      </c>
      <c r="W301" s="350">
        <f>WORKDAY.INTL(V301,INDEX(W$8:W$11,MATCH($L301,$L$8:$L$11,0)),1,IF(W$18="China",'China Holidays'!$A$2:$A$82,'Thai Holidays'!$A$2:$A$63))</f>
        <v>46265</v>
      </c>
      <c r="X301" s="350">
        <f>WORKDAY.INTL(W301,INDEX(X$12:X$15,MATCH($L301,$L$12:$L$15,0)),1,IF(X$18="China",'China Holidays'!$A$2:$A$82,'Thai Holidays'!$A$2:$A$63))</f>
        <v>46267</v>
      </c>
      <c r="Y301" s="350">
        <f>WORKDAY.INTL(X301,INDEX(Y$12:Y$15,MATCH($L301,$L$12:$L$15,0)),1,IF(Y$18="China",'China Holidays'!$A$2:$A$82,'Thai Holidays'!$A$2:$A$63))</f>
        <v>46274</v>
      </c>
      <c r="Z301" s="350">
        <f>WORKDAY.INTL(Y301,INDEX(Z$12:Z$15,MATCH($L301,$L$12:$L$15,0)),1,IF(Z$18="China",'China Holidays'!$A$2:$A$82,'Thai Holidays'!$A$2:$A$63))</f>
        <v>46288</v>
      </c>
      <c r="AA301" s="350">
        <f>WORKDAY.INTL(Z301,INDEX(AA$12:AA$15,MATCH($L301,$L$12:$L$15,0)),1,IF(AA$18="China",'China Holidays'!$A$2:$A$82,'Thai Holidays'!$A$2:$A$63))</f>
        <v>46302</v>
      </c>
      <c r="AB301" s="350">
        <f>AA301+30</f>
        <v>46332</v>
      </c>
      <c r="AC301" s="350">
        <f>AB301</f>
        <v>46332</v>
      </c>
      <c r="AD301" s="350">
        <f>AC301+2</f>
        <v>46334</v>
      </c>
      <c r="AE301" s="350">
        <f>AF301-7</f>
        <v>46341</v>
      </c>
      <c r="AF301" s="350">
        <f>AG301-7</f>
        <v>46348</v>
      </c>
      <c r="AG301" s="350">
        <f>AL301</f>
        <v>46355</v>
      </c>
      <c r="AH301" s="350">
        <f>AL301+14</f>
        <v>46369</v>
      </c>
      <c r="AI301" s="350">
        <f>AL301+30</f>
        <v>46385</v>
      </c>
      <c r="AJ301" s="362"/>
      <c r="AK301" s="326">
        <f>AJ299*7</f>
        <v>90.000000000000298</v>
      </c>
      <c r="AL301" s="350">
        <f>W301+AK301</f>
        <v>46355</v>
      </c>
      <c r="AM301" s="327">
        <f>AT299-7</f>
        <v>46360</v>
      </c>
      <c r="AN301" s="327">
        <f>AO301-7</f>
        <v>46360</v>
      </c>
      <c r="AO301" s="327">
        <v>46367</v>
      </c>
      <c r="AP301" s="327"/>
      <c r="AQ301" s="311">
        <f>AM301-AL301</f>
        <v>5</v>
      </c>
      <c r="AR301" s="329"/>
      <c r="AS301" s="330" t="s">
        <v>66</v>
      </c>
      <c r="AT301" s="331">
        <v>46367</v>
      </c>
    </row>
    <row r="302" spans="1:46" s="264" customFormat="1" ht="25.05" customHeight="1">
      <c r="A302" s="492"/>
      <c r="B302" s="337" t="str">
        <f>B299</f>
        <v>RFQ-PIP-072</v>
      </c>
      <c r="C302" s="337" t="s">
        <v>275</v>
      </c>
      <c r="D302" s="363"/>
      <c r="E302" s="546"/>
      <c r="F302" s="363"/>
      <c r="G302" s="340"/>
      <c r="H302" s="339"/>
      <c r="I302" s="340" t="s">
        <v>83</v>
      </c>
      <c r="J302" s="337" t="s">
        <v>60</v>
      </c>
      <c r="K302" s="308">
        <v>3</v>
      </c>
      <c r="L302" s="337" t="s">
        <v>9</v>
      </c>
      <c r="M302" s="341" t="s">
        <v>67</v>
      </c>
      <c r="N302" s="343"/>
      <c r="O302" s="343"/>
      <c r="P302" s="343"/>
      <c r="Q302" s="343"/>
      <c r="R302" s="343"/>
      <c r="S302" s="343"/>
      <c r="T302" s="343"/>
      <c r="U302" s="343"/>
      <c r="V302" s="343"/>
      <c r="W302" s="340">
        <f>W299-W301</f>
        <v>0</v>
      </c>
      <c r="X302" s="343"/>
      <c r="Y302" s="343"/>
      <c r="Z302" s="343"/>
      <c r="AA302" s="343"/>
      <c r="AB302" s="343"/>
      <c r="AC302" s="343"/>
      <c r="AD302" s="343"/>
      <c r="AE302" s="343"/>
      <c r="AF302" s="343"/>
      <c r="AG302" s="343"/>
      <c r="AH302" s="343"/>
      <c r="AI302" s="343"/>
      <c r="AJ302" s="353"/>
      <c r="AK302" s="354"/>
      <c r="AL302" s="343"/>
      <c r="AM302" s="355"/>
      <c r="AN302" s="355"/>
      <c r="AO302" s="355"/>
      <c r="AP302" s="355"/>
      <c r="AQ302" s="340"/>
      <c r="AR302" s="356"/>
      <c r="AS302" s="357"/>
      <c r="AT302" s="356"/>
    </row>
    <row r="303" spans="1:46" s="264" customFormat="1" ht="25.05" customHeight="1">
      <c r="A303" s="493">
        <f>A299+1</f>
        <v>73</v>
      </c>
      <c r="B303" s="308" t="s">
        <v>276</v>
      </c>
      <c r="C303" s="308" t="s">
        <v>277</v>
      </c>
      <c r="D303" s="433"/>
      <c r="E303" s="545">
        <v>24</v>
      </c>
      <c r="F303" s="433"/>
      <c r="G303" s="311"/>
      <c r="H303" s="310"/>
      <c r="I303" s="311" t="s">
        <v>83</v>
      </c>
      <c r="J303" s="308" t="s">
        <v>60</v>
      </c>
      <c r="K303" s="312">
        <f>K306</f>
        <v>3</v>
      </c>
      <c r="L303" s="308" t="s">
        <v>9</v>
      </c>
      <c r="M303" s="313" t="s">
        <v>61</v>
      </c>
      <c r="N303" s="364">
        <f>WORKDAY.INTL(O303,-INDEX(O$12:O$15,MATCH($L303,$L$12:$L$15,0)),1,IF(N$18="China",'China Holidays'!$A$2:$A$82,'Thai Holidays'!$A$2:$A$63))</f>
        <v>46218</v>
      </c>
      <c r="O303" s="350">
        <v>46223</v>
      </c>
      <c r="P303" s="350">
        <v>46230</v>
      </c>
      <c r="Q303" s="350">
        <v>46231</v>
      </c>
      <c r="R303" s="350">
        <v>46237</v>
      </c>
      <c r="S303" s="350">
        <f>R303+1</f>
        <v>46238</v>
      </c>
      <c r="T303" s="350">
        <v>46244</v>
      </c>
      <c r="U303" s="350">
        <v>46254</v>
      </c>
      <c r="V303" s="350">
        <v>46258</v>
      </c>
      <c r="W303" s="350">
        <v>46265</v>
      </c>
      <c r="X303" s="350">
        <v>46267</v>
      </c>
      <c r="Y303" s="350">
        <v>46274</v>
      </c>
      <c r="Z303" s="350">
        <v>46288</v>
      </c>
      <c r="AA303" s="350">
        <v>46302</v>
      </c>
      <c r="AB303" s="350">
        <v>46332</v>
      </c>
      <c r="AC303" s="350">
        <v>46332</v>
      </c>
      <c r="AD303" s="350">
        <v>46334</v>
      </c>
      <c r="AE303" s="350">
        <v>46419</v>
      </c>
      <c r="AF303" s="350">
        <v>46426</v>
      </c>
      <c r="AG303" s="350">
        <v>46433</v>
      </c>
      <c r="AH303" s="350">
        <v>46447</v>
      </c>
      <c r="AI303" s="350">
        <v>46463</v>
      </c>
      <c r="AJ303" s="316">
        <v>24</v>
      </c>
      <c r="AK303" s="351"/>
      <c r="AL303" s="350" t="str">
        <f>TEXT(AL305,"d-mmm-yy")</f>
        <v>15-Feb-27</v>
      </c>
      <c r="AM303" s="327"/>
      <c r="AN303" s="327"/>
      <c r="AO303" s="327"/>
      <c r="AP303" s="327"/>
      <c r="AQ303" s="311"/>
      <c r="AR303" s="329"/>
      <c r="AS303" s="330" t="s">
        <v>62</v>
      </c>
      <c r="AT303" s="331">
        <v>46451</v>
      </c>
    </row>
    <row r="304" spans="1:46" s="264" customFormat="1" ht="25.05" customHeight="1">
      <c r="A304" s="491"/>
      <c r="B304" s="308" t="str">
        <f>B303</f>
        <v>RFQ-PIP-073</v>
      </c>
      <c r="C304" s="308" t="str">
        <f>C303</f>
        <v>DSS Pipes</v>
      </c>
      <c r="D304" s="414"/>
      <c r="E304" s="542"/>
      <c r="F304" s="416"/>
      <c r="G304" s="311"/>
      <c r="H304" s="310"/>
      <c r="I304" s="311" t="s">
        <v>83</v>
      </c>
      <c r="J304" s="308"/>
      <c r="K304" s="322"/>
      <c r="L304" s="308"/>
      <c r="M304" s="323" t="s">
        <v>63</v>
      </c>
      <c r="N304" s="367"/>
      <c r="O304" s="325">
        <v>46216</v>
      </c>
      <c r="P304" s="325">
        <v>46223</v>
      </c>
      <c r="Q304" s="325">
        <v>46224</v>
      </c>
      <c r="R304" s="325">
        <v>46230</v>
      </c>
      <c r="S304" s="325">
        <v>46231</v>
      </c>
      <c r="T304" s="325">
        <v>46237</v>
      </c>
      <c r="U304" s="325">
        <v>46247</v>
      </c>
      <c r="V304" s="325">
        <v>46251</v>
      </c>
      <c r="W304" s="325">
        <v>46258</v>
      </c>
      <c r="X304" s="325">
        <v>46260</v>
      </c>
      <c r="Y304" s="325">
        <v>46267</v>
      </c>
      <c r="Z304" s="325">
        <v>46281</v>
      </c>
      <c r="AA304" s="325">
        <v>46295</v>
      </c>
      <c r="AB304" s="325">
        <v>46325</v>
      </c>
      <c r="AC304" s="325">
        <v>46325</v>
      </c>
      <c r="AD304" s="325">
        <v>46327</v>
      </c>
      <c r="AE304" s="325">
        <v>46412</v>
      </c>
      <c r="AF304" s="325">
        <v>46419</v>
      </c>
      <c r="AG304" s="325">
        <v>46426</v>
      </c>
      <c r="AH304" s="325">
        <v>46440</v>
      </c>
      <c r="AI304" s="325">
        <v>46456</v>
      </c>
      <c r="AJ304" s="316"/>
      <c r="AK304" s="326"/>
      <c r="AL304" s="325">
        <f>W304+AK305</f>
        <v>46426</v>
      </c>
      <c r="AM304" s="327"/>
      <c r="AN304" s="327"/>
      <c r="AO304" s="327"/>
      <c r="AP304" s="327"/>
      <c r="AQ304" s="328">
        <f>AM305-AL304</f>
        <v>3</v>
      </c>
      <c r="AR304" s="329"/>
      <c r="AS304" s="330"/>
      <c r="AT304" s="331"/>
    </row>
    <row r="305" spans="1:46" s="264" customFormat="1" ht="25.05" customHeight="1">
      <c r="A305" s="491"/>
      <c r="B305" s="308" t="str">
        <f>B303</f>
        <v>RFQ-PIP-073</v>
      </c>
      <c r="C305" s="308" t="s">
        <v>277</v>
      </c>
      <c r="D305" s="399"/>
      <c r="E305" s="543"/>
      <c r="F305" s="399"/>
      <c r="G305" s="311">
        <v>11</v>
      </c>
      <c r="H305" s="310" t="s">
        <v>263</v>
      </c>
      <c r="I305" s="311" t="s">
        <v>83</v>
      </c>
      <c r="J305" s="308" t="s">
        <v>60</v>
      </c>
      <c r="K305" s="308">
        <f>K306</f>
        <v>3</v>
      </c>
      <c r="L305" s="308" t="s">
        <v>9</v>
      </c>
      <c r="M305" s="313" t="s">
        <v>65</v>
      </c>
      <c r="N305" s="350">
        <v>46218</v>
      </c>
      <c r="O305" s="350">
        <v>46216</v>
      </c>
      <c r="P305" s="350">
        <f>WORKDAY.INTL(O305,INDEX(P$8:P$11,MATCH($L305,$L$8:$L$11,0)),1,IF(P$18="China",'China Holidays'!$A$2:$A$82,'Thai Holidays'!$A$2:$A$63))</f>
        <v>46230</v>
      </c>
      <c r="Q305" s="350">
        <f>WORKDAY.INTL(P305,INDEX(Q$8:Q$11,MATCH($L305,$L$8:$L$11,0)),1,IF(Q$18="China",'China Holidays'!$A$2:$A$82,'Thai Holidays'!$A$2:$A$63))</f>
        <v>46230</v>
      </c>
      <c r="R305" s="350">
        <f>WORKDAY.INTL(Q305,INDEX(R$8:R$11,MATCH($L305,$L$8:$L$11,0)),1,IF(R$18="China",'China Holidays'!$A$2:$A$82,'Thai Holidays'!$A$2:$A$63))</f>
        <v>46230</v>
      </c>
      <c r="S305" s="350">
        <f>WORKDAY.INTL(R305,INDEX(S$8:S$11,MATCH($L305,$L$8:$L$11,0)),1,IF(S$18="China",'China Holidays'!$A$2:$A$82,'Thai Holidays'!$A$2:$A$63))</f>
        <v>46230</v>
      </c>
      <c r="T305" s="350">
        <v>46235</v>
      </c>
      <c r="U305" s="350">
        <v>46243</v>
      </c>
      <c r="V305" s="350">
        <f>WORKDAY.INTL(U305,INDEX(V$8:V$11,MATCH($L305,$L$8:$L$11,0)),1,IF(V$18="China",'China Holidays'!$A$2:$A$82,'Thai Holidays'!$A$2:$A$63))</f>
        <v>46258</v>
      </c>
      <c r="W305" s="350">
        <f>WORKDAY.INTL(V305,INDEX(W$8:W$11,MATCH($L305,$L$8:$L$11,0)),1,IF(W$18="China",'China Holidays'!$A$2:$A$82,'Thai Holidays'!$A$2:$A$63))</f>
        <v>46265</v>
      </c>
      <c r="X305" s="350">
        <f>WORKDAY.INTL(W305,INDEX(X$12:X$15,MATCH($L305,$L$12:$L$15,0)),1,IF(X$18="China",'China Holidays'!$A$2:$A$82,'Thai Holidays'!$A$2:$A$63))</f>
        <v>46267</v>
      </c>
      <c r="Y305" s="350">
        <f>WORKDAY.INTL(X305,INDEX(Y$12:Y$15,MATCH($L305,$L$12:$L$15,0)),1,IF(Y$18="China",'China Holidays'!$A$2:$A$82,'Thai Holidays'!$A$2:$A$63))</f>
        <v>46274</v>
      </c>
      <c r="Z305" s="350">
        <f>WORKDAY.INTL(Y305,INDEX(Z$12:Z$15,MATCH($L305,$L$12:$L$15,0)),1,IF(Z$18="China",'China Holidays'!$A$2:$A$82,'Thai Holidays'!$A$2:$A$63))</f>
        <v>46288</v>
      </c>
      <c r="AA305" s="350">
        <f>WORKDAY.INTL(Z305,INDEX(AA$12:AA$15,MATCH($L305,$L$12:$L$15,0)),1,IF(AA$18="China",'China Holidays'!$A$2:$A$82,'Thai Holidays'!$A$2:$A$63))</f>
        <v>46302</v>
      </c>
      <c r="AB305" s="350">
        <f>AA305+30</f>
        <v>46332</v>
      </c>
      <c r="AC305" s="350">
        <f>AB305</f>
        <v>46332</v>
      </c>
      <c r="AD305" s="350">
        <f>AC305+2</f>
        <v>46334</v>
      </c>
      <c r="AE305" s="350">
        <f>AF305-7</f>
        <v>46419</v>
      </c>
      <c r="AF305" s="350">
        <f>AG305-7</f>
        <v>46426</v>
      </c>
      <c r="AG305" s="350">
        <f>AL305</f>
        <v>46433</v>
      </c>
      <c r="AH305" s="350">
        <f>AL305+14</f>
        <v>46447</v>
      </c>
      <c r="AI305" s="350">
        <f>AL305+30</f>
        <v>46463</v>
      </c>
      <c r="AJ305" s="362"/>
      <c r="AK305" s="326">
        <f>AJ303*7</f>
        <v>168</v>
      </c>
      <c r="AL305" s="350">
        <f>W305+AK305</f>
        <v>46433</v>
      </c>
      <c r="AM305" s="327">
        <f>AN305-7</f>
        <v>46429</v>
      </c>
      <c r="AN305" s="327">
        <f>AO305-7</f>
        <v>46436</v>
      </c>
      <c r="AO305" s="327">
        <v>46443</v>
      </c>
      <c r="AP305" s="327"/>
      <c r="AQ305" s="311">
        <f>AM305-AL305</f>
        <v>-4</v>
      </c>
      <c r="AR305" s="329"/>
      <c r="AS305" s="330" t="s">
        <v>66</v>
      </c>
      <c r="AT305" s="331">
        <v>46451</v>
      </c>
    </row>
    <row r="306" spans="1:46" s="264" customFormat="1" ht="25.05" customHeight="1">
      <c r="A306" s="492"/>
      <c r="B306" s="337" t="str">
        <f>B303</f>
        <v>RFQ-PIP-073</v>
      </c>
      <c r="C306" s="337" t="s">
        <v>277</v>
      </c>
      <c r="D306" s="400"/>
      <c r="E306" s="546"/>
      <c r="F306" s="400"/>
      <c r="G306" s="340"/>
      <c r="H306" s="339"/>
      <c r="I306" s="340" t="s">
        <v>83</v>
      </c>
      <c r="J306" s="337" t="s">
        <v>60</v>
      </c>
      <c r="K306" s="308">
        <v>3</v>
      </c>
      <c r="L306" s="337" t="s">
        <v>9</v>
      </c>
      <c r="M306" s="341" t="s">
        <v>67</v>
      </c>
      <c r="N306" s="340"/>
      <c r="O306" s="343"/>
      <c r="P306" s="343"/>
      <c r="Q306" s="343"/>
      <c r="R306" s="343"/>
      <c r="S306" s="343"/>
      <c r="T306" s="343"/>
      <c r="U306" s="343"/>
      <c r="V306" s="343"/>
      <c r="W306" s="343"/>
      <c r="X306" s="343"/>
      <c r="Y306" s="343"/>
      <c r="Z306" s="343"/>
      <c r="AA306" s="343"/>
      <c r="AB306" s="343"/>
      <c r="AC306" s="343"/>
      <c r="AD306" s="343"/>
      <c r="AE306" s="343"/>
      <c r="AF306" s="343"/>
      <c r="AG306" s="343"/>
      <c r="AH306" s="343"/>
      <c r="AI306" s="343"/>
      <c r="AJ306" s="353"/>
      <c r="AK306" s="354"/>
      <c r="AL306" s="343"/>
      <c r="AM306" s="355"/>
      <c r="AN306" s="355"/>
      <c r="AO306" s="355"/>
      <c r="AP306" s="355"/>
      <c r="AQ306" s="340"/>
      <c r="AR306" s="356"/>
      <c r="AS306" s="357"/>
      <c r="AT306" s="356"/>
    </row>
    <row r="307" spans="1:46" s="264" customFormat="1" ht="25.05" customHeight="1">
      <c r="A307" s="493">
        <f>A303+1</f>
        <v>74</v>
      </c>
      <c r="B307" s="308" t="s">
        <v>278</v>
      </c>
      <c r="C307" s="308" t="s">
        <v>279</v>
      </c>
      <c r="D307" s="419"/>
      <c r="E307" s="541">
        <v>12.8571428571429</v>
      </c>
      <c r="F307" s="419"/>
      <c r="G307" s="311"/>
      <c r="H307" s="310"/>
      <c r="I307" s="311" t="s">
        <v>83</v>
      </c>
      <c r="J307" s="308" t="s">
        <v>60</v>
      </c>
      <c r="K307" s="312">
        <f>K310</f>
        <v>3</v>
      </c>
      <c r="L307" s="308" t="s">
        <v>9</v>
      </c>
      <c r="M307" s="313" t="s">
        <v>61</v>
      </c>
      <c r="N307" s="364">
        <f>WORKDAY.INTL(O307,-INDEX(O$12:O$15,MATCH($L307,$L$12:$L$15,0)),1,IF(N$18="China",'China Holidays'!$A$2:$A$82,'Thai Holidays'!$A$2:$A$63))</f>
        <v>46218</v>
      </c>
      <c r="O307" s="350">
        <v>46223</v>
      </c>
      <c r="P307" s="350">
        <v>46230</v>
      </c>
      <c r="Q307" s="350">
        <v>46231</v>
      </c>
      <c r="R307" s="350">
        <v>46237</v>
      </c>
      <c r="S307" s="350">
        <f>R307+1</f>
        <v>46238</v>
      </c>
      <c r="T307" s="350">
        <v>46244</v>
      </c>
      <c r="U307" s="350">
        <v>46254</v>
      </c>
      <c r="V307" s="350">
        <v>46258</v>
      </c>
      <c r="W307" s="350">
        <v>46265</v>
      </c>
      <c r="X307" s="350">
        <v>46267</v>
      </c>
      <c r="Y307" s="350">
        <v>46274</v>
      </c>
      <c r="Z307" s="350">
        <v>46288</v>
      </c>
      <c r="AA307" s="350">
        <v>46302</v>
      </c>
      <c r="AB307" s="350">
        <v>46332</v>
      </c>
      <c r="AC307" s="350">
        <v>46332</v>
      </c>
      <c r="AD307" s="350">
        <v>46334</v>
      </c>
      <c r="AE307" s="350">
        <v>46341</v>
      </c>
      <c r="AF307" s="350">
        <v>46348</v>
      </c>
      <c r="AG307" s="350">
        <v>46355</v>
      </c>
      <c r="AH307" s="350">
        <v>46369</v>
      </c>
      <c r="AI307" s="350">
        <v>46385</v>
      </c>
      <c r="AJ307" s="316">
        <v>12.8571428571429</v>
      </c>
      <c r="AK307" s="351"/>
      <c r="AL307" s="350" t="str">
        <f>TEXT(AL309,"d-mmm-yy")</f>
        <v>29-Nov-26</v>
      </c>
      <c r="AM307" s="327"/>
      <c r="AN307" s="327"/>
      <c r="AO307" s="327"/>
      <c r="AP307" s="327"/>
      <c r="AQ307" s="311"/>
      <c r="AR307" s="329"/>
      <c r="AS307" s="330" t="s">
        <v>62</v>
      </c>
      <c r="AT307" s="331">
        <v>46446</v>
      </c>
    </row>
    <row r="308" spans="1:46" s="264" customFormat="1" ht="25.05" customHeight="1">
      <c r="A308" s="491"/>
      <c r="B308" s="308" t="str">
        <f>B307</f>
        <v>RFQ-PIP-074</v>
      </c>
      <c r="C308" s="308" t="str">
        <f>C307</f>
        <v>Steamless SS pipes</v>
      </c>
      <c r="D308" s="414"/>
      <c r="E308" s="542"/>
      <c r="F308" s="416"/>
      <c r="G308" s="311"/>
      <c r="H308" s="310"/>
      <c r="I308" s="311" t="str">
        <f>I307</f>
        <v>Piping</v>
      </c>
      <c r="J308" s="308"/>
      <c r="K308" s="322"/>
      <c r="L308" s="308"/>
      <c r="M308" s="323" t="s">
        <v>63</v>
      </c>
      <c r="N308" s="367"/>
      <c r="O308" s="325">
        <v>46223</v>
      </c>
      <c r="P308" s="325">
        <v>46230</v>
      </c>
      <c r="Q308" s="325">
        <v>46231</v>
      </c>
      <c r="R308" s="325">
        <v>46237</v>
      </c>
      <c r="S308" s="325">
        <v>46238</v>
      </c>
      <c r="T308" s="325">
        <v>46244</v>
      </c>
      <c r="U308" s="325">
        <v>46254</v>
      </c>
      <c r="V308" s="325">
        <v>46258</v>
      </c>
      <c r="W308" s="325">
        <v>46265</v>
      </c>
      <c r="X308" s="325">
        <v>46267</v>
      </c>
      <c r="Y308" s="325">
        <v>46274</v>
      </c>
      <c r="Z308" s="325">
        <v>46288</v>
      </c>
      <c r="AA308" s="325">
        <v>46302</v>
      </c>
      <c r="AB308" s="325">
        <v>46332</v>
      </c>
      <c r="AC308" s="325">
        <v>46332</v>
      </c>
      <c r="AD308" s="325">
        <v>46334</v>
      </c>
      <c r="AE308" s="325">
        <v>46341</v>
      </c>
      <c r="AF308" s="325">
        <v>46348</v>
      </c>
      <c r="AG308" s="325">
        <v>46355</v>
      </c>
      <c r="AH308" s="325">
        <v>46369</v>
      </c>
      <c r="AI308" s="325">
        <v>46385</v>
      </c>
      <c r="AJ308" s="316"/>
      <c r="AK308" s="326"/>
      <c r="AL308" s="325">
        <f>W308+AK309</f>
        <v>46355</v>
      </c>
      <c r="AM308" s="327"/>
      <c r="AN308" s="327"/>
      <c r="AO308" s="327"/>
      <c r="AP308" s="327"/>
      <c r="AQ308" s="328">
        <f>AM309-AL308</f>
        <v>84</v>
      </c>
      <c r="AR308" s="329"/>
      <c r="AS308" s="330"/>
      <c r="AT308" s="331"/>
    </row>
    <row r="309" spans="1:46" s="264" customFormat="1" ht="25.05" customHeight="1">
      <c r="A309" s="491"/>
      <c r="B309" s="308" t="str">
        <f>B307</f>
        <v>RFQ-PIP-074</v>
      </c>
      <c r="C309" s="308" t="s">
        <v>279</v>
      </c>
      <c r="D309" s="359"/>
      <c r="E309" s="543"/>
      <c r="F309" s="359"/>
      <c r="G309" s="311">
        <v>84</v>
      </c>
      <c r="H309" s="310" t="s">
        <v>263</v>
      </c>
      <c r="I309" s="311" t="s">
        <v>83</v>
      </c>
      <c r="J309" s="308" t="s">
        <v>60</v>
      </c>
      <c r="K309" s="308">
        <f>K310</f>
        <v>3</v>
      </c>
      <c r="L309" s="308" t="s">
        <v>9</v>
      </c>
      <c r="M309" s="313" t="s">
        <v>65</v>
      </c>
      <c r="N309" s="350">
        <v>46208</v>
      </c>
      <c r="O309" s="350">
        <v>46216</v>
      </c>
      <c r="P309" s="350">
        <f>WORKDAY.INTL(O309,INDEX(P$8:P$11,MATCH($L309,$L$8:$L$11,0)),1,IF(P$18="China",'China Holidays'!$A$2:$A$82,'Thai Holidays'!$A$2:$A$63))</f>
        <v>46230</v>
      </c>
      <c r="Q309" s="350">
        <f>WORKDAY.INTL(P309,INDEX(Q$8:Q$11,MATCH($L309,$L$8:$L$11,0)),1,IF(Q$18="China",'China Holidays'!$A$2:$A$82,'Thai Holidays'!$A$2:$A$63))</f>
        <v>46230</v>
      </c>
      <c r="R309" s="350">
        <f>WORKDAY.INTL(Q309,INDEX(R$8:R$11,MATCH($L309,$L$8:$L$11,0)),1,IF(R$18="China",'China Holidays'!$A$2:$A$82,'Thai Holidays'!$A$2:$A$63))</f>
        <v>46230</v>
      </c>
      <c r="S309" s="350">
        <f>WORKDAY.INTL(R309,INDEX(S$8:S$11,MATCH($L309,$L$8:$L$11,0)),1,IF(S$18="China",'China Holidays'!$A$2:$A$82,'Thai Holidays'!$A$2:$A$63))</f>
        <v>46230</v>
      </c>
      <c r="T309" s="350">
        <v>46235</v>
      </c>
      <c r="U309" s="350">
        <v>46243</v>
      </c>
      <c r="V309" s="350">
        <f>WORKDAY.INTL(U309,INDEX(V$8:V$11,MATCH($L309,$L$8:$L$11,0)),1,IF(V$18="China",'China Holidays'!$A$2:$A$82,'Thai Holidays'!$A$2:$A$63))</f>
        <v>46258</v>
      </c>
      <c r="W309" s="350">
        <f>WORKDAY.INTL(V309,INDEX(W$8:W$11,MATCH($L309,$L$8:$L$11,0)),1,IF(W$18="China",'China Holidays'!$A$2:$A$82,'Thai Holidays'!$A$2:$A$63))</f>
        <v>46265</v>
      </c>
      <c r="X309" s="350">
        <f>WORKDAY.INTL(W309,INDEX(X$12:X$15,MATCH($L309,$L$12:$L$15,0)),1,IF(X$18="China",'China Holidays'!$A$2:$A$82,'Thai Holidays'!$A$2:$A$63))</f>
        <v>46267</v>
      </c>
      <c r="Y309" s="350">
        <f>WORKDAY.INTL(X309,INDEX(Y$12:Y$15,MATCH($L309,$L$12:$L$15,0)),1,IF(Y$18="China",'China Holidays'!$A$2:$A$82,'Thai Holidays'!$A$2:$A$63))</f>
        <v>46274</v>
      </c>
      <c r="Z309" s="350">
        <f>WORKDAY.INTL(Y309,INDEX(Z$12:Z$15,MATCH($L309,$L$12:$L$15,0)),1,IF(Z$18="China",'China Holidays'!$A$2:$A$82,'Thai Holidays'!$A$2:$A$63))</f>
        <v>46288</v>
      </c>
      <c r="AA309" s="350">
        <f>WORKDAY.INTL(Z309,INDEX(AA$12:AA$15,MATCH($L309,$L$12:$L$15,0)),1,IF(AA$18="China",'China Holidays'!$A$2:$A$82,'Thai Holidays'!$A$2:$A$63))</f>
        <v>46302</v>
      </c>
      <c r="AB309" s="350">
        <f>AA309+30</f>
        <v>46332</v>
      </c>
      <c r="AC309" s="350">
        <f>AB309</f>
        <v>46332</v>
      </c>
      <c r="AD309" s="350">
        <f>AC309+2</f>
        <v>46334</v>
      </c>
      <c r="AE309" s="350">
        <f>AF309-7</f>
        <v>46341</v>
      </c>
      <c r="AF309" s="350">
        <f>AG309-7</f>
        <v>46348</v>
      </c>
      <c r="AG309" s="350">
        <f>AL309</f>
        <v>46355</v>
      </c>
      <c r="AH309" s="350">
        <f>AL309+14</f>
        <v>46369</v>
      </c>
      <c r="AI309" s="350">
        <f>AL309+30</f>
        <v>46385</v>
      </c>
      <c r="AJ309" s="362"/>
      <c r="AK309" s="326">
        <f>AJ307*7</f>
        <v>90.000000000000298</v>
      </c>
      <c r="AL309" s="350">
        <f>W309+AK309</f>
        <v>46355</v>
      </c>
      <c r="AM309" s="327">
        <f>AT307-7</f>
        <v>46439</v>
      </c>
      <c r="AN309" s="327">
        <f>AO309-7</f>
        <v>46410</v>
      </c>
      <c r="AO309" s="327">
        <v>46417</v>
      </c>
      <c r="AP309" s="327"/>
      <c r="AQ309" s="311">
        <f>AM309-AL309</f>
        <v>84</v>
      </c>
      <c r="AR309" s="329"/>
      <c r="AS309" s="330" t="s">
        <v>66</v>
      </c>
      <c r="AT309" s="331">
        <v>46446</v>
      </c>
    </row>
    <row r="310" spans="1:46" s="264" customFormat="1" ht="25.05" customHeight="1">
      <c r="A310" s="492"/>
      <c r="B310" s="337" t="str">
        <f>B307</f>
        <v>RFQ-PIP-074</v>
      </c>
      <c r="C310" s="337" t="s">
        <v>279</v>
      </c>
      <c r="D310" s="363"/>
      <c r="E310" s="546"/>
      <c r="F310" s="363"/>
      <c r="G310" s="340"/>
      <c r="H310" s="339"/>
      <c r="I310" s="340" t="s">
        <v>83</v>
      </c>
      <c r="J310" s="337" t="s">
        <v>60</v>
      </c>
      <c r="K310" s="308">
        <v>3</v>
      </c>
      <c r="L310" s="337" t="s">
        <v>9</v>
      </c>
      <c r="M310" s="341" t="s">
        <v>67</v>
      </c>
      <c r="N310" s="343"/>
      <c r="O310" s="343"/>
      <c r="P310" s="343"/>
      <c r="Q310" s="343"/>
      <c r="R310" s="343"/>
      <c r="S310" s="343"/>
      <c r="T310" s="343"/>
      <c r="U310" s="343"/>
      <c r="V310" s="343"/>
      <c r="W310" s="340">
        <f>W307-W309</f>
        <v>0</v>
      </c>
      <c r="X310" s="343"/>
      <c r="Y310" s="343"/>
      <c r="Z310" s="343"/>
      <c r="AA310" s="343"/>
      <c r="AB310" s="343"/>
      <c r="AC310" s="343"/>
      <c r="AD310" s="343"/>
      <c r="AE310" s="343"/>
      <c r="AF310" s="343"/>
      <c r="AG310" s="343"/>
      <c r="AH310" s="343"/>
      <c r="AI310" s="343"/>
      <c r="AJ310" s="353"/>
      <c r="AK310" s="354"/>
      <c r="AL310" s="343"/>
      <c r="AM310" s="355"/>
      <c r="AN310" s="355"/>
      <c r="AO310" s="355"/>
      <c r="AP310" s="355"/>
      <c r="AQ310" s="340"/>
      <c r="AR310" s="356"/>
      <c r="AS310" s="357"/>
      <c r="AT310" s="356"/>
    </row>
    <row r="311" spans="1:46" s="264" customFormat="1" ht="25.05" customHeight="1">
      <c r="A311" s="493">
        <f>A307+1</f>
        <v>75</v>
      </c>
      <c r="B311" s="308" t="s">
        <v>280</v>
      </c>
      <c r="C311" s="308" t="s">
        <v>281</v>
      </c>
      <c r="D311" s="453"/>
      <c r="E311" s="541">
        <v>17.1428571428571</v>
      </c>
      <c r="F311" s="453"/>
      <c r="G311" s="311"/>
      <c r="H311" s="310"/>
      <c r="I311" s="311" t="s">
        <v>83</v>
      </c>
      <c r="J311" s="308"/>
      <c r="K311" s="312"/>
      <c r="L311" s="308"/>
      <c r="M311" s="313" t="s">
        <v>61</v>
      </c>
      <c r="N311" s="364">
        <v>46218</v>
      </c>
      <c r="O311" s="350">
        <v>46223</v>
      </c>
      <c r="P311" s="350">
        <v>46230</v>
      </c>
      <c r="Q311" s="350">
        <v>46231</v>
      </c>
      <c r="R311" s="350">
        <v>46237</v>
      </c>
      <c r="S311" s="350">
        <v>46238</v>
      </c>
      <c r="T311" s="350">
        <v>46244</v>
      </c>
      <c r="U311" s="350">
        <v>46254</v>
      </c>
      <c r="V311" s="350">
        <v>46258</v>
      </c>
      <c r="W311" s="350">
        <v>46265</v>
      </c>
      <c r="X311" s="350">
        <v>46267</v>
      </c>
      <c r="Y311" s="350">
        <v>46274</v>
      </c>
      <c r="Z311" s="350">
        <v>46288</v>
      </c>
      <c r="AA311" s="350">
        <v>46302</v>
      </c>
      <c r="AB311" s="350">
        <v>46309</v>
      </c>
      <c r="AC311" s="350">
        <v>46309</v>
      </c>
      <c r="AD311" s="350">
        <v>46311</v>
      </c>
      <c r="AE311" s="350">
        <v>46371</v>
      </c>
      <c r="AF311" s="350">
        <v>46378</v>
      </c>
      <c r="AG311" s="350">
        <v>46385</v>
      </c>
      <c r="AH311" s="350">
        <v>46399</v>
      </c>
      <c r="AI311" s="350">
        <v>46415</v>
      </c>
      <c r="AJ311" s="316">
        <v>17.1428571428571</v>
      </c>
      <c r="AK311" s="351"/>
      <c r="AL311" s="350" t="s">
        <v>282</v>
      </c>
      <c r="AM311" s="327"/>
      <c r="AN311" s="327"/>
      <c r="AO311" s="327"/>
      <c r="AP311" s="327"/>
      <c r="AQ311" s="311"/>
      <c r="AR311" s="329"/>
      <c r="AS311" s="330" t="s">
        <v>62</v>
      </c>
      <c r="AT311" s="331">
        <v>46446</v>
      </c>
    </row>
    <row r="312" spans="1:46" s="264" customFormat="1" ht="25.05" customHeight="1">
      <c r="A312" s="491"/>
      <c r="B312" s="308" t="str">
        <f>B311</f>
        <v>RFQ-PIP-075</v>
      </c>
      <c r="C312" s="308" t="str">
        <f>C311</f>
        <v>Bolts &amp; Nuts</v>
      </c>
      <c r="D312" s="414"/>
      <c r="E312" s="542"/>
      <c r="F312" s="416"/>
      <c r="G312" s="311"/>
      <c r="H312" s="310"/>
      <c r="I312" s="311" t="str">
        <f>I311</f>
        <v>Piping</v>
      </c>
      <c r="J312" s="308"/>
      <c r="K312" s="322"/>
      <c r="L312" s="308"/>
      <c r="M312" s="323" t="s">
        <v>63</v>
      </c>
      <c r="N312" s="367"/>
      <c r="O312" s="325">
        <v>46223</v>
      </c>
      <c r="P312" s="325">
        <v>46230</v>
      </c>
      <c r="Q312" s="325">
        <v>46231</v>
      </c>
      <c r="R312" s="325">
        <v>46237</v>
      </c>
      <c r="S312" s="325">
        <v>46238</v>
      </c>
      <c r="T312" s="325">
        <v>46244</v>
      </c>
      <c r="U312" s="325">
        <v>46254</v>
      </c>
      <c r="V312" s="325">
        <v>46258</v>
      </c>
      <c r="W312" s="325">
        <v>46265</v>
      </c>
      <c r="X312" s="325">
        <v>46267</v>
      </c>
      <c r="Y312" s="325">
        <v>46274</v>
      </c>
      <c r="Z312" s="325">
        <v>46288</v>
      </c>
      <c r="AA312" s="325">
        <v>46302</v>
      </c>
      <c r="AB312" s="325">
        <v>46309</v>
      </c>
      <c r="AC312" s="325">
        <v>46309</v>
      </c>
      <c r="AD312" s="325">
        <v>46311</v>
      </c>
      <c r="AE312" s="325">
        <v>46371</v>
      </c>
      <c r="AF312" s="325">
        <v>46378</v>
      </c>
      <c r="AG312" s="325">
        <v>46385</v>
      </c>
      <c r="AH312" s="325">
        <v>46399</v>
      </c>
      <c r="AI312" s="325">
        <v>46415</v>
      </c>
      <c r="AJ312" s="316"/>
      <c r="AK312" s="326"/>
      <c r="AL312" s="325">
        <f>W312+AK313</f>
        <v>46385</v>
      </c>
      <c r="AM312" s="327"/>
      <c r="AN312" s="327"/>
      <c r="AO312" s="327"/>
      <c r="AP312" s="327"/>
      <c r="AQ312" s="328">
        <f>AM313-AL312</f>
        <v>54</v>
      </c>
      <c r="AR312" s="329"/>
      <c r="AS312" s="330"/>
      <c r="AT312" s="331"/>
    </row>
    <row r="313" spans="1:46" s="264" customFormat="1" ht="25.05" customHeight="1">
      <c r="A313" s="491"/>
      <c r="B313" s="308" t="str">
        <f>B311</f>
        <v>RFQ-PIP-075</v>
      </c>
      <c r="C313" s="308" t="s">
        <v>281</v>
      </c>
      <c r="D313" s="449"/>
      <c r="E313" s="543"/>
      <c r="F313" s="449"/>
      <c r="G313" s="311">
        <v>43</v>
      </c>
      <c r="H313" s="310" t="s">
        <v>263</v>
      </c>
      <c r="I313" s="311" t="s">
        <v>83</v>
      </c>
      <c r="J313" s="308"/>
      <c r="K313" s="308"/>
      <c r="L313" s="308"/>
      <c r="M313" s="313" t="s">
        <v>65</v>
      </c>
      <c r="N313" s="350">
        <v>46208</v>
      </c>
      <c r="O313" s="350">
        <v>46223</v>
      </c>
      <c r="P313" s="350">
        <v>46239</v>
      </c>
      <c r="Q313" s="350">
        <v>46239</v>
      </c>
      <c r="R313" s="350">
        <v>46239</v>
      </c>
      <c r="S313" s="350">
        <v>46239</v>
      </c>
      <c r="T313" s="350">
        <v>46246</v>
      </c>
      <c r="U313" s="350">
        <v>46255</v>
      </c>
      <c r="V313" s="350">
        <v>46269</v>
      </c>
      <c r="W313" s="350">
        <v>46276</v>
      </c>
      <c r="X313" s="350">
        <v>46280</v>
      </c>
      <c r="Y313" s="350">
        <v>46287</v>
      </c>
      <c r="Z313" s="350">
        <v>46309</v>
      </c>
      <c r="AA313" s="350">
        <v>46324</v>
      </c>
      <c r="AB313" s="350">
        <v>46331</v>
      </c>
      <c r="AC313" s="350">
        <v>46331</v>
      </c>
      <c r="AD313" s="350">
        <v>46333</v>
      </c>
      <c r="AE313" s="350">
        <v>46382</v>
      </c>
      <c r="AF313" s="350">
        <v>46389</v>
      </c>
      <c r="AG313" s="350">
        <v>46396</v>
      </c>
      <c r="AH313" s="350">
        <v>46410</v>
      </c>
      <c r="AI313" s="350">
        <v>46426</v>
      </c>
      <c r="AJ313" s="362"/>
      <c r="AK313" s="326">
        <v>120</v>
      </c>
      <c r="AL313" s="350">
        <v>46396</v>
      </c>
      <c r="AM313" s="327">
        <f>AT311-7</f>
        <v>46439</v>
      </c>
      <c r="AN313" s="327">
        <f>AO313-7</f>
        <v>46436</v>
      </c>
      <c r="AO313" s="327">
        <v>46443</v>
      </c>
      <c r="AP313" s="327"/>
      <c r="AQ313" s="311">
        <f>AM313-AL313</f>
        <v>43</v>
      </c>
      <c r="AR313" s="329"/>
      <c r="AS313" s="330" t="s">
        <v>66</v>
      </c>
      <c r="AT313" s="331">
        <v>46446</v>
      </c>
    </row>
    <row r="314" spans="1:46" s="264" customFormat="1" ht="25.05" customHeight="1">
      <c r="A314" s="492"/>
      <c r="B314" s="337" t="str">
        <f>B311</f>
        <v>RFQ-PIP-075</v>
      </c>
      <c r="C314" s="337" t="s">
        <v>281</v>
      </c>
      <c r="D314" s="451"/>
      <c r="E314" s="546"/>
      <c r="F314" s="451"/>
      <c r="G314" s="340"/>
      <c r="H314" s="339"/>
      <c r="I314" s="340" t="s">
        <v>83</v>
      </c>
      <c r="J314" s="337"/>
      <c r="K314" s="308"/>
      <c r="L314" s="337"/>
      <c r="M314" s="341" t="s">
        <v>67</v>
      </c>
      <c r="N314" s="340"/>
      <c r="O314" s="350"/>
      <c r="P314" s="343"/>
      <c r="Q314" s="343"/>
      <c r="R314" s="343"/>
      <c r="S314" s="343"/>
      <c r="T314" s="343"/>
      <c r="U314" s="343"/>
      <c r="V314" s="343"/>
      <c r="W314" s="340">
        <f>W311-W313</f>
        <v>-11</v>
      </c>
      <c r="X314" s="343"/>
      <c r="Y314" s="343"/>
      <c r="Z314" s="343"/>
      <c r="AA314" s="343"/>
      <c r="AB314" s="343"/>
      <c r="AC314" s="343"/>
      <c r="AD314" s="343"/>
      <c r="AE314" s="343"/>
      <c r="AF314" s="343"/>
      <c r="AG314" s="343"/>
      <c r="AH314" s="343"/>
      <c r="AI314" s="343"/>
      <c r="AJ314" s="353"/>
      <c r="AK314" s="354"/>
      <c r="AL314" s="343"/>
      <c r="AM314" s="355"/>
      <c r="AN314" s="355"/>
      <c r="AO314" s="355"/>
      <c r="AP314" s="355"/>
      <c r="AQ314" s="340"/>
      <c r="AR314" s="356"/>
      <c r="AS314" s="357"/>
      <c r="AT314" s="356"/>
    </row>
    <row r="315" spans="1:46" s="264" customFormat="1" ht="25.05" customHeight="1">
      <c r="A315" s="493">
        <f>A311+1</f>
        <v>76</v>
      </c>
      <c r="B315" s="308" t="s">
        <v>283</v>
      </c>
      <c r="C315" s="308" t="s">
        <v>284</v>
      </c>
      <c r="D315" s="453"/>
      <c r="E315" s="541">
        <v>17.1428571428571</v>
      </c>
      <c r="F315" s="453"/>
      <c r="G315" s="311"/>
      <c r="H315" s="310"/>
      <c r="I315" s="311" t="s">
        <v>83</v>
      </c>
      <c r="J315" s="308"/>
      <c r="K315" s="312"/>
      <c r="L315" s="308"/>
      <c r="M315" s="313" t="s">
        <v>61</v>
      </c>
      <c r="N315" s="364">
        <v>46218</v>
      </c>
      <c r="O315" s="364">
        <v>46223</v>
      </c>
      <c r="P315" s="350">
        <v>46230</v>
      </c>
      <c r="Q315" s="350">
        <v>46231</v>
      </c>
      <c r="R315" s="350">
        <v>46237</v>
      </c>
      <c r="S315" s="350">
        <v>46238</v>
      </c>
      <c r="T315" s="350">
        <v>46244</v>
      </c>
      <c r="U315" s="350">
        <v>46254</v>
      </c>
      <c r="V315" s="350">
        <v>46258</v>
      </c>
      <c r="W315" s="350">
        <v>46265</v>
      </c>
      <c r="X315" s="350">
        <v>46267</v>
      </c>
      <c r="Y315" s="350">
        <v>46274</v>
      </c>
      <c r="Z315" s="350">
        <v>46288</v>
      </c>
      <c r="AA315" s="350">
        <v>46302</v>
      </c>
      <c r="AB315" s="350">
        <v>46309</v>
      </c>
      <c r="AC315" s="350">
        <v>46309</v>
      </c>
      <c r="AD315" s="350">
        <v>46311</v>
      </c>
      <c r="AE315" s="350">
        <v>46371</v>
      </c>
      <c r="AF315" s="350">
        <v>46378</v>
      </c>
      <c r="AG315" s="350">
        <v>46385</v>
      </c>
      <c r="AH315" s="350">
        <v>46399</v>
      </c>
      <c r="AI315" s="350">
        <v>46415</v>
      </c>
      <c r="AJ315" s="316">
        <v>17.1428571428571</v>
      </c>
      <c r="AK315" s="351"/>
      <c r="AL315" s="350" t="s">
        <v>282</v>
      </c>
      <c r="AM315" s="327"/>
      <c r="AN315" s="327"/>
      <c r="AO315" s="327"/>
      <c r="AP315" s="327"/>
      <c r="AQ315" s="311"/>
      <c r="AR315" s="329"/>
      <c r="AS315" s="330" t="s">
        <v>62</v>
      </c>
      <c r="AT315" s="331">
        <v>46446</v>
      </c>
    </row>
    <row r="316" spans="1:46" s="264" customFormat="1" ht="25.05" customHeight="1">
      <c r="A316" s="491"/>
      <c r="B316" s="308" t="str">
        <f>B315</f>
        <v>RFQ-PIP-076</v>
      </c>
      <c r="C316" s="308" t="str">
        <f>C315</f>
        <v>Gasket</v>
      </c>
      <c r="D316" s="414"/>
      <c r="E316" s="542"/>
      <c r="F316" s="416"/>
      <c r="G316" s="311"/>
      <c r="H316" s="310"/>
      <c r="I316" s="311" t="str">
        <f>I315</f>
        <v>Piping</v>
      </c>
      <c r="J316" s="308"/>
      <c r="K316" s="322"/>
      <c r="L316" s="308"/>
      <c r="M316" s="323" t="s">
        <v>63</v>
      </c>
      <c r="N316" s="367"/>
      <c r="O316" s="325">
        <v>46223</v>
      </c>
      <c r="P316" s="325">
        <v>46230</v>
      </c>
      <c r="Q316" s="325">
        <v>46231</v>
      </c>
      <c r="R316" s="325">
        <v>46237</v>
      </c>
      <c r="S316" s="325">
        <v>46238</v>
      </c>
      <c r="T316" s="325">
        <v>46244</v>
      </c>
      <c r="U316" s="325">
        <v>46254</v>
      </c>
      <c r="V316" s="325">
        <v>46258</v>
      </c>
      <c r="W316" s="325">
        <v>46265</v>
      </c>
      <c r="X316" s="325">
        <v>46267</v>
      </c>
      <c r="Y316" s="325">
        <v>46274</v>
      </c>
      <c r="Z316" s="325">
        <v>46288</v>
      </c>
      <c r="AA316" s="325">
        <v>46302</v>
      </c>
      <c r="AB316" s="325">
        <v>46309</v>
      </c>
      <c r="AC316" s="325">
        <v>46309</v>
      </c>
      <c r="AD316" s="325">
        <v>46311</v>
      </c>
      <c r="AE316" s="325">
        <v>46371</v>
      </c>
      <c r="AF316" s="325">
        <v>46378</v>
      </c>
      <c r="AG316" s="325">
        <v>46385</v>
      </c>
      <c r="AH316" s="325">
        <v>46399</v>
      </c>
      <c r="AI316" s="325">
        <v>46415</v>
      </c>
      <c r="AJ316" s="316"/>
      <c r="AK316" s="326"/>
      <c r="AL316" s="325">
        <f>W316+AK317</f>
        <v>46385</v>
      </c>
      <c r="AM316" s="327"/>
      <c r="AN316" s="327"/>
      <c r="AO316" s="327"/>
      <c r="AP316" s="327"/>
      <c r="AQ316" s="328">
        <f>AM317-AL316</f>
        <v>54</v>
      </c>
      <c r="AR316" s="329"/>
      <c r="AS316" s="330"/>
      <c r="AT316" s="331"/>
    </row>
    <row r="317" spans="1:46" s="264" customFormat="1" ht="25.05" customHeight="1">
      <c r="A317" s="491"/>
      <c r="B317" s="308" t="str">
        <f>B315</f>
        <v>RFQ-PIP-076</v>
      </c>
      <c r="C317" s="308" t="s">
        <v>284</v>
      </c>
      <c r="D317" s="449"/>
      <c r="E317" s="543"/>
      <c r="F317" s="449"/>
      <c r="G317" s="311">
        <v>43</v>
      </c>
      <c r="H317" s="310" t="s">
        <v>263</v>
      </c>
      <c r="I317" s="311" t="s">
        <v>83</v>
      </c>
      <c r="J317" s="308"/>
      <c r="K317" s="308"/>
      <c r="L317" s="308"/>
      <c r="M317" s="313" t="s">
        <v>65</v>
      </c>
      <c r="N317" s="350">
        <v>46208</v>
      </c>
      <c r="O317" s="350">
        <v>46223</v>
      </c>
      <c r="P317" s="350">
        <v>46239</v>
      </c>
      <c r="Q317" s="350">
        <v>46239</v>
      </c>
      <c r="R317" s="350">
        <v>46239</v>
      </c>
      <c r="S317" s="350">
        <v>46239</v>
      </c>
      <c r="T317" s="350">
        <v>46246</v>
      </c>
      <c r="U317" s="350">
        <v>46255</v>
      </c>
      <c r="V317" s="350">
        <v>46269</v>
      </c>
      <c r="W317" s="350">
        <v>46276</v>
      </c>
      <c r="X317" s="350">
        <v>46280</v>
      </c>
      <c r="Y317" s="350">
        <v>46287</v>
      </c>
      <c r="Z317" s="350">
        <v>46309</v>
      </c>
      <c r="AA317" s="350">
        <v>46324</v>
      </c>
      <c r="AB317" s="350">
        <v>46331</v>
      </c>
      <c r="AC317" s="350">
        <v>46331</v>
      </c>
      <c r="AD317" s="350">
        <v>46333</v>
      </c>
      <c r="AE317" s="350">
        <v>46382</v>
      </c>
      <c r="AF317" s="350">
        <v>46389</v>
      </c>
      <c r="AG317" s="350">
        <v>46396</v>
      </c>
      <c r="AH317" s="350">
        <v>46410</v>
      </c>
      <c r="AI317" s="350">
        <v>46426</v>
      </c>
      <c r="AJ317" s="362"/>
      <c r="AK317" s="326">
        <v>120</v>
      </c>
      <c r="AL317" s="350">
        <v>46396</v>
      </c>
      <c r="AM317" s="327">
        <f>AT315-7</f>
        <v>46439</v>
      </c>
      <c r="AN317" s="327">
        <f>AO317-7</f>
        <v>46436</v>
      </c>
      <c r="AO317" s="327">
        <v>46443</v>
      </c>
      <c r="AP317" s="327"/>
      <c r="AQ317" s="311">
        <f>AM317-AL317</f>
        <v>43</v>
      </c>
      <c r="AR317" s="329"/>
      <c r="AS317" s="330" t="s">
        <v>66</v>
      </c>
      <c r="AT317" s="331">
        <v>46446</v>
      </c>
    </row>
    <row r="318" spans="1:46" s="264" customFormat="1" ht="25.05" customHeight="1">
      <c r="A318" s="492"/>
      <c r="B318" s="337" t="str">
        <f>B315</f>
        <v>RFQ-PIP-076</v>
      </c>
      <c r="C318" s="337" t="s">
        <v>284</v>
      </c>
      <c r="D318" s="451"/>
      <c r="E318" s="546"/>
      <c r="F318" s="451"/>
      <c r="G318" s="340"/>
      <c r="H318" s="339"/>
      <c r="I318" s="340" t="s">
        <v>83</v>
      </c>
      <c r="J318" s="337"/>
      <c r="K318" s="308"/>
      <c r="L318" s="337"/>
      <c r="M318" s="341" t="s">
        <v>67</v>
      </c>
      <c r="N318" s="340"/>
      <c r="O318" s="340"/>
      <c r="P318" s="343"/>
      <c r="Q318" s="343"/>
      <c r="R318" s="343"/>
      <c r="S318" s="343"/>
      <c r="T318" s="343"/>
      <c r="U318" s="343"/>
      <c r="V318" s="343"/>
      <c r="W318" s="340">
        <f>W315-W317</f>
        <v>-11</v>
      </c>
      <c r="X318" s="343"/>
      <c r="Y318" s="343"/>
      <c r="Z318" s="343"/>
      <c r="AA318" s="343"/>
      <c r="AB318" s="343"/>
      <c r="AC318" s="343"/>
      <c r="AD318" s="343"/>
      <c r="AE318" s="343"/>
      <c r="AF318" s="343"/>
      <c r="AG318" s="343"/>
      <c r="AH318" s="343"/>
      <c r="AI318" s="343"/>
      <c r="AJ318" s="353"/>
      <c r="AK318" s="354"/>
      <c r="AL318" s="343"/>
      <c r="AM318" s="355"/>
      <c r="AN318" s="355"/>
      <c r="AO318" s="355"/>
      <c r="AP318" s="355"/>
      <c r="AQ318" s="340"/>
      <c r="AR318" s="356"/>
      <c r="AS318" s="357"/>
      <c r="AT318" s="356"/>
    </row>
    <row r="319" spans="1:46" s="264" customFormat="1" ht="25.05" customHeight="1">
      <c r="A319" s="493">
        <v>77</v>
      </c>
      <c r="B319" s="308" t="s">
        <v>285</v>
      </c>
      <c r="C319" s="308" t="s">
        <v>286</v>
      </c>
      <c r="D319" s="419"/>
      <c r="E319" s="541">
        <v>13.4285714285714</v>
      </c>
      <c r="F319" s="419"/>
      <c r="G319" s="311"/>
      <c r="H319" s="310"/>
      <c r="I319" s="311" t="s">
        <v>126</v>
      </c>
      <c r="J319" s="308" t="s">
        <v>71</v>
      </c>
      <c r="K319" s="312">
        <f>K322</f>
        <v>3</v>
      </c>
      <c r="L319" s="308" t="s">
        <v>9</v>
      </c>
      <c r="M319" s="313" t="s">
        <v>61</v>
      </c>
      <c r="N319" s="364">
        <f>WORKDAY.INTL(O319,-INDEX(O$12:O$15,MATCH($L319,$L$12:$L$15,0)),1,IF(N$18="China",'China Holidays'!$A$2:$A$82,'Thai Holidays'!$A$2:$A$63))</f>
        <v>46232</v>
      </c>
      <c r="O319" s="350">
        <v>46237</v>
      </c>
      <c r="P319" s="350">
        <v>46244</v>
      </c>
      <c r="Q319" s="350">
        <v>46245</v>
      </c>
      <c r="R319" s="350">
        <v>46251</v>
      </c>
      <c r="S319" s="350">
        <f>R319+1</f>
        <v>46252</v>
      </c>
      <c r="T319" s="350">
        <v>46258</v>
      </c>
      <c r="U319" s="350">
        <v>46267</v>
      </c>
      <c r="V319" s="350">
        <v>46269</v>
      </c>
      <c r="W319" s="350">
        <v>46276</v>
      </c>
      <c r="X319" s="350">
        <v>46280</v>
      </c>
      <c r="Y319" s="350">
        <v>46287</v>
      </c>
      <c r="Z319" s="350">
        <v>46309</v>
      </c>
      <c r="AA319" s="350">
        <v>46324</v>
      </c>
      <c r="AB319" s="350">
        <v>46334</v>
      </c>
      <c r="AC319" s="350">
        <v>46334</v>
      </c>
      <c r="AD319" s="350">
        <v>46336</v>
      </c>
      <c r="AE319" s="350">
        <v>46356</v>
      </c>
      <c r="AF319" s="350">
        <v>46363</v>
      </c>
      <c r="AG319" s="350">
        <v>46370</v>
      </c>
      <c r="AH319" s="350">
        <v>46384</v>
      </c>
      <c r="AI319" s="350">
        <v>46400</v>
      </c>
      <c r="AJ319" s="316">
        <v>14</v>
      </c>
      <c r="AK319" s="351"/>
      <c r="AL319" s="350" t="str">
        <f>TEXT(AL321,"d-mmm-yy")</f>
        <v>18-Dec-26</v>
      </c>
      <c r="AM319" s="327"/>
      <c r="AN319" s="327"/>
      <c r="AO319" s="327"/>
      <c r="AP319" s="327"/>
      <c r="AQ319" s="311"/>
      <c r="AR319" s="329"/>
      <c r="AS319" s="330" t="s">
        <v>62</v>
      </c>
      <c r="AT319" s="331">
        <v>46525</v>
      </c>
    </row>
    <row r="320" spans="1:46" s="264" customFormat="1" ht="25.05" customHeight="1">
      <c r="A320" s="491"/>
      <c r="B320" s="308" t="str">
        <f>B319</f>
        <v>RFQ-ELE-077</v>
      </c>
      <c r="C320" s="308" t="str">
        <f>C319</f>
        <v>ELECTRICAL CABLES</v>
      </c>
      <c r="D320" s="368"/>
      <c r="E320" s="542"/>
      <c r="F320" s="361"/>
      <c r="G320" s="311"/>
      <c r="H320" s="310"/>
      <c r="I320" s="311" t="s">
        <v>126</v>
      </c>
      <c r="J320" s="308"/>
      <c r="K320" s="322"/>
      <c r="L320" s="308"/>
      <c r="M320" s="323" t="s">
        <v>63</v>
      </c>
      <c r="N320" s="367"/>
      <c r="O320" s="325">
        <v>46237</v>
      </c>
      <c r="P320" s="325">
        <v>46244</v>
      </c>
      <c r="Q320" s="325">
        <v>46245</v>
      </c>
      <c r="R320" s="325">
        <v>46251</v>
      </c>
      <c r="S320" s="325">
        <v>46252</v>
      </c>
      <c r="T320" s="325">
        <v>46258</v>
      </c>
      <c r="U320" s="325">
        <v>46267</v>
      </c>
      <c r="V320" s="325">
        <v>46269</v>
      </c>
      <c r="W320" s="325">
        <v>46276</v>
      </c>
      <c r="X320" s="325">
        <v>46280</v>
      </c>
      <c r="Y320" s="325">
        <v>46287</v>
      </c>
      <c r="Z320" s="325">
        <v>46309</v>
      </c>
      <c r="AA320" s="325">
        <v>46324</v>
      </c>
      <c r="AB320" s="325">
        <v>46334</v>
      </c>
      <c r="AC320" s="325">
        <v>46334</v>
      </c>
      <c r="AD320" s="325">
        <v>46336</v>
      </c>
      <c r="AE320" s="325">
        <v>46356</v>
      </c>
      <c r="AF320" s="325">
        <v>46363</v>
      </c>
      <c r="AG320" s="325">
        <v>46370</v>
      </c>
      <c r="AH320" s="325">
        <v>46384</v>
      </c>
      <c r="AI320" s="325">
        <v>46400</v>
      </c>
      <c r="AJ320" s="365"/>
      <c r="AK320" s="326"/>
      <c r="AL320" s="325">
        <f>W320+AK321</f>
        <v>46374</v>
      </c>
      <c r="AM320" s="327"/>
      <c r="AN320" s="327"/>
      <c r="AO320" s="327"/>
      <c r="AP320" s="327"/>
      <c r="AQ320" s="328">
        <f>AM321-AL320</f>
        <v>144</v>
      </c>
      <c r="AR320" s="329"/>
      <c r="AS320" s="330"/>
      <c r="AT320" s="331"/>
    </row>
    <row r="321" spans="1:46" s="264" customFormat="1" ht="25.05" customHeight="1">
      <c r="A321" s="491"/>
      <c r="B321" s="308" t="str">
        <f>B320</f>
        <v>RFQ-ELE-077</v>
      </c>
      <c r="C321" s="308" t="s">
        <v>286</v>
      </c>
      <c r="D321" s="360"/>
      <c r="E321" s="542"/>
      <c r="F321" s="360"/>
      <c r="G321" s="311">
        <v>148</v>
      </c>
      <c r="H321" s="310" t="s">
        <v>287</v>
      </c>
      <c r="I321" s="311" t="s">
        <v>126</v>
      </c>
      <c r="J321" s="308" t="s">
        <v>71</v>
      </c>
      <c r="K321" s="308">
        <f>K322</f>
        <v>3</v>
      </c>
      <c r="L321" s="308" t="s">
        <v>9</v>
      </c>
      <c r="M321" s="313" t="s">
        <v>65</v>
      </c>
      <c r="N321" s="350">
        <v>46221</v>
      </c>
      <c r="O321" s="350">
        <v>46223</v>
      </c>
      <c r="P321" s="350">
        <f>WORKDAY.INTL(O321,INDEX(P$8:P$11,MATCH($L321,$L$8:$L$11,0)),1,IF(P$18="China",'China Holidays'!$A$2:$A$82,'Thai Holidays'!$A$2:$A$63))</f>
        <v>46239</v>
      </c>
      <c r="Q321" s="350">
        <f>WORKDAY.INTL(P321,INDEX(Q$8:Q$11,MATCH($L321,$L$8:$L$11,0)),1,IF(Q$18="China",'China Holidays'!$A$2:$A$82,'Thai Holidays'!$A$2:$A$63))</f>
        <v>46239</v>
      </c>
      <c r="R321" s="350">
        <f>WORKDAY.INTL(Q321,INDEX(R$8:R$11,MATCH($L321,$L$8:$L$11,0)),1,IF(R$18="China",'China Holidays'!$A$2:$A$82,'Thai Holidays'!$A$2:$A$63))</f>
        <v>46239</v>
      </c>
      <c r="S321" s="350">
        <f>WORKDAY.INTL(R321,INDEX(S$8:S$11,MATCH($L321,$L$8:$L$11,0)),1,IF(S$18="China",'China Holidays'!$A$2:$A$82,'Thai Holidays'!$A$2:$A$63))</f>
        <v>46239</v>
      </c>
      <c r="T321" s="350">
        <f>WORKDAY.INTL(S321,INDEX(T$8:T$11,MATCH($L321,$L$8:$L$11,0)),1,IF(T$18="China",'China Holidays'!$A$2:$A$82,'Thai Holidays'!$A$2:$A$63))</f>
        <v>46246</v>
      </c>
      <c r="U321" s="350">
        <f>WORKDAY.INTL(T321,INDEX(U$8:U$11,MATCH($L321,$L$8:$L$11,0)),1,IF(U$18="China",'China Holidays'!$A$2:$A$82,'Thai Holidays'!$A$2:$A$63))</f>
        <v>46255</v>
      </c>
      <c r="V321" s="350">
        <f>WORKDAY.INTL(U321,INDEX(V$8:V$11,MATCH($L321,$L$8:$L$11,0)),1,IF(V$18="China",'China Holidays'!$A$2:$A$82,'Thai Holidays'!$A$2:$A$63))</f>
        <v>46269</v>
      </c>
      <c r="W321" s="350">
        <f>WORKDAY.INTL(V321,INDEX(W$8:W$11,MATCH($L321,$L$8:$L$11,0)),1,IF(W$18="China",'China Holidays'!$A$2:$A$82,'Thai Holidays'!$A$2:$A$63))</f>
        <v>46276</v>
      </c>
      <c r="X321" s="350">
        <f>WORKDAY.INTL(W321,INDEX(X$12:X$15,MATCH($L321,$L$12:$L$15,0)),1,IF(X$18="China",'China Holidays'!$A$2:$A$82,'Thai Holidays'!$A$2:$A$63))</f>
        <v>46280</v>
      </c>
      <c r="Y321" s="350">
        <f>WORKDAY.INTL(X321,INDEX(Y$12:Y$15,MATCH($L321,$L$12:$L$15,0)),1,IF(Y$18="China",'China Holidays'!$A$2:$A$82,'Thai Holidays'!$A$2:$A$63))</f>
        <v>46287</v>
      </c>
      <c r="Z321" s="350">
        <f>WORKDAY.INTL(Y321,INDEX(Z$12:Z$15,MATCH($L321,$L$12:$L$15,0)),1,IF(Z$18="China",'China Holidays'!$A$2:$A$82,'Thai Holidays'!$A$2:$A$63))</f>
        <v>46309</v>
      </c>
      <c r="AA321" s="350">
        <f>WORKDAY.INTL(Z321,INDEX(AA$12:AA$15,MATCH($L321,$L$12:$L$15,0)),1,IF(AA$18="China",'China Holidays'!$A$2:$A$82,'Thai Holidays'!$A$2:$A$63))</f>
        <v>46324</v>
      </c>
      <c r="AB321" s="350">
        <f>AA321+10</f>
        <v>46334</v>
      </c>
      <c r="AC321" s="350">
        <f>AB321</f>
        <v>46334</v>
      </c>
      <c r="AD321" s="350">
        <f>AC321+2</f>
        <v>46336</v>
      </c>
      <c r="AE321" s="350">
        <f>AF321-7</f>
        <v>46360</v>
      </c>
      <c r="AF321" s="350">
        <f>AG321-7</f>
        <v>46367</v>
      </c>
      <c r="AG321" s="350">
        <f>AL321</f>
        <v>46374</v>
      </c>
      <c r="AH321" s="350">
        <f>AL321+14</f>
        <v>46388</v>
      </c>
      <c r="AI321" s="350">
        <f>AL321+30</f>
        <v>46404</v>
      </c>
      <c r="AJ321" s="362"/>
      <c r="AK321" s="326">
        <f>AJ319*7</f>
        <v>98</v>
      </c>
      <c r="AL321" s="350">
        <f>W321+AK321</f>
        <v>46374</v>
      </c>
      <c r="AM321" s="327">
        <f>AT319-7</f>
        <v>46518</v>
      </c>
      <c r="AN321" s="327">
        <f>AO321-7</f>
        <v>46508</v>
      </c>
      <c r="AO321" s="327">
        <v>46515</v>
      </c>
      <c r="AP321" s="327"/>
      <c r="AQ321" s="311">
        <f>AM321-AL321</f>
        <v>144</v>
      </c>
      <c r="AR321" s="329"/>
      <c r="AS321" s="330" t="s">
        <v>66</v>
      </c>
      <c r="AT321" s="331">
        <v>46538</v>
      </c>
    </row>
    <row r="322" spans="1:46" s="264" customFormat="1" ht="25.05" customHeight="1">
      <c r="A322" s="492"/>
      <c r="B322" s="337" t="str">
        <f>B319</f>
        <v>RFQ-ELE-077</v>
      </c>
      <c r="C322" s="337" t="s">
        <v>286</v>
      </c>
      <c r="D322" s="395"/>
      <c r="E322" s="544"/>
      <c r="F322" s="395"/>
      <c r="G322" s="340"/>
      <c r="H322" s="339"/>
      <c r="I322" s="340" t="s">
        <v>126</v>
      </c>
      <c r="J322" s="337" t="s">
        <v>71</v>
      </c>
      <c r="K322" s="308">
        <v>3</v>
      </c>
      <c r="L322" s="337" t="s">
        <v>9</v>
      </c>
      <c r="M322" s="341" t="s">
        <v>67</v>
      </c>
      <c r="N322" s="343"/>
      <c r="O322" s="343"/>
      <c r="P322" s="343"/>
      <c r="Q322" s="343"/>
      <c r="R322" s="343"/>
      <c r="S322" s="343"/>
      <c r="T322" s="343"/>
      <c r="U322" s="343"/>
      <c r="V322" s="343"/>
      <c r="W322" s="340">
        <f>W319-W321</f>
        <v>0</v>
      </c>
      <c r="X322" s="343"/>
      <c r="Y322" s="343"/>
      <c r="Z322" s="343"/>
      <c r="AA322" s="343"/>
      <c r="AB322" s="343"/>
      <c r="AC322" s="343"/>
      <c r="AD322" s="343"/>
      <c r="AE322" s="343"/>
      <c r="AF322" s="343"/>
      <c r="AG322" s="343"/>
      <c r="AH322" s="343"/>
      <c r="AI322" s="343"/>
      <c r="AJ322" s="353"/>
      <c r="AK322" s="354"/>
      <c r="AL322" s="343"/>
      <c r="AM322" s="355"/>
      <c r="AN322" s="355"/>
      <c r="AO322" s="355"/>
      <c r="AP322" s="355"/>
      <c r="AQ322" s="340"/>
      <c r="AR322" s="356"/>
      <c r="AS322" s="357"/>
      <c r="AT322" s="356"/>
    </row>
    <row r="323" spans="1:46" s="264" customFormat="1" ht="25.05" customHeight="1">
      <c r="A323" s="493">
        <f>A319+1</f>
        <v>78</v>
      </c>
      <c r="B323" s="308" t="s">
        <v>288</v>
      </c>
      <c r="C323" s="308" t="s">
        <v>289</v>
      </c>
      <c r="D323" s="419"/>
      <c r="E323" s="541">
        <v>15</v>
      </c>
      <c r="F323" s="419"/>
      <c r="G323" s="311"/>
      <c r="H323" s="310"/>
      <c r="I323" s="311" t="s">
        <v>126</v>
      </c>
      <c r="J323" s="308" t="s">
        <v>60</v>
      </c>
      <c r="K323" s="312">
        <f>K326</f>
        <v>3</v>
      </c>
      <c r="L323" s="308" t="s">
        <v>9</v>
      </c>
      <c r="M323" s="313" t="s">
        <v>61</v>
      </c>
      <c r="N323" s="364">
        <f>WORKDAY.INTL(O323,-INDEX(O$12:O$15,MATCH($L323,$L$12:$L$15,0)),1,IF(N$18="China",'China Holidays'!$A$2:$A$82,'Thai Holidays'!$A$2:$A$63))</f>
        <v>46266</v>
      </c>
      <c r="O323" s="350">
        <v>46269</v>
      </c>
      <c r="P323" s="350">
        <v>46276</v>
      </c>
      <c r="Q323" s="350">
        <v>46279</v>
      </c>
      <c r="R323" s="350">
        <v>46282</v>
      </c>
      <c r="S323" s="350">
        <f>R323+1</f>
        <v>46283</v>
      </c>
      <c r="T323" s="350">
        <v>46289</v>
      </c>
      <c r="U323" s="350">
        <v>46300</v>
      </c>
      <c r="V323" s="350">
        <v>46302</v>
      </c>
      <c r="W323" s="350">
        <v>46309</v>
      </c>
      <c r="X323" s="350">
        <v>46311</v>
      </c>
      <c r="Y323" s="350">
        <v>46318</v>
      </c>
      <c r="Z323" s="350">
        <v>46332</v>
      </c>
      <c r="AA323" s="350">
        <v>46346</v>
      </c>
      <c r="AB323" s="350">
        <v>46356</v>
      </c>
      <c r="AC323" s="350">
        <v>46356</v>
      </c>
      <c r="AD323" s="350">
        <v>46358</v>
      </c>
      <c r="AE323" s="350">
        <v>46400</v>
      </c>
      <c r="AF323" s="350">
        <v>46407</v>
      </c>
      <c r="AG323" s="350">
        <v>46414</v>
      </c>
      <c r="AH323" s="350">
        <v>46428</v>
      </c>
      <c r="AI323" s="350">
        <v>46444</v>
      </c>
      <c r="AJ323" s="316">
        <v>15</v>
      </c>
      <c r="AK323" s="351"/>
      <c r="AL323" s="350" t="str">
        <f>TEXT(AL325,"d-mmm-yy")</f>
        <v>27-Jan-27</v>
      </c>
      <c r="AM323" s="327"/>
      <c r="AN323" s="327"/>
      <c r="AO323" s="327"/>
      <c r="AP323" s="327"/>
      <c r="AQ323" s="311"/>
      <c r="AR323" s="329"/>
      <c r="AS323" s="330" t="s">
        <v>62</v>
      </c>
      <c r="AT323" s="331">
        <v>46455</v>
      </c>
    </row>
    <row r="324" spans="1:46" s="264" customFormat="1" ht="25.05" customHeight="1">
      <c r="A324" s="491"/>
      <c r="B324" s="308" t="str">
        <f>B323</f>
        <v>RFQ-ELE-078</v>
      </c>
      <c r="C324" s="308" t="str">
        <f>C323</f>
        <v>ELECTRICAL BULK MATERIALS</v>
      </c>
      <c r="D324" s="368"/>
      <c r="E324" s="542"/>
      <c r="F324" s="361"/>
      <c r="G324" s="311"/>
      <c r="H324" s="310"/>
      <c r="I324" s="311" t="s">
        <v>126</v>
      </c>
      <c r="J324" s="308"/>
      <c r="K324" s="322"/>
      <c r="L324" s="308"/>
      <c r="M324" s="323" t="s">
        <v>63</v>
      </c>
      <c r="N324" s="367"/>
      <c r="O324" s="325">
        <v>46269</v>
      </c>
      <c r="P324" s="325">
        <v>46276</v>
      </c>
      <c r="Q324" s="325">
        <v>46279</v>
      </c>
      <c r="R324" s="325">
        <v>46282</v>
      </c>
      <c r="S324" s="325">
        <v>46283</v>
      </c>
      <c r="T324" s="325">
        <v>46289</v>
      </c>
      <c r="U324" s="325">
        <v>46300</v>
      </c>
      <c r="V324" s="325">
        <v>46302</v>
      </c>
      <c r="W324" s="325">
        <v>46309</v>
      </c>
      <c r="X324" s="325">
        <v>46311</v>
      </c>
      <c r="Y324" s="325">
        <v>46318</v>
      </c>
      <c r="Z324" s="325">
        <v>46332</v>
      </c>
      <c r="AA324" s="325">
        <v>46346</v>
      </c>
      <c r="AB324" s="325">
        <v>46356</v>
      </c>
      <c r="AC324" s="325">
        <v>46356</v>
      </c>
      <c r="AD324" s="325">
        <v>46358</v>
      </c>
      <c r="AE324" s="325">
        <v>46400</v>
      </c>
      <c r="AF324" s="325">
        <v>46407</v>
      </c>
      <c r="AG324" s="325">
        <v>46414</v>
      </c>
      <c r="AH324" s="325">
        <v>46428</v>
      </c>
      <c r="AI324" s="325">
        <v>46444</v>
      </c>
      <c r="AJ324" s="365"/>
      <c r="AK324" s="326"/>
      <c r="AL324" s="325">
        <f>W324+AK325</f>
        <v>46414</v>
      </c>
      <c r="AM324" s="327"/>
      <c r="AN324" s="327"/>
      <c r="AO324" s="327"/>
      <c r="AP324" s="327"/>
      <c r="AQ324" s="328">
        <f>AM325-AL324</f>
        <v>34</v>
      </c>
      <c r="AR324" s="329"/>
      <c r="AS324" s="330"/>
      <c r="AT324" s="331"/>
    </row>
    <row r="325" spans="1:46" s="264" customFormat="1" ht="25.05" customHeight="1">
      <c r="A325" s="491"/>
      <c r="B325" s="308" t="str">
        <f>B323</f>
        <v>RFQ-ELE-078</v>
      </c>
      <c r="C325" s="308" t="s">
        <v>289</v>
      </c>
      <c r="D325" s="360"/>
      <c r="E325" s="542"/>
      <c r="F325" s="360"/>
      <c r="G325" s="311">
        <v>34</v>
      </c>
      <c r="H325" s="310" t="s">
        <v>287</v>
      </c>
      <c r="I325" s="311" t="s">
        <v>126</v>
      </c>
      <c r="J325" s="308" t="s">
        <v>60</v>
      </c>
      <c r="K325" s="308">
        <f>K326</f>
        <v>3</v>
      </c>
      <c r="L325" s="308" t="s">
        <v>9</v>
      </c>
      <c r="M325" s="313" t="s">
        <v>65</v>
      </c>
      <c r="N325" s="350">
        <v>46254</v>
      </c>
      <c r="O325" s="350">
        <v>46251</v>
      </c>
      <c r="P325" s="350">
        <f>WORKDAY.INTL(O325,INDEX(P$8:P$11,MATCH($L325,$L$8:$L$11,0)),1,IF(P$18="China",'China Holidays'!$A$2:$A$82,'Thai Holidays'!$A$2:$A$63))</f>
        <v>46265</v>
      </c>
      <c r="Q325" s="350">
        <f>WORKDAY.INTL(P325,INDEX(Q$8:Q$11,MATCH($L325,$L$8:$L$11,0)),1,IF(Q$18="China",'China Holidays'!$A$2:$A$82,'Thai Holidays'!$A$2:$A$63))</f>
        <v>46265</v>
      </c>
      <c r="R325" s="350">
        <f>WORKDAY.INTL(Q325,INDEX(R$8:R$11,MATCH($L325,$L$8:$L$11,0)),1,IF(R$18="China",'China Holidays'!$A$2:$A$82,'Thai Holidays'!$A$2:$A$63))</f>
        <v>46265</v>
      </c>
      <c r="S325" s="350">
        <f>WORKDAY.INTL(R325,INDEX(S$8:S$11,MATCH($L325,$L$8:$L$11,0)),1,IF(S$18="China",'China Holidays'!$A$2:$A$82,'Thai Holidays'!$A$2:$A$63))</f>
        <v>46265</v>
      </c>
      <c r="T325" s="350">
        <f>WORKDAY.INTL(S325,INDEX(T$8:T$11,MATCH($L325,$L$8:$L$11,0)),1,IF(T$18="China",'China Holidays'!$A$2:$A$82,'Thai Holidays'!$A$2:$A$63))</f>
        <v>46272</v>
      </c>
      <c r="U325" s="350">
        <f>WORKDAY.INTL(T325,INDEX(U$8:U$11,MATCH($L325,$L$8:$L$11,0)),1,IF(U$18="China",'China Holidays'!$A$2:$A$82,'Thai Holidays'!$A$2:$A$63))</f>
        <v>46281</v>
      </c>
      <c r="V325" s="350">
        <f>WORKDAY.INTL(U325,INDEX(V$8:V$11,MATCH($L325,$L$8:$L$11,0)),1,IF(V$18="China",'China Holidays'!$A$2:$A$82,'Thai Holidays'!$A$2:$A$63))</f>
        <v>46295</v>
      </c>
      <c r="W325" s="350">
        <f>WORKDAY.INTL(V325,INDEX(W$8:W$11,MATCH($L325,$L$8:$L$11,0)),1,IF(W$18="China",'China Holidays'!$A$2:$A$82,'Thai Holidays'!$A$2:$A$63))</f>
        <v>46309</v>
      </c>
      <c r="X325" s="350">
        <f>WORKDAY.INTL(W325,INDEX(X$12:X$15,MATCH($L325,$L$12:$L$15,0)),1,IF(X$18="China",'China Holidays'!$A$2:$A$82,'Thai Holidays'!$A$2:$A$63))</f>
        <v>46311</v>
      </c>
      <c r="Y325" s="350">
        <f>WORKDAY.INTL(X325,INDEX(Y$12:Y$15,MATCH($L325,$L$12:$L$15,0)),1,IF(Y$18="China",'China Holidays'!$A$2:$A$82,'Thai Holidays'!$A$2:$A$63))</f>
        <v>46318</v>
      </c>
      <c r="Z325" s="350">
        <f>WORKDAY.INTL(Y325,INDEX(Z$12:Z$15,MATCH($L325,$L$12:$L$15,0)),1,IF(Z$18="China",'China Holidays'!$A$2:$A$82,'Thai Holidays'!$A$2:$A$63))</f>
        <v>46332</v>
      </c>
      <c r="AA325" s="350">
        <f>WORKDAY.INTL(Z325,INDEX(AA$12:AA$15,MATCH($L325,$L$12:$L$15,0)),1,IF(AA$18="China",'China Holidays'!$A$2:$A$82,'Thai Holidays'!$A$2:$A$63))</f>
        <v>46346</v>
      </c>
      <c r="AB325" s="350">
        <f>AA325+10</f>
        <v>46356</v>
      </c>
      <c r="AC325" s="350">
        <f>AB325</f>
        <v>46356</v>
      </c>
      <c r="AD325" s="350">
        <f>AC325+2</f>
        <v>46358</v>
      </c>
      <c r="AE325" s="350">
        <f>AF325-7</f>
        <v>46400</v>
      </c>
      <c r="AF325" s="350">
        <f>AG325-7</f>
        <v>46407</v>
      </c>
      <c r="AG325" s="350">
        <f>AL325</f>
        <v>46414</v>
      </c>
      <c r="AH325" s="350">
        <f>AL325+14</f>
        <v>46428</v>
      </c>
      <c r="AI325" s="350">
        <f>AL325+30</f>
        <v>46444</v>
      </c>
      <c r="AJ325" s="362"/>
      <c r="AK325" s="326">
        <f>AJ323*7</f>
        <v>105</v>
      </c>
      <c r="AL325" s="350">
        <f>W325+AK325</f>
        <v>46414</v>
      </c>
      <c r="AM325" s="327">
        <f>AT323-7</f>
        <v>46448</v>
      </c>
      <c r="AN325" s="327">
        <f>AO325-7</f>
        <v>46438</v>
      </c>
      <c r="AO325" s="327">
        <v>46445</v>
      </c>
      <c r="AP325" s="327" t="s">
        <v>290</v>
      </c>
      <c r="AQ325" s="311">
        <f>AM325-AL325</f>
        <v>34</v>
      </c>
      <c r="AR325" s="329"/>
      <c r="AS325" s="330" t="s">
        <v>66</v>
      </c>
      <c r="AT325" s="331">
        <v>46466</v>
      </c>
    </row>
    <row r="326" spans="1:46" s="264" customFormat="1" ht="25.05" customHeight="1">
      <c r="A326" s="492"/>
      <c r="B326" s="337" t="str">
        <f>B323</f>
        <v>RFQ-ELE-078</v>
      </c>
      <c r="C326" s="337" t="s">
        <v>289</v>
      </c>
      <c r="D326" s="395"/>
      <c r="E326" s="544"/>
      <c r="F326" s="395"/>
      <c r="G326" s="340"/>
      <c r="H326" s="339"/>
      <c r="I326" s="340" t="s">
        <v>126</v>
      </c>
      <c r="J326" s="337" t="s">
        <v>60</v>
      </c>
      <c r="K326" s="308">
        <v>3</v>
      </c>
      <c r="L326" s="337" t="s">
        <v>9</v>
      </c>
      <c r="M326" s="341" t="s">
        <v>67</v>
      </c>
      <c r="N326" s="343"/>
      <c r="O326" s="343"/>
      <c r="P326" s="343"/>
      <c r="Q326" s="343"/>
      <c r="R326" s="343"/>
      <c r="S326" s="343"/>
      <c r="T326" s="343"/>
      <c r="U326" s="343"/>
      <c r="V326" s="343"/>
      <c r="W326" s="340">
        <f>W323-W325</f>
        <v>0</v>
      </c>
      <c r="X326" s="343"/>
      <c r="Y326" s="343"/>
      <c r="Z326" s="343"/>
      <c r="AA326" s="343"/>
      <c r="AB326" s="343"/>
      <c r="AC326" s="343"/>
      <c r="AD326" s="343"/>
      <c r="AE326" s="343"/>
      <c r="AF326" s="343"/>
      <c r="AG326" s="343"/>
      <c r="AH326" s="343"/>
      <c r="AI326" s="343"/>
      <c r="AJ326" s="353"/>
      <c r="AK326" s="354"/>
      <c r="AL326" s="343"/>
      <c r="AM326" s="355"/>
      <c r="AN326" s="355"/>
      <c r="AO326" s="355"/>
      <c r="AP326" s="355"/>
      <c r="AQ326" s="340"/>
      <c r="AR326" s="356"/>
      <c r="AS326" s="357"/>
      <c r="AT326" s="356"/>
    </row>
    <row r="327" spans="1:46" s="264" customFormat="1" ht="25.05" customHeight="1">
      <c r="A327" s="493">
        <f>A323+1</f>
        <v>79</v>
      </c>
      <c r="B327" s="308" t="s">
        <v>291</v>
      </c>
      <c r="C327" s="308" t="s">
        <v>292</v>
      </c>
      <c r="D327" s="419"/>
      <c r="E327" s="541">
        <v>12.8571428571429</v>
      </c>
      <c r="F327" s="419"/>
      <c r="G327" s="311"/>
      <c r="H327" s="310"/>
      <c r="I327" s="311" t="s">
        <v>126</v>
      </c>
      <c r="J327" s="308" t="s">
        <v>71</v>
      </c>
      <c r="K327" s="312">
        <f>K330</f>
        <v>3</v>
      </c>
      <c r="L327" s="308" t="s">
        <v>9</v>
      </c>
      <c r="M327" s="313" t="s">
        <v>61</v>
      </c>
      <c r="N327" s="364">
        <f>WORKDAY.INTL(O327,-INDEX(O$12:O$15,MATCH($L327,$L$12:$L$15,0)),1,IF(N$18="China",'China Holidays'!$A$2:$A$82,'Thai Holidays'!$A$2:$A$63))</f>
        <v>46218</v>
      </c>
      <c r="O327" s="350">
        <v>46223</v>
      </c>
      <c r="P327" s="350">
        <v>46230</v>
      </c>
      <c r="Q327" s="350">
        <v>46231</v>
      </c>
      <c r="R327" s="350">
        <v>46237</v>
      </c>
      <c r="S327" s="350">
        <f>R327+1</f>
        <v>46238</v>
      </c>
      <c r="T327" s="350">
        <v>46244</v>
      </c>
      <c r="U327" s="350">
        <v>46254</v>
      </c>
      <c r="V327" s="350">
        <v>46258</v>
      </c>
      <c r="W327" s="350">
        <v>46265</v>
      </c>
      <c r="X327" s="350">
        <v>46267</v>
      </c>
      <c r="Y327" s="350">
        <v>46274</v>
      </c>
      <c r="Z327" s="350">
        <v>46288</v>
      </c>
      <c r="AA327" s="350">
        <v>46302</v>
      </c>
      <c r="AB327" s="350">
        <v>46312</v>
      </c>
      <c r="AC327" s="350">
        <v>46312</v>
      </c>
      <c r="AD327" s="350">
        <v>46314</v>
      </c>
      <c r="AE327" s="350">
        <v>46341</v>
      </c>
      <c r="AF327" s="350">
        <v>46348</v>
      </c>
      <c r="AG327" s="350">
        <v>46355</v>
      </c>
      <c r="AH327" s="350">
        <v>46369</v>
      </c>
      <c r="AI327" s="350">
        <v>46385</v>
      </c>
      <c r="AJ327" s="316">
        <v>12.8571428571429</v>
      </c>
      <c r="AK327" s="351"/>
      <c r="AL327" s="350" t="str">
        <f>TEXT(AL329,"d-mmm-yy")</f>
        <v>29-Nov-26</v>
      </c>
      <c r="AM327" s="327"/>
      <c r="AN327" s="327"/>
      <c r="AO327" s="327"/>
      <c r="AP327" s="327"/>
      <c r="AQ327" s="311"/>
      <c r="AR327" s="329"/>
      <c r="AS327" s="330" t="s">
        <v>62</v>
      </c>
      <c r="AT327" s="331">
        <v>46505</v>
      </c>
    </row>
    <row r="328" spans="1:46" s="264" customFormat="1" ht="25.05" customHeight="1">
      <c r="A328" s="491"/>
      <c r="B328" s="308" t="str">
        <f>B327</f>
        <v>RFQ-ELE-079</v>
      </c>
      <c r="C328" s="308" t="str">
        <f>C327</f>
        <v>FOG HORN</v>
      </c>
      <c r="D328" s="368"/>
      <c r="E328" s="542"/>
      <c r="F328" s="361"/>
      <c r="G328" s="311"/>
      <c r="H328" s="310"/>
      <c r="I328" s="311" t="s">
        <v>126</v>
      </c>
      <c r="J328" s="308"/>
      <c r="K328" s="322"/>
      <c r="L328" s="308"/>
      <c r="M328" s="323" t="s">
        <v>63</v>
      </c>
      <c r="N328" s="367"/>
      <c r="O328" s="325">
        <v>46223</v>
      </c>
      <c r="P328" s="325">
        <v>46230</v>
      </c>
      <c r="Q328" s="325">
        <v>46231</v>
      </c>
      <c r="R328" s="325">
        <v>46237</v>
      </c>
      <c r="S328" s="325">
        <v>46238</v>
      </c>
      <c r="T328" s="325">
        <v>46244</v>
      </c>
      <c r="U328" s="325">
        <v>46254</v>
      </c>
      <c r="V328" s="325">
        <v>46258</v>
      </c>
      <c r="W328" s="325">
        <v>46265</v>
      </c>
      <c r="X328" s="325">
        <v>46267</v>
      </c>
      <c r="Y328" s="325">
        <v>46274</v>
      </c>
      <c r="Z328" s="325">
        <v>46288</v>
      </c>
      <c r="AA328" s="325">
        <v>46302</v>
      </c>
      <c r="AB328" s="325">
        <v>46312</v>
      </c>
      <c r="AC328" s="325">
        <v>46312</v>
      </c>
      <c r="AD328" s="325">
        <v>46314</v>
      </c>
      <c r="AE328" s="325">
        <v>46341</v>
      </c>
      <c r="AF328" s="325">
        <v>46348</v>
      </c>
      <c r="AG328" s="325">
        <v>46355</v>
      </c>
      <c r="AH328" s="325">
        <v>46369</v>
      </c>
      <c r="AI328" s="325">
        <v>46385</v>
      </c>
      <c r="AJ328" s="365"/>
      <c r="AK328" s="326"/>
      <c r="AL328" s="325">
        <f>W328+AK329</f>
        <v>46355</v>
      </c>
      <c r="AM328" s="327"/>
      <c r="AN328" s="327"/>
      <c r="AO328" s="327"/>
      <c r="AP328" s="327"/>
      <c r="AQ328" s="328">
        <f>AM329-AL328</f>
        <v>143</v>
      </c>
      <c r="AR328" s="329"/>
      <c r="AS328" s="330"/>
      <c r="AT328" s="331"/>
    </row>
    <row r="329" spans="1:46" s="264" customFormat="1" ht="25.05" customHeight="1">
      <c r="A329" s="491"/>
      <c r="B329" s="308" t="str">
        <f>B327</f>
        <v>RFQ-ELE-079</v>
      </c>
      <c r="C329" s="308" t="s">
        <v>292</v>
      </c>
      <c r="D329" s="360"/>
      <c r="E329" s="542"/>
      <c r="F329" s="360"/>
      <c r="G329" s="311">
        <v>143</v>
      </c>
      <c r="H329" s="310" t="s">
        <v>134</v>
      </c>
      <c r="I329" s="311" t="s">
        <v>126</v>
      </c>
      <c r="J329" s="308" t="s">
        <v>71</v>
      </c>
      <c r="K329" s="308">
        <f>K330</f>
        <v>3</v>
      </c>
      <c r="L329" s="308" t="s">
        <v>9</v>
      </c>
      <c r="M329" s="313" t="s">
        <v>65</v>
      </c>
      <c r="N329" s="350">
        <v>46208</v>
      </c>
      <c r="O329" s="350">
        <v>46211</v>
      </c>
      <c r="P329" s="350">
        <f>WORKDAY.INTL(O329,INDEX(P$8:P$11,MATCH($L329,$L$8:$L$11,0)),1,IF(P$18="China",'China Holidays'!$A$2:$A$82,'Thai Holidays'!$A$2:$A$63))</f>
        <v>46225</v>
      </c>
      <c r="Q329" s="350">
        <f>WORKDAY.INTL(P329,INDEX(Q$8:Q$11,MATCH($L329,$L$8:$L$11,0)),1,IF(Q$18="China",'China Holidays'!$A$2:$A$82,'Thai Holidays'!$A$2:$A$63))</f>
        <v>46225</v>
      </c>
      <c r="R329" s="350">
        <f>WORKDAY.INTL(Q329,INDEX(R$8:R$11,MATCH($L329,$L$8:$L$11,0)),1,IF(R$18="China",'China Holidays'!$A$2:$A$82,'Thai Holidays'!$A$2:$A$63))</f>
        <v>46225</v>
      </c>
      <c r="S329" s="350">
        <f>WORKDAY.INTL(R329,INDEX(S$8:S$11,MATCH($L329,$L$8:$L$11,0)),1,IF(S$18="China",'China Holidays'!$A$2:$A$82,'Thai Holidays'!$A$2:$A$63))</f>
        <v>46225</v>
      </c>
      <c r="T329" s="350">
        <f>WORKDAY.INTL(S329,INDEX(T$8:T$11,MATCH($L329,$L$8:$L$11,0)),1,IF(T$18="China",'China Holidays'!$A$2:$A$82,'Thai Holidays'!$A$2:$A$63))</f>
        <v>46232</v>
      </c>
      <c r="U329" s="350">
        <f>WORKDAY.INTL(T329,INDEX(U$8:U$11,MATCH($L329,$L$8:$L$11,0)),1,IF(U$18="China",'China Holidays'!$A$2:$A$82,'Thai Holidays'!$A$2:$A$63))</f>
        <v>46241</v>
      </c>
      <c r="V329" s="350">
        <f>WORKDAY.INTL(U329,INDEX(V$8:V$11,MATCH($L329,$L$8:$L$11,0)),1,IF(V$18="China",'China Holidays'!$A$2:$A$82,'Thai Holidays'!$A$2:$A$63))</f>
        <v>46258</v>
      </c>
      <c r="W329" s="350">
        <f>WORKDAY.INTL(V329,INDEX(W$8:W$11,MATCH($L329,$L$8:$L$11,0)),1,IF(W$18="China",'China Holidays'!$A$2:$A$82,'Thai Holidays'!$A$2:$A$63))</f>
        <v>46265</v>
      </c>
      <c r="X329" s="350">
        <f>WORKDAY.INTL(W329,INDEX(X$12:X$15,MATCH($L329,$L$12:$L$15,0)),1,IF(X$18="China",'China Holidays'!$A$2:$A$82,'Thai Holidays'!$A$2:$A$63))</f>
        <v>46267</v>
      </c>
      <c r="Y329" s="350">
        <f>WORKDAY.INTL(X329,INDEX(Y$12:Y$15,MATCH($L329,$L$12:$L$15,0)),1,IF(Y$18="China",'China Holidays'!$A$2:$A$82,'Thai Holidays'!$A$2:$A$63))</f>
        <v>46274</v>
      </c>
      <c r="Z329" s="350">
        <f>WORKDAY.INTL(Y329,INDEX(Z$12:Z$15,MATCH($L329,$L$12:$L$15,0)),1,IF(Z$18="China",'China Holidays'!$A$2:$A$82,'Thai Holidays'!$A$2:$A$63))</f>
        <v>46288</v>
      </c>
      <c r="AA329" s="350">
        <f>WORKDAY.INTL(Z329,INDEX(AA$12:AA$15,MATCH($L329,$L$12:$L$15,0)),1,IF(AA$18="China",'China Holidays'!$A$2:$A$82,'Thai Holidays'!$A$2:$A$63))</f>
        <v>46302</v>
      </c>
      <c r="AB329" s="350">
        <f>AA329+10</f>
        <v>46312</v>
      </c>
      <c r="AC329" s="350">
        <f>AB329</f>
        <v>46312</v>
      </c>
      <c r="AD329" s="350">
        <f>AC329+2</f>
        <v>46314</v>
      </c>
      <c r="AE329" s="350">
        <f>AF329-7</f>
        <v>46341</v>
      </c>
      <c r="AF329" s="350">
        <f>AG329-7</f>
        <v>46348</v>
      </c>
      <c r="AG329" s="350">
        <f>AL329</f>
        <v>46355</v>
      </c>
      <c r="AH329" s="350">
        <f>AL329+14</f>
        <v>46369</v>
      </c>
      <c r="AI329" s="350">
        <f>AL329+30</f>
        <v>46385</v>
      </c>
      <c r="AJ329" s="362"/>
      <c r="AK329" s="326">
        <f>AJ327*7</f>
        <v>90.000000000000298</v>
      </c>
      <c r="AL329" s="350">
        <f>W329+AK329</f>
        <v>46355</v>
      </c>
      <c r="AM329" s="327">
        <f>AT327-7</f>
        <v>46498</v>
      </c>
      <c r="AN329" s="327">
        <f>AO329-7</f>
        <v>46530</v>
      </c>
      <c r="AO329" s="327">
        <v>46537</v>
      </c>
      <c r="AP329" s="327"/>
      <c r="AQ329" s="311">
        <f>AM329-AL329</f>
        <v>143</v>
      </c>
      <c r="AR329" s="329"/>
      <c r="AS329" s="330" t="s">
        <v>66</v>
      </c>
      <c r="AT329" s="331">
        <v>46518</v>
      </c>
    </row>
    <row r="330" spans="1:46" s="264" customFormat="1" ht="25.05" customHeight="1">
      <c r="A330" s="492"/>
      <c r="B330" s="337" t="str">
        <f>B327</f>
        <v>RFQ-ELE-079</v>
      </c>
      <c r="C330" s="337" t="s">
        <v>292</v>
      </c>
      <c r="D330" s="395"/>
      <c r="E330" s="544"/>
      <c r="F330" s="395"/>
      <c r="G330" s="340"/>
      <c r="H330" s="339"/>
      <c r="I330" s="340" t="s">
        <v>126</v>
      </c>
      <c r="J330" s="337" t="s">
        <v>71</v>
      </c>
      <c r="K330" s="308">
        <v>3</v>
      </c>
      <c r="L330" s="337" t="s">
        <v>9</v>
      </c>
      <c r="M330" s="341" t="s">
        <v>67</v>
      </c>
      <c r="N330" s="343"/>
      <c r="O330" s="343"/>
      <c r="P330" s="343"/>
      <c r="Q330" s="343"/>
      <c r="R330" s="343"/>
      <c r="S330" s="343"/>
      <c r="T330" s="343"/>
      <c r="U330" s="343"/>
      <c r="V330" s="343"/>
      <c r="W330" s="340">
        <f>W327-W329</f>
        <v>0</v>
      </c>
      <c r="X330" s="343"/>
      <c r="Y330" s="343"/>
      <c r="Z330" s="343"/>
      <c r="AA330" s="343"/>
      <c r="AB330" s="343"/>
      <c r="AC330" s="343"/>
      <c r="AD330" s="343"/>
      <c r="AE330" s="343"/>
      <c r="AF330" s="343"/>
      <c r="AG330" s="343"/>
      <c r="AH330" s="343"/>
      <c r="AI330" s="343"/>
      <c r="AJ330" s="353"/>
      <c r="AK330" s="354"/>
      <c r="AL330" s="343"/>
      <c r="AM330" s="355"/>
      <c r="AN330" s="355"/>
      <c r="AO330" s="355"/>
      <c r="AP330" s="355"/>
      <c r="AQ330" s="340"/>
      <c r="AR330" s="356"/>
      <c r="AS330" s="357"/>
      <c r="AT330" s="356"/>
    </row>
    <row r="331" spans="1:46" s="264" customFormat="1" ht="25.05" customHeight="1">
      <c r="A331" s="493">
        <f>A327+1</f>
        <v>80</v>
      </c>
      <c r="B331" s="308" t="s">
        <v>293</v>
      </c>
      <c r="C331" s="308" t="s">
        <v>294</v>
      </c>
      <c r="D331" s="419"/>
      <c r="E331" s="541">
        <v>12.8571428571429</v>
      </c>
      <c r="F331" s="419"/>
      <c r="G331" s="311"/>
      <c r="H331" s="310"/>
      <c r="I331" s="311" t="s">
        <v>139</v>
      </c>
      <c r="J331" s="308" t="s">
        <v>71</v>
      </c>
      <c r="K331" s="312">
        <f>K334</f>
        <v>4</v>
      </c>
      <c r="L331" s="308" t="s">
        <v>9</v>
      </c>
      <c r="M331" s="313" t="s">
        <v>61</v>
      </c>
      <c r="N331" s="364">
        <f>WORKDAY.INTL(O331,-INDEX(O$12:O$15,MATCH($L331,$L$12:$L$15,0)),1,IF(N$18="China",'China Holidays'!$A$2:$A$82,'Thai Holidays'!$A$2:$A$63))</f>
        <v>46289</v>
      </c>
      <c r="O331" s="350">
        <v>46295</v>
      </c>
      <c r="P331" s="350">
        <v>46302</v>
      </c>
      <c r="Q331" s="350">
        <v>46303</v>
      </c>
      <c r="R331" s="350">
        <v>46309</v>
      </c>
      <c r="S331" s="350">
        <f>R331+1</f>
        <v>46310</v>
      </c>
      <c r="T331" s="350">
        <v>46316</v>
      </c>
      <c r="U331" s="350">
        <v>46328</v>
      </c>
      <c r="V331" s="350">
        <v>46330</v>
      </c>
      <c r="W331" s="350">
        <v>46337</v>
      </c>
      <c r="X331" s="350">
        <v>46339</v>
      </c>
      <c r="Y331" s="350">
        <v>46346</v>
      </c>
      <c r="Z331" s="350">
        <v>46360</v>
      </c>
      <c r="AA331" s="350">
        <v>46377</v>
      </c>
      <c r="AB331" s="350">
        <v>46387</v>
      </c>
      <c r="AC331" s="350">
        <v>46387</v>
      </c>
      <c r="AD331" s="350">
        <v>46389</v>
      </c>
      <c r="AE331" s="350">
        <v>46413</v>
      </c>
      <c r="AF331" s="350">
        <v>46420</v>
      </c>
      <c r="AG331" s="350">
        <v>46427</v>
      </c>
      <c r="AH331" s="350">
        <v>46441</v>
      </c>
      <c r="AI331" s="350">
        <v>46457</v>
      </c>
      <c r="AJ331" s="316">
        <v>12.8571428571429</v>
      </c>
      <c r="AK331" s="351"/>
      <c r="AL331" s="350" t="str">
        <f>TEXT(AL333,"d-mmm-yy")</f>
        <v>9-Feb-27</v>
      </c>
      <c r="AM331" s="327"/>
      <c r="AN331" s="327"/>
      <c r="AO331" s="327"/>
      <c r="AP331" s="327"/>
      <c r="AQ331" s="311"/>
      <c r="AR331" s="329"/>
      <c r="AS331" s="330" t="s">
        <v>62</v>
      </c>
      <c r="AT331" s="331">
        <v>46455</v>
      </c>
    </row>
    <row r="332" spans="1:46" s="264" customFormat="1" ht="25.05" customHeight="1">
      <c r="A332" s="491"/>
      <c r="B332" s="308" t="str">
        <f>B331</f>
        <v>RFQ-INS-080</v>
      </c>
      <c r="C332" s="308" t="str">
        <f>C331</f>
        <v>INSTRUMENT BULK MATERIALS</v>
      </c>
      <c r="D332" s="368"/>
      <c r="E332" s="542"/>
      <c r="F332" s="361"/>
      <c r="G332" s="311"/>
      <c r="H332" s="310"/>
      <c r="I332" s="311" t="s">
        <v>139</v>
      </c>
      <c r="J332" s="308"/>
      <c r="K332" s="322"/>
      <c r="L332" s="308"/>
      <c r="M332" s="323" t="s">
        <v>63</v>
      </c>
      <c r="N332" s="367"/>
      <c r="O332" s="325">
        <v>46295</v>
      </c>
      <c r="P332" s="325">
        <v>46302</v>
      </c>
      <c r="Q332" s="325">
        <v>46303</v>
      </c>
      <c r="R332" s="325">
        <v>46309</v>
      </c>
      <c r="S332" s="325">
        <v>46310</v>
      </c>
      <c r="T332" s="325">
        <v>46316</v>
      </c>
      <c r="U332" s="325">
        <v>46328</v>
      </c>
      <c r="V332" s="325">
        <v>46330</v>
      </c>
      <c r="W332" s="325">
        <v>46337</v>
      </c>
      <c r="X332" s="325">
        <v>46339</v>
      </c>
      <c r="Y332" s="325">
        <v>46346</v>
      </c>
      <c r="Z332" s="325">
        <v>46360</v>
      </c>
      <c r="AA332" s="325">
        <v>46377</v>
      </c>
      <c r="AB332" s="325">
        <v>46387</v>
      </c>
      <c r="AC332" s="325">
        <v>46387</v>
      </c>
      <c r="AD332" s="325">
        <v>46389</v>
      </c>
      <c r="AE332" s="325">
        <v>46413</v>
      </c>
      <c r="AF332" s="325">
        <v>46420</v>
      </c>
      <c r="AG332" s="325">
        <v>46427</v>
      </c>
      <c r="AH332" s="325">
        <v>46441</v>
      </c>
      <c r="AI332" s="325">
        <v>46457</v>
      </c>
      <c r="AJ332" s="365"/>
      <c r="AK332" s="326"/>
      <c r="AL332" s="325">
        <f>W332+AK333</f>
        <v>46427</v>
      </c>
      <c r="AM332" s="327"/>
      <c r="AN332" s="327"/>
      <c r="AO332" s="327"/>
      <c r="AP332" s="327"/>
      <c r="AQ332" s="328">
        <f>AM333-AL332</f>
        <v>21</v>
      </c>
      <c r="AR332" s="329"/>
      <c r="AS332" s="330"/>
      <c r="AT332" s="331"/>
    </row>
    <row r="333" spans="1:46" s="264" customFormat="1" ht="25.05" customHeight="1">
      <c r="A333" s="491"/>
      <c r="B333" s="308" t="str">
        <f>B331</f>
        <v>RFQ-INS-080</v>
      </c>
      <c r="C333" s="308" t="s">
        <v>294</v>
      </c>
      <c r="D333" s="360"/>
      <c r="E333" s="542"/>
      <c r="F333" s="360"/>
      <c r="G333" s="311">
        <v>21</v>
      </c>
      <c r="H333" s="310" t="s">
        <v>295</v>
      </c>
      <c r="I333" s="311" t="s">
        <v>139</v>
      </c>
      <c r="J333" s="308" t="s">
        <v>71</v>
      </c>
      <c r="K333" s="308">
        <f>K334</f>
        <v>4</v>
      </c>
      <c r="L333" s="308" t="s">
        <v>9</v>
      </c>
      <c r="M333" s="313" t="s">
        <v>65</v>
      </c>
      <c r="N333" s="350">
        <v>46273</v>
      </c>
      <c r="O333" s="350">
        <v>46274</v>
      </c>
      <c r="P333" s="350">
        <f>WORKDAY.INTL(O333,INDEX(P$8:P$11,MATCH($L333,$L$8:$L$11,0)),1,IF(P$18="China",'China Holidays'!$A$2:$A$82,'Thai Holidays'!$A$2:$A$63))</f>
        <v>46288</v>
      </c>
      <c r="Q333" s="350">
        <f>WORKDAY.INTL(P333,INDEX(Q$8:Q$11,MATCH($L333,$L$8:$L$11,0)),1,IF(Q$18="China",'China Holidays'!$A$2:$A$82,'Thai Holidays'!$A$2:$A$63))</f>
        <v>46288</v>
      </c>
      <c r="R333" s="350">
        <f>WORKDAY.INTL(Q333,INDEX(R$8:R$11,MATCH($L333,$L$8:$L$11,0)),1,IF(R$18="China",'China Holidays'!$A$2:$A$82,'Thai Holidays'!$A$2:$A$63))</f>
        <v>46288</v>
      </c>
      <c r="S333" s="350">
        <f>WORKDAY.INTL(R333,INDEX(S$8:S$11,MATCH($L333,$L$8:$L$11,0)),1,IF(S$18="China",'China Holidays'!$A$2:$A$82,'Thai Holidays'!$A$2:$A$63))</f>
        <v>46288</v>
      </c>
      <c r="T333" s="350">
        <f>WORKDAY.INTL(S333,INDEX(T$8:T$11,MATCH($L333,$L$8:$L$11,0)),1,IF(T$18="China",'China Holidays'!$A$2:$A$82,'Thai Holidays'!$A$2:$A$63))</f>
        <v>46303</v>
      </c>
      <c r="U333" s="350">
        <f>WORKDAY.INTL(T333,INDEX(U$8:U$11,MATCH($L333,$L$8:$L$11,0)),1,IF(U$18="China",'China Holidays'!$A$2:$A$82,'Thai Holidays'!$A$2:$A$63))</f>
        <v>46315</v>
      </c>
      <c r="V333" s="350">
        <f>WORKDAY.INTL(U333,INDEX(V$8:V$11,MATCH($L333,$L$8:$L$11,0)),1,IF(V$18="China",'China Holidays'!$A$2:$A$82,'Thai Holidays'!$A$2:$A$63))</f>
        <v>46330</v>
      </c>
      <c r="W333" s="350">
        <f>WORKDAY.INTL(V333,INDEX(W$8:W$11,MATCH($L333,$L$8:$L$11,0)),1,IF(W$18="China",'China Holidays'!$A$2:$A$82,'Thai Holidays'!$A$2:$A$63))</f>
        <v>46337</v>
      </c>
      <c r="X333" s="350">
        <f>WORKDAY.INTL(W333,INDEX(X$12:X$15,MATCH($L333,$L$12:$L$15,0)),1,IF(X$18="China",'China Holidays'!$A$2:$A$82,'Thai Holidays'!$A$2:$A$63))</f>
        <v>46339</v>
      </c>
      <c r="Y333" s="350">
        <f>WORKDAY.INTL(X333,INDEX(Y$12:Y$15,MATCH($L333,$L$12:$L$15,0)),1,IF(Y$18="China",'China Holidays'!$A$2:$A$82,'Thai Holidays'!$A$2:$A$63))</f>
        <v>46346</v>
      </c>
      <c r="Z333" s="350">
        <f>WORKDAY.INTL(Y333,INDEX(Z$12:Z$15,MATCH($L333,$L$12:$L$15,0)),1,IF(Z$18="China",'China Holidays'!$A$2:$A$82,'Thai Holidays'!$A$2:$A$63))</f>
        <v>46360</v>
      </c>
      <c r="AA333" s="350">
        <f>WORKDAY.INTL(Z333,INDEX(AA$12:AA$15,MATCH($L333,$L$12:$L$15,0)),1,IF(AA$18="China",'China Holidays'!$A$2:$A$82,'Thai Holidays'!$A$2:$A$63))</f>
        <v>46377</v>
      </c>
      <c r="AB333" s="350">
        <f>AA333+10</f>
        <v>46387</v>
      </c>
      <c r="AC333" s="350">
        <f>AB333</f>
        <v>46387</v>
      </c>
      <c r="AD333" s="350">
        <f>AC333+2</f>
        <v>46389</v>
      </c>
      <c r="AE333" s="350">
        <f>AF333-7</f>
        <v>46413</v>
      </c>
      <c r="AF333" s="350">
        <f>AG333-7</f>
        <v>46420</v>
      </c>
      <c r="AG333" s="350">
        <f>AL333</f>
        <v>46427</v>
      </c>
      <c r="AH333" s="350">
        <f>AL333+14</f>
        <v>46441</v>
      </c>
      <c r="AI333" s="350">
        <f>AL333+30</f>
        <v>46457</v>
      </c>
      <c r="AJ333" s="362"/>
      <c r="AK333" s="326">
        <f>AJ331*7</f>
        <v>90.000000000000298</v>
      </c>
      <c r="AL333" s="350">
        <f>W333+AK333</f>
        <v>46427</v>
      </c>
      <c r="AM333" s="327">
        <f>AT331-7</f>
        <v>46448</v>
      </c>
      <c r="AN333" s="327">
        <f>AO333-7</f>
        <v>46448</v>
      </c>
      <c r="AO333" s="327">
        <v>46455</v>
      </c>
      <c r="AP333" s="327"/>
      <c r="AQ333" s="311">
        <f>AM333-AL333</f>
        <v>21</v>
      </c>
      <c r="AR333" s="329"/>
      <c r="AS333" s="330" t="s">
        <v>66</v>
      </c>
      <c r="AT333" s="331">
        <v>46466</v>
      </c>
    </row>
    <row r="334" spans="1:46" s="264" customFormat="1" ht="25.05" customHeight="1">
      <c r="A334" s="492"/>
      <c r="B334" s="337" t="str">
        <f>B331</f>
        <v>RFQ-INS-080</v>
      </c>
      <c r="C334" s="337" t="s">
        <v>294</v>
      </c>
      <c r="D334" s="395"/>
      <c r="E334" s="544"/>
      <c r="F334" s="395"/>
      <c r="G334" s="340"/>
      <c r="H334" s="339"/>
      <c r="I334" s="340" t="s">
        <v>139</v>
      </c>
      <c r="J334" s="337" t="s">
        <v>71</v>
      </c>
      <c r="K334" s="308">
        <v>4</v>
      </c>
      <c r="L334" s="337" t="s">
        <v>9</v>
      </c>
      <c r="M334" s="341" t="s">
        <v>67</v>
      </c>
      <c r="N334" s="343"/>
      <c r="O334" s="343"/>
      <c r="P334" s="343"/>
      <c r="Q334" s="343"/>
      <c r="R334" s="343"/>
      <c r="S334" s="343"/>
      <c r="T334" s="343"/>
      <c r="U334" s="343"/>
      <c r="V334" s="343"/>
      <c r="W334" s="340">
        <f>W331-W333</f>
        <v>0</v>
      </c>
      <c r="X334" s="343"/>
      <c r="Y334" s="343"/>
      <c r="Z334" s="343"/>
      <c r="AA334" s="343"/>
      <c r="AB334" s="343"/>
      <c r="AC334" s="343"/>
      <c r="AD334" s="343"/>
      <c r="AE334" s="343"/>
      <c r="AF334" s="343"/>
      <c r="AG334" s="343"/>
      <c r="AH334" s="343"/>
      <c r="AI334" s="343"/>
      <c r="AJ334" s="353"/>
      <c r="AK334" s="354"/>
      <c r="AL334" s="343"/>
      <c r="AM334" s="355"/>
      <c r="AN334" s="355"/>
      <c r="AO334" s="355"/>
      <c r="AP334" s="355"/>
      <c r="AQ334" s="340"/>
      <c r="AR334" s="356"/>
      <c r="AS334" s="357"/>
      <c r="AT334" s="356"/>
    </row>
    <row r="335" spans="1:46" s="264" customFormat="1" ht="25.05" customHeight="1">
      <c r="A335" s="493">
        <f>A331+1</f>
        <v>81</v>
      </c>
      <c r="B335" s="308" t="s">
        <v>296</v>
      </c>
      <c r="C335" s="308" t="s">
        <v>297</v>
      </c>
      <c r="D335" s="419"/>
      <c r="E335" s="541">
        <v>12.8571428571429</v>
      </c>
      <c r="F335" s="419"/>
      <c r="G335" s="311"/>
      <c r="H335" s="310"/>
      <c r="I335" s="311" t="s">
        <v>139</v>
      </c>
      <c r="J335" s="308" t="s">
        <v>71</v>
      </c>
      <c r="K335" s="312">
        <f>K338</f>
        <v>4</v>
      </c>
      <c r="L335" s="308" t="s">
        <v>9</v>
      </c>
      <c r="M335" s="313" t="s">
        <v>61</v>
      </c>
      <c r="N335" s="364">
        <f>WORKDAY.INTL(O335,-INDEX(O$12:O$15,MATCH($L335,$L$12:$L$15,0)),1,IF(N$18="China",'China Holidays'!$A$2:$A$82,'Thai Holidays'!$A$2:$A$63))</f>
        <v>46252</v>
      </c>
      <c r="O335" s="350">
        <v>46255</v>
      </c>
      <c r="P335" s="350">
        <v>46262</v>
      </c>
      <c r="Q335" s="350">
        <v>46265</v>
      </c>
      <c r="R335" s="350">
        <v>46268</v>
      </c>
      <c r="S335" s="350">
        <f>R335+1</f>
        <v>46269</v>
      </c>
      <c r="T335" s="350">
        <v>46275</v>
      </c>
      <c r="U335" s="350">
        <v>46286</v>
      </c>
      <c r="V335" s="350">
        <v>46288</v>
      </c>
      <c r="W335" s="350">
        <v>46303</v>
      </c>
      <c r="X335" s="350">
        <v>46307</v>
      </c>
      <c r="Y335" s="350">
        <v>46314</v>
      </c>
      <c r="Z335" s="350">
        <v>46328</v>
      </c>
      <c r="AA335" s="350">
        <v>46342</v>
      </c>
      <c r="AB335" s="350">
        <v>46349</v>
      </c>
      <c r="AC335" s="350">
        <v>46349</v>
      </c>
      <c r="AD335" s="350">
        <v>46351</v>
      </c>
      <c r="AE335" s="350">
        <v>46371</v>
      </c>
      <c r="AF335" s="350">
        <v>46378</v>
      </c>
      <c r="AG335" s="350">
        <v>46385</v>
      </c>
      <c r="AH335" s="350">
        <v>46399</v>
      </c>
      <c r="AI335" s="350">
        <v>46415</v>
      </c>
      <c r="AJ335" s="316">
        <v>12.8571428571429</v>
      </c>
      <c r="AK335" s="351"/>
      <c r="AL335" s="350">
        <v>46393</v>
      </c>
      <c r="AM335" s="327"/>
      <c r="AN335" s="327"/>
      <c r="AO335" s="327"/>
      <c r="AP335" s="327"/>
      <c r="AQ335" s="311"/>
      <c r="AR335" s="329"/>
      <c r="AS335" s="330" t="s">
        <v>62</v>
      </c>
      <c r="AT335" s="331">
        <v>46538</v>
      </c>
    </row>
    <row r="336" spans="1:46" s="264" customFormat="1" ht="25.05" customHeight="1">
      <c r="A336" s="491"/>
      <c r="B336" s="308" t="str">
        <f>B335</f>
        <v>RFQ-INS-081</v>
      </c>
      <c r="C336" s="308" t="str">
        <f>C335</f>
        <v>Instrument Cables</v>
      </c>
      <c r="D336" s="368"/>
      <c r="E336" s="542"/>
      <c r="F336" s="361"/>
      <c r="G336" s="311"/>
      <c r="H336" s="310"/>
      <c r="I336" s="311" t="s">
        <v>139</v>
      </c>
      <c r="J336" s="308"/>
      <c r="K336" s="322"/>
      <c r="L336" s="308"/>
      <c r="M336" s="323" t="s">
        <v>63</v>
      </c>
      <c r="N336" s="367"/>
      <c r="O336" s="325">
        <v>46255</v>
      </c>
      <c r="P336" s="325">
        <v>46262</v>
      </c>
      <c r="Q336" s="325">
        <v>46265</v>
      </c>
      <c r="R336" s="325">
        <v>46268</v>
      </c>
      <c r="S336" s="325">
        <v>46269</v>
      </c>
      <c r="T336" s="325">
        <v>46275</v>
      </c>
      <c r="U336" s="325">
        <v>46286</v>
      </c>
      <c r="V336" s="325">
        <v>46288</v>
      </c>
      <c r="W336" s="325">
        <v>46303</v>
      </c>
      <c r="X336" s="325">
        <v>46307</v>
      </c>
      <c r="Y336" s="325">
        <v>46314</v>
      </c>
      <c r="Z336" s="325">
        <v>46328</v>
      </c>
      <c r="AA336" s="325">
        <v>46342</v>
      </c>
      <c r="AB336" s="325">
        <v>46349</v>
      </c>
      <c r="AC336" s="325">
        <v>46349</v>
      </c>
      <c r="AD336" s="325">
        <v>46351</v>
      </c>
      <c r="AE336" s="325">
        <v>46371</v>
      </c>
      <c r="AF336" s="325">
        <v>46378</v>
      </c>
      <c r="AG336" s="325">
        <v>46385</v>
      </c>
      <c r="AH336" s="325">
        <v>46399</v>
      </c>
      <c r="AI336" s="325">
        <v>46415</v>
      </c>
      <c r="AJ336" s="365"/>
      <c r="AK336" s="326"/>
      <c r="AL336" s="325">
        <f>W336+AK337</f>
        <v>46393</v>
      </c>
      <c r="AM336" s="327"/>
      <c r="AN336" s="327"/>
      <c r="AO336" s="327"/>
      <c r="AP336" s="327"/>
      <c r="AQ336" s="328">
        <f>AM337-AL336</f>
        <v>138</v>
      </c>
      <c r="AR336" s="329"/>
      <c r="AS336" s="330"/>
      <c r="AT336" s="331"/>
    </row>
    <row r="337" spans="1:46" s="264" customFormat="1" ht="25.05" customHeight="1">
      <c r="A337" s="491"/>
      <c r="B337" s="308" t="str">
        <f>B335</f>
        <v>RFQ-INS-081</v>
      </c>
      <c r="C337" s="308" t="s">
        <v>297</v>
      </c>
      <c r="D337" s="360"/>
      <c r="E337" s="542"/>
      <c r="F337" s="360"/>
      <c r="G337" s="311">
        <v>138</v>
      </c>
      <c r="H337" s="310" t="s">
        <v>295</v>
      </c>
      <c r="I337" s="311" t="s">
        <v>139</v>
      </c>
      <c r="J337" s="308" t="s">
        <v>71</v>
      </c>
      <c r="K337" s="308">
        <f>K338</f>
        <v>4</v>
      </c>
      <c r="L337" s="308" t="s">
        <v>9</v>
      </c>
      <c r="M337" s="313" t="s">
        <v>65</v>
      </c>
      <c r="N337" s="350">
        <v>46240</v>
      </c>
      <c r="O337" s="350">
        <v>46243</v>
      </c>
      <c r="P337" s="350">
        <f>WORKDAY.INTL(O337,INDEX(P$8:P$11,MATCH($L337,$L$8:$L$11,0)),1,IF(P$18="China",'China Holidays'!$A$2:$A$82,'Thai Holidays'!$A$2:$A$63))</f>
        <v>46258</v>
      </c>
      <c r="Q337" s="350">
        <f>WORKDAY.INTL(P337,INDEX(Q$8:Q$11,MATCH($L337,$L$8:$L$11,0)),1,IF(Q$18="China",'China Holidays'!$A$2:$A$82,'Thai Holidays'!$A$2:$A$63))</f>
        <v>46258</v>
      </c>
      <c r="R337" s="350">
        <f>WORKDAY.INTL(Q337,INDEX(R$8:R$11,MATCH($L337,$L$8:$L$11,0)),1,IF(R$18="China",'China Holidays'!$A$2:$A$82,'Thai Holidays'!$A$2:$A$63))</f>
        <v>46258</v>
      </c>
      <c r="S337" s="350">
        <f>WORKDAY.INTL(R337,INDEX(S$8:S$11,MATCH($L337,$L$8:$L$11,0)),1,IF(S$18="China",'China Holidays'!$A$2:$A$82,'Thai Holidays'!$A$2:$A$63))</f>
        <v>46258</v>
      </c>
      <c r="T337" s="350">
        <f>WORKDAY.INTL(S337,INDEX(T$8:T$11,MATCH($L337,$L$8:$L$11,0)),1,IF(T$18="China",'China Holidays'!$A$2:$A$82,'Thai Holidays'!$A$2:$A$63))</f>
        <v>46265</v>
      </c>
      <c r="U337" s="350">
        <f>WORKDAY.INTL(T337,INDEX(U$8:U$11,MATCH($L337,$L$8:$L$11,0)),1,IF(U$18="China",'China Holidays'!$A$2:$A$82,'Thai Holidays'!$A$2:$A$63))</f>
        <v>46274</v>
      </c>
      <c r="V337" s="350">
        <f>WORKDAY.INTL(U337,INDEX(V$8:V$11,MATCH($L337,$L$8:$L$11,0)),1,IF(V$18="China",'China Holidays'!$A$2:$A$82,'Thai Holidays'!$A$2:$A$63))</f>
        <v>46288</v>
      </c>
      <c r="W337" s="350">
        <f>WORKDAY.INTL(V337,INDEX(W$8:W$11,MATCH($L337,$L$8:$L$11,0)),1,IF(W$18="China",'China Holidays'!$A$2:$A$82,'Thai Holidays'!$A$2:$A$63))</f>
        <v>46303</v>
      </c>
      <c r="X337" s="350">
        <f>WORKDAY.INTL(W337,INDEX(X$12:X$15,MATCH($L337,$L$12:$L$15,0)),1,IF(X$18="China",'China Holidays'!$A$2:$A$82,'Thai Holidays'!$A$2:$A$63))</f>
        <v>46307</v>
      </c>
      <c r="Y337" s="350">
        <f>WORKDAY.INTL(X337,INDEX(Y$12:Y$15,MATCH($L337,$L$12:$L$15,0)),1,IF(Y$18="China",'China Holidays'!$A$2:$A$82,'Thai Holidays'!$A$2:$A$63))</f>
        <v>46314</v>
      </c>
      <c r="Z337" s="350">
        <f>WORKDAY.INTL(Y337,INDEX(Z$12:Z$15,MATCH($L337,$L$12:$L$15,0)),1,IF(Z$18="China",'China Holidays'!$A$2:$A$82,'Thai Holidays'!$A$2:$A$63))</f>
        <v>46328</v>
      </c>
      <c r="AA337" s="350">
        <f>WORKDAY.INTL(Z337,INDEX(AA$12:AA$15,MATCH($L337,$L$12:$L$15,0)),1,IF(AA$18="China",'China Holidays'!$A$2:$A$82,'Thai Holidays'!$A$2:$A$63))</f>
        <v>46342</v>
      </c>
      <c r="AB337" s="350">
        <f>AA337+10</f>
        <v>46352</v>
      </c>
      <c r="AC337" s="350">
        <f>AB337</f>
        <v>46352</v>
      </c>
      <c r="AD337" s="350">
        <f>AC337+2</f>
        <v>46354</v>
      </c>
      <c r="AE337" s="350">
        <f>AF337-7</f>
        <v>46379</v>
      </c>
      <c r="AF337" s="350">
        <f>AG337-7</f>
        <v>46386</v>
      </c>
      <c r="AG337" s="350">
        <f>AL337</f>
        <v>46393</v>
      </c>
      <c r="AH337" s="350">
        <f>AL337+14</f>
        <v>46407</v>
      </c>
      <c r="AI337" s="350">
        <f>AL337+30</f>
        <v>46423</v>
      </c>
      <c r="AJ337" s="362"/>
      <c r="AK337" s="326">
        <f>AJ335*7</f>
        <v>90.000000000000298</v>
      </c>
      <c r="AL337" s="350">
        <f>W337+AK337</f>
        <v>46393</v>
      </c>
      <c r="AM337" s="327">
        <f>AT335-7</f>
        <v>46531</v>
      </c>
      <c r="AN337" s="327">
        <f>AO337-7</f>
        <v>46470</v>
      </c>
      <c r="AO337" s="327">
        <v>46477</v>
      </c>
      <c r="AP337" s="327"/>
      <c r="AQ337" s="311">
        <f>AM337-AL337</f>
        <v>138</v>
      </c>
      <c r="AR337" s="329"/>
      <c r="AS337" s="330" t="s">
        <v>66</v>
      </c>
      <c r="AT337" s="331">
        <v>46553</v>
      </c>
    </row>
    <row r="338" spans="1:46" s="264" customFormat="1" ht="25.05" customHeight="1">
      <c r="A338" s="492"/>
      <c r="B338" s="337" t="str">
        <f>B335</f>
        <v>RFQ-INS-081</v>
      </c>
      <c r="C338" s="337" t="s">
        <v>297</v>
      </c>
      <c r="D338" s="395"/>
      <c r="E338" s="544"/>
      <c r="F338" s="395"/>
      <c r="G338" s="340"/>
      <c r="H338" s="339"/>
      <c r="I338" s="340" t="s">
        <v>139</v>
      </c>
      <c r="J338" s="337" t="s">
        <v>71</v>
      </c>
      <c r="K338" s="308">
        <v>4</v>
      </c>
      <c r="L338" s="337" t="s">
        <v>9</v>
      </c>
      <c r="M338" s="341" t="s">
        <v>67</v>
      </c>
      <c r="N338" s="343"/>
      <c r="O338" s="343"/>
      <c r="P338" s="343"/>
      <c r="Q338" s="343"/>
      <c r="R338" s="343"/>
      <c r="S338" s="343"/>
      <c r="T338" s="343"/>
      <c r="U338" s="343"/>
      <c r="V338" s="343"/>
      <c r="W338" s="340">
        <f>W335-W337</f>
        <v>0</v>
      </c>
      <c r="X338" s="343"/>
      <c r="Y338" s="343"/>
      <c r="Z338" s="343"/>
      <c r="AA338" s="343"/>
      <c r="AB338" s="343"/>
      <c r="AC338" s="343"/>
      <c r="AD338" s="343"/>
      <c r="AE338" s="343"/>
      <c r="AF338" s="343"/>
      <c r="AG338" s="343"/>
      <c r="AH338" s="343"/>
      <c r="AI338" s="343"/>
      <c r="AJ338" s="353"/>
      <c r="AK338" s="354"/>
      <c r="AL338" s="343"/>
      <c r="AM338" s="355"/>
      <c r="AN338" s="355"/>
      <c r="AO338" s="355"/>
      <c r="AP338" s="355"/>
      <c r="AQ338" s="340"/>
      <c r="AR338" s="356"/>
      <c r="AS338" s="357"/>
      <c r="AT338" s="356"/>
    </row>
    <row r="339" spans="1:46" s="264" customFormat="1" ht="25.05" customHeight="1">
      <c r="A339" s="493">
        <f>A335+1</f>
        <v>82</v>
      </c>
      <c r="B339" s="308" t="s">
        <v>298</v>
      </c>
      <c r="C339" s="308" t="s">
        <v>299</v>
      </c>
      <c r="D339" s="420"/>
      <c r="E339" s="545">
        <v>30</v>
      </c>
      <c r="F339" s="420"/>
      <c r="G339" s="311"/>
      <c r="H339" s="310"/>
      <c r="I339" s="311" t="s">
        <v>300</v>
      </c>
      <c r="J339" s="308" t="s">
        <v>71</v>
      </c>
      <c r="K339" s="312">
        <f>K342</f>
        <v>3</v>
      </c>
      <c r="L339" s="308" t="s">
        <v>9</v>
      </c>
      <c r="M339" s="313" t="s">
        <v>61</v>
      </c>
      <c r="N339" s="364">
        <f>WORKDAY.INTL(O339,-INDEX(O$12:O$15,MATCH($L339,$L$12:$L$15,0)),1,IF(N$18="China",'China Holidays'!$A$2:$A$82,'Thai Holidays'!$A$2:$A$63))</f>
        <v>46204</v>
      </c>
      <c r="O339" s="350">
        <v>46209</v>
      </c>
      <c r="P339" s="350">
        <v>46216</v>
      </c>
      <c r="Q339" s="350">
        <v>46217</v>
      </c>
      <c r="R339" s="350">
        <v>46220</v>
      </c>
      <c r="S339" s="350">
        <f>R339+1</f>
        <v>46221</v>
      </c>
      <c r="T339" s="350">
        <v>46227</v>
      </c>
      <c r="U339" s="350">
        <v>46240</v>
      </c>
      <c r="V339" s="350">
        <v>46244</v>
      </c>
      <c r="W339" s="350">
        <v>46251</v>
      </c>
      <c r="X339" s="350">
        <v>46253</v>
      </c>
      <c r="Y339" s="350">
        <v>46260</v>
      </c>
      <c r="Z339" s="350">
        <v>46274</v>
      </c>
      <c r="AA339" s="350">
        <v>46288</v>
      </c>
      <c r="AB339" s="350">
        <v>46348</v>
      </c>
      <c r="AC339" s="350">
        <v>46348</v>
      </c>
      <c r="AD339" s="350">
        <v>46351</v>
      </c>
      <c r="AE339" s="350">
        <v>46447</v>
      </c>
      <c r="AF339" s="350">
        <v>46454</v>
      </c>
      <c r="AG339" s="350">
        <v>46461</v>
      </c>
      <c r="AH339" s="350">
        <v>46475</v>
      </c>
      <c r="AI339" s="350">
        <v>46491</v>
      </c>
      <c r="AJ339" s="316">
        <v>30</v>
      </c>
      <c r="AK339" s="351"/>
      <c r="AL339" s="350" t="str">
        <f>TEXT(AL341,"d-mmm-yy")</f>
        <v>20-Apr-27</v>
      </c>
      <c r="AM339" s="327"/>
      <c r="AN339" s="327"/>
      <c r="AO339" s="327"/>
      <c r="AP339" s="327"/>
      <c r="AQ339" s="311"/>
      <c r="AR339" s="329"/>
      <c r="AS339" s="330" t="s">
        <v>62</v>
      </c>
      <c r="AT339" s="331">
        <v>46568</v>
      </c>
    </row>
    <row r="340" spans="1:46" s="264" customFormat="1" ht="25.05" customHeight="1">
      <c r="A340" s="491"/>
      <c r="B340" s="308" t="str">
        <f>B339</f>
        <v>RFQ-SAF-082</v>
      </c>
      <c r="C340" s="308" t="str">
        <f>C339</f>
        <v>FIREFIGHTING EQUIPMENT</v>
      </c>
      <c r="D340" s="368"/>
      <c r="E340" s="542"/>
      <c r="F340" s="361"/>
      <c r="G340" s="311"/>
      <c r="H340" s="310"/>
      <c r="I340" s="311" t="s">
        <v>300</v>
      </c>
      <c r="J340" s="308"/>
      <c r="K340" s="322"/>
      <c r="L340" s="308"/>
      <c r="M340" s="323" t="s">
        <v>63</v>
      </c>
      <c r="N340" s="367"/>
      <c r="O340" s="325">
        <v>46233</v>
      </c>
      <c r="P340" s="325">
        <v>46248</v>
      </c>
      <c r="Q340" s="325">
        <v>46248</v>
      </c>
      <c r="R340" s="325">
        <v>46248</v>
      </c>
      <c r="S340" s="325">
        <v>46248</v>
      </c>
      <c r="T340" s="325">
        <v>46255</v>
      </c>
      <c r="U340" s="325">
        <v>46266</v>
      </c>
      <c r="V340" s="325">
        <v>46280</v>
      </c>
      <c r="W340" s="325">
        <v>46287</v>
      </c>
      <c r="X340" s="325">
        <v>46289</v>
      </c>
      <c r="Y340" s="325">
        <v>46304</v>
      </c>
      <c r="Z340" s="325">
        <v>46318</v>
      </c>
      <c r="AA340" s="325">
        <v>46332</v>
      </c>
      <c r="AB340" s="325">
        <v>46392</v>
      </c>
      <c r="AC340" s="325">
        <v>46392</v>
      </c>
      <c r="AD340" s="325">
        <v>46395</v>
      </c>
      <c r="AE340" s="325">
        <v>46483</v>
      </c>
      <c r="AF340" s="325">
        <v>46490</v>
      </c>
      <c r="AG340" s="325">
        <v>46497</v>
      </c>
      <c r="AH340" s="325">
        <v>46511</v>
      </c>
      <c r="AI340" s="325">
        <v>46527</v>
      </c>
      <c r="AJ340" s="365"/>
      <c r="AK340" s="326"/>
      <c r="AL340" s="325">
        <f>W340+AK341</f>
        <v>46497</v>
      </c>
      <c r="AM340" s="327"/>
      <c r="AN340" s="327"/>
      <c r="AO340" s="327"/>
      <c r="AP340" s="327"/>
      <c r="AQ340" s="328">
        <f>AM341-AL340</f>
        <v>64</v>
      </c>
      <c r="AR340" s="329"/>
      <c r="AS340" s="330"/>
      <c r="AT340" s="331"/>
    </row>
    <row r="341" spans="1:46" s="264" customFormat="1" ht="25.05" customHeight="1">
      <c r="A341" s="491"/>
      <c r="B341" s="308" t="str">
        <f>B339</f>
        <v>RFQ-SAF-082</v>
      </c>
      <c r="C341" s="308" t="s">
        <v>299</v>
      </c>
      <c r="D341" s="359"/>
      <c r="E341" s="543"/>
      <c r="F341" s="359"/>
      <c r="G341" s="311">
        <v>34</v>
      </c>
      <c r="H341" s="310" t="s">
        <v>301</v>
      </c>
      <c r="I341" s="311" t="s">
        <v>300</v>
      </c>
      <c r="J341" s="308" t="s">
        <v>71</v>
      </c>
      <c r="K341" s="308">
        <f>K342</f>
        <v>3</v>
      </c>
      <c r="L341" s="308" t="s">
        <v>9</v>
      </c>
      <c r="M341" s="313" t="s">
        <v>65</v>
      </c>
      <c r="N341" s="350">
        <v>46195</v>
      </c>
      <c r="O341" s="350">
        <v>46233</v>
      </c>
      <c r="P341" s="350">
        <f>WORKDAY.INTL(O341,INDEX(P$8:P$11,MATCH($L341,$L$8:$L$11,0)),1,IF(P$18="China",'China Holidays'!$A$2:$A$82,'Thai Holidays'!$A$2:$A$63))</f>
        <v>46248</v>
      </c>
      <c r="Q341" s="350">
        <f>WORKDAY.INTL(P341,INDEX(Q$8:Q$11,MATCH($L341,$L$8:$L$11,0)),1,IF(Q$18="China",'China Holidays'!$A$2:$A$82,'Thai Holidays'!$A$2:$A$63))</f>
        <v>46248</v>
      </c>
      <c r="R341" s="350">
        <f>WORKDAY.INTL(Q341,INDEX(R$8:R$11,MATCH($L341,$L$8:$L$11,0)),1,IF(R$18="China",'China Holidays'!$A$2:$A$82,'Thai Holidays'!$A$2:$A$63))</f>
        <v>46248</v>
      </c>
      <c r="S341" s="350">
        <f>WORKDAY.INTL(R341,INDEX(S$8:S$11,MATCH($L341,$L$8:$L$11,0)),1,IF(S$18="China",'China Holidays'!$A$2:$A$82,'Thai Holidays'!$A$2:$A$63))</f>
        <v>46248</v>
      </c>
      <c r="T341" s="350">
        <f>WORKDAY.INTL(S341,INDEX(T$8:T$11,MATCH($L341,$L$8:$L$11,0)),1,IF(T$18="China",'China Holidays'!$A$2:$A$82,'Thai Holidays'!$A$2:$A$63))</f>
        <v>46255</v>
      </c>
      <c r="U341" s="350">
        <f>WORKDAY.INTL(T341,INDEX(U$8:U$11,MATCH($L341,$L$8:$L$11,0)),1,IF(U$18="China",'China Holidays'!$A$2:$A$82,'Thai Holidays'!$A$2:$A$63))</f>
        <v>46266</v>
      </c>
      <c r="V341" s="350">
        <f>WORKDAY.INTL(U341,INDEX(V$8:V$11,MATCH($L341,$L$8:$L$11,0)),1,IF(V$18="China",'China Holidays'!$A$2:$A$82,'Thai Holidays'!$A$2:$A$63))</f>
        <v>46280</v>
      </c>
      <c r="W341" s="350">
        <f>WORKDAY.INTL(V341,INDEX(W$8:W$11,MATCH($L341,$L$8:$L$11,0)),1,IF(W$18="China",'China Holidays'!$A$2:$A$82,'Thai Holidays'!$A$2:$A$63))</f>
        <v>46287</v>
      </c>
      <c r="X341" s="350">
        <f>WORKDAY.INTL(W341,INDEX(X$12:X$15,MATCH($L341,$L$12:$L$15,0)),1,IF(X$18="China",'China Holidays'!$A$2:$A$82,'Thai Holidays'!$A$2:$A$63))</f>
        <v>46289</v>
      </c>
      <c r="Y341" s="350">
        <f>WORKDAY.INTL(X341,INDEX(Y$12:Y$15,MATCH($L341,$L$12:$L$15,0)),1,IF(Y$18="China",'China Holidays'!$A$2:$A$82,'Thai Holidays'!$A$2:$A$63))</f>
        <v>46304</v>
      </c>
      <c r="Z341" s="350">
        <f>WORKDAY.INTL(Y341,INDEX(Z$12:Z$15,MATCH($L341,$L$12:$L$15,0)),1,IF(Z$18="China",'China Holidays'!$A$2:$A$82,'Thai Holidays'!$A$2:$A$63))</f>
        <v>46318</v>
      </c>
      <c r="AA341" s="350">
        <f>WORKDAY.INTL(Z341,INDEX(AA$12:AA$15,MATCH($L341,$L$12:$L$15,0)),1,IF(AA$18="China",'China Holidays'!$A$2:$A$82,'Thai Holidays'!$A$2:$A$63))</f>
        <v>46332</v>
      </c>
      <c r="AB341" s="350">
        <f>AA341+60</f>
        <v>46392</v>
      </c>
      <c r="AC341" s="350">
        <f>AB341</f>
        <v>46392</v>
      </c>
      <c r="AD341" s="350">
        <f>AC341+3</f>
        <v>46395</v>
      </c>
      <c r="AE341" s="350">
        <f>AF341-7</f>
        <v>46483</v>
      </c>
      <c r="AF341" s="350">
        <f>AG341-7</f>
        <v>46490</v>
      </c>
      <c r="AG341" s="350">
        <f>AL341</f>
        <v>46497</v>
      </c>
      <c r="AH341" s="350">
        <f>AL341+14</f>
        <v>46511</v>
      </c>
      <c r="AI341" s="350">
        <f>AL341+30</f>
        <v>46527</v>
      </c>
      <c r="AJ341" s="362"/>
      <c r="AK341" s="326">
        <f>AJ339*7</f>
        <v>210</v>
      </c>
      <c r="AL341" s="350">
        <f>W341+AK341</f>
        <v>46497</v>
      </c>
      <c r="AM341" s="327">
        <f>AT339-7</f>
        <v>46561</v>
      </c>
      <c r="AN341" s="327">
        <f>AO341-7</f>
        <v>46530</v>
      </c>
      <c r="AO341" s="327">
        <v>46537</v>
      </c>
      <c r="AP341" s="327"/>
      <c r="AQ341" s="311">
        <f>AM341-AL341</f>
        <v>64</v>
      </c>
      <c r="AR341" s="329"/>
      <c r="AS341" s="330" t="s">
        <v>66</v>
      </c>
      <c r="AT341" s="331">
        <v>46583</v>
      </c>
    </row>
    <row r="342" spans="1:46" s="264" customFormat="1" ht="25.05" customHeight="1">
      <c r="A342" s="492"/>
      <c r="B342" s="337" t="str">
        <f>B339</f>
        <v>RFQ-SAF-082</v>
      </c>
      <c r="C342" s="337" t="s">
        <v>299</v>
      </c>
      <c r="D342" s="363"/>
      <c r="E342" s="546"/>
      <c r="F342" s="363"/>
      <c r="G342" s="340"/>
      <c r="H342" s="339"/>
      <c r="I342" s="340" t="s">
        <v>300</v>
      </c>
      <c r="J342" s="337" t="s">
        <v>71</v>
      </c>
      <c r="K342" s="308">
        <v>3</v>
      </c>
      <c r="L342" s="337" t="s">
        <v>9</v>
      </c>
      <c r="M342" s="341" t="s">
        <v>67</v>
      </c>
      <c r="N342" s="343"/>
      <c r="O342" s="343"/>
      <c r="P342" s="343"/>
      <c r="Q342" s="343"/>
      <c r="R342" s="343"/>
      <c r="S342" s="343"/>
      <c r="T342" s="343"/>
      <c r="U342" s="343"/>
      <c r="V342" s="343"/>
      <c r="W342" s="340">
        <f>W339-W341</f>
        <v>-36</v>
      </c>
      <c r="X342" s="343"/>
      <c r="Y342" s="343"/>
      <c r="Z342" s="343"/>
      <c r="AA342" s="343"/>
      <c r="AB342" s="343"/>
      <c r="AC342" s="343"/>
      <c r="AD342" s="343"/>
      <c r="AE342" s="343"/>
      <c r="AF342" s="343"/>
      <c r="AG342" s="343"/>
      <c r="AH342" s="343"/>
      <c r="AI342" s="343"/>
      <c r="AJ342" s="353"/>
      <c r="AK342" s="354"/>
      <c r="AL342" s="343"/>
      <c r="AM342" s="355"/>
      <c r="AN342" s="355"/>
      <c r="AO342" s="355"/>
      <c r="AP342" s="355"/>
      <c r="AQ342" s="340"/>
      <c r="AR342" s="356"/>
      <c r="AS342" s="357"/>
      <c r="AT342" s="356"/>
    </row>
    <row r="343" spans="1:46" s="264" customFormat="1" ht="25.05" customHeight="1">
      <c r="A343" s="493">
        <f>A339+1</f>
        <v>83</v>
      </c>
      <c r="B343" s="308" t="s">
        <v>302</v>
      </c>
      <c r="C343" s="308" t="s">
        <v>303</v>
      </c>
      <c r="D343" s="420"/>
      <c r="E343" s="545">
        <v>30</v>
      </c>
      <c r="F343" s="420"/>
      <c r="G343" s="311"/>
      <c r="H343" s="310"/>
      <c r="I343" s="311" t="s">
        <v>300</v>
      </c>
      <c r="J343" s="308" t="s">
        <v>71</v>
      </c>
      <c r="K343" s="312">
        <f>K346</f>
        <v>4</v>
      </c>
      <c r="L343" s="308" t="s">
        <v>9</v>
      </c>
      <c r="M343" s="313" t="s">
        <v>61</v>
      </c>
      <c r="N343" s="364">
        <f>WORKDAY.INTL(O343,-INDEX(O$12:O$15,MATCH($L343,$L$12:$L$15,0)),1,IF(N$18="China",'China Holidays'!$A$2:$A$82,'Thai Holidays'!$A$2:$A$63))</f>
        <v>46204</v>
      </c>
      <c r="O343" s="350">
        <v>46209</v>
      </c>
      <c r="P343" s="350">
        <v>46216</v>
      </c>
      <c r="Q343" s="350">
        <v>46217</v>
      </c>
      <c r="R343" s="350">
        <v>46220</v>
      </c>
      <c r="S343" s="350">
        <f>R343+1</f>
        <v>46221</v>
      </c>
      <c r="T343" s="350">
        <v>46227</v>
      </c>
      <c r="U343" s="350">
        <v>46240</v>
      </c>
      <c r="V343" s="350">
        <v>46244</v>
      </c>
      <c r="W343" s="350">
        <v>46251</v>
      </c>
      <c r="X343" s="350">
        <v>46253</v>
      </c>
      <c r="Y343" s="350">
        <v>46260</v>
      </c>
      <c r="Z343" s="350">
        <v>46274</v>
      </c>
      <c r="AA343" s="350">
        <v>46288</v>
      </c>
      <c r="AB343" s="350">
        <v>46348</v>
      </c>
      <c r="AC343" s="350">
        <v>46348</v>
      </c>
      <c r="AD343" s="350">
        <v>46351</v>
      </c>
      <c r="AE343" s="350">
        <v>46447</v>
      </c>
      <c r="AF343" s="350">
        <v>46454</v>
      </c>
      <c r="AG343" s="350">
        <v>46461</v>
      </c>
      <c r="AH343" s="350">
        <v>46475</v>
      </c>
      <c r="AI343" s="350">
        <v>46491</v>
      </c>
      <c r="AJ343" s="316">
        <v>30</v>
      </c>
      <c r="AK343" s="351"/>
      <c r="AL343" s="350" t="str">
        <f>TEXT(AL345,"d-mmm-yy")</f>
        <v>20-Apr-27</v>
      </c>
      <c r="AM343" s="327"/>
      <c r="AN343" s="327"/>
      <c r="AO343" s="327"/>
      <c r="AP343" s="327"/>
      <c r="AQ343" s="311"/>
      <c r="AR343" s="329"/>
      <c r="AS343" s="330" t="s">
        <v>62</v>
      </c>
      <c r="AT343" s="331">
        <v>46568</v>
      </c>
    </row>
    <row r="344" spans="1:46" s="264" customFormat="1" ht="25.05" customHeight="1">
      <c r="A344" s="491"/>
      <c r="B344" s="308" t="str">
        <f>B343</f>
        <v>RFQ-SAF-083</v>
      </c>
      <c r="C344" s="308" t="str">
        <f>C343</f>
        <v xml:space="preserve">LIFESAVING EQUIPMENT AND SAFETY EQUIPMENT </v>
      </c>
      <c r="D344" s="368"/>
      <c r="E344" s="542"/>
      <c r="F344" s="361"/>
      <c r="G344" s="311"/>
      <c r="H344" s="310"/>
      <c r="I344" s="311" t="s">
        <v>300</v>
      </c>
      <c r="J344" s="308"/>
      <c r="K344" s="322"/>
      <c r="L344" s="308"/>
      <c r="M344" s="323" t="s">
        <v>63</v>
      </c>
      <c r="N344" s="367"/>
      <c r="O344" s="325">
        <v>46233</v>
      </c>
      <c r="P344" s="325">
        <v>46248</v>
      </c>
      <c r="Q344" s="325">
        <v>46248</v>
      </c>
      <c r="R344" s="325">
        <v>46248</v>
      </c>
      <c r="S344" s="325">
        <v>46248</v>
      </c>
      <c r="T344" s="325">
        <v>46255</v>
      </c>
      <c r="U344" s="325">
        <v>46266</v>
      </c>
      <c r="V344" s="325">
        <v>46280</v>
      </c>
      <c r="W344" s="325">
        <v>46287</v>
      </c>
      <c r="X344" s="325">
        <v>46289</v>
      </c>
      <c r="Y344" s="325">
        <v>46304</v>
      </c>
      <c r="Z344" s="325">
        <v>46318</v>
      </c>
      <c r="AA344" s="325">
        <v>46332</v>
      </c>
      <c r="AB344" s="325">
        <v>46392</v>
      </c>
      <c r="AC344" s="325">
        <v>46392</v>
      </c>
      <c r="AD344" s="325">
        <v>46395</v>
      </c>
      <c r="AE344" s="325">
        <v>46483</v>
      </c>
      <c r="AF344" s="325">
        <v>46490</v>
      </c>
      <c r="AG344" s="325">
        <v>46497</v>
      </c>
      <c r="AH344" s="325">
        <v>46511</v>
      </c>
      <c r="AI344" s="325">
        <v>46527</v>
      </c>
      <c r="AJ344" s="365"/>
      <c r="AK344" s="326"/>
      <c r="AL344" s="325">
        <f>W344+AK345</f>
        <v>46497</v>
      </c>
      <c r="AM344" s="327"/>
      <c r="AN344" s="327"/>
      <c r="AO344" s="327"/>
      <c r="AP344" s="327"/>
      <c r="AQ344" s="328">
        <f>AM345-AL344</f>
        <v>64</v>
      </c>
      <c r="AR344" s="329"/>
      <c r="AS344" s="330"/>
      <c r="AT344" s="331"/>
    </row>
    <row r="345" spans="1:46" s="264" customFormat="1" ht="25.05" customHeight="1">
      <c r="A345" s="491"/>
      <c r="B345" s="308" t="str">
        <f>B344</f>
        <v>RFQ-SAF-083</v>
      </c>
      <c r="C345" s="308" t="s">
        <v>303</v>
      </c>
      <c r="D345" s="359"/>
      <c r="E345" s="543"/>
      <c r="F345" s="359"/>
      <c r="G345" s="311">
        <v>34</v>
      </c>
      <c r="H345" s="310" t="s">
        <v>301</v>
      </c>
      <c r="I345" s="311" t="s">
        <v>300</v>
      </c>
      <c r="J345" s="308" t="s">
        <v>71</v>
      </c>
      <c r="K345" s="308">
        <f>K346</f>
        <v>4</v>
      </c>
      <c r="L345" s="308" t="s">
        <v>9</v>
      </c>
      <c r="M345" s="313" t="s">
        <v>65</v>
      </c>
      <c r="N345" s="350">
        <v>46195</v>
      </c>
      <c r="O345" s="350">
        <v>46233</v>
      </c>
      <c r="P345" s="350">
        <f>WORKDAY.INTL(O345,INDEX(P$8:P$11,MATCH($L345,$L$8:$L$11,0)),1,IF(P$18="China",'China Holidays'!$A$2:$A$82,'Thai Holidays'!$A$2:$A$63))</f>
        <v>46248</v>
      </c>
      <c r="Q345" s="350">
        <f>WORKDAY.INTL(P345,INDEX(Q$8:Q$11,MATCH($L345,$L$8:$L$11,0)),1,IF(Q$18="China",'China Holidays'!$A$2:$A$82,'Thai Holidays'!$A$2:$A$63))</f>
        <v>46248</v>
      </c>
      <c r="R345" s="350">
        <f>WORKDAY.INTL(Q345,INDEX(R$8:R$11,MATCH($L345,$L$8:$L$11,0)),1,IF(R$18="China",'China Holidays'!$A$2:$A$82,'Thai Holidays'!$A$2:$A$63))</f>
        <v>46248</v>
      </c>
      <c r="S345" s="350">
        <f>WORKDAY.INTL(R345,INDEX(S$8:S$11,MATCH($L345,$L$8:$L$11,0)),1,IF(S$18="China",'China Holidays'!$A$2:$A$82,'Thai Holidays'!$A$2:$A$63))</f>
        <v>46248</v>
      </c>
      <c r="T345" s="350">
        <f>WORKDAY.INTL(S345,INDEX(T$8:T$11,MATCH($L345,$L$8:$L$11,0)),1,IF(T$18="China",'China Holidays'!$A$2:$A$82,'Thai Holidays'!$A$2:$A$63))</f>
        <v>46255</v>
      </c>
      <c r="U345" s="350">
        <f>WORKDAY.INTL(T345,INDEX(U$8:U$11,MATCH($L345,$L$8:$L$11,0)),1,IF(U$18="China",'China Holidays'!$A$2:$A$82,'Thai Holidays'!$A$2:$A$63))</f>
        <v>46266</v>
      </c>
      <c r="V345" s="350">
        <f>WORKDAY.INTL(U345,INDEX(V$8:V$11,MATCH($L345,$L$8:$L$11,0)),1,IF(V$18="China",'China Holidays'!$A$2:$A$82,'Thai Holidays'!$A$2:$A$63))</f>
        <v>46280</v>
      </c>
      <c r="W345" s="350">
        <f>WORKDAY.INTL(V345,INDEX(W$8:W$11,MATCH($L345,$L$8:$L$11,0)),1,IF(W$18="China",'China Holidays'!$A$2:$A$82,'Thai Holidays'!$A$2:$A$63))</f>
        <v>46287</v>
      </c>
      <c r="X345" s="350">
        <f>WORKDAY.INTL(W345,INDEX(X$12:X$15,MATCH($L345,$L$12:$L$15,0)),1,IF(X$18="China",'China Holidays'!$A$2:$A$82,'Thai Holidays'!$A$2:$A$63))</f>
        <v>46289</v>
      </c>
      <c r="Y345" s="350">
        <f>WORKDAY.INTL(X345,INDEX(Y$12:Y$15,MATCH($L345,$L$12:$L$15,0)),1,IF(Y$18="China",'China Holidays'!$A$2:$A$82,'Thai Holidays'!$A$2:$A$63))</f>
        <v>46304</v>
      </c>
      <c r="Z345" s="350">
        <f>WORKDAY.INTL(Y345,INDEX(Z$12:Z$15,MATCH($L345,$L$12:$L$15,0)),1,IF(Z$18="China",'China Holidays'!$A$2:$A$82,'Thai Holidays'!$A$2:$A$63))</f>
        <v>46318</v>
      </c>
      <c r="AA345" s="350">
        <f>WORKDAY.INTL(Z345,INDEX(AA$12:AA$15,MATCH($L345,$L$12:$L$15,0)),1,IF(AA$18="China",'China Holidays'!$A$2:$A$82,'Thai Holidays'!$A$2:$A$63))</f>
        <v>46332</v>
      </c>
      <c r="AB345" s="350">
        <f>AA345+60</f>
        <v>46392</v>
      </c>
      <c r="AC345" s="350">
        <f>AB345</f>
        <v>46392</v>
      </c>
      <c r="AD345" s="350">
        <f>AC345+3</f>
        <v>46395</v>
      </c>
      <c r="AE345" s="350">
        <f>AF345-7</f>
        <v>46483</v>
      </c>
      <c r="AF345" s="350">
        <f>AG345-7</f>
        <v>46490</v>
      </c>
      <c r="AG345" s="350">
        <f>AL345</f>
        <v>46497</v>
      </c>
      <c r="AH345" s="350">
        <f>AL345+14</f>
        <v>46511</v>
      </c>
      <c r="AI345" s="350">
        <f>AL345+30</f>
        <v>46527</v>
      </c>
      <c r="AJ345" s="362"/>
      <c r="AK345" s="326">
        <f>AJ343*7</f>
        <v>210</v>
      </c>
      <c r="AL345" s="350">
        <f>W345+AK345</f>
        <v>46497</v>
      </c>
      <c r="AM345" s="327">
        <f>AT343-7</f>
        <v>46561</v>
      </c>
      <c r="AN345" s="327">
        <f>AO345-7</f>
        <v>46530</v>
      </c>
      <c r="AO345" s="327">
        <v>46537</v>
      </c>
      <c r="AP345" s="327"/>
      <c r="AQ345" s="311">
        <f>AM345-AL345</f>
        <v>64</v>
      </c>
      <c r="AR345" s="329"/>
      <c r="AS345" s="330" t="s">
        <v>66</v>
      </c>
      <c r="AT345" s="331">
        <v>46583</v>
      </c>
    </row>
    <row r="346" spans="1:46" s="264" customFormat="1" ht="25.05" customHeight="1">
      <c r="A346" s="492"/>
      <c r="B346" s="337" t="str">
        <f>B343</f>
        <v>RFQ-SAF-083</v>
      </c>
      <c r="C346" s="337" t="s">
        <v>303</v>
      </c>
      <c r="D346" s="363"/>
      <c r="E346" s="546"/>
      <c r="F346" s="363"/>
      <c r="G346" s="340"/>
      <c r="H346" s="339"/>
      <c r="I346" s="340" t="s">
        <v>300</v>
      </c>
      <c r="J346" s="337" t="s">
        <v>71</v>
      </c>
      <c r="K346" s="308">
        <v>4</v>
      </c>
      <c r="L346" s="337" t="s">
        <v>9</v>
      </c>
      <c r="M346" s="341" t="s">
        <v>67</v>
      </c>
      <c r="N346" s="343"/>
      <c r="O346" s="343"/>
      <c r="P346" s="343"/>
      <c r="Q346" s="343"/>
      <c r="R346" s="343"/>
      <c r="S346" s="343"/>
      <c r="T346" s="343"/>
      <c r="U346" s="343"/>
      <c r="V346" s="343"/>
      <c r="W346" s="340">
        <f>W343-W345</f>
        <v>-36</v>
      </c>
      <c r="X346" s="343"/>
      <c r="Y346" s="343"/>
      <c r="Z346" s="343"/>
      <c r="AA346" s="343"/>
      <c r="AB346" s="343"/>
      <c r="AC346" s="343"/>
      <c r="AD346" s="343"/>
      <c r="AE346" s="343"/>
      <c r="AF346" s="343"/>
      <c r="AG346" s="343"/>
      <c r="AH346" s="343"/>
      <c r="AI346" s="343"/>
      <c r="AJ346" s="353"/>
      <c r="AK346" s="354"/>
      <c r="AL346" s="343"/>
      <c r="AM346" s="355"/>
      <c r="AN346" s="355"/>
      <c r="AO346" s="355"/>
      <c r="AP346" s="355"/>
      <c r="AQ346" s="340"/>
      <c r="AR346" s="356"/>
      <c r="AS346" s="357"/>
      <c r="AT346" s="356"/>
    </row>
    <row r="347" spans="1:46" s="264" customFormat="1" ht="25.05" customHeight="1">
      <c r="A347" s="493">
        <f>A343+1</f>
        <v>84</v>
      </c>
      <c r="B347" s="308" t="s">
        <v>304</v>
      </c>
      <c r="C347" s="308" t="s">
        <v>305</v>
      </c>
      <c r="D347" s="420"/>
      <c r="E347" s="545">
        <v>4.28571428571429</v>
      </c>
      <c r="F347" s="420"/>
      <c r="G347" s="311"/>
      <c r="H347" s="310"/>
      <c r="I347" s="311" t="s">
        <v>300</v>
      </c>
      <c r="J347" s="308" t="s">
        <v>71</v>
      </c>
      <c r="K347" s="312">
        <f>K350</f>
        <v>4</v>
      </c>
      <c r="L347" s="308" t="s">
        <v>9</v>
      </c>
      <c r="M347" s="313" t="s">
        <v>61</v>
      </c>
      <c r="N347" s="364">
        <f>WORKDAY.INTL(O347,-INDEX(O$12:O$15,MATCH($L347,$L$12:$L$15,0)),1,IF(N$18="China",'China Holidays'!$A$2:$A$82,'Thai Holidays'!$A$2:$A$63))</f>
        <v>46204</v>
      </c>
      <c r="O347" s="350">
        <v>46209</v>
      </c>
      <c r="P347" s="350">
        <v>46216</v>
      </c>
      <c r="Q347" s="350">
        <v>46217</v>
      </c>
      <c r="R347" s="350">
        <v>46220</v>
      </c>
      <c r="S347" s="350">
        <f>R347+1</f>
        <v>46221</v>
      </c>
      <c r="T347" s="350">
        <v>46227</v>
      </c>
      <c r="U347" s="350">
        <v>46240</v>
      </c>
      <c r="V347" s="350">
        <v>46244</v>
      </c>
      <c r="W347" s="350">
        <v>46251</v>
      </c>
      <c r="X347" s="350">
        <v>46253</v>
      </c>
      <c r="Y347" s="350">
        <v>46260</v>
      </c>
      <c r="Z347" s="350">
        <v>46274</v>
      </c>
      <c r="AA347" s="350">
        <v>46288</v>
      </c>
      <c r="AB347" s="350">
        <v>46298</v>
      </c>
      <c r="AC347" s="350">
        <v>46298</v>
      </c>
      <c r="AD347" s="350">
        <v>46301</v>
      </c>
      <c r="AE347" s="350">
        <v>46267</v>
      </c>
      <c r="AF347" s="350">
        <v>46274</v>
      </c>
      <c r="AG347" s="350">
        <v>46281</v>
      </c>
      <c r="AH347" s="350">
        <v>46295</v>
      </c>
      <c r="AI347" s="350">
        <v>46311</v>
      </c>
      <c r="AJ347" s="316">
        <v>4.28571428571429</v>
      </c>
      <c r="AK347" s="351"/>
      <c r="AL347" s="350" t="str">
        <f>TEXT(AL349,"d-mmm-yy")</f>
        <v>22-Oct-26</v>
      </c>
      <c r="AM347" s="327"/>
      <c r="AN347" s="327"/>
      <c r="AO347" s="327"/>
      <c r="AP347" s="327"/>
      <c r="AQ347" s="311"/>
      <c r="AR347" s="329"/>
      <c r="AS347" s="330" t="s">
        <v>62</v>
      </c>
      <c r="AT347" s="331">
        <v>46568</v>
      </c>
    </row>
    <row r="348" spans="1:46" s="264" customFormat="1" ht="25.05" customHeight="1">
      <c r="A348" s="491"/>
      <c r="B348" s="308" t="str">
        <f>B347</f>
        <v>RFQ-SAF-084</v>
      </c>
      <c r="C348" s="308" t="str">
        <f>C347</f>
        <v>SAFETY SIGNS</v>
      </c>
      <c r="D348" s="368"/>
      <c r="E348" s="542"/>
      <c r="F348" s="361"/>
      <c r="G348" s="311"/>
      <c r="H348" s="310"/>
      <c r="I348" s="311" t="str">
        <f>I347</f>
        <v>Safety</v>
      </c>
      <c r="J348" s="308"/>
      <c r="K348" s="322"/>
      <c r="L348" s="308"/>
      <c r="M348" s="323" t="s">
        <v>63</v>
      </c>
      <c r="N348" s="367"/>
      <c r="O348" s="325">
        <v>46233</v>
      </c>
      <c r="P348" s="325">
        <v>46248</v>
      </c>
      <c r="Q348" s="325">
        <v>46248</v>
      </c>
      <c r="R348" s="325">
        <v>46248</v>
      </c>
      <c r="S348" s="325">
        <v>46248</v>
      </c>
      <c r="T348" s="325">
        <v>46255</v>
      </c>
      <c r="U348" s="325">
        <v>46266</v>
      </c>
      <c r="V348" s="325">
        <v>46280</v>
      </c>
      <c r="W348" s="325">
        <v>46287</v>
      </c>
      <c r="X348" s="325">
        <v>46289</v>
      </c>
      <c r="Y348" s="325">
        <v>46304</v>
      </c>
      <c r="Z348" s="325">
        <v>46318</v>
      </c>
      <c r="AA348" s="325">
        <v>46332</v>
      </c>
      <c r="AB348" s="325">
        <v>46342</v>
      </c>
      <c r="AC348" s="325">
        <v>46342</v>
      </c>
      <c r="AD348" s="325">
        <v>46345</v>
      </c>
      <c r="AE348" s="325">
        <v>46273</v>
      </c>
      <c r="AF348" s="325">
        <v>46280</v>
      </c>
      <c r="AG348" s="325">
        <v>46287</v>
      </c>
      <c r="AH348" s="325">
        <v>46301</v>
      </c>
      <c r="AI348" s="325">
        <v>46317</v>
      </c>
      <c r="AJ348" s="365"/>
      <c r="AK348" s="326"/>
      <c r="AL348" s="325">
        <f>W348+AK349</f>
        <v>46317</v>
      </c>
      <c r="AM348" s="327"/>
      <c r="AN348" s="327"/>
      <c r="AO348" s="327"/>
      <c r="AP348" s="327"/>
      <c r="AQ348" s="328">
        <f>AM349-AL348</f>
        <v>244</v>
      </c>
      <c r="AR348" s="329"/>
      <c r="AS348" s="330"/>
      <c r="AT348" s="331"/>
    </row>
    <row r="349" spans="1:46" s="264" customFormat="1" ht="25.05" customHeight="1">
      <c r="A349" s="491"/>
      <c r="B349" s="308" t="str">
        <f>B347</f>
        <v>RFQ-SAF-084</v>
      </c>
      <c r="C349" s="308" t="s">
        <v>305</v>
      </c>
      <c r="D349" s="359"/>
      <c r="E349" s="543"/>
      <c r="F349" s="359"/>
      <c r="G349" s="311">
        <v>169</v>
      </c>
      <c r="H349" s="310" t="s">
        <v>301</v>
      </c>
      <c r="I349" s="311" t="s">
        <v>300</v>
      </c>
      <c r="J349" s="308" t="s">
        <v>71</v>
      </c>
      <c r="K349" s="308">
        <f>K350</f>
        <v>4</v>
      </c>
      <c r="L349" s="308" t="s">
        <v>9</v>
      </c>
      <c r="M349" s="313" t="s">
        <v>65</v>
      </c>
      <c r="N349" s="350">
        <v>46195</v>
      </c>
      <c r="O349" s="350">
        <v>46233</v>
      </c>
      <c r="P349" s="350">
        <f>WORKDAY.INTL(O349,INDEX(P$8:P$11,MATCH($L349,$L$8:$L$11,0)),1,IF(P$18="China",'China Holidays'!$A$2:$A$82,'Thai Holidays'!$A$2:$A$63))</f>
        <v>46248</v>
      </c>
      <c r="Q349" s="350">
        <f>WORKDAY.INTL(P349,INDEX(Q$8:Q$11,MATCH($L349,$L$8:$L$11,0)),1,IF(Q$18="China",'China Holidays'!$A$2:$A$82,'Thai Holidays'!$A$2:$A$63))</f>
        <v>46248</v>
      </c>
      <c r="R349" s="350">
        <f>WORKDAY.INTL(Q349,INDEX(R$8:R$11,MATCH($L349,$L$8:$L$11,0)),1,IF(R$18="China",'China Holidays'!$A$2:$A$82,'Thai Holidays'!$A$2:$A$63))</f>
        <v>46248</v>
      </c>
      <c r="S349" s="350">
        <f>WORKDAY.INTL(R349,INDEX(S$8:S$11,MATCH($L349,$L$8:$L$11,0)),1,IF(S$18="China",'China Holidays'!$A$2:$A$82,'Thai Holidays'!$A$2:$A$63))</f>
        <v>46248</v>
      </c>
      <c r="T349" s="350">
        <f>WORKDAY.INTL(S349,INDEX(T$8:T$11,MATCH($L349,$L$8:$L$11,0)),1,IF(T$18="China",'China Holidays'!$A$2:$A$82,'Thai Holidays'!$A$2:$A$63))</f>
        <v>46255</v>
      </c>
      <c r="U349" s="350">
        <f>WORKDAY.INTL(T349,INDEX(U$8:U$11,MATCH($L349,$L$8:$L$11,0)),1,IF(U$18="China",'China Holidays'!$A$2:$A$82,'Thai Holidays'!$A$2:$A$63))</f>
        <v>46266</v>
      </c>
      <c r="V349" s="350">
        <f>WORKDAY.INTL(U349,INDEX(V$8:V$11,MATCH($L349,$L$8:$L$11,0)),1,IF(V$18="China",'China Holidays'!$A$2:$A$82,'Thai Holidays'!$A$2:$A$63))</f>
        <v>46280</v>
      </c>
      <c r="W349" s="350">
        <f>WORKDAY.INTL(V349,INDEX(W$8:W$11,MATCH($L349,$L$8:$L$11,0)),1,IF(W$18="China",'China Holidays'!$A$2:$A$82,'Thai Holidays'!$A$2:$A$63))</f>
        <v>46287</v>
      </c>
      <c r="X349" s="350">
        <f>WORKDAY.INTL(W349,INDEX(X$12:X$15,MATCH($L349,$L$12:$L$15,0)),1,IF(X$18="China",'China Holidays'!$A$2:$A$82,'Thai Holidays'!$A$2:$A$63))</f>
        <v>46289</v>
      </c>
      <c r="Y349" s="350">
        <f>WORKDAY.INTL(X349,INDEX(Y$12:Y$15,MATCH($L349,$L$12:$L$15,0)),1,IF(Y$18="China",'China Holidays'!$A$2:$A$82,'Thai Holidays'!$A$2:$A$63))</f>
        <v>46304</v>
      </c>
      <c r="Z349" s="350">
        <f>WORKDAY.INTL(Y349,INDEX(Z$12:Z$15,MATCH($L349,$L$12:$L$15,0)),1,IF(Z$18="China",'China Holidays'!$A$2:$A$82,'Thai Holidays'!$A$2:$A$63))</f>
        <v>46318</v>
      </c>
      <c r="AA349" s="350">
        <f>WORKDAY.INTL(Z349,INDEX(AA$12:AA$15,MATCH($L349,$L$12:$L$15,0)),1,IF(AA$18="China",'China Holidays'!$A$2:$A$82,'Thai Holidays'!$A$2:$A$63))</f>
        <v>46332</v>
      </c>
      <c r="AB349" s="350">
        <f>AA349+10</f>
        <v>46342</v>
      </c>
      <c r="AC349" s="350">
        <f>AB349</f>
        <v>46342</v>
      </c>
      <c r="AD349" s="350">
        <f>AC349+3</f>
        <v>46345</v>
      </c>
      <c r="AE349" s="350">
        <f>AF349-7</f>
        <v>46303</v>
      </c>
      <c r="AF349" s="350">
        <f>AG349-7</f>
        <v>46310</v>
      </c>
      <c r="AG349" s="350">
        <f>AL349</f>
        <v>46317</v>
      </c>
      <c r="AH349" s="350">
        <f>AL349+14</f>
        <v>46331</v>
      </c>
      <c r="AI349" s="350">
        <f>AL349+30</f>
        <v>46347</v>
      </c>
      <c r="AJ349" s="362"/>
      <c r="AK349" s="326">
        <f>AJ347*7</f>
        <v>30.000000000000028</v>
      </c>
      <c r="AL349" s="350">
        <f>W349+AK349</f>
        <v>46317</v>
      </c>
      <c r="AM349" s="327">
        <f>AT347-7</f>
        <v>46561</v>
      </c>
      <c r="AN349" s="327">
        <f>AO349-7</f>
        <v>46530</v>
      </c>
      <c r="AO349" s="327">
        <v>46537</v>
      </c>
      <c r="AP349" s="327"/>
      <c r="AQ349" s="311">
        <f>AM349-AL349</f>
        <v>244</v>
      </c>
      <c r="AR349" s="329"/>
      <c r="AS349" s="330" t="s">
        <v>66</v>
      </c>
      <c r="AT349" s="331">
        <v>46583</v>
      </c>
    </row>
    <row r="350" spans="1:46" s="264" customFormat="1" ht="25.05" customHeight="1">
      <c r="A350" s="492"/>
      <c r="B350" s="337" t="str">
        <f>B347</f>
        <v>RFQ-SAF-084</v>
      </c>
      <c r="C350" s="337" t="s">
        <v>305</v>
      </c>
      <c r="D350" s="363"/>
      <c r="E350" s="546"/>
      <c r="F350" s="363"/>
      <c r="G350" s="340"/>
      <c r="H350" s="339"/>
      <c r="I350" s="340" t="s">
        <v>300</v>
      </c>
      <c r="J350" s="337" t="s">
        <v>71</v>
      </c>
      <c r="K350" s="308">
        <v>4</v>
      </c>
      <c r="L350" s="337" t="s">
        <v>9</v>
      </c>
      <c r="M350" s="341" t="s">
        <v>67</v>
      </c>
      <c r="N350" s="343"/>
      <c r="O350" s="343"/>
      <c r="P350" s="343"/>
      <c r="Q350" s="343"/>
      <c r="R350" s="343"/>
      <c r="S350" s="343"/>
      <c r="T350" s="343"/>
      <c r="U350" s="343"/>
      <c r="V350" s="343"/>
      <c r="W350" s="340">
        <f>W347-W349</f>
        <v>-36</v>
      </c>
      <c r="X350" s="343"/>
      <c r="Y350" s="343"/>
      <c r="Z350" s="343"/>
      <c r="AA350" s="343"/>
      <c r="AB350" s="343"/>
      <c r="AC350" s="343"/>
      <c r="AD350" s="343"/>
      <c r="AE350" s="343"/>
      <c r="AF350" s="343"/>
      <c r="AG350" s="343"/>
      <c r="AH350" s="343"/>
      <c r="AI350" s="343"/>
      <c r="AJ350" s="353"/>
      <c r="AK350" s="354"/>
      <c r="AL350" s="343"/>
      <c r="AM350" s="355"/>
      <c r="AN350" s="355"/>
      <c r="AO350" s="355"/>
      <c r="AP350" s="355"/>
      <c r="AQ350" s="340"/>
      <c r="AR350" s="356"/>
      <c r="AS350" s="357"/>
      <c r="AT350" s="356"/>
    </row>
    <row r="351" spans="1:46" s="264" customFormat="1" ht="25.05" customHeight="1">
      <c r="A351" s="493">
        <f>A347+1</f>
        <v>85</v>
      </c>
      <c r="B351" s="308" t="s">
        <v>306</v>
      </c>
      <c r="C351" s="308" t="s">
        <v>307</v>
      </c>
      <c r="D351" s="420"/>
      <c r="E351" s="545">
        <v>12.8571428571429</v>
      </c>
      <c r="F351" s="420"/>
      <c r="G351" s="311"/>
      <c r="H351" s="310"/>
      <c r="I351" s="311" t="s">
        <v>308</v>
      </c>
      <c r="J351" s="308" t="s">
        <v>71</v>
      </c>
      <c r="K351" s="312">
        <f>K354</f>
        <v>3</v>
      </c>
      <c r="L351" s="308" t="s">
        <v>9</v>
      </c>
      <c r="M351" s="313" t="s">
        <v>61</v>
      </c>
      <c r="N351" s="364">
        <f>WORKDAY.INTL(O351,-INDEX(O$12:O$15,MATCH($L351,$L$12:$L$15,0)),1,IF(N$18="China",'China Holidays'!$A$2:$A$82,'Thai Holidays'!$A$2:$A$63))</f>
        <v>46197</v>
      </c>
      <c r="O351" s="350">
        <v>46202</v>
      </c>
      <c r="P351" s="350">
        <v>46209</v>
      </c>
      <c r="Q351" s="350">
        <v>46210</v>
      </c>
      <c r="R351" s="350">
        <v>46213</v>
      </c>
      <c r="S351" s="350">
        <f>R351+1</f>
        <v>46214</v>
      </c>
      <c r="T351" s="350">
        <v>46220</v>
      </c>
      <c r="U351" s="350">
        <v>46233</v>
      </c>
      <c r="V351" s="350">
        <v>46237</v>
      </c>
      <c r="W351" s="350">
        <v>46244</v>
      </c>
      <c r="X351" s="350">
        <v>46246</v>
      </c>
      <c r="Y351" s="350">
        <v>46253</v>
      </c>
      <c r="Z351" s="350">
        <v>46267</v>
      </c>
      <c r="AA351" s="350">
        <v>46281</v>
      </c>
      <c r="AB351" s="350">
        <v>46311</v>
      </c>
      <c r="AC351" s="350">
        <v>46311</v>
      </c>
      <c r="AD351" s="350">
        <v>46313</v>
      </c>
      <c r="AE351" s="350">
        <v>46320</v>
      </c>
      <c r="AF351" s="350">
        <v>46327</v>
      </c>
      <c r="AG351" s="350">
        <v>46334</v>
      </c>
      <c r="AH351" s="350">
        <v>46348</v>
      </c>
      <c r="AI351" s="350">
        <v>46364</v>
      </c>
      <c r="AJ351" s="316">
        <v>12.8571428571429</v>
      </c>
      <c r="AK351" s="351"/>
      <c r="AL351" s="350" t="str">
        <f>TEXT(AL353,"d-mmm-yy")</f>
        <v>8-Nov-26</v>
      </c>
      <c r="AM351" s="327"/>
      <c r="AN351" s="327"/>
      <c r="AO351" s="327"/>
      <c r="AP351" s="327"/>
      <c r="AQ351" s="311"/>
      <c r="AR351" s="329"/>
      <c r="AS351" s="330" t="s">
        <v>62</v>
      </c>
      <c r="AT351" s="331">
        <v>46367</v>
      </c>
    </row>
    <row r="352" spans="1:46" s="264" customFormat="1" ht="25.05" customHeight="1">
      <c r="A352" s="491"/>
      <c r="B352" s="308" t="str">
        <f>B351</f>
        <v>RFQ-PLR-085</v>
      </c>
      <c r="C352" s="308" t="str">
        <f>C351</f>
        <v>PIPELINE FLANGES</v>
      </c>
      <c r="D352" s="368"/>
      <c r="E352" s="542"/>
      <c r="F352" s="361"/>
      <c r="G352" s="311"/>
      <c r="H352" s="310"/>
      <c r="I352" s="311" t="str">
        <f>I351</f>
        <v>Piping &amp; Riser</v>
      </c>
      <c r="J352" s="308"/>
      <c r="K352" s="322"/>
      <c r="L352" s="308"/>
      <c r="M352" s="323" t="s">
        <v>63</v>
      </c>
      <c r="N352" s="367"/>
      <c r="O352" s="325">
        <v>46202</v>
      </c>
      <c r="P352" s="325">
        <v>46209</v>
      </c>
      <c r="Q352" s="325">
        <v>46210</v>
      </c>
      <c r="R352" s="325">
        <v>46213</v>
      </c>
      <c r="S352" s="325">
        <v>46214</v>
      </c>
      <c r="T352" s="325">
        <v>46220</v>
      </c>
      <c r="U352" s="325">
        <v>46233</v>
      </c>
      <c r="V352" s="325">
        <v>46237</v>
      </c>
      <c r="W352" s="325">
        <v>46244</v>
      </c>
      <c r="X352" s="325">
        <v>46246</v>
      </c>
      <c r="Y352" s="325">
        <v>46253</v>
      </c>
      <c r="Z352" s="325">
        <v>46267</v>
      </c>
      <c r="AA352" s="325">
        <v>46281</v>
      </c>
      <c r="AB352" s="325">
        <v>46311</v>
      </c>
      <c r="AC352" s="325">
        <v>46311</v>
      </c>
      <c r="AD352" s="325">
        <v>46313</v>
      </c>
      <c r="AE352" s="325">
        <v>46320</v>
      </c>
      <c r="AF352" s="325">
        <v>46327</v>
      </c>
      <c r="AG352" s="325">
        <v>46334</v>
      </c>
      <c r="AH352" s="325">
        <v>46348</v>
      </c>
      <c r="AI352" s="325">
        <v>46364</v>
      </c>
      <c r="AJ352" s="365"/>
      <c r="AK352" s="326"/>
      <c r="AL352" s="325">
        <f>W352+AK353</f>
        <v>46334</v>
      </c>
      <c r="AM352" s="327"/>
      <c r="AN352" s="327"/>
      <c r="AO352" s="327"/>
      <c r="AP352" s="327"/>
      <c r="AQ352" s="328">
        <f>AM353-AL352</f>
        <v>26</v>
      </c>
      <c r="AR352" s="329"/>
      <c r="AS352" s="330"/>
      <c r="AT352" s="331"/>
    </row>
    <row r="353" spans="1:46" s="264" customFormat="1" ht="25.05" customHeight="1">
      <c r="A353" s="491"/>
      <c r="B353" s="308" t="str">
        <f>B351</f>
        <v>RFQ-PLR-085</v>
      </c>
      <c r="C353" s="308" t="s">
        <v>307</v>
      </c>
      <c r="D353" s="359"/>
      <c r="E353" s="543"/>
      <c r="F353" s="359"/>
      <c r="G353" s="311">
        <v>26</v>
      </c>
      <c r="H353" s="310" t="s">
        <v>309</v>
      </c>
      <c r="I353" s="311" t="s">
        <v>308</v>
      </c>
      <c r="J353" s="308" t="s">
        <v>71</v>
      </c>
      <c r="K353" s="308">
        <f>K354</f>
        <v>3</v>
      </c>
      <c r="L353" s="308" t="s">
        <v>9</v>
      </c>
      <c r="M353" s="313" t="s">
        <v>65</v>
      </c>
      <c r="N353" s="350">
        <v>46188</v>
      </c>
      <c r="O353" s="350">
        <v>46189</v>
      </c>
      <c r="P353" s="350">
        <f>WORKDAY.INTL(O353,INDEX(P$8:P$11,MATCH($L353,$L$8:$L$11,0)),1,IF(P$18="China",'China Holidays'!$A$2:$A$82,'Thai Holidays'!$A$2:$A$63))</f>
        <v>46203</v>
      </c>
      <c r="Q353" s="350">
        <f>WORKDAY.INTL(P353,INDEX(Q$8:Q$11,MATCH($L353,$L$8:$L$11,0)),1,IF(Q$18="China",'China Holidays'!$A$2:$A$82,'Thai Holidays'!$A$2:$A$63))</f>
        <v>46203</v>
      </c>
      <c r="R353" s="350">
        <f>WORKDAY.INTL(Q353,INDEX(R$8:R$11,MATCH($L353,$L$8:$L$11,0)),1,IF(R$18="China",'China Holidays'!$A$2:$A$82,'Thai Holidays'!$A$2:$A$63))</f>
        <v>46203</v>
      </c>
      <c r="S353" s="350">
        <f>WORKDAY.INTL(R353,INDEX(S$8:S$11,MATCH($L353,$L$8:$L$11,0)),1,IF(S$18="China",'China Holidays'!$A$2:$A$82,'Thai Holidays'!$A$2:$A$63))</f>
        <v>46203</v>
      </c>
      <c r="T353" s="350">
        <f>WORKDAY.INTL(S353,INDEX(T$8:T$11,MATCH($L353,$L$8:$L$11,0)),1,IF(T$18="China",'China Holidays'!$A$2:$A$82,'Thai Holidays'!$A$2:$A$63))</f>
        <v>46210</v>
      </c>
      <c r="U353" s="350">
        <f>WORKDAY.INTL(T353,INDEX(U$8:U$11,MATCH($L353,$L$8:$L$11,0)),1,IF(U$18="China",'China Holidays'!$A$2:$A$82,'Thai Holidays'!$A$2:$A$63))</f>
        <v>46219</v>
      </c>
      <c r="V353" s="350">
        <f>WORKDAY.INTL(U353,INDEX(V$8:V$11,MATCH($L353,$L$8:$L$11,0)),1,IF(V$18="China",'China Holidays'!$A$2:$A$82,'Thai Holidays'!$A$2:$A$63))</f>
        <v>46237</v>
      </c>
      <c r="W353" s="350">
        <f>WORKDAY.INTL(V353,INDEX(W$8:W$11,MATCH($L353,$L$8:$L$11,0)),1,IF(W$18="China",'China Holidays'!$A$2:$A$82,'Thai Holidays'!$A$2:$A$63))</f>
        <v>46244</v>
      </c>
      <c r="X353" s="350">
        <f>WORKDAY.INTL(W353,INDEX(X$12:X$15,MATCH($L353,$L$12:$L$15,0)),1,IF(X$18="China",'China Holidays'!$A$2:$A$82,'Thai Holidays'!$A$2:$A$63))</f>
        <v>46246</v>
      </c>
      <c r="Y353" s="350">
        <f>WORKDAY.INTL(X353,INDEX(Y$12:Y$15,MATCH($L353,$L$12:$L$15,0)),1,IF(Y$18="China",'China Holidays'!$A$2:$A$82,'Thai Holidays'!$A$2:$A$63))</f>
        <v>46253</v>
      </c>
      <c r="Z353" s="350">
        <f>WORKDAY.INTL(Y353,INDEX(Z$12:Z$15,MATCH($L353,$L$12:$L$15,0)),1,IF(Z$18="China",'China Holidays'!$A$2:$A$82,'Thai Holidays'!$A$2:$A$63))</f>
        <v>46267</v>
      </c>
      <c r="AA353" s="350">
        <f>WORKDAY.INTL(Z353,INDEX(AA$12:AA$15,MATCH($L353,$L$12:$L$15,0)),1,IF(AA$18="China",'China Holidays'!$A$2:$A$82,'Thai Holidays'!$A$2:$A$63))</f>
        <v>46281</v>
      </c>
      <c r="AB353" s="350">
        <f>AA353+30</f>
        <v>46311</v>
      </c>
      <c r="AC353" s="350">
        <f>AB353</f>
        <v>46311</v>
      </c>
      <c r="AD353" s="350">
        <f>AC353+2</f>
        <v>46313</v>
      </c>
      <c r="AE353" s="350">
        <f>AF353-7</f>
        <v>46320</v>
      </c>
      <c r="AF353" s="350">
        <f>AG353-7</f>
        <v>46327</v>
      </c>
      <c r="AG353" s="350">
        <f>AL353</f>
        <v>46334</v>
      </c>
      <c r="AH353" s="350">
        <f>AL353+14</f>
        <v>46348</v>
      </c>
      <c r="AI353" s="350">
        <f>AL353+30</f>
        <v>46364</v>
      </c>
      <c r="AJ353" s="362"/>
      <c r="AK353" s="326">
        <f>AJ351*7</f>
        <v>90.000000000000298</v>
      </c>
      <c r="AL353" s="350">
        <f>W353+AK353</f>
        <v>46334</v>
      </c>
      <c r="AM353" s="327">
        <f>AT351-7</f>
        <v>46360</v>
      </c>
      <c r="AN353" s="327">
        <f>AO353-7</f>
        <v>46379</v>
      </c>
      <c r="AO353" s="327">
        <v>46386</v>
      </c>
      <c r="AP353" s="327"/>
      <c r="AQ353" s="311">
        <f>AM353-AL353</f>
        <v>26</v>
      </c>
      <c r="AR353" s="329"/>
      <c r="AS353" s="330" t="s">
        <v>66</v>
      </c>
      <c r="AT353" s="331">
        <v>46367</v>
      </c>
    </row>
    <row r="354" spans="1:46" s="264" customFormat="1" ht="25.05" customHeight="1">
      <c r="A354" s="492"/>
      <c r="B354" s="337" t="str">
        <f>B351</f>
        <v>RFQ-PLR-085</v>
      </c>
      <c r="C354" s="337" t="s">
        <v>307</v>
      </c>
      <c r="D354" s="363"/>
      <c r="E354" s="546"/>
      <c r="F354" s="363"/>
      <c r="G354" s="340"/>
      <c r="H354" s="339"/>
      <c r="I354" s="340" t="s">
        <v>308</v>
      </c>
      <c r="J354" s="337" t="s">
        <v>71</v>
      </c>
      <c r="K354" s="308">
        <v>3</v>
      </c>
      <c r="L354" s="337" t="s">
        <v>9</v>
      </c>
      <c r="M354" s="341" t="s">
        <v>67</v>
      </c>
      <c r="N354" s="343"/>
      <c r="O354" s="343"/>
      <c r="P354" s="343"/>
      <c r="Q354" s="343"/>
      <c r="R354" s="343"/>
      <c r="S354" s="343"/>
      <c r="T354" s="343"/>
      <c r="U354" s="343"/>
      <c r="V354" s="343"/>
      <c r="W354" s="340">
        <f>W351-W353</f>
        <v>0</v>
      </c>
      <c r="X354" s="343"/>
      <c r="Y354" s="343"/>
      <c r="Z354" s="343"/>
      <c r="AA354" s="343"/>
      <c r="AB354" s="343"/>
      <c r="AC354" s="343"/>
      <c r="AD354" s="343"/>
      <c r="AE354" s="343"/>
      <c r="AF354" s="343"/>
      <c r="AG354" s="343"/>
      <c r="AH354" s="343"/>
      <c r="AI354" s="343"/>
      <c r="AJ354" s="353"/>
      <c r="AK354" s="354"/>
      <c r="AL354" s="343"/>
      <c r="AM354" s="355"/>
      <c r="AN354" s="355"/>
      <c r="AO354" s="355"/>
      <c r="AP354" s="355"/>
      <c r="AQ354" s="340"/>
      <c r="AR354" s="356"/>
      <c r="AS354" s="357"/>
      <c r="AT354" s="356"/>
    </row>
    <row r="355" spans="1:46" s="264" customFormat="1" ht="25.05" customHeight="1">
      <c r="A355" s="493">
        <f>A351+1</f>
        <v>86</v>
      </c>
      <c r="B355" s="308" t="s">
        <v>310</v>
      </c>
      <c r="C355" s="308" t="s">
        <v>311</v>
      </c>
      <c r="D355" s="420"/>
      <c r="E355" s="545">
        <v>12.8571428571429</v>
      </c>
      <c r="F355" s="420"/>
      <c r="G355" s="311"/>
      <c r="H355" s="310"/>
      <c r="I355" s="311" t="s">
        <v>308</v>
      </c>
      <c r="J355" s="308" t="s">
        <v>60</v>
      </c>
      <c r="K355" s="312">
        <f>K358</f>
        <v>2</v>
      </c>
      <c r="L355" s="308" t="s">
        <v>9</v>
      </c>
      <c r="M355" s="313" t="s">
        <v>61</v>
      </c>
      <c r="N355" s="364">
        <f>WORKDAY.INTL(O355,-INDEX(O$12:O$15,MATCH($L355,$L$12:$L$15,0)),1,IF(N$18="China",'China Holidays'!$A$2:$A$82,'Thai Holidays'!$A$2:$A$63))</f>
        <v>46211</v>
      </c>
      <c r="O355" s="350">
        <v>46216</v>
      </c>
      <c r="P355" s="350">
        <v>46223</v>
      </c>
      <c r="Q355" s="350">
        <v>46224</v>
      </c>
      <c r="R355" s="350">
        <v>46227</v>
      </c>
      <c r="S355" s="350">
        <f>R355+1</f>
        <v>46228</v>
      </c>
      <c r="T355" s="350">
        <v>46234</v>
      </c>
      <c r="U355" s="350">
        <v>46245</v>
      </c>
      <c r="V355" s="350">
        <v>46248</v>
      </c>
      <c r="W355" s="350">
        <v>46255</v>
      </c>
      <c r="X355" s="350">
        <v>46259</v>
      </c>
      <c r="Y355" s="350">
        <v>46266</v>
      </c>
      <c r="Z355" s="350">
        <v>46280</v>
      </c>
      <c r="AA355" s="350">
        <v>46294</v>
      </c>
      <c r="AB355" s="350">
        <v>46324</v>
      </c>
      <c r="AC355" s="350">
        <v>46324</v>
      </c>
      <c r="AD355" s="350">
        <v>46326</v>
      </c>
      <c r="AE355" s="350">
        <v>46331</v>
      </c>
      <c r="AF355" s="350">
        <v>46338</v>
      </c>
      <c r="AG355" s="350">
        <v>46345</v>
      </c>
      <c r="AH355" s="350">
        <v>46359</v>
      </c>
      <c r="AI355" s="350">
        <v>46375</v>
      </c>
      <c r="AJ355" s="316">
        <v>12.8571428571429</v>
      </c>
      <c r="AK355" s="351"/>
      <c r="AL355" s="350" t="str">
        <f>TEXT(AL357,"d-mmm-yy")</f>
        <v>19-Nov-26</v>
      </c>
      <c r="AM355" s="327"/>
      <c r="AN355" s="327"/>
      <c r="AO355" s="327"/>
      <c r="AP355" s="327"/>
      <c r="AQ355" s="311"/>
      <c r="AR355" s="329"/>
      <c r="AS355" s="330" t="s">
        <v>62</v>
      </c>
      <c r="AT355" s="331">
        <v>46367</v>
      </c>
    </row>
    <row r="356" spans="1:46" s="264" customFormat="1" ht="24" customHeight="1">
      <c r="A356" s="491"/>
      <c r="B356" s="308" t="str">
        <f>B355</f>
        <v>RFQ-PLR-086</v>
      </c>
      <c r="C356" s="308" t="str">
        <f>C355</f>
        <v>BARRED TEE</v>
      </c>
      <c r="D356" s="368"/>
      <c r="E356" s="542"/>
      <c r="F356" s="361"/>
      <c r="G356" s="311"/>
      <c r="H356" s="310"/>
      <c r="I356" s="311" t="str">
        <f>I355</f>
        <v>Piping &amp; Riser</v>
      </c>
      <c r="J356" s="308"/>
      <c r="K356" s="322"/>
      <c r="L356" s="308"/>
      <c r="M356" s="323" t="s">
        <v>63</v>
      </c>
      <c r="N356" s="367"/>
      <c r="O356" s="325">
        <v>46216</v>
      </c>
      <c r="P356" s="325">
        <v>46223</v>
      </c>
      <c r="Q356" s="325">
        <v>46224</v>
      </c>
      <c r="R356" s="325">
        <v>46227</v>
      </c>
      <c r="S356" s="325">
        <v>46228</v>
      </c>
      <c r="T356" s="325">
        <v>46234</v>
      </c>
      <c r="U356" s="325">
        <v>46245</v>
      </c>
      <c r="V356" s="325">
        <v>46248</v>
      </c>
      <c r="W356" s="325">
        <v>46255</v>
      </c>
      <c r="X356" s="325">
        <v>46259</v>
      </c>
      <c r="Y356" s="325">
        <v>46266</v>
      </c>
      <c r="Z356" s="325">
        <v>46280</v>
      </c>
      <c r="AA356" s="325">
        <v>46294</v>
      </c>
      <c r="AB356" s="325">
        <v>46324</v>
      </c>
      <c r="AC356" s="325">
        <v>46324</v>
      </c>
      <c r="AD356" s="325">
        <v>46326</v>
      </c>
      <c r="AE356" s="325">
        <v>46331</v>
      </c>
      <c r="AF356" s="325">
        <v>46338</v>
      </c>
      <c r="AG356" s="325">
        <v>46345</v>
      </c>
      <c r="AH356" s="325">
        <v>46359</v>
      </c>
      <c r="AI356" s="325">
        <v>46375</v>
      </c>
      <c r="AJ356" s="365"/>
      <c r="AK356" s="326"/>
      <c r="AL356" s="325">
        <f>W356+AK357</f>
        <v>46345</v>
      </c>
      <c r="AM356" s="327"/>
      <c r="AN356" s="327"/>
      <c r="AO356" s="327"/>
      <c r="AP356" s="327"/>
      <c r="AQ356" s="328">
        <f>AM357-AL356</f>
        <v>15</v>
      </c>
      <c r="AR356" s="329"/>
      <c r="AS356" s="330"/>
      <c r="AT356" s="331"/>
    </row>
    <row r="357" spans="1:46" s="264" customFormat="1" ht="25.05" customHeight="1">
      <c r="A357" s="491"/>
      <c r="B357" s="308" t="str">
        <f>B355</f>
        <v>RFQ-PLR-086</v>
      </c>
      <c r="C357" s="308" t="s">
        <v>311</v>
      </c>
      <c r="D357" s="359"/>
      <c r="E357" s="543"/>
      <c r="F357" s="359"/>
      <c r="G357" s="311">
        <v>15</v>
      </c>
      <c r="H357" s="310" t="s">
        <v>309</v>
      </c>
      <c r="I357" s="311" t="s">
        <v>308</v>
      </c>
      <c r="J357" s="308" t="s">
        <v>60</v>
      </c>
      <c r="K357" s="308">
        <f>K358</f>
        <v>2</v>
      </c>
      <c r="L357" s="308" t="s">
        <v>9</v>
      </c>
      <c r="M357" s="313" t="s">
        <v>65</v>
      </c>
      <c r="N357" s="350">
        <v>46198</v>
      </c>
      <c r="O357" s="350">
        <v>46201</v>
      </c>
      <c r="P357" s="350">
        <f>WORKDAY.INTL(O357,INDEX(P$8:P$11,MATCH($L357,$L$8:$L$11,0)),1,IF(P$18="China",'China Holidays'!$A$2:$A$82,'Thai Holidays'!$A$2:$A$63))</f>
        <v>46213</v>
      </c>
      <c r="Q357" s="350">
        <f>WORKDAY.INTL(P357,INDEX(Q$8:Q$11,MATCH($L357,$L$8:$L$11,0)),1,IF(Q$18="China",'China Holidays'!$A$2:$A$82,'Thai Holidays'!$A$2:$A$63))</f>
        <v>46213</v>
      </c>
      <c r="R357" s="350">
        <f>WORKDAY.INTL(Q357,INDEX(R$8:R$11,MATCH($L357,$L$8:$L$11,0)),1,IF(R$18="China",'China Holidays'!$A$2:$A$82,'Thai Holidays'!$A$2:$A$63))</f>
        <v>46213</v>
      </c>
      <c r="S357" s="350">
        <f>WORKDAY.INTL(R357,INDEX(S$8:S$11,MATCH($L357,$L$8:$L$11,0)),1,IF(S$18="China",'China Holidays'!$A$2:$A$82,'Thai Holidays'!$A$2:$A$63))</f>
        <v>46213</v>
      </c>
      <c r="T357" s="350">
        <f>WORKDAY.INTL(S357,INDEX(T$8:T$11,MATCH($L357,$L$8:$L$11,0)),1,IF(T$18="China",'China Holidays'!$A$2:$A$82,'Thai Holidays'!$A$2:$A$63))</f>
        <v>46220</v>
      </c>
      <c r="U357" s="350">
        <f>WORKDAY.INTL(T357,INDEX(U$8:U$11,MATCH($L357,$L$8:$L$11,0)),1,IF(U$18="China",'China Holidays'!$A$2:$A$82,'Thai Holidays'!$A$2:$A$63))</f>
        <v>46233</v>
      </c>
      <c r="V357" s="350">
        <f>WORKDAY.INTL(U357,INDEX(V$8:V$11,MATCH($L357,$L$8:$L$11,0)),1,IF(V$18="China",'China Holidays'!$A$2:$A$82,'Thai Holidays'!$A$2:$A$63))</f>
        <v>46248</v>
      </c>
      <c r="W357" s="350">
        <f>WORKDAY.INTL(V357,INDEX(W$8:W$11,MATCH($L357,$L$8:$L$11,0)),1,IF(W$18="China",'China Holidays'!$A$2:$A$82,'Thai Holidays'!$A$2:$A$63))</f>
        <v>46255</v>
      </c>
      <c r="X357" s="350">
        <f>WORKDAY.INTL(W357,INDEX(X$12:X$15,MATCH($L357,$L$12:$L$15,0)),1,IF(X$18="China",'China Holidays'!$A$2:$A$82,'Thai Holidays'!$A$2:$A$63))</f>
        <v>46259</v>
      </c>
      <c r="Y357" s="350">
        <f>WORKDAY.INTL(X357,INDEX(Y$12:Y$15,MATCH($L357,$L$12:$L$15,0)),1,IF(Y$18="China",'China Holidays'!$A$2:$A$82,'Thai Holidays'!$A$2:$A$63))</f>
        <v>46266</v>
      </c>
      <c r="Z357" s="350">
        <f>WORKDAY.INTL(Y357,INDEX(Z$12:Z$15,MATCH($L357,$L$12:$L$15,0)),1,IF(Z$18="China",'China Holidays'!$A$2:$A$82,'Thai Holidays'!$A$2:$A$63))</f>
        <v>46280</v>
      </c>
      <c r="AA357" s="350">
        <f>WORKDAY.INTL(Z357,INDEX(AA$12:AA$15,MATCH($L357,$L$12:$L$15,0)),1,IF(AA$18="China",'China Holidays'!$A$2:$A$82,'Thai Holidays'!$A$2:$A$63))</f>
        <v>46294</v>
      </c>
      <c r="AB357" s="350">
        <f>AA357+30</f>
        <v>46324</v>
      </c>
      <c r="AC357" s="350">
        <f>AB357</f>
        <v>46324</v>
      </c>
      <c r="AD357" s="350">
        <f>AC357+2</f>
        <v>46326</v>
      </c>
      <c r="AE357" s="350">
        <f>AF357-7</f>
        <v>46331</v>
      </c>
      <c r="AF357" s="350">
        <f>AG357-7</f>
        <v>46338</v>
      </c>
      <c r="AG357" s="350">
        <f>AL357</f>
        <v>46345</v>
      </c>
      <c r="AH357" s="350">
        <f>AL357+14</f>
        <v>46359</v>
      </c>
      <c r="AI357" s="350">
        <f>AL357+30</f>
        <v>46375</v>
      </c>
      <c r="AJ357" s="362"/>
      <c r="AK357" s="326">
        <f>AJ355*7</f>
        <v>90.000000000000298</v>
      </c>
      <c r="AL357" s="350">
        <f>W357+AK357</f>
        <v>46345</v>
      </c>
      <c r="AM357" s="327">
        <f>AT355-7</f>
        <v>46360</v>
      </c>
      <c r="AN357" s="327">
        <f>AO357-7</f>
        <v>46379</v>
      </c>
      <c r="AO357" s="327">
        <v>46386</v>
      </c>
      <c r="AP357" s="327"/>
      <c r="AQ357" s="311">
        <f>AM357-AL357</f>
        <v>15</v>
      </c>
      <c r="AR357" s="329"/>
      <c r="AS357" s="330" t="s">
        <v>66</v>
      </c>
      <c r="AT357" s="331">
        <v>46367</v>
      </c>
    </row>
    <row r="358" spans="1:46" s="264" customFormat="1" ht="25.05" customHeight="1">
      <c r="A358" s="492"/>
      <c r="B358" s="337" t="str">
        <f>B355</f>
        <v>RFQ-PLR-086</v>
      </c>
      <c r="C358" s="337" t="s">
        <v>311</v>
      </c>
      <c r="D358" s="363"/>
      <c r="E358" s="546"/>
      <c r="F358" s="363"/>
      <c r="G358" s="340"/>
      <c r="H358" s="339"/>
      <c r="I358" s="340" t="s">
        <v>308</v>
      </c>
      <c r="J358" s="337" t="s">
        <v>60</v>
      </c>
      <c r="K358" s="308">
        <v>2</v>
      </c>
      <c r="L358" s="337" t="s">
        <v>9</v>
      </c>
      <c r="M358" s="341" t="s">
        <v>67</v>
      </c>
      <c r="N358" s="343"/>
      <c r="O358" s="343"/>
      <c r="P358" s="343"/>
      <c r="Q358" s="343"/>
      <c r="R358" s="343"/>
      <c r="S358" s="343"/>
      <c r="T358" s="343"/>
      <c r="U358" s="343"/>
      <c r="V358" s="343"/>
      <c r="W358" s="340">
        <f>W355-W357</f>
        <v>0</v>
      </c>
      <c r="X358" s="343"/>
      <c r="Y358" s="343"/>
      <c r="Z358" s="343"/>
      <c r="AA358" s="343"/>
      <c r="AB358" s="343"/>
      <c r="AC358" s="343"/>
      <c r="AD358" s="343"/>
      <c r="AE358" s="343"/>
      <c r="AF358" s="343"/>
      <c r="AG358" s="343"/>
      <c r="AH358" s="343"/>
      <c r="AI358" s="343"/>
      <c r="AJ358" s="353"/>
      <c r="AK358" s="354"/>
      <c r="AL358" s="343"/>
      <c r="AM358" s="355"/>
      <c r="AN358" s="355"/>
      <c r="AO358" s="355"/>
      <c r="AP358" s="355"/>
      <c r="AQ358" s="340"/>
      <c r="AR358" s="356"/>
      <c r="AS358" s="357"/>
      <c r="AT358" s="356"/>
    </row>
    <row r="359" spans="1:46" s="264" customFormat="1" ht="25.05" customHeight="1">
      <c r="A359" s="493">
        <f>A355+1</f>
        <v>87</v>
      </c>
      <c r="B359" s="308" t="s">
        <v>312</v>
      </c>
      <c r="C359" s="308" t="s">
        <v>313</v>
      </c>
      <c r="D359" s="420"/>
      <c r="E359" s="545">
        <v>12.8571428571429</v>
      </c>
      <c r="F359" s="420"/>
      <c r="G359" s="311"/>
      <c r="H359" s="454"/>
      <c r="I359" s="311" t="s">
        <v>308</v>
      </c>
      <c r="J359" s="308" t="s">
        <v>71</v>
      </c>
      <c r="K359" s="312">
        <f>K362</f>
        <v>2</v>
      </c>
      <c r="L359" s="308" t="s">
        <v>9</v>
      </c>
      <c r="M359" s="313" t="s">
        <v>61</v>
      </c>
      <c r="N359" s="364">
        <f>WORKDAY.INTL(O359,-INDEX(O$12:O$15,MATCH($L359,$L$12:$L$15,0)),1,IF(N$18="China",'China Holidays'!$A$2:$A$82,'Thai Holidays'!$A$2:$A$63))</f>
        <v>46211</v>
      </c>
      <c r="O359" s="350">
        <v>46216</v>
      </c>
      <c r="P359" s="350">
        <v>46223</v>
      </c>
      <c r="Q359" s="350">
        <v>46224</v>
      </c>
      <c r="R359" s="350">
        <v>46227</v>
      </c>
      <c r="S359" s="350">
        <f>R359+1</f>
        <v>46228</v>
      </c>
      <c r="T359" s="350">
        <v>46234</v>
      </c>
      <c r="U359" s="350">
        <v>46245</v>
      </c>
      <c r="V359" s="350">
        <v>46248</v>
      </c>
      <c r="W359" s="350">
        <v>46255</v>
      </c>
      <c r="X359" s="350">
        <v>46259</v>
      </c>
      <c r="Y359" s="350">
        <v>46266</v>
      </c>
      <c r="Z359" s="350">
        <v>46280</v>
      </c>
      <c r="AA359" s="350">
        <v>46294</v>
      </c>
      <c r="AB359" s="350">
        <v>46324</v>
      </c>
      <c r="AC359" s="350">
        <v>46324</v>
      </c>
      <c r="AD359" s="350">
        <v>46326</v>
      </c>
      <c r="AE359" s="350">
        <v>46331</v>
      </c>
      <c r="AF359" s="350">
        <v>46338</v>
      </c>
      <c r="AG359" s="350">
        <v>46345</v>
      </c>
      <c r="AH359" s="350">
        <v>46359</v>
      </c>
      <c r="AI359" s="350">
        <v>46375</v>
      </c>
      <c r="AJ359" s="316">
        <v>12.8571428571429</v>
      </c>
      <c r="AK359" s="351"/>
      <c r="AL359" s="350" t="str">
        <f>TEXT(AL361,"d-mmm-yy")</f>
        <v>19-Nov-26</v>
      </c>
      <c r="AM359" s="327"/>
      <c r="AN359" s="327"/>
      <c r="AO359" s="327"/>
      <c r="AP359" s="327"/>
      <c r="AQ359" s="311"/>
      <c r="AR359" s="329"/>
      <c r="AS359" s="330" t="s">
        <v>62</v>
      </c>
      <c r="AT359" s="331">
        <v>46367</v>
      </c>
    </row>
    <row r="360" spans="1:46" s="264" customFormat="1" ht="25.05" customHeight="1">
      <c r="A360" s="491"/>
      <c r="B360" s="308" t="str">
        <f>B359</f>
        <v>RFQ-PLR-087</v>
      </c>
      <c r="C360" s="308" t="str">
        <f>C359</f>
        <v>PIGGABLE WYE</v>
      </c>
      <c r="D360" s="368"/>
      <c r="E360" s="542"/>
      <c r="F360" s="361"/>
      <c r="G360" s="311"/>
      <c r="H360" s="310"/>
      <c r="I360" s="311" t="str">
        <f>I359</f>
        <v>Piping &amp; Riser</v>
      </c>
      <c r="J360" s="308"/>
      <c r="K360" s="322"/>
      <c r="L360" s="308"/>
      <c r="M360" s="323" t="s">
        <v>63</v>
      </c>
      <c r="N360" s="367"/>
      <c r="O360" s="325">
        <v>46216</v>
      </c>
      <c r="P360" s="325">
        <v>46223</v>
      </c>
      <c r="Q360" s="325">
        <v>46224</v>
      </c>
      <c r="R360" s="325">
        <v>46227</v>
      </c>
      <c r="S360" s="325">
        <v>46228</v>
      </c>
      <c r="T360" s="325">
        <v>46234</v>
      </c>
      <c r="U360" s="325">
        <v>46245</v>
      </c>
      <c r="V360" s="325">
        <v>46248</v>
      </c>
      <c r="W360" s="325">
        <v>46255</v>
      </c>
      <c r="X360" s="325">
        <v>46259</v>
      </c>
      <c r="Y360" s="325">
        <v>46266</v>
      </c>
      <c r="Z360" s="325">
        <v>46280</v>
      </c>
      <c r="AA360" s="325">
        <v>46294</v>
      </c>
      <c r="AB360" s="325">
        <v>46324</v>
      </c>
      <c r="AC360" s="325">
        <v>46324</v>
      </c>
      <c r="AD360" s="325">
        <v>46326</v>
      </c>
      <c r="AE360" s="325">
        <v>46331</v>
      </c>
      <c r="AF360" s="325">
        <v>46338</v>
      </c>
      <c r="AG360" s="325">
        <v>46345</v>
      </c>
      <c r="AH360" s="325">
        <v>46359</v>
      </c>
      <c r="AI360" s="325">
        <v>46375</v>
      </c>
      <c r="AJ360" s="365"/>
      <c r="AK360" s="326"/>
      <c r="AL360" s="325">
        <f>W360+AK361</f>
        <v>46345</v>
      </c>
      <c r="AM360" s="327"/>
      <c r="AN360" s="327"/>
      <c r="AO360" s="327"/>
      <c r="AP360" s="327"/>
      <c r="AQ360" s="328">
        <f>AM361-AL360</f>
        <v>15</v>
      </c>
      <c r="AR360" s="329"/>
      <c r="AS360" s="330"/>
      <c r="AT360" s="331"/>
    </row>
    <row r="361" spans="1:46" s="264" customFormat="1" ht="25.05" customHeight="1">
      <c r="A361" s="491"/>
      <c r="B361" s="308" t="str">
        <f>B359</f>
        <v>RFQ-PLR-087</v>
      </c>
      <c r="C361" s="308" t="s">
        <v>313</v>
      </c>
      <c r="D361" s="359"/>
      <c r="E361" s="543"/>
      <c r="F361" s="359"/>
      <c r="G361" s="311">
        <v>15</v>
      </c>
      <c r="H361" s="310" t="s">
        <v>309</v>
      </c>
      <c r="I361" s="311" t="s">
        <v>308</v>
      </c>
      <c r="J361" s="308" t="s">
        <v>71</v>
      </c>
      <c r="K361" s="308">
        <f>K362</f>
        <v>2</v>
      </c>
      <c r="L361" s="308" t="s">
        <v>9</v>
      </c>
      <c r="M361" s="313" t="s">
        <v>65</v>
      </c>
      <c r="N361" s="350">
        <v>46198</v>
      </c>
      <c r="O361" s="350">
        <v>46201</v>
      </c>
      <c r="P361" s="350">
        <f>WORKDAY.INTL(O361,INDEX(P$8:P$11,MATCH($L361,$L$8:$L$11,0)),1,IF(P$18="China",'China Holidays'!$A$2:$A$82,'Thai Holidays'!$A$2:$A$63))</f>
        <v>46213</v>
      </c>
      <c r="Q361" s="350">
        <f>WORKDAY.INTL(P361,INDEX(Q$8:Q$11,MATCH($L361,$L$8:$L$11,0)),1,IF(Q$18="China",'China Holidays'!$A$2:$A$82,'Thai Holidays'!$A$2:$A$63))</f>
        <v>46213</v>
      </c>
      <c r="R361" s="350">
        <f>WORKDAY.INTL(Q361,INDEX(R$8:R$11,MATCH($L361,$L$8:$L$11,0)),1,IF(R$18="China",'China Holidays'!$A$2:$A$82,'Thai Holidays'!$A$2:$A$63))</f>
        <v>46213</v>
      </c>
      <c r="S361" s="350">
        <f>WORKDAY.INTL(R361,INDEX(S$8:S$11,MATCH($L361,$L$8:$L$11,0)),1,IF(S$18="China",'China Holidays'!$A$2:$A$82,'Thai Holidays'!$A$2:$A$63))</f>
        <v>46213</v>
      </c>
      <c r="T361" s="350">
        <f>WORKDAY.INTL(S361,INDEX(T$8:T$11,MATCH($L361,$L$8:$L$11,0)),1,IF(T$18="China",'China Holidays'!$A$2:$A$82,'Thai Holidays'!$A$2:$A$63))</f>
        <v>46220</v>
      </c>
      <c r="U361" s="350">
        <f>WORKDAY.INTL(T361,INDEX(U$8:U$11,MATCH($L361,$L$8:$L$11,0)),1,IF(U$18="China",'China Holidays'!$A$2:$A$82,'Thai Holidays'!$A$2:$A$63))</f>
        <v>46233</v>
      </c>
      <c r="V361" s="350">
        <f>WORKDAY.INTL(U361,INDEX(V$8:V$11,MATCH($L361,$L$8:$L$11,0)),1,IF(V$18="China",'China Holidays'!$A$2:$A$82,'Thai Holidays'!$A$2:$A$63))</f>
        <v>46248</v>
      </c>
      <c r="W361" s="350">
        <f>WORKDAY.INTL(V361,INDEX(W$8:W$11,MATCH($L361,$L$8:$L$11,0)),1,IF(W$18="China",'China Holidays'!$A$2:$A$82,'Thai Holidays'!$A$2:$A$63))</f>
        <v>46255</v>
      </c>
      <c r="X361" s="350">
        <f>WORKDAY.INTL(W361,INDEX(X$12:X$15,MATCH($L361,$L$12:$L$15,0)),1,IF(X$18="China",'China Holidays'!$A$2:$A$82,'Thai Holidays'!$A$2:$A$63))</f>
        <v>46259</v>
      </c>
      <c r="Y361" s="350">
        <f>WORKDAY.INTL(X361,INDEX(Y$12:Y$15,MATCH($L361,$L$12:$L$15,0)),1,IF(Y$18="China",'China Holidays'!$A$2:$A$82,'Thai Holidays'!$A$2:$A$63))</f>
        <v>46266</v>
      </c>
      <c r="Z361" s="350">
        <f>WORKDAY.INTL(Y361,INDEX(Z$12:Z$15,MATCH($L361,$L$12:$L$15,0)),1,IF(Z$18="China",'China Holidays'!$A$2:$A$82,'Thai Holidays'!$A$2:$A$63))</f>
        <v>46280</v>
      </c>
      <c r="AA361" s="350">
        <f>WORKDAY.INTL(Z361,INDEX(AA$12:AA$15,MATCH($L361,$L$12:$L$15,0)),1,IF(AA$18="China",'China Holidays'!$A$2:$A$82,'Thai Holidays'!$A$2:$A$63))</f>
        <v>46294</v>
      </c>
      <c r="AB361" s="350">
        <f>AA361+30</f>
        <v>46324</v>
      </c>
      <c r="AC361" s="350">
        <f>AB361</f>
        <v>46324</v>
      </c>
      <c r="AD361" s="350">
        <f>AC361+2</f>
        <v>46326</v>
      </c>
      <c r="AE361" s="350">
        <f>AF361-7</f>
        <v>46331</v>
      </c>
      <c r="AF361" s="350">
        <f>AG361-7</f>
        <v>46338</v>
      </c>
      <c r="AG361" s="350">
        <f>AL361</f>
        <v>46345</v>
      </c>
      <c r="AH361" s="350">
        <f>AL361+14</f>
        <v>46359</v>
      </c>
      <c r="AI361" s="350">
        <f>AL361+30</f>
        <v>46375</v>
      </c>
      <c r="AJ361" s="362"/>
      <c r="AK361" s="326">
        <f>AJ359*7</f>
        <v>90.000000000000298</v>
      </c>
      <c r="AL361" s="350">
        <f>W361+AK361</f>
        <v>46345</v>
      </c>
      <c r="AM361" s="327">
        <f>AT359-7</f>
        <v>46360</v>
      </c>
      <c r="AN361" s="327">
        <f>AO361-7</f>
        <v>46379</v>
      </c>
      <c r="AO361" s="327">
        <v>46386</v>
      </c>
      <c r="AP361" s="327"/>
      <c r="AQ361" s="311">
        <f>AM361-AL361</f>
        <v>15</v>
      </c>
      <c r="AR361" s="329"/>
      <c r="AS361" s="330" t="s">
        <v>66</v>
      </c>
      <c r="AT361" s="331">
        <v>46367</v>
      </c>
    </row>
    <row r="362" spans="1:46" s="264" customFormat="1" ht="25.05" customHeight="1">
      <c r="A362" s="492"/>
      <c r="B362" s="337" t="str">
        <f>B359</f>
        <v>RFQ-PLR-087</v>
      </c>
      <c r="C362" s="337" t="s">
        <v>313</v>
      </c>
      <c r="D362" s="363"/>
      <c r="E362" s="546"/>
      <c r="F362" s="363"/>
      <c r="G362" s="340"/>
      <c r="H362" s="455"/>
      <c r="I362" s="340" t="s">
        <v>308</v>
      </c>
      <c r="J362" s="337" t="s">
        <v>71</v>
      </c>
      <c r="K362" s="308">
        <v>2</v>
      </c>
      <c r="L362" s="337" t="s">
        <v>9</v>
      </c>
      <c r="M362" s="341" t="s">
        <v>67</v>
      </c>
      <c r="N362" s="343"/>
      <c r="O362" s="343"/>
      <c r="P362" s="343"/>
      <c r="Q362" s="343"/>
      <c r="R362" s="343"/>
      <c r="S362" s="343"/>
      <c r="T362" s="343"/>
      <c r="U362" s="343"/>
      <c r="V362" s="343"/>
      <c r="W362" s="340">
        <f>W359-W361</f>
        <v>0</v>
      </c>
      <c r="X362" s="343"/>
      <c r="Y362" s="343"/>
      <c r="Z362" s="343"/>
      <c r="AA362" s="343"/>
      <c r="AB362" s="343"/>
      <c r="AC362" s="343"/>
      <c r="AD362" s="343"/>
      <c r="AE362" s="343"/>
      <c r="AF362" s="343"/>
      <c r="AG362" s="343"/>
      <c r="AH362" s="343"/>
      <c r="AI362" s="343"/>
      <c r="AJ362" s="353"/>
      <c r="AK362" s="354"/>
      <c r="AL362" s="343"/>
      <c r="AM362" s="355"/>
      <c r="AN362" s="355"/>
      <c r="AO362" s="355"/>
      <c r="AP362" s="355"/>
      <c r="AQ362" s="340"/>
      <c r="AR362" s="356"/>
      <c r="AS362" s="357"/>
      <c r="AT362" s="356"/>
    </row>
    <row r="363" spans="1:46" s="264" customFormat="1" ht="25.05" customHeight="1">
      <c r="A363" s="493">
        <f>A359+1</f>
        <v>88</v>
      </c>
      <c r="B363" s="308" t="s">
        <v>314</v>
      </c>
      <c r="C363" s="308" t="s">
        <v>315</v>
      </c>
      <c r="D363" s="420"/>
      <c r="E363" s="545">
        <v>17.1428571428571</v>
      </c>
      <c r="F363" s="420"/>
      <c r="G363" s="311"/>
      <c r="H363" s="310"/>
      <c r="I363" s="311" t="s">
        <v>308</v>
      </c>
      <c r="J363" s="308" t="s">
        <v>71</v>
      </c>
      <c r="K363" s="312">
        <f>K366</f>
        <v>2</v>
      </c>
      <c r="L363" s="308" t="s">
        <v>9</v>
      </c>
      <c r="M363" s="313" t="s">
        <v>61</v>
      </c>
      <c r="N363" s="364">
        <f>WORKDAY.INTL(O363,-INDEX(O$12:O$15,MATCH($L363,$L$12:$L$15,0)),1,IF(N$18="China",'China Holidays'!$A$2:$A$82,'Thai Holidays'!$A$2:$A$63))</f>
        <v>46211</v>
      </c>
      <c r="O363" s="350">
        <v>46216</v>
      </c>
      <c r="P363" s="350">
        <v>46223</v>
      </c>
      <c r="Q363" s="350">
        <v>46224</v>
      </c>
      <c r="R363" s="350">
        <v>46227</v>
      </c>
      <c r="S363" s="350">
        <f>R363+1</f>
        <v>46228</v>
      </c>
      <c r="T363" s="350">
        <v>46234</v>
      </c>
      <c r="U363" s="350">
        <v>46245</v>
      </c>
      <c r="V363" s="350">
        <v>46248</v>
      </c>
      <c r="W363" s="350">
        <v>46255</v>
      </c>
      <c r="X363" s="350">
        <v>46259</v>
      </c>
      <c r="Y363" s="350">
        <v>46266</v>
      </c>
      <c r="Z363" s="350">
        <v>46280</v>
      </c>
      <c r="AA363" s="350">
        <v>46294</v>
      </c>
      <c r="AB363" s="350">
        <v>46324</v>
      </c>
      <c r="AC363" s="350">
        <v>46324</v>
      </c>
      <c r="AD363" s="350">
        <v>46326</v>
      </c>
      <c r="AE363" s="350">
        <v>46361</v>
      </c>
      <c r="AF363" s="350">
        <v>46368</v>
      </c>
      <c r="AG363" s="350">
        <v>46375</v>
      </c>
      <c r="AH363" s="350">
        <v>46389</v>
      </c>
      <c r="AI363" s="350">
        <v>46405</v>
      </c>
      <c r="AJ363" s="316">
        <v>17.1428571428571</v>
      </c>
      <c r="AK363" s="351"/>
      <c r="AL363" s="350" t="str">
        <f>TEXT(AL365,"d-mmm-yy")</f>
        <v>19-Dec-26</v>
      </c>
      <c r="AM363" s="327"/>
      <c r="AN363" s="327"/>
      <c r="AO363" s="327"/>
      <c r="AP363" s="327"/>
      <c r="AQ363" s="311"/>
      <c r="AR363" s="329"/>
      <c r="AS363" s="330" t="s">
        <v>62</v>
      </c>
      <c r="AT363" s="331">
        <v>46386</v>
      </c>
    </row>
    <row r="364" spans="1:46" s="264" customFormat="1" ht="25.05" customHeight="1">
      <c r="A364" s="491"/>
      <c r="B364" s="308" t="str">
        <f>B363</f>
        <v>RFQ-PLR-088</v>
      </c>
      <c r="C364" s="308" t="str">
        <f>C363</f>
        <v>BARREL REDUCER</v>
      </c>
      <c r="D364" s="368"/>
      <c r="E364" s="542"/>
      <c r="F364" s="361"/>
      <c r="G364" s="311"/>
      <c r="H364" s="310"/>
      <c r="I364" s="311" t="str">
        <f>I363</f>
        <v>Piping &amp; Riser</v>
      </c>
      <c r="J364" s="308"/>
      <c r="K364" s="322"/>
      <c r="L364" s="308"/>
      <c r="M364" s="323" t="s">
        <v>63</v>
      </c>
      <c r="N364" s="367"/>
      <c r="O364" s="325">
        <v>46216</v>
      </c>
      <c r="P364" s="325">
        <v>46223</v>
      </c>
      <c r="Q364" s="325">
        <v>46224</v>
      </c>
      <c r="R364" s="325">
        <v>46227</v>
      </c>
      <c r="S364" s="325">
        <v>46228</v>
      </c>
      <c r="T364" s="325">
        <v>46234</v>
      </c>
      <c r="U364" s="325">
        <v>46245</v>
      </c>
      <c r="V364" s="325">
        <v>46248</v>
      </c>
      <c r="W364" s="325">
        <v>46255</v>
      </c>
      <c r="X364" s="325">
        <v>46259</v>
      </c>
      <c r="Y364" s="325">
        <v>46266</v>
      </c>
      <c r="Z364" s="325">
        <v>46280</v>
      </c>
      <c r="AA364" s="325">
        <v>46294</v>
      </c>
      <c r="AB364" s="325">
        <v>46324</v>
      </c>
      <c r="AC364" s="325">
        <v>46324</v>
      </c>
      <c r="AD364" s="325">
        <v>46326</v>
      </c>
      <c r="AE364" s="325">
        <v>46361</v>
      </c>
      <c r="AF364" s="325">
        <v>46368</v>
      </c>
      <c r="AG364" s="325">
        <v>46375</v>
      </c>
      <c r="AH364" s="325">
        <v>46389</v>
      </c>
      <c r="AI364" s="325">
        <v>46405</v>
      </c>
      <c r="AJ364" s="365"/>
      <c r="AK364" s="326"/>
      <c r="AL364" s="325">
        <f>W364+AK365</f>
        <v>46375</v>
      </c>
      <c r="AM364" s="327"/>
      <c r="AN364" s="327"/>
      <c r="AO364" s="327"/>
      <c r="AP364" s="327"/>
      <c r="AQ364" s="328">
        <f>AM365-AL364</f>
        <v>4</v>
      </c>
      <c r="AR364" s="329"/>
      <c r="AS364" s="330"/>
      <c r="AT364" s="331"/>
    </row>
    <row r="365" spans="1:46" s="264" customFormat="1" ht="25.05" customHeight="1">
      <c r="A365" s="491"/>
      <c r="B365" s="308" t="str">
        <f>B363</f>
        <v>RFQ-PLR-088</v>
      </c>
      <c r="C365" s="308" t="s">
        <v>315</v>
      </c>
      <c r="D365" s="359"/>
      <c r="E365" s="543"/>
      <c r="F365" s="359"/>
      <c r="G365" s="311">
        <v>4</v>
      </c>
      <c r="H365" s="310" t="s">
        <v>309</v>
      </c>
      <c r="I365" s="311" t="s">
        <v>308</v>
      </c>
      <c r="J365" s="308" t="s">
        <v>71</v>
      </c>
      <c r="K365" s="308">
        <f>K366</f>
        <v>2</v>
      </c>
      <c r="L365" s="308" t="s">
        <v>9</v>
      </c>
      <c r="M365" s="313" t="s">
        <v>65</v>
      </c>
      <c r="N365" s="350">
        <v>46198</v>
      </c>
      <c r="O365" s="350">
        <v>46199</v>
      </c>
      <c r="P365" s="350">
        <f>WORKDAY.INTL(O365,INDEX(P$8:P$11,MATCH($L365,$L$8:$L$11,0)),1,IF(P$18="China",'China Holidays'!$A$2:$A$82,'Thai Holidays'!$A$2:$A$63))</f>
        <v>46213</v>
      </c>
      <c r="Q365" s="350">
        <f>WORKDAY.INTL(P365,INDEX(Q$8:Q$11,MATCH($L365,$L$8:$L$11,0)),1,IF(Q$18="China",'China Holidays'!$A$2:$A$82,'Thai Holidays'!$A$2:$A$63))</f>
        <v>46213</v>
      </c>
      <c r="R365" s="350">
        <f>WORKDAY.INTL(Q365,INDEX(R$8:R$11,MATCH($L365,$L$8:$L$11,0)),1,IF(R$18="China",'China Holidays'!$A$2:$A$82,'Thai Holidays'!$A$2:$A$63))</f>
        <v>46213</v>
      </c>
      <c r="S365" s="350">
        <f>WORKDAY.INTL(R365,INDEX(S$8:S$11,MATCH($L365,$L$8:$L$11,0)),1,IF(S$18="China",'China Holidays'!$A$2:$A$82,'Thai Holidays'!$A$2:$A$63))</f>
        <v>46213</v>
      </c>
      <c r="T365" s="350">
        <f>WORKDAY.INTL(S365,INDEX(T$8:T$11,MATCH($L365,$L$8:$L$11,0)),1,IF(T$18="China",'China Holidays'!$A$2:$A$82,'Thai Holidays'!$A$2:$A$63))</f>
        <v>46220</v>
      </c>
      <c r="U365" s="350">
        <f>WORKDAY.INTL(T365,INDEX(U$8:U$11,MATCH($L365,$L$8:$L$11,0)),1,IF(U$18="China",'China Holidays'!$A$2:$A$82,'Thai Holidays'!$A$2:$A$63))</f>
        <v>46233</v>
      </c>
      <c r="V365" s="350">
        <f>WORKDAY.INTL(U365,INDEX(V$8:V$11,MATCH($L365,$L$8:$L$11,0)),1,IF(V$18="China",'China Holidays'!$A$2:$A$82,'Thai Holidays'!$A$2:$A$63))</f>
        <v>46248</v>
      </c>
      <c r="W365" s="350">
        <f>WORKDAY.INTL(V365,INDEX(W$8:W$11,MATCH($L365,$L$8:$L$11,0)),1,IF(W$18="China",'China Holidays'!$A$2:$A$82,'Thai Holidays'!$A$2:$A$63))</f>
        <v>46255</v>
      </c>
      <c r="X365" s="350">
        <f>WORKDAY.INTL(W365,INDEX(X$12:X$15,MATCH($L365,$L$12:$L$15,0)),1,IF(X$18="China",'China Holidays'!$A$2:$A$82,'Thai Holidays'!$A$2:$A$63))</f>
        <v>46259</v>
      </c>
      <c r="Y365" s="350">
        <f>WORKDAY.INTL(X365,INDEX(Y$12:Y$15,MATCH($L365,$L$12:$L$15,0)),1,IF(Y$18="China",'China Holidays'!$A$2:$A$82,'Thai Holidays'!$A$2:$A$63))</f>
        <v>46266</v>
      </c>
      <c r="Z365" s="350">
        <f>WORKDAY.INTL(Y365,INDEX(Z$12:Z$15,MATCH($L365,$L$12:$L$15,0)),1,IF(Z$18="China",'China Holidays'!$A$2:$A$82,'Thai Holidays'!$A$2:$A$63))</f>
        <v>46280</v>
      </c>
      <c r="AA365" s="350">
        <f>WORKDAY.INTL(Z365,INDEX(AA$12:AA$15,MATCH($L365,$L$12:$L$15,0)),1,IF(AA$18="China",'China Holidays'!$A$2:$A$82,'Thai Holidays'!$A$2:$A$63))</f>
        <v>46294</v>
      </c>
      <c r="AB365" s="350">
        <f>AA365+30</f>
        <v>46324</v>
      </c>
      <c r="AC365" s="350">
        <f>AB365</f>
        <v>46324</v>
      </c>
      <c r="AD365" s="350">
        <f>AC365+2</f>
        <v>46326</v>
      </c>
      <c r="AE365" s="350">
        <f>AF365-7</f>
        <v>46361</v>
      </c>
      <c r="AF365" s="350">
        <f>AG365-7</f>
        <v>46368</v>
      </c>
      <c r="AG365" s="350">
        <f>AL365</f>
        <v>46375</v>
      </c>
      <c r="AH365" s="350">
        <f>AL365+14</f>
        <v>46389</v>
      </c>
      <c r="AI365" s="350">
        <f>AL365+30</f>
        <v>46405</v>
      </c>
      <c r="AJ365" s="362"/>
      <c r="AK365" s="326">
        <f>AJ363*7</f>
        <v>119.9999999999997</v>
      </c>
      <c r="AL365" s="350">
        <f>W365+AK365</f>
        <v>46375</v>
      </c>
      <c r="AM365" s="327">
        <f>AT363-7</f>
        <v>46379</v>
      </c>
      <c r="AN365" s="327">
        <f>AO365-7</f>
        <v>46379</v>
      </c>
      <c r="AO365" s="327">
        <v>46386</v>
      </c>
      <c r="AP365" s="327"/>
      <c r="AQ365" s="311">
        <f>AM365-AL365</f>
        <v>4</v>
      </c>
      <c r="AR365" s="329"/>
      <c r="AS365" s="330" t="s">
        <v>66</v>
      </c>
      <c r="AT365" s="331">
        <v>46386</v>
      </c>
    </row>
    <row r="366" spans="1:46" s="264" customFormat="1" ht="25.05" customHeight="1">
      <c r="A366" s="492"/>
      <c r="B366" s="337" t="str">
        <f>B363</f>
        <v>RFQ-PLR-088</v>
      </c>
      <c r="C366" s="337" t="s">
        <v>315</v>
      </c>
      <c r="D366" s="363"/>
      <c r="E366" s="546"/>
      <c r="F366" s="363"/>
      <c r="G366" s="340"/>
      <c r="H366" s="339"/>
      <c r="I366" s="340" t="s">
        <v>308</v>
      </c>
      <c r="J366" s="337" t="s">
        <v>71</v>
      </c>
      <c r="K366" s="308">
        <v>2</v>
      </c>
      <c r="L366" s="337" t="s">
        <v>9</v>
      </c>
      <c r="M366" s="341" t="s">
        <v>67</v>
      </c>
      <c r="N366" s="343"/>
      <c r="O366" s="343"/>
      <c r="P366" s="343"/>
      <c r="Q366" s="343"/>
      <c r="R366" s="343"/>
      <c r="S366" s="343"/>
      <c r="T366" s="343"/>
      <c r="U366" s="343"/>
      <c r="V366" s="343"/>
      <c r="W366" s="340">
        <f>W363-W365</f>
        <v>0</v>
      </c>
      <c r="X366" s="343"/>
      <c r="Y366" s="343"/>
      <c r="Z366" s="343"/>
      <c r="AA366" s="343"/>
      <c r="AB366" s="343"/>
      <c r="AC366" s="343"/>
      <c r="AD366" s="343"/>
      <c r="AE366" s="343"/>
      <c r="AF366" s="343"/>
      <c r="AG366" s="343"/>
      <c r="AH366" s="343"/>
      <c r="AI366" s="343"/>
      <c r="AJ366" s="353"/>
      <c r="AK366" s="354"/>
      <c r="AL366" s="343"/>
      <c r="AM366" s="355"/>
      <c r="AN366" s="355"/>
      <c r="AO366" s="355"/>
      <c r="AP366" s="355"/>
      <c r="AQ366" s="340"/>
      <c r="AR366" s="356"/>
      <c r="AS366" s="357"/>
      <c r="AT366" s="411" t="s">
        <v>316</v>
      </c>
    </row>
    <row r="367" spans="1:46" s="264" customFormat="1" ht="25.05" customHeight="1">
      <c r="A367" s="493">
        <f>A363+1</f>
        <v>89</v>
      </c>
      <c r="B367" s="308" t="s">
        <v>317</v>
      </c>
      <c r="C367" s="308" t="s">
        <v>318</v>
      </c>
      <c r="D367" s="420"/>
      <c r="E367" s="545">
        <v>14.285714285714301</v>
      </c>
      <c r="F367" s="420"/>
      <c r="G367" s="311"/>
      <c r="H367" s="310"/>
      <c r="I367" s="311" t="s">
        <v>207</v>
      </c>
      <c r="J367" s="308" t="s">
        <v>71</v>
      </c>
      <c r="K367" s="312">
        <f>K370</f>
        <v>3</v>
      </c>
      <c r="L367" s="308" t="s">
        <v>9</v>
      </c>
      <c r="M367" s="313" t="s">
        <v>61</v>
      </c>
      <c r="N367" s="364">
        <f>WORKDAY.INTL(O367,-INDEX(O$12:O$15,MATCH($L367,$L$12:$L$15,0)),1,IF(N$18="China",'China Holidays'!$A$2:$A$82,'Thai Holidays'!$A$2:$A$63))</f>
        <v>46269</v>
      </c>
      <c r="O367" s="350">
        <v>46274</v>
      </c>
      <c r="P367" s="350">
        <v>46281</v>
      </c>
      <c r="Q367" s="350">
        <v>46282</v>
      </c>
      <c r="R367" s="350">
        <v>46287</v>
      </c>
      <c r="S367" s="350">
        <f>R367+1</f>
        <v>46288</v>
      </c>
      <c r="T367" s="350">
        <v>46295</v>
      </c>
      <c r="U367" s="350">
        <v>46304</v>
      </c>
      <c r="V367" s="350">
        <v>46309</v>
      </c>
      <c r="W367" s="350">
        <v>46316</v>
      </c>
      <c r="X367" s="350">
        <v>46318</v>
      </c>
      <c r="Y367" s="350">
        <v>46325</v>
      </c>
      <c r="Z367" s="350">
        <v>46339</v>
      </c>
      <c r="AA367" s="350">
        <v>46353</v>
      </c>
      <c r="AB367" s="350">
        <v>46363</v>
      </c>
      <c r="AC367" s="350">
        <v>46363</v>
      </c>
      <c r="AD367" s="350">
        <v>46365</v>
      </c>
      <c r="AE367" s="350">
        <v>46402</v>
      </c>
      <c r="AF367" s="350">
        <v>46409</v>
      </c>
      <c r="AG367" s="350">
        <v>46416</v>
      </c>
      <c r="AH367" s="350">
        <v>46430</v>
      </c>
      <c r="AI367" s="350">
        <v>46446</v>
      </c>
      <c r="AJ367" s="316">
        <v>14.285714285714301</v>
      </c>
      <c r="AK367" s="351"/>
      <c r="AL367" s="350">
        <v>46414</v>
      </c>
      <c r="AM367" s="327"/>
      <c r="AN367" s="327"/>
      <c r="AO367" s="327"/>
      <c r="AP367" s="327"/>
      <c r="AQ367" s="311"/>
      <c r="AR367" s="329"/>
      <c r="AS367" s="330" t="s">
        <v>62</v>
      </c>
      <c r="AT367" s="331">
        <v>46464</v>
      </c>
    </row>
    <row r="368" spans="1:46" s="264" customFormat="1" ht="25.05" customHeight="1">
      <c r="A368" s="491"/>
      <c r="B368" s="308" t="str">
        <f>B367</f>
        <v>RFQ-TEL- 089</v>
      </c>
      <c r="C368" s="308" t="str">
        <f>C367</f>
        <v>Telecommunication System Bulk Material</v>
      </c>
      <c r="D368" s="368"/>
      <c r="E368" s="542"/>
      <c r="F368" s="361"/>
      <c r="G368" s="311"/>
      <c r="H368" s="310"/>
      <c r="I368" s="311" t="str">
        <f>I367</f>
        <v>Telecommunication</v>
      </c>
      <c r="J368" s="308"/>
      <c r="K368" s="322"/>
      <c r="L368" s="308"/>
      <c r="M368" s="323" t="s">
        <v>63</v>
      </c>
      <c r="N368" s="367"/>
      <c r="O368" s="325">
        <v>46274</v>
      </c>
      <c r="P368" s="325">
        <v>46281</v>
      </c>
      <c r="Q368" s="325">
        <v>46282</v>
      </c>
      <c r="R368" s="325">
        <v>46287</v>
      </c>
      <c r="S368" s="325">
        <v>46288</v>
      </c>
      <c r="T368" s="325">
        <v>46295</v>
      </c>
      <c r="U368" s="325">
        <v>46304</v>
      </c>
      <c r="V368" s="325">
        <v>46309</v>
      </c>
      <c r="W368" s="325">
        <v>46316</v>
      </c>
      <c r="X368" s="325">
        <v>46318</v>
      </c>
      <c r="Y368" s="325">
        <v>46325</v>
      </c>
      <c r="Z368" s="325">
        <v>46339</v>
      </c>
      <c r="AA368" s="325">
        <v>46353</v>
      </c>
      <c r="AB368" s="325">
        <v>46363</v>
      </c>
      <c r="AC368" s="325">
        <v>46363</v>
      </c>
      <c r="AD368" s="325">
        <v>46365</v>
      </c>
      <c r="AE368" s="325">
        <v>46402</v>
      </c>
      <c r="AF368" s="325">
        <v>46409</v>
      </c>
      <c r="AG368" s="325">
        <v>46416</v>
      </c>
      <c r="AH368" s="325">
        <v>46430</v>
      </c>
      <c r="AI368" s="325">
        <v>46446</v>
      </c>
      <c r="AJ368" s="365"/>
      <c r="AK368" s="326"/>
      <c r="AL368" s="325">
        <f>W368+AK369</f>
        <v>46416</v>
      </c>
      <c r="AM368" s="327"/>
      <c r="AN368" s="327"/>
      <c r="AO368" s="327"/>
      <c r="AP368" s="327"/>
      <c r="AQ368" s="328">
        <f>AM369-AL368</f>
        <v>41</v>
      </c>
      <c r="AR368" s="329"/>
      <c r="AS368" s="330"/>
      <c r="AT368" s="331"/>
    </row>
    <row r="369" spans="1:46" s="264" customFormat="1" ht="25.05" customHeight="1">
      <c r="A369" s="491"/>
      <c r="B369" s="308" t="str">
        <f>B367</f>
        <v>RFQ-TEL- 089</v>
      </c>
      <c r="C369" s="308" t="s">
        <v>318</v>
      </c>
      <c r="D369" s="359"/>
      <c r="E369" s="543"/>
      <c r="F369" s="359"/>
      <c r="G369" s="311">
        <v>130</v>
      </c>
      <c r="H369" s="310" t="s">
        <v>319</v>
      </c>
      <c r="I369" s="311" t="s">
        <v>207</v>
      </c>
      <c r="J369" s="308" t="s">
        <v>71</v>
      </c>
      <c r="K369" s="308">
        <f>K370</f>
        <v>3</v>
      </c>
      <c r="L369" s="308" t="s">
        <v>9</v>
      </c>
      <c r="M369" s="313" t="s">
        <v>65</v>
      </c>
      <c r="N369" s="350">
        <v>46261</v>
      </c>
      <c r="O369" s="343">
        <v>46171</v>
      </c>
      <c r="P369" s="350">
        <f>WORKDAY.INTL(O369,INDEX(P$8:P$11,MATCH($L369,$L$8:$L$11,0)),1,IF(P$18="China",'China Holidays'!$A$2:$A$82,'Thai Holidays'!$A$2:$A$63))</f>
        <v>46189</v>
      </c>
      <c r="Q369" s="350">
        <f>WORKDAY.INTL(P369,INDEX(Q$8:Q$11,MATCH($L369,$L$8:$L$11,0)),1,IF(Q$18="China",'China Holidays'!$A$2:$A$82,'Thai Holidays'!$A$2:$A$63))</f>
        <v>46189</v>
      </c>
      <c r="R369" s="350">
        <f>WORKDAY.INTL(Q369,INDEX(R$8:R$11,MATCH($L369,$L$8:$L$11,0)),1,IF(R$18="China",'China Holidays'!$A$2:$A$82,'Thai Holidays'!$A$2:$A$63))</f>
        <v>46189</v>
      </c>
      <c r="S369" s="350">
        <f>WORKDAY.INTL(R369,INDEX(S$8:S$11,MATCH($L369,$L$8:$L$11,0)),1,IF(S$18="China",'China Holidays'!$A$2:$A$82,'Thai Holidays'!$A$2:$A$63))</f>
        <v>46189</v>
      </c>
      <c r="T369" s="350">
        <f>WORKDAY.INTL(S369,INDEX(T$8:T$11,MATCH($L369,$L$8:$L$11,0)),1,IF(T$18="China",'China Holidays'!$A$2:$A$82,'Thai Holidays'!$A$2:$A$63))</f>
        <v>46197</v>
      </c>
      <c r="U369" s="350">
        <f>WORKDAY.INTL(T369,INDEX(U$8:U$11,MATCH($L369,$L$8:$L$11,0)),1,IF(U$18="China",'China Holidays'!$A$2:$A$82,'Thai Holidays'!$A$2:$A$63))</f>
        <v>46206</v>
      </c>
      <c r="V369" s="350">
        <f>WORKDAY.INTL(U369,INDEX(V$8:V$11,MATCH($L369,$L$8:$L$11,0)),1,IF(V$18="China",'China Holidays'!$A$2:$A$82,'Thai Holidays'!$A$2:$A$63))</f>
        <v>46220</v>
      </c>
      <c r="W369" s="350">
        <f>WORKDAY.INTL(V369,INDEX(W$8:W$11,MATCH($L369,$L$8:$L$11,0)),1,IF(W$18="China",'China Holidays'!$A$2:$A$82,'Thai Holidays'!$A$2:$A$63))</f>
        <v>46227</v>
      </c>
      <c r="X369" s="350">
        <f>WORKDAY.INTL(W369,INDEX(X$12:X$15,MATCH($L369,$L$12:$L$15,0)),1,IF(X$18="China",'China Holidays'!$A$2:$A$82,'Thai Holidays'!$A$2:$A$63))</f>
        <v>46231</v>
      </c>
      <c r="Y369" s="350">
        <f>WORKDAY.INTL(X369,INDEX(Y$12:Y$15,MATCH($L369,$L$12:$L$15,0)),1,IF(Y$18="China",'China Holidays'!$A$2:$A$82,'Thai Holidays'!$A$2:$A$63))</f>
        <v>46238</v>
      </c>
      <c r="Z369" s="350">
        <f>WORKDAY.INTL(Y369,INDEX(Z$12:Z$15,MATCH($L369,$L$12:$L$15,0)),1,IF(Z$18="China",'China Holidays'!$A$2:$A$82,'Thai Holidays'!$A$2:$A$63))</f>
        <v>46252</v>
      </c>
      <c r="AA369" s="350">
        <f>WORKDAY.INTL(Z369,INDEX(AA$12:AA$15,MATCH($L369,$L$12:$L$15,0)),1,IF(AA$18="China",'China Holidays'!$A$2:$A$82,'Thai Holidays'!$A$2:$A$63))</f>
        <v>46266</v>
      </c>
      <c r="AB369" s="350">
        <f>AA369+10</f>
        <v>46276</v>
      </c>
      <c r="AC369" s="350">
        <f>AB369</f>
        <v>46276</v>
      </c>
      <c r="AD369" s="350">
        <f>AC369+2</f>
        <v>46278</v>
      </c>
      <c r="AE369" s="350">
        <f>AF369-7</f>
        <v>46313</v>
      </c>
      <c r="AF369" s="350">
        <f>AG369-7</f>
        <v>46320</v>
      </c>
      <c r="AG369" s="350">
        <f>AL369</f>
        <v>46327</v>
      </c>
      <c r="AH369" s="350">
        <f>AL369+14</f>
        <v>46341</v>
      </c>
      <c r="AI369" s="350">
        <f>AL369+30</f>
        <v>46357</v>
      </c>
      <c r="AJ369" s="362"/>
      <c r="AK369" s="326">
        <f>AJ367*7</f>
        <v>100.0000000000001</v>
      </c>
      <c r="AL369" s="350">
        <f>W369+AK369</f>
        <v>46327</v>
      </c>
      <c r="AM369" s="327">
        <f>AT367-7</f>
        <v>46457</v>
      </c>
      <c r="AN369" s="327">
        <f>AO369-7</f>
        <v>46448</v>
      </c>
      <c r="AO369" s="327">
        <v>46455</v>
      </c>
      <c r="AP369" s="327"/>
      <c r="AQ369" s="311">
        <f>AM369-AL369</f>
        <v>130</v>
      </c>
      <c r="AR369" s="329"/>
      <c r="AS369" s="330" t="s">
        <v>66</v>
      </c>
      <c r="AT369" s="331">
        <v>46476</v>
      </c>
    </row>
    <row r="370" spans="1:46" s="264" customFormat="1" ht="25.05" customHeight="1">
      <c r="A370" s="492"/>
      <c r="B370" s="337" t="str">
        <f>B367</f>
        <v>RFQ-TEL- 089</v>
      </c>
      <c r="C370" s="337" t="s">
        <v>318</v>
      </c>
      <c r="D370" s="363"/>
      <c r="E370" s="546"/>
      <c r="F370" s="363"/>
      <c r="G370" s="340"/>
      <c r="H370" s="339"/>
      <c r="I370" s="340" t="s">
        <v>207</v>
      </c>
      <c r="J370" s="337" t="s">
        <v>71</v>
      </c>
      <c r="K370" s="308">
        <v>3</v>
      </c>
      <c r="L370" s="337" t="s">
        <v>9</v>
      </c>
      <c r="M370" s="341" t="s">
        <v>67</v>
      </c>
      <c r="N370" s="343"/>
      <c r="O370" s="343">
        <v>46171</v>
      </c>
      <c r="P370" s="343">
        <v>46188</v>
      </c>
      <c r="Q370" s="343">
        <v>46188</v>
      </c>
      <c r="R370" s="343">
        <v>46188</v>
      </c>
      <c r="S370" s="343">
        <v>46188</v>
      </c>
      <c r="T370" s="343"/>
      <c r="U370" s="343"/>
      <c r="V370" s="343"/>
      <c r="W370" s="340">
        <f>W367-W369</f>
        <v>89</v>
      </c>
      <c r="X370" s="343"/>
      <c r="Y370" s="343"/>
      <c r="Z370" s="343"/>
      <c r="AA370" s="343"/>
      <c r="AB370" s="343"/>
      <c r="AC370" s="343"/>
      <c r="AD370" s="343"/>
      <c r="AE370" s="343"/>
      <c r="AF370" s="343"/>
      <c r="AG370" s="343"/>
      <c r="AH370" s="343"/>
      <c r="AI370" s="343"/>
      <c r="AJ370" s="353"/>
      <c r="AK370" s="354"/>
      <c r="AL370" s="343"/>
      <c r="AM370" s="355"/>
      <c r="AN370" s="355"/>
      <c r="AO370" s="355"/>
      <c r="AP370" s="355"/>
      <c r="AQ370" s="340"/>
      <c r="AR370" s="356"/>
      <c r="AS370" s="357"/>
      <c r="AT370" s="356"/>
    </row>
    <row r="371" spans="1:46" s="264" customFormat="1" ht="25.05" customHeight="1">
      <c r="A371" s="493">
        <f>A367+1</f>
        <v>90</v>
      </c>
      <c r="B371" s="308" t="s">
        <v>320</v>
      </c>
      <c r="C371" s="308" t="s">
        <v>321</v>
      </c>
      <c r="D371" s="419"/>
      <c r="E371" s="541">
        <v>14.285714285714301</v>
      </c>
      <c r="F371" s="419"/>
      <c r="G371" s="311"/>
      <c r="H371" s="310"/>
      <c r="I371" s="311" t="s">
        <v>231</v>
      </c>
      <c r="J371" s="308" t="s">
        <v>60</v>
      </c>
      <c r="K371" s="312">
        <f>K374</f>
        <v>4</v>
      </c>
      <c r="L371" s="308" t="s">
        <v>9</v>
      </c>
      <c r="M371" s="313" t="s">
        <v>61</v>
      </c>
      <c r="N371" s="364">
        <f>WORKDAY.INTL(O371,-INDEX(O$12:O$15,MATCH($L371,$L$12:$L$15,0)),1,IF(N$18="China",'China Holidays'!$A$2:$A$82,'Thai Holidays'!$A$2:$A$63))</f>
        <v>46253</v>
      </c>
      <c r="O371" s="350">
        <v>46258</v>
      </c>
      <c r="P371" s="350">
        <v>46265</v>
      </c>
      <c r="Q371" s="350">
        <v>46266</v>
      </c>
      <c r="R371" s="350">
        <v>46269</v>
      </c>
      <c r="S371" s="350">
        <f>R371+1</f>
        <v>46270</v>
      </c>
      <c r="T371" s="350">
        <v>46276</v>
      </c>
      <c r="U371" s="350">
        <v>46287</v>
      </c>
      <c r="V371" s="350">
        <v>46289</v>
      </c>
      <c r="W371" s="350">
        <v>46304</v>
      </c>
      <c r="X371" s="350">
        <v>46308</v>
      </c>
      <c r="Y371" s="350">
        <v>46315</v>
      </c>
      <c r="Z371" s="350">
        <v>46329</v>
      </c>
      <c r="AA371" s="350">
        <v>46343</v>
      </c>
      <c r="AB371" s="350">
        <v>46329</v>
      </c>
      <c r="AC371" s="350">
        <v>46329</v>
      </c>
      <c r="AD371" s="350">
        <v>46330</v>
      </c>
      <c r="AE371" s="350">
        <v>46356</v>
      </c>
      <c r="AF371" s="350">
        <v>46359</v>
      </c>
      <c r="AG371" s="350">
        <v>46363</v>
      </c>
      <c r="AH371" s="350">
        <v>46373</v>
      </c>
      <c r="AI371" s="350">
        <v>46383</v>
      </c>
      <c r="AJ371" s="316">
        <v>14.285714285714301</v>
      </c>
      <c r="AK371" s="351"/>
      <c r="AL371" s="350">
        <v>46363</v>
      </c>
      <c r="AM371" s="327"/>
      <c r="AN371" s="327"/>
      <c r="AO371" s="327"/>
      <c r="AP371" s="327"/>
      <c r="AQ371" s="311"/>
      <c r="AR371" s="329"/>
      <c r="AS371" s="330" t="s">
        <v>62</v>
      </c>
      <c r="AT371" s="331">
        <v>46386</v>
      </c>
    </row>
    <row r="372" spans="1:46" s="264" customFormat="1" ht="25.05" customHeight="1">
      <c r="A372" s="491"/>
      <c r="B372" s="308" t="str">
        <f>B371</f>
        <v>RFQ-STR-090</v>
      </c>
      <c r="C372" s="308" t="str">
        <f>C371</f>
        <v>JKT Anode</v>
      </c>
      <c r="D372" s="368"/>
      <c r="E372" s="542"/>
      <c r="F372" s="361"/>
      <c r="G372" s="311"/>
      <c r="H372" s="310"/>
      <c r="I372" s="311" t="str">
        <f>I371</f>
        <v>Structural</v>
      </c>
      <c r="J372" s="308"/>
      <c r="K372" s="322"/>
      <c r="L372" s="308"/>
      <c r="M372" s="323" t="s">
        <v>63</v>
      </c>
      <c r="N372" s="367"/>
      <c r="O372" s="325">
        <v>46258</v>
      </c>
      <c r="P372" s="325">
        <v>46265</v>
      </c>
      <c r="Q372" s="325">
        <v>46266</v>
      </c>
      <c r="R372" s="325">
        <v>46269</v>
      </c>
      <c r="S372" s="325">
        <v>46270</v>
      </c>
      <c r="T372" s="325">
        <v>46276</v>
      </c>
      <c r="U372" s="325">
        <v>46287</v>
      </c>
      <c r="V372" s="325">
        <v>46289</v>
      </c>
      <c r="W372" s="325">
        <v>46304</v>
      </c>
      <c r="X372" s="325">
        <v>46308</v>
      </c>
      <c r="Y372" s="325">
        <v>46315</v>
      </c>
      <c r="Z372" s="325">
        <v>46329</v>
      </c>
      <c r="AA372" s="325">
        <v>46343</v>
      </c>
      <c r="AB372" s="325">
        <v>46329</v>
      </c>
      <c r="AC372" s="325">
        <v>46329</v>
      </c>
      <c r="AD372" s="325">
        <v>46330</v>
      </c>
      <c r="AE372" s="325">
        <v>46356</v>
      </c>
      <c r="AF372" s="325">
        <v>46359</v>
      </c>
      <c r="AG372" s="325">
        <v>46363</v>
      </c>
      <c r="AH372" s="325">
        <v>46373</v>
      </c>
      <c r="AI372" s="325">
        <v>46383</v>
      </c>
      <c r="AJ372" s="365"/>
      <c r="AK372" s="326"/>
      <c r="AL372" s="325">
        <f>W372+AK373</f>
        <v>46404</v>
      </c>
      <c r="AM372" s="327"/>
      <c r="AN372" s="327"/>
      <c r="AO372" s="327"/>
      <c r="AP372" s="327"/>
      <c r="AQ372" s="328">
        <f>AM373-AL372</f>
        <v>-25</v>
      </c>
      <c r="AR372" s="329"/>
      <c r="AS372" s="330"/>
      <c r="AT372" s="331"/>
    </row>
    <row r="373" spans="1:46" s="264" customFormat="1" ht="25.05" customHeight="1">
      <c r="A373" s="491"/>
      <c r="B373" s="308" t="str">
        <f>B371</f>
        <v>RFQ-STR-090</v>
      </c>
      <c r="C373" s="308" t="s">
        <v>321</v>
      </c>
      <c r="D373" s="359"/>
      <c r="E373" s="543"/>
      <c r="F373" s="359"/>
      <c r="G373" s="311">
        <v>15</v>
      </c>
      <c r="H373" s="310" t="s">
        <v>322</v>
      </c>
      <c r="I373" s="311" t="s">
        <v>231</v>
      </c>
      <c r="J373" s="308" t="s">
        <v>60</v>
      </c>
      <c r="K373" s="308">
        <f>K374</f>
        <v>4</v>
      </c>
      <c r="L373" s="308" t="s">
        <v>9</v>
      </c>
      <c r="M373" s="313" t="s">
        <v>65</v>
      </c>
      <c r="N373" s="350">
        <v>46244</v>
      </c>
      <c r="O373" s="350">
        <v>46244</v>
      </c>
      <c r="P373" s="350">
        <f>WORKDAY.INTL(O373,INDEX(P$8:P$11,MATCH($L373,$L$8:$L$11,0)),1,IF(P$18="China",'China Holidays'!$A$2:$A$82,'Thai Holidays'!$A$2:$A$63))</f>
        <v>46259</v>
      </c>
      <c r="Q373" s="350">
        <f>WORKDAY.INTL(P373,INDEX(Q$8:Q$11,MATCH($L373,$L$8:$L$11,0)),1,IF(Q$18="China",'China Holidays'!$A$2:$A$82,'Thai Holidays'!$A$2:$A$63))</f>
        <v>46259</v>
      </c>
      <c r="R373" s="350">
        <f>WORKDAY.INTL(Q373,INDEX(R$8:R$11,MATCH($L373,$L$8:$L$11,0)),1,IF(R$18="China",'China Holidays'!$A$2:$A$82,'Thai Holidays'!$A$2:$A$63))</f>
        <v>46259</v>
      </c>
      <c r="S373" s="350">
        <f>WORKDAY.INTL(R373,INDEX(S$8:S$11,MATCH($L373,$L$8:$L$11,0)),1,IF(S$18="China",'China Holidays'!$A$2:$A$82,'Thai Holidays'!$A$2:$A$63))</f>
        <v>46259</v>
      </c>
      <c r="T373" s="350">
        <f>WORKDAY.INTL(S373,INDEX(T$8:T$11,MATCH($L373,$L$8:$L$11,0)),1,IF(T$18="China",'China Holidays'!$A$2:$A$82,'Thai Holidays'!$A$2:$A$63))</f>
        <v>46266</v>
      </c>
      <c r="U373" s="350">
        <f>WORKDAY.INTL(T373,INDEX(U$8:U$11,MATCH($L373,$L$8:$L$11,0)),1,IF(U$18="China",'China Holidays'!$A$2:$A$82,'Thai Holidays'!$A$2:$A$63))</f>
        <v>46275</v>
      </c>
      <c r="V373" s="350">
        <f>WORKDAY.INTL(U373,INDEX(V$8:V$11,MATCH($L373,$L$8:$L$11,0)),1,IF(V$18="China",'China Holidays'!$A$2:$A$82,'Thai Holidays'!$A$2:$A$63))</f>
        <v>46289</v>
      </c>
      <c r="W373" s="350">
        <f>WORKDAY.INTL(V373,INDEX(W$8:W$11,MATCH($L373,$L$8:$L$11,0)),1,IF(W$18="China",'China Holidays'!$A$2:$A$82,'Thai Holidays'!$A$2:$A$63))</f>
        <v>46304</v>
      </c>
      <c r="X373" s="350">
        <f>WORKDAY.INTL(W373,INDEX(X$12:X$15,MATCH($L373,$L$12:$L$15,0)),1,IF(X$18="China",'China Holidays'!$A$2:$A$82,'Thai Holidays'!$A$2:$A$63))</f>
        <v>46308</v>
      </c>
      <c r="Y373" s="350">
        <f>WORKDAY.INTL(X373,INDEX(Y$12:Y$15,MATCH($L373,$L$12:$L$15,0)),1,IF(Y$18="China",'China Holidays'!$A$2:$A$82,'Thai Holidays'!$A$2:$A$63))</f>
        <v>46315</v>
      </c>
      <c r="Z373" s="350">
        <f>WORKDAY.INTL(Y373,INDEX(Z$12:Z$15,MATCH($L373,$L$12:$L$15,0)),1,IF(Z$18="China",'China Holidays'!$A$2:$A$82,'Thai Holidays'!$A$2:$A$63))</f>
        <v>46329</v>
      </c>
      <c r="AA373" s="350">
        <f>WORKDAY.INTL(Z373,INDEX(AA$12:AA$15,MATCH($L373,$L$12:$L$15,0)),1,IF(AA$18="China",'China Holidays'!$A$2:$A$82,'Thai Holidays'!$A$2:$A$63))</f>
        <v>46343</v>
      </c>
      <c r="AB373" s="350">
        <f>Z373</f>
        <v>46329</v>
      </c>
      <c r="AC373" s="350">
        <f>AB373</f>
        <v>46329</v>
      </c>
      <c r="AD373" s="350">
        <f>AC373+1</f>
        <v>46330</v>
      </c>
      <c r="AE373" s="350">
        <f>AF373-3</f>
        <v>46356</v>
      </c>
      <c r="AF373" s="350">
        <f>AG373-4</f>
        <v>46359</v>
      </c>
      <c r="AG373" s="350">
        <f>AL371</f>
        <v>46363</v>
      </c>
      <c r="AH373" s="350">
        <f>AG373+10</f>
        <v>46373</v>
      </c>
      <c r="AI373" s="350">
        <f>AG373+20</f>
        <v>46383</v>
      </c>
      <c r="AJ373" s="362"/>
      <c r="AK373" s="326">
        <f>AJ371*7</f>
        <v>100.0000000000001</v>
      </c>
      <c r="AL373" s="350">
        <f>W373+AK373</f>
        <v>46404</v>
      </c>
      <c r="AM373" s="327">
        <f>AT371-7</f>
        <v>46379</v>
      </c>
      <c r="AN373" s="327">
        <f>AO373-3</f>
        <v>46718</v>
      </c>
      <c r="AO373" s="327">
        <v>46721</v>
      </c>
      <c r="AP373" s="327"/>
      <c r="AQ373" s="311">
        <f>AM373-AL373</f>
        <v>-25</v>
      </c>
      <c r="AR373" s="329"/>
      <c r="AS373" s="330" t="s">
        <v>66</v>
      </c>
      <c r="AT373" s="331">
        <v>46402</v>
      </c>
    </row>
    <row r="374" spans="1:46" s="264" customFormat="1" ht="25.05" customHeight="1">
      <c r="A374" s="492"/>
      <c r="B374" s="337" t="str">
        <f>B371</f>
        <v>RFQ-STR-090</v>
      </c>
      <c r="C374" s="337" t="s">
        <v>321</v>
      </c>
      <c r="D374" s="363"/>
      <c r="E374" s="546"/>
      <c r="F374" s="363"/>
      <c r="G374" s="340"/>
      <c r="H374" s="339"/>
      <c r="I374" s="340" t="s">
        <v>231</v>
      </c>
      <c r="J374" s="337" t="s">
        <v>60</v>
      </c>
      <c r="K374" s="337">
        <v>4</v>
      </c>
      <c r="L374" s="337" t="s">
        <v>9</v>
      </c>
      <c r="M374" s="341" t="s">
        <v>67</v>
      </c>
      <c r="N374" s="343"/>
      <c r="O374" s="343"/>
      <c r="P374" s="343"/>
      <c r="Q374" s="343"/>
      <c r="R374" s="343"/>
      <c r="S374" s="343"/>
      <c r="T374" s="343"/>
      <c r="U374" s="343"/>
      <c r="V374" s="343"/>
      <c r="W374" s="340">
        <f>W371-W373</f>
        <v>0</v>
      </c>
      <c r="X374" s="343"/>
      <c r="Y374" s="343"/>
      <c r="Z374" s="343"/>
      <c r="AA374" s="343"/>
      <c r="AB374" s="343"/>
      <c r="AC374" s="343"/>
      <c r="AD374" s="343"/>
      <c r="AE374" s="343"/>
      <c r="AF374" s="343"/>
      <c r="AG374" s="343"/>
      <c r="AH374" s="343"/>
      <c r="AI374" s="343"/>
      <c r="AJ374" s="353"/>
      <c r="AK374" s="354"/>
      <c r="AL374" s="343"/>
      <c r="AM374" s="355"/>
      <c r="AN374" s="355"/>
      <c r="AO374" s="355"/>
      <c r="AP374" s="355"/>
      <c r="AQ374" s="340"/>
      <c r="AR374" s="356"/>
      <c r="AS374" s="357"/>
      <c r="AT374" s="411" t="s">
        <v>316</v>
      </c>
    </row>
    <row r="375" spans="1:46" s="264" customFormat="1" ht="25.05" customHeight="1">
      <c r="A375" s="501">
        <v>93</v>
      </c>
      <c r="B375" s="312" t="s">
        <v>323</v>
      </c>
      <c r="C375" s="312" t="s">
        <v>324</v>
      </c>
      <c r="D375" s="420"/>
      <c r="E375" s="545">
        <f>AK377/7</f>
        <v>8</v>
      </c>
      <c r="F375" s="420"/>
      <c r="G375" s="311"/>
      <c r="H375" s="583" t="s">
        <v>325</v>
      </c>
      <c r="I375" s="311" t="s">
        <v>326</v>
      </c>
      <c r="J375" s="312" t="s">
        <v>71</v>
      </c>
      <c r="K375" s="312">
        <f>K378</f>
        <v>0</v>
      </c>
      <c r="L375" s="312" t="s">
        <v>9</v>
      </c>
      <c r="M375" s="313" t="s">
        <v>61</v>
      </c>
      <c r="N375" s="364">
        <v>46263</v>
      </c>
      <c r="O375" s="350">
        <v>46266</v>
      </c>
      <c r="P375" s="350">
        <v>46273</v>
      </c>
      <c r="Q375" s="350">
        <v>46274</v>
      </c>
      <c r="R375" s="350">
        <v>46279</v>
      </c>
      <c r="S375" s="350">
        <v>46280</v>
      </c>
      <c r="T375" s="350">
        <v>46286</v>
      </c>
      <c r="U375" s="350">
        <v>46295</v>
      </c>
      <c r="V375" s="350">
        <v>46297</v>
      </c>
      <c r="W375" s="350">
        <v>46309</v>
      </c>
      <c r="X375" s="350">
        <v>46311</v>
      </c>
      <c r="Y375" s="350">
        <v>46318</v>
      </c>
      <c r="Z375" s="350">
        <v>46332</v>
      </c>
      <c r="AA375" s="350">
        <v>46346</v>
      </c>
      <c r="AB375" s="350"/>
      <c r="AC375" s="311"/>
      <c r="AD375" s="350"/>
      <c r="AE375" s="350"/>
      <c r="AF375" s="350"/>
      <c r="AG375" s="350"/>
      <c r="AH375" s="350"/>
      <c r="AI375" s="350"/>
      <c r="AJ375" s="316">
        <v>8</v>
      </c>
      <c r="AL375" s="350"/>
      <c r="AM375" s="456"/>
      <c r="AN375" s="457"/>
      <c r="AO375" s="457"/>
      <c r="AP375" s="457"/>
      <c r="AQ375" s="311"/>
      <c r="AR375" s="329"/>
      <c r="AS375" s="330" t="s">
        <v>62</v>
      </c>
      <c r="AT375" s="331">
        <v>46356</v>
      </c>
    </row>
    <row r="376" spans="1:46" s="264" customFormat="1" ht="25.05" customHeight="1">
      <c r="A376" s="491"/>
      <c r="B376" s="308" t="str">
        <f>B375</f>
        <v>RFQ-PIP-093</v>
      </c>
      <c r="C376" s="308" t="str">
        <f>C375</f>
        <v>Coat</v>
      </c>
      <c r="D376" s="368"/>
      <c r="E376" s="542"/>
      <c r="F376" s="361"/>
      <c r="G376" s="311"/>
      <c r="H376" s="584"/>
      <c r="I376" s="311" t="str">
        <f>I375</f>
        <v>Coating</v>
      </c>
      <c r="J376" s="308"/>
      <c r="K376" s="322"/>
      <c r="L376" s="308"/>
      <c r="M376" s="323" t="s">
        <v>63</v>
      </c>
      <c r="N376" s="367"/>
      <c r="O376" s="325">
        <v>46223</v>
      </c>
      <c r="P376" s="325">
        <v>46230</v>
      </c>
      <c r="Q376" s="325">
        <v>46231</v>
      </c>
      <c r="R376" s="325">
        <v>46237</v>
      </c>
      <c r="S376" s="325">
        <v>46238</v>
      </c>
      <c r="T376" s="325">
        <v>46244</v>
      </c>
      <c r="U376" s="325">
        <v>46254</v>
      </c>
      <c r="V376" s="325">
        <v>46258</v>
      </c>
      <c r="W376" s="325">
        <v>46265</v>
      </c>
      <c r="X376" s="325">
        <v>46267</v>
      </c>
      <c r="Y376" s="325">
        <v>46274</v>
      </c>
      <c r="Z376" s="325">
        <v>46288</v>
      </c>
      <c r="AA376" s="325">
        <v>46302</v>
      </c>
      <c r="AB376" s="325">
        <v>46312</v>
      </c>
      <c r="AC376" s="325">
        <v>46312</v>
      </c>
      <c r="AD376" s="325">
        <v>46314</v>
      </c>
      <c r="AE376" s="325">
        <v>46341</v>
      </c>
      <c r="AF376" s="325">
        <v>46348</v>
      </c>
      <c r="AG376" s="325">
        <v>46355</v>
      </c>
      <c r="AH376" s="325">
        <v>46369</v>
      </c>
      <c r="AI376" s="325">
        <v>46385</v>
      </c>
      <c r="AJ376" s="365"/>
      <c r="AK376" s="326"/>
      <c r="AL376" s="325">
        <f>W376+AK377</f>
        <v>46321</v>
      </c>
      <c r="AM376" s="327"/>
      <c r="AN376" s="327"/>
      <c r="AO376" s="327"/>
      <c r="AP376" s="327"/>
      <c r="AQ376" s="328">
        <f>AM377-AL376</f>
        <v>28</v>
      </c>
      <c r="AR376" s="329"/>
      <c r="AS376" s="330"/>
      <c r="AT376" s="331"/>
    </row>
    <row r="377" spans="1:46" s="264" customFormat="1" ht="25.05" customHeight="1">
      <c r="A377" s="502"/>
      <c r="B377" s="308" t="str">
        <f>B375</f>
        <v>RFQ-PIP-093</v>
      </c>
      <c r="C377" s="308" t="s">
        <v>324</v>
      </c>
      <c r="D377" s="360"/>
      <c r="E377" s="542"/>
      <c r="F377" s="360"/>
      <c r="G377" s="311">
        <v>3</v>
      </c>
      <c r="H377" s="585"/>
      <c r="I377" s="311" t="s">
        <v>326</v>
      </c>
      <c r="J377" s="308" t="s">
        <v>71</v>
      </c>
      <c r="K377" s="308">
        <f>K378</f>
        <v>0</v>
      </c>
      <c r="L377" s="308" t="s">
        <v>9</v>
      </c>
      <c r="M377" s="313" t="s">
        <v>65</v>
      </c>
      <c r="N377" s="350">
        <v>46256</v>
      </c>
      <c r="O377" s="350">
        <v>46225</v>
      </c>
      <c r="P377" s="350">
        <f>WORKDAY.INTL(O377,INDEX(P$8:P$11,MATCH($L377,$L$8:$L$11,0)),1,IF(P$18="China",'China Holidays'!$A$2:$A$82,'Thai Holidays'!$A$2:$A$63))</f>
        <v>46241</v>
      </c>
      <c r="Q377" s="350">
        <f>WORKDAY.INTL(P377,INDEX(Q$8:Q$11,MATCH($L377,$L$8:$L$11,0)),1,IF(Q$18="China",'China Holidays'!$A$2:$A$82,'Thai Holidays'!$A$2:$A$63))</f>
        <v>46241</v>
      </c>
      <c r="R377" s="350">
        <f>WORKDAY.INTL(Q377,INDEX(R$8:R$11,MATCH($L377,$L$8:$L$11,0)),1,IF(R$18="China",'China Holidays'!$A$2:$A$82,'Thai Holidays'!$A$2:$A$63))</f>
        <v>46241</v>
      </c>
      <c r="S377" s="350">
        <f>WORKDAY.INTL(R377,INDEX(S$8:S$11,MATCH($L377,$L$8:$L$11,0)),1,IF(S$18="China",'China Holidays'!$A$2:$A$82,'Thai Holidays'!$A$2:$A$63))</f>
        <v>46241</v>
      </c>
      <c r="T377" s="350">
        <f>WORKDAY.INTL(S377,INDEX(T$8:T$11,MATCH($L377,$L$8:$L$11,0)),1,IF(T$18="China",'China Holidays'!$A$2:$A$82,'Thai Holidays'!$A$2:$A$63))</f>
        <v>46248</v>
      </c>
      <c r="U377" s="350">
        <f>WORKDAY.INTL(T377,INDEX(U$8:U$11,MATCH($L377,$L$8:$L$11,0)),1,IF(U$18="China",'China Holidays'!$A$2:$A$82,'Thai Holidays'!$A$2:$A$63))</f>
        <v>46259</v>
      </c>
      <c r="V377" s="350">
        <f>WORKDAY.INTL(U377,INDEX(V$8:V$11,MATCH($L377,$L$8:$L$11,0)),1,IF(V$18="China",'China Holidays'!$A$2:$A$82,'Thai Holidays'!$A$2:$A$63))</f>
        <v>46273</v>
      </c>
      <c r="W377" s="350">
        <f>WORKDAY.INTL(V377,INDEX(W$8:W$11,MATCH($L377,$L$8:$L$11,0)),1,IF(W$18="China",'China Holidays'!$A$2:$A$82,'Thai Holidays'!$A$2:$A$63))</f>
        <v>46280</v>
      </c>
      <c r="X377" s="350">
        <v>46311</v>
      </c>
      <c r="Y377" s="350">
        <v>46318</v>
      </c>
      <c r="Z377" s="350">
        <v>46332</v>
      </c>
      <c r="AA377" s="350">
        <v>46346</v>
      </c>
      <c r="AB377" s="350"/>
      <c r="AC377" s="311"/>
      <c r="AD377" s="350"/>
      <c r="AE377" s="350"/>
      <c r="AF377" s="350"/>
      <c r="AG377" s="350"/>
      <c r="AH377" s="350"/>
      <c r="AI377" s="350"/>
      <c r="AJ377" s="362"/>
      <c r="AK377" s="326">
        <f>AJ375*7</f>
        <v>56</v>
      </c>
      <c r="AL377" s="458">
        <f>AK377+W377</f>
        <v>46336</v>
      </c>
      <c r="AM377" s="327">
        <f>AT375-7</f>
        <v>46349</v>
      </c>
      <c r="AN377" s="327">
        <f>AO377-7</f>
        <v>46326</v>
      </c>
      <c r="AO377" s="327">
        <v>46333</v>
      </c>
      <c r="AP377" s="327" t="s">
        <v>327</v>
      </c>
      <c r="AQ377" s="311">
        <f>AM377-AL377</f>
        <v>13</v>
      </c>
      <c r="AR377" s="329"/>
      <c r="AS377" s="330" t="s">
        <v>66</v>
      </c>
      <c r="AT377" s="331">
        <v>46386</v>
      </c>
    </row>
    <row r="378" spans="1:46" s="264" customFormat="1" ht="25.05" customHeight="1">
      <c r="A378" s="503"/>
      <c r="B378" s="337" t="str">
        <f>B375</f>
        <v>RFQ-PIP-093</v>
      </c>
      <c r="C378" s="337" t="s">
        <v>324</v>
      </c>
      <c r="D378" s="363"/>
      <c r="E378" s="546"/>
      <c r="F378" s="363"/>
      <c r="G378" s="340"/>
      <c r="H378" s="586"/>
      <c r="I378" s="311" t="s">
        <v>326</v>
      </c>
      <c r="J378" s="337" t="s">
        <v>71</v>
      </c>
      <c r="K378" s="337"/>
      <c r="L378" s="337" t="s">
        <v>9</v>
      </c>
      <c r="M378" s="341" t="s">
        <v>67</v>
      </c>
      <c r="N378" s="343"/>
      <c r="O378" s="343"/>
      <c r="P378" s="459"/>
      <c r="Q378" s="459"/>
      <c r="R378" s="459"/>
      <c r="S378" s="459"/>
      <c r="T378" s="459"/>
      <c r="U378" s="459"/>
      <c r="V378" s="459"/>
      <c r="W378" s="340">
        <f>W375-W377</f>
        <v>29</v>
      </c>
      <c r="X378" s="340"/>
      <c r="Y378" s="340"/>
      <c r="Z378" s="340"/>
      <c r="AA378" s="340"/>
      <c r="AB378" s="343"/>
      <c r="AC378" s="340"/>
      <c r="AD378" s="343"/>
      <c r="AE378" s="343"/>
      <c r="AF378" s="343"/>
      <c r="AG378" s="343"/>
      <c r="AH378" s="343"/>
      <c r="AI378" s="343"/>
      <c r="AJ378" s="353"/>
      <c r="AK378" s="460"/>
      <c r="AL378" s="343"/>
      <c r="AM378" s="461"/>
      <c r="AN378" s="461"/>
      <c r="AO378" s="461"/>
      <c r="AP378" s="461"/>
      <c r="AQ378" s="340"/>
      <c r="AR378" s="356"/>
      <c r="AS378" s="357"/>
      <c r="AT378" s="356"/>
    </row>
    <row r="379" spans="1:46" s="270" customFormat="1" ht="25.05" customHeight="1">
      <c r="A379" s="494">
        <f t="shared" ref="A379" si="26">A371+1</f>
        <v>91</v>
      </c>
      <c r="B379" s="462" t="s">
        <v>328</v>
      </c>
      <c r="C379" s="462" t="s">
        <v>329</v>
      </c>
      <c r="D379" s="420"/>
      <c r="E379" s="545">
        <v>17.1428571428571</v>
      </c>
      <c r="F379" s="420"/>
      <c r="G379" s="463"/>
      <c r="H379" s="464"/>
      <c r="I379" s="465" t="s">
        <v>308</v>
      </c>
      <c r="J379" s="466" t="s">
        <v>71</v>
      </c>
      <c r="K379" s="462">
        <f>K381</f>
        <v>0</v>
      </c>
      <c r="L379" s="462" t="s">
        <v>9</v>
      </c>
      <c r="M379" s="467" t="s">
        <v>61</v>
      </c>
      <c r="N379" s="403">
        <f>O379-3</f>
        <v>46168</v>
      </c>
      <c r="O379" s="403">
        <v>46171</v>
      </c>
      <c r="P379" s="403">
        <v>46182</v>
      </c>
      <c r="Q379" s="403">
        <v>46183</v>
      </c>
      <c r="R379" s="403">
        <v>46188</v>
      </c>
      <c r="S379" s="403">
        <f>R379+1</f>
        <v>46189</v>
      </c>
      <c r="T379" s="403">
        <v>46196</v>
      </c>
      <c r="U379" s="403">
        <v>46205</v>
      </c>
      <c r="V379" s="403">
        <v>46209</v>
      </c>
      <c r="W379" s="403">
        <v>46218</v>
      </c>
      <c r="X379" s="403">
        <v>46225</v>
      </c>
      <c r="Y379" s="403">
        <v>46239</v>
      </c>
      <c r="Z379" s="403">
        <v>46254</v>
      </c>
      <c r="AA379" s="403">
        <v>46293</v>
      </c>
      <c r="AB379" s="403">
        <v>46284</v>
      </c>
      <c r="AC379" s="403">
        <v>46284</v>
      </c>
      <c r="AD379" s="403">
        <v>46286</v>
      </c>
      <c r="AE379" s="403">
        <v>46369</v>
      </c>
      <c r="AF379" s="403">
        <v>46372</v>
      </c>
      <c r="AG379" s="403">
        <v>46387</v>
      </c>
      <c r="AH379" s="403">
        <v>46401</v>
      </c>
      <c r="AI379" s="403">
        <v>46417</v>
      </c>
      <c r="AJ379" s="468">
        <v>17.1428571428571</v>
      </c>
      <c r="AK379" s="464"/>
      <c r="AL379" s="403">
        <v>46387</v>
      </c>
      <c r="AM379" s="469"/>
      <c r="AN379" s="470"/>
      <c r="AO379" s="470"/>
      <c r="AP379" s="470"/>
      <c r="AQ379" s="463"/>
      <c r="AR379" s="471"/>
      <c r="AS379" s="472"/>
      <c r="AT379" s="471"/>
    </row>
    <row r="380" spans="1:46" s="270" customFormat="1" ht="25.05" customHeight="1">
      <c r="A380" s="495"/>
      <c r="B380" s="466" t="str">
        <f>B379</f>
        <v>RFQ-PLR-091</v>
      </c>
      <c r="C380" s="466" t="s">
        <v>329</v>
      </c>
      <c r="D380" s="359"/>
      <c r="E380" s="543"/>
      <c r="F380" s="359"/>
      <c r="G380" s="463">
        <v>0</v>
      </c>
      <c r="H380" s="473" t="s">
        <v>309</v>
      </c>
      <c r="I380" s="463" t="s">
        <v>308</v>
      </c>
      <c r="J380" s="466" t="s">
        <v>71</v>
      </c>
      <c r="K380" s="466">
        <f>K381</f>
        <v>0</v>
      </c>
      <c r="L380" s="466" t="s">
        <v>9</v>
      </c>
      <c r="M380" s="467" t="s">
        <v>65</v>
      </c>
      <c r="N380" s="463">
        <v>46162</v>
      </c>
      <c r="O380" s="404">
        <v>46171</v>
      </c>
      <c r="P380" s="404">
        <f>WORKDAY.INTL(O380,INDEX(P$8:P$11,MATCH($L380,$L$8:$L$11,0)),1,IF(P$18="China",'China Holidays'!$A$2:$A$82,'Thai Holidays'!$A$2:$A$63))</f>
        <v>46189</v>
      </c>
      <c r="Q380" s="404">
        <f>WORKDAY.INTL(P380,INDEX(Q$8:Q$11,MATCH($L380,$L$8:$L$11,0)),1,IF(Q$18="China",'China Holidays'!$A$2:$A$82,'Thai Holidays'!$A$2:$A$63))</f>
        <v>46189</v>
      </c>
      <c r="R380" s="404">
        <f>WORKDAY.INTL(Q380,INDEX(R$8:R$11,MATCH($L380,$L$8:$L$11,0)),1,IF(R$18="China",'China Holidays'!$A$2:$A$82,'Thai Holidays'!$A$2:$A$63))</f>
        <v>46189</v>
      </c>
      <c r="S380" s="404">
        <f>WORKDAY.INTL(R380,INDEX(S$8:S$11,MATCH($L380,$L$8:$L$11,0)),1,IF(S$18="China",'China Holidays'!$A$2:$A$82,'Thai Holidays'!$A$2:$A$63))</f>
        <v>46189</v>
      </c>
      <c r="T380" s="404">
        <f>WORKDAY.INTL(S380,INDEX(T$8:T$11,MATCH($L380,$L$8:$L$11,0)),1,IF(T$18="China",'China Holidays'!$A$2:$A$82,'Thai Holidays'!$A$2:$A$63))</f>
        <v>46197</v>
      </c>
      <c r="U380" s="404">
        <f>WORKDAY.INTL(T380,INDEX(U$8:U$11,MATCH($L380,$L$8:$L$11,0)),1,IF(U$18="China",'China Holidays'!$A$2:$A$82,'Thai Holidays'!$A$2:$A$63))</f>
        <v>46206</v>
      </c>
      <c r="V380" s="404">
        <f>WORKDAY.INTL(U380,INDEX(V$8:V$11,MATCH($L380,$L$8:$L$11,0)),1,IF(V$18="China",'China Holidays'!$A$2:$A$82,'Thai Holidays'!$A$2:$A$63))</f>
        <v>46220</v>
      </c>
      <c r="W380" s="404">
        <f>WORKDAY.INTL(V380,INDEX(W$8:W$11,MATCH($L380,$L$8:$L$11,0)),1,IF(W$18="China",'China Holidays'!$A$2:$A$82,'Thai Holidays'!$A$2:$A$63))</f>
        <v>46227</v>
      </c>
      <c r="X380" s="404">
        <v>46218</v>
      </c>
      <c r="Y380" s="404">
        <v>46225</v>
      </c>
      <c r="Z380" s="404">
        <v>46239</v>
      </c>
      <c r="AA380" s="404">
        <v>46254</v>
      </c>
      <c r="AB380" s="404">
        <f>AA380+30</f>
        <v>46284</v>
      </c>
      <c r="AC380" s="404">
        <f>AB380</f>
        <v>46284</v>
      </c>
      <c r="AD380" s="404">
        <f>AC380+2</f>
        <v>46286</v>
      </c>
      <c r="AE380" s="404">
        <f>AF380-3</f>
        <v>46369</v>
      </c>
      <c r="AF380" s="404">
        <f>AG380-15</f>
        <v>46372</v>
      </c>
      <c r="AG380" s="404">
        <f>AL380</f>
        <v>46387</v>
      </c>
      <c r="AH380" s="404">
        <f>AL380+14</f>
        <v>46401</v>
      </c>
      <c r="AI380" s="404">
        <f>AL380+30</f>
        <v>46417</v>
      </c>
      <c r="AJ380" s="474"/>
      <c r="AK380" s="473">
        <v>120</v>
      </c>
      <c r="AL380" s="404">
        <v>46387</v>
      </c>
      <c r="AM380" s="405">
        <v>46387</v>
      </c>
      <c r="AN380" s="405"/>
      <c r="AO380" s="405"/>
      <c r="AP380" s="405"/>
      <c r="AQ380" s="463">
        <f>AM380-AL380</f>
        <v>0</v>
      </c>
      <c r="AR380" s="475"/>
      <c r="AS380" s="476"/>
      <c r="AT380" s="475"/>
    </row>
    <row r="381" spans="1:46" s="270" customFormat="1" ht="25.05" customHeight="1">
      <c r="A381" s="496"/>
      <c r="B381" s="477" t="str">
        <f>B379</f>
        <v>RFQ-PLR-091</v>
      </c>
      <c r="C381" s="477" t="s">
        <v>329</v>
      </c>
      <c r="D381" s="363"/>
      <c r="E381" s="546"/>
      <c r="F381" s="363"/>
      <c r="G381" s="478"/>
      <c r="H381" s="479"/>
      <c r="I381" s="478" t="s">
        <v>308</v>
      </c>
      <c r="J381" s="477" t="s">
        <v>71</v>
      </c>
      <c r="K381" s="477"/>
      <c r="L381" s="477" t="s">
        <v>9</v>
      </c>
      <c r="M381" s="480" t="s">
        <v>67</v>
      </c>
      <c r="N381" s="478"/>
      <c r="O381" s="478"/>
      <c r="P381" s="478"/>
      <c r="Q381" s="478"/>
      <c r="R381" s="478"/>
      <c r="S381" s="478"/>
      <c r="T381" s="478"/>
      <c r="U381" s="478"/>
      <c r="V381" s="478"/>
      <c r="W381" s="478">
        <f>W379-W380</f>
        <v>-9</v>
      </c>
      <c r="X381" s="478"/>
      <c r="Y381" s="478"/>
      <c r="Z381" s="478"/>
      <c r="AA381" s="478"/>
      <c r="AB381" s="478"/>
      <c r="AC381" s="478"/>
      <c r="AD381" s="478"/>
      <c r="AE381" s="478"/>
      <c r="AF381" s="478"/>
      <c r="AG381" s="478"/>
      <c r="AH381" s="478"/>
      <c r="AI381" s="478"/>
      <c r="AJ381" s="481"/>
      <c r="AK381" s="479"/>
      <c r="AL381" s="478"/>
      <c r="AM381" s="482"/>
      <c r="AN381" s="482"/>
      <c r="AO381" s="482"/>
      <c r="AP381" s="482"/>
      <c r="AQ381" s="478"/>
      <c r="AR381" s="483"/>
      <c r="AS381" s="484"/>
      <c r="AT381" s="483"/>
    </row>
    <row r="382" spans="1:46" s="264" customFormat="1" ht="25.05" customHeight="1">
      <c r="A382" s="493">
        <f t="shared" ref="A382" si="27">A379+1</f>
        <v>92</v>
      </c>
      <c r="B382" s="308" t="s">
        <v>330</v>
      </c>
      <c r="C382" s="308" t="s">
        <v>331</v>
      </c>
      <c r="D382" s="517"/>
      <c r="E382" s="541">
        <v>24</v>
      </c>
      <c r="F382" s="576"/>
      <c r="G382" s="311"/>
      <c r="H382" s="310"/>
      <c r="I382" s="311" t="s">
        <v>83</v>
      </c>
      <c r="J382" s="308" t="s">
        <v>60</v>
      </c>
      <c r="K382" s="312">
        <f>K385</f>
        <v>3</v>
      </c>
      <c r="L382" s="308" t="s">
        <v>6</v>
      </c>
      <c r="M382" s="313" t="s">
        <v>61</v>
      </c>
      <c r="N382" s="364">
        <f>WORKDAY.INTL(O382,-INDEX(O$12:O$15,MATCH($L382,$L$12:$L$15,0)),1,IF(N$18="China",'China Holidays'!$A$2:$A$82,'Thai Holidays'!$A$2:$A$63))</f>
        <v>46164</v>
      </c>
      <c r="O382" s="350">
        <v>46167</v>
      </c>
      <c r="P382" s="350">
        <v>46175</v>
      </c>
      <c r="Q382" s="350">
        <v>46176</v>
      </c>
      <c r="R382" s="350">
        <v>46183</v>
      </c>
      <c r="S382" s="350">
        <f>R382+1</f>
        <v>46184</v>
      </c>
      <c r="T382" s="350">
        <v>46198</v>
      </c>
      <c r="U382" s="350">
        <v>46226</v>
      </c>
      <c r="V382" s="350">
        <v>46233</v>
      </c>
      <c r="W382" s="350">
        <v>46247</v>
      </c>
      <c r="X382" s="350">
        <v>46251</v>
      </c>
      <c r="Y382" s="350">
        <v>46258</v>
      </c>
      <c r="Z382" s="350">
        <v>46286</v>
      </c>
      <c r="AA382" s="350">
        <v>46300</v>
      </c>
      <c r="AB382" s="350">
        <v>46330</v>
      </c>
      <c r="AC382" s="350">
        <v>46330</v>
      </c>
      <c r="AD382" s="350">
        <v>46332</v>
      </c>
      <c r="AE382" s="350">
        <v>46401</v>
      </c>
      <c r="AF382" s="350">
        <v>46408</v>
      </c>
      <c r="AG382" s="350">
        <v>46415</v>
      </c>
      <c r="AH382" s="350">
        <v>46429</v>
      </c>
      <c r="AI382" s="350">
        <v>46445</v>
      </c>
      <c r="AJ382" s="316">
        <v>24</v>
      </c>
      <c r="AK382" s="351"/>
      <c r="AL382" s="350" t="str">
        <f>TEXT(AL384,"d-mmm-yy")</f>
        <v>28-Jan-27</v>
      </c>
      <c r="AM382" s="327"/>
      <c r="AN382" s="485"/>
      <c r="AO382" s="485"/>
      <c r="AP382" s="485"/>
      <c r="AQ382" s="311"/>
      <c r="AR382" s="329"/>
      <c r="AS382" s="330" t="s">
        <v>62</v>
      </c>
      <c r="AT382" s="331">
        <v>46507</v>
      </c>
    </row>
    <row r="383" spans="1:46" s="264" customFormat="1" ht="25.05" customHeight="1">
      <c r="A383" s="491"/>
      <c r="B383" s="308" t="str">
        <f>B382</f>
        <v>RFQ-PIP-092</v>
      </c>
      <c r="C383" s="308" t="str">
        <f>C382</f>
        <v>CORROSION FITTINGS (PROBE, COUPON AND CHEMICAL INJECTION QUILL)</v>
      </c>
      <c r="D383" s="515"/>
      <c r="E383" s="542"/>
      <c r="F383" s="555"/>
      <c r="G383" s="311"/>
      <c r="H383" s="310"/>
      <c r="I383" s="311" t="str">
        <f>I382</f>
        <v>Piping</v>
      </c>
      <c r="J383" s="308"/>
      <c r="K383" s="322"/>
      <c r="L383" s="308"/>
      <c r="M383" s="323" t="s">
        <v>63</v>
      </c>
      <c r="N383" s="367"/>
      <c r="O383" s="325">
        <v>46167</v>
      </c>
      <c r="P383" s="325">
        <v>46175</v>
      </c>
      <c r="Q383" s="325">
        <v>46176</v>
      </c>
      <c r="R383" s="325">
        <v>46183</v>
      </c>
      <c r="S383" s="325">
        <v>46184</v>
      </c>
      <c r="T383" s="325">
        <v>46226</v>
      </c>
      <c r="U383" s="325">
        <v>46254</v>
      </c>
      <c r="V383" s="325">
        <v>46261</v>
      </c>
      <c r="W383" s="325">
        <v>46275</v>
      </c>
      <c r="X383" s="325">
        <v>46279</v>
      </c>
      <c r="Y383" s="325">
        <v>46286</v>
      </c>
      <c r="Z383" s="325">
        <v>46314</v>
      </c>
      <c r="AA383" s="325">
        <v>46328</v>
      </c>
      <c r="AB383" s="325">
        <v>46358</v>
      </c>
      <c r="AC383" s="325">
        <v>46358</v>
      </c>
      <c r="AD383" s="325">
        <v>46360</v>
      </c>
      <c r="AE383" s="325">
        <v>46429</v>
      </c>
      <c r="AF383" s="325">
        <v>46436</v>
      </c>
      <c r="AG383" s="325">
        <v>46443</v>
      </c>
      <c r="AH383" s="325">
        <v>46457</v>
      </c>
      <c r="AI383" s="325">
        <v>46473</v>
      </c>
      <c r="AJ383" s="365"/>
      <c r="AK383" s="326"/>
      <c r="AL383" s="325">
        <f>W383+AK384</f>
        <v>46443</v>
      </c>
      <c r="AM383" s="327"/>
      <c r="AN383" s="327"/>
      <c r="AO383" s="327"/>
      <c r="AP383" s="327"/>
      <c r="AQ383" s="328">
        <f>AM384-AL383</f>
        <v>57</v>
      </c>
      <c r="AR383" s="329"/>
      <c r="AS383" s="330"/>
      <c r="AT383" s="331"/>
    </row>
    <row r="384" spans="1:46" s="264" customFormat="1" ht="25.05" customHeight="1">
      <c r="A384" s="491"/>
      <c r="B384" s="308" t="str">
        <f>B382</f>
        <v>RFQ-PIP-092</v>
      </c>
      <c r="C384" s="308" t="str">
        <f>C382</f>
        <v>CORROSION FITTINGS (PROBE, COUPON AND CHEMICAL INJECTION QUILL)</v>
      </c>
      <c r="D384" s="505"/>
      <c r="E384" s="543"/>
      <c r="F384" s="519"/>
      <c r="G384" s="311">
        <v>85</v>
      </c>
      <c r="H384" s="310" t="s">
        <v>263</v>
      </c>
      <c r="I384" s="311" t="s">
        <v>83</v>
      </c>
      <c r="J384" s="308" t="s">
        <v>60</v>
      </c>
      <c r="K384" s="308">
        <f>K385</f>
        <v>3</v>
      </c>
      <c r="L384" s="308" t="s">
        <v>6</v>
      </c>
      <c r="M384" s="313" t="s">
        <v>65</v>
      </c>
      <c r="N384" s="350">
        <v>46161</v>
      </c>
      <c r="O384" s="350">
        <v>46167</v>
      </c>
      <c r="P384" s="350">
        <f>WORKDAY.INTL(O384,INDEX(P$8:P$11,MATCH($L384,$L$8:$L$11,0)),1,IF(P$18="China",'China Holidays'!$A$2:$A$82,'Thai Holidays'!$A$2:$A$63))</f>
        <v>46183</v>
      </c>
      <c r="Q384" s="350">
        <f>WORKDAY.INTL(P384,INDEX(Q$8:Q$11,MATCH($L384,$L$8:$L$11,0)),1,IF(Q$18="China",'China Holidays'!$A$2:$A$82,'Thai Holidays'!$A$2:$A$63))</f>
        <v>46183</v>
      </c>
      <c r="R384" s="350">
        <f>WORKDAY.INTL(Q384,INDEX(R$8:R$11,MATCH($L384,$L$8:$L$11,0)),1,IF(R$18="China",'China Holidays'!$A$2:$A$82,'Thai Holidays'!$A$2:$A$63))</f>
        <v>46183</v>
      </c>
      <c r="S384" s="350">
        <f>WORKDAY.INTL(R384,INDEX(S$8:S$11,MATCH($L384,$L$8:$L$11,0)),1,IF(S$18="China",'China Holidays'!$A$2:$A$82,'Thai Holidays'!$A$2:$A$63))</f>
        <v>46183</v>
      </c>
      <c r="T384" s="350">
        <f>WORKDAY.INTL(S384,INDEX(T$8:T$11,MATCH($L384,$L$8:$L$11,0)),1,IF(T$18="China",'China Holidays'!$A$2:$A$82,'Thai Holidays'!$A$2:$A$63))</f>
        <v>46198</v>
      </c>
      <c r="U384" s="350">
        <v>46218</v>
      </c>
      <c r="V384" s="350">
        <f>WORKDAY.INTL(U384,INDEX(V$8:V$11,MATCH($L384,$L$8:$L$11,0)),1,IF(V$18="China",'China Holidays'!$A$2:$A$82,'Thai Holidays'!$A$2:$A$63))</f>
        <v>46234</v>
      </c>
      <c r="W384" s="350">
        <f>WORKDAY.INTL(V384,INDEX(W$8:W$11,MATCH($L384,$L$8:$L$11,0)),1,IF(W$18="China",'China Holidays'!$A$2:$A$82,'Thai Holidays'!$A$2:$A$63))</f>
        <v>46247</v>
      </c>
      <c r="X384" s="350">
        <f>WORKDAY.INTL(W384,INDEX(X$12:X$15,MATCH($L384,$L$12:$L$15,0)),1,IF(X$18="China",'China Holidays'!$A$2:$A$82,'Thai Holidays'!$A$2:$A$63))</f>
        <v>46251</v>
      </c>
      <c r="Y384" s="350">
        <f>WORKDAY.INTL(X384,INDEX(Y$12:Y$15,MATCH($L384,$L$12:$L$15,0)),1,IF(Y$18="China",'China Holidays'!$A$2:$A$82,'Thai Holidays'!$A$2:$A$63))</f>
        <v>46258</v>
      </c>
      <c r="Z384" s="350">
        <f>WORKDAY.INTL(Y384,INDEX(Z$12:Z$15,MATCH($L384,$L$12:$L$15,0)),1,IF(Z$18="China",'China Holidays'!$A$2:$A$82,'Thai Holidays'!$A$2:$A$63))</f>
        <v>46286</v>
      </c>
      <c r="AA384" s="350">
        <f>WORKDAY.INTL(Z384,INDEX(AA$12:AA$15,MATCH($L384,$L$12:$L$15,0)),1,IF(AA$18="China",'China Holidays'!$A$2:$A$82,'Thai Holidays'!$A$2:$A$63))</f>
        <v>46300</v>
      </c>
      <c r="AB384" s="350">
        <f>AA384+30</f>
        <v>46330</v>
      </c>
      <c r="AC384" s="350">
        <f>AB384</f>
        <v>46330</v>
      </c>
      <c r="AD384" s="350">
        <f>AC384+2</f>
        <v>46332</v>
      </c>
      <c r="AE384" s="350">
        <f>AF384-7</f>
        <v>46401</v>
      </c>
      <c r="AF384" s="350">
        <f>AG384-7</f>
        <v>46408</v>
      </c>
      <c r="AG384" s="350">
        <f>AL384</f>
        <v>46415</v>
      </c>
      <c r="AH384" s="350">
        <f>AL384+14</f>
        <v>46429</v>
      </c>
      <c r="AI384" s="350">
        <f>AL384+30</f>
        <v>46445</v>
      </c>
      <c r="AJ384" s="362"/>
      <c r="AK384" s="326">
        <f>AJ382*7</f>
        <v>168</v>
      </c>
      <c r="AL384" s="350">
        <f>W384+AK384</f>
        <v>46415</v>
      </c>
      <c r="AM384" s="327">
        <f>AT382-7</f>
        <v>46500</v>
      </c>
      <c r="AN384" s="327">
        <f>AO384-7</f>
        <v>46501</v>
      </c>
      <c r="AO384" s="327">
        <v>46508</v>
      </c>
      <c r="AP384" s="327"/>
      <c r="AQ384" s="311">
        <f>AM384-AL384</f>
        <v>85</v>
      </c>
      <c r="AR384" s="329"/>
      <c r="AS384" s="330" t="s">
        <v>66</v>
      </c>
      <c r="AT384" s="331">
        <v>46507</v>
      </c>
    </row>
    <row r="385" spans="1:46" s="264" customFormat="1" ht="25.05" customHeight="1">
      <c r="A385" s="492"/>
      <c r="B385" s="337" t="str">
        <f>B382</f>
        <v>RFQ-PIP-092</v>
      </c>
      <c r="C385" s="337" t="str">
        <f>C382</f>
        <v>CORROSION FITTINGS (PROBE, COUPON AND CHEMICAL INJECTION QUILL)</v>
      </c>
      <c r="D385" s="507"/>
      <c r="E385" s="546"/>
      <c r="F385" s="520"/>
      <c r="G385" s="340"/>
      <c r="H385" s="339"/>
      <c r="I385" s="340" t="s">
        <v>83</v>
      </c>
      <c r="J385" s="337" t="s">
        <v>60</v>
      </c>
      <c r="K385" s="308">
        <v>3</v>
      </c>
      <c r="L385" s="337" t="s">
        <v>6</v>
      </c>
      <c r="M385" s="341" t="s">
        <v>67</v>
      </c>
      <c r="N385" s="343"/>
      <c r="O385" s="343"/>
      <c r="P385" s="343"/>
      <c r="Q385" s="343"/>
      <c r="R385" s="343"/>
      <c r="S385" s="343"/>
      <c r="T385" s="343"/>
      <c r="U385" s="343"/>
      <c r="V385" s="343"/>
      <c r="W385" s="343"/>
      <c r="X385" s="343"/>
      <c r="Y385" s="343"/>
      <c r="Z385" s="343"/>
      <c r="AA385" s="343"/>
      <c r="AB385" s="343"/>
      <c r="AC385" s="343"/>
      <c r="AD385" s="343"/>
      <c r="AE385" s="343"/>
      <c r="AF385" s="343"/>
      <c r="AG385" s="343"/>
      <c r="AH385" s="343"/>
      <c r="AI385" s="343"/>
      <c r="AJ385" s="353"/>
      <c r="AK385" s="354"/>
      <c r="AL385" s="350">
        <f>W385+AK384</f>
        <v>168</v>
      </c>
      <c r="AM385" s="355"/>
      <c r="AN385" s="355"/>
      <c r="AO385" s="355"/>
      <c r="AP385" s="355"/>
      <c r="AQ385" s="340"/>
      <c r="AR385" s="356"/>
      <c r="AS385" s="357"/>
      <c r="AT385" s="411" t="s">
        <v>316</v>
      </c>
    </row>
    <row r="386" spans="1:46" s="264" customFormat="1" ht="25.05" customHeight="1">
      <c r="A386" s="493">
        <v>94</v>
      </c>
      <c r="B386" s="308" t="s">
        <v>332</v>
      </c>
      <c r="C386" s="308" t="s">
        <v>333</v>
      </c>
      <c r="D386" s="521"/>
      <c r="E386" s="541">
        <v>24</v>
      </c>
      <c r="F386" s="580"/>
      <c r="G386" s="311"/>
      <c r="H386" s="310"/>
      <c r="I386" s="311" t="s">
        <v>83</v>
      </c>
      <c r="J386" s="308" t="s">
        <v>60</v>
      </c>
      <c r="K386" s="312">
        <f>K389</f>
        <v>3</v>
      </c>
      <c r="L386" s="308" t="s">
        <v>6</v>
      </c>
      <c r="M386" s="313" t="s">
        <v>61</v>
      </c>
      <c r="N386" s="364">
        <f>WORKDAY.INTL(O386,-INDEX(O$12:O$15,MATCH($L386,$L$12:$L$15,0)),1,IF(N$18="China",'China Holidays'!$A$2:$A$82,'Thai Holidays'!$A$2:$A$63))</f>
        <v>46164</v>
      </c>
      <c r="O386" s="350">
        <v>46167</v>
      </c>
      <c r="P386" s="350">
        <v>46175</v>
      </c>
      <c r="Q386" s="350">
        <v>46176</v>
      </c>
      <c r="R386" s="350">
        <v>46183</v>
      </c>
      <c r="S386" s="350">
        <f>R386+1</f>
        <v>46184</v>
      </c>
      <c r="T386" s="350">
        <v>46198</v>
      </c>
      <c r="U386" s="350">
        <v>46226</v>
      </c>
      <c r="V386" s="350">
        <v>46233</v>
      </c>
      <c r="W386" s="350">
        <v>46247</v>
      </c>
      <c r="X386" s="350">
        <v>46251</v>
      </c>
      <c r="Y386" s="350">
        <v>46258</v>
      </c>
      <c r="Z386" s="350">
        <v>46286</v>
      </c>
      <c r="AA386" s="350">
        <v>46300</v>
      </c>
      <c r="AB386" s="350">
        <v>46330</v>
      </c>
      <c r="AC386" s="350">
        <v>46330</v>
      </c>
      <c r="AD386" s="350">
        <v>46332</v>
      </c>
      <c r="AE386" s="350">
        <v>46401</v>
      </c>
      <c r="AF386" s="350">
        <v>46408</v>
      </c>
      <c r="AG386" s="350">
        <v>46415</v>
      </c>
      <c r="AH386" s="350">
        <v>46429</v>
      </c>
      <c r="AI386" s="350">
        <v>46445</v>
      </c>
      <c r="AJ386" s="316">
        <v>24</v>
      </c>
      <c r="AK386" s="351"/>
      <c r="AL386" s="350" t="str">
        <f>TEXT(AL388,"d-mmm-yy")</f>
        <v>28-Jan-27</v>
      </c>
      <c r="AM386" s="327"/>
      <c r="AN386" s="485"/>
      <c r="AO386" s="485"/>
      <c r="AP386" s="485"/>
      <c r="AQ386" s="311"/>
      <c r="AR386" s="329"/>
      <c r="AS386" s="330" t="s">
        <v>62</v>
      </c>
      <c r="AT386" s="331">
        <v>46507</v>
      </c>
    </row>
    <row r="387" spans="1:46" s="264" customFormat="1" ht="25.05" customHeight="1">
      <c r="A387" s="491"/>
      <c r="B387" s="308" t="str">
        <f>B386</f>
        <v>RFQ-PIP-094</v>
      </c>
      <c r="C387" s="308" t="str">
        <f>C386</f>
        <v>HOSE AND HOSE CONNECTOR</v>
      </c>
      <c r="D387" s="515"/>
      <c r="E387" s="542"/>
      <c r="F387" s="555"/>
      <c r="G387" s="311"/>
      <c r="H387" s="310"/>
      <c r="I387" s="311" t="str">
        <f>I386</f>
        <v>Piping</v>
      </c>
      <c r="J387" s="308"/>
      <c r="K387" s="322"/>
      <c r="L387" s="308"/>
      <c r="M387" s="323" t="s">
        <v>63</v>
      </c>
      <c r="N387" s="367"/>
      <c r="O387" s="325">
        <v>46167</v>
      </c>
      <c r="P387" s="325">
        <v>46175</v>
      </c>
      <c r="Q387" s="325">
        <v>46176</v>
      </c>
      <c r="R387" s="325">
        <v>46183</v>
      </c>
      <c r="S387" s="325">
        <v>46184</v>
      </c>
      <c r="T387" s="325">
        <v>46226</v>
      </c>
      <c r="U387" s="325">
        <v>46254</v>
      </c>
      <c r="V387" s="325">
        <v>46261</v>
      </c>
      <c r="W387" s="325">
        <v>46275</v>
      </c>
      <c r="X387" s="325">
        <v>46279</v>
      </c>
      <c r="Y387" s="325">
        <v>46286</v>
      </c>
      <c r="Z387" s="325">
        <v>46314</v>
      </c>
      <c r="AA387" s="325">
        <v>46328</v>
      </c>
      <c r="AB387" s="325">
        <v>46358</v>
      </c>
      <c r="AC387" s="325">
        <v>46358</v>
      </c>
      <c r="AD387" s="325">
        <v>46360</v>
      </c>
      <c r="AE387" s="325">
        <v>46429</v>
      </c>
      <c r="AF387" s="325">
        <v>46436</v>
      </c>
      <c r="AG387" s="325">
        <v>46443</v>
      </c>
      <c r="AH387" s="325">
        <v>46457</v>
      </c>
      <c r="AI387" s="325">
        <v>46473</v>
      </c>
      <c r="AJ387" s="365"/>
      <c r="AK387" s="326"/>
      <c r="AL387" s="325">
        <f>W387+AK388</f>
        <v>46443</v>
      </c>
      <c r="AM387" s="327"/>
      <c r="AN387" s="327"/>
      <c r="AO387" s="327"/>
      <c r="AP387" s="327"/>
      <c r="AQ387" s="328">
        <f>AM388-AL387</f>
        <v>57</v>
      </c>
      <c r="AR387" s="329"/>
      <c r="AS387" s="330"/>
      <c r="AT387" s="331"/>
    </row>
    <row r="388" spans="1:46" s="264" customFormat="1" ht="25.05" customHeight="1">
      <c r="A388" s="491"/>
      <c r="B388" s="308" t="str">
        <f>B386</f>
        <v>RFQ-PIP-094</v>
      </c>
      <c r="C388" s="308" t="str">
        <f>C386</f>
        <v>HOSE AND HOSE CONNECTOR</v>
      </c>
      <c r="D388" s="511"/>
      <c r="E388" s="542"/>
      <c r="F388" s="581"/>
      <c r="G388" s="311">
        <v>85</v>
      </c>
      <c r="H388" s="310" t="s">
        <v>263</v>
      </c>
      <c r="I388" s="311" t="s">
        <v>83</v>
      </c>
      <c r="J388" s="308" t="s">
        <v>60</v>
      </c>
      <c r="K388" s="308">
        <f>K389</f>
        <v>3</v>
      </c>
      <c r="L388" s="308" t="s">
        <v>6</v>
      </c>
      <c r="M388" s="313" t="s">
        <v>65</v>
      </c>
      <c r="N388" s="350">
        <v>46161</v>
      </c>
      <c r="O388" s="350">
        <v>46167</v>
      </c>
      <c r="P388" s="350">
        <f>WORKDAY.INTL(O388,INDEX(P$8:P$11,MATCH($L388,$L$8:$L$11,0)),1,IF(P$18="China",'China Holidays'!$A$2:$A$82,'Thai Holidays'!$A$2:$A$63))</f>
        <v>46183</v>
      </c>
      <c r="Q388" s="350">
        <f>WORKDAY.INTL(P388,INDEX(Q$8:Q$11,MATCH($L388,$L$8:$L$11,0)),1,IF(Q$18="China",'China Holidays'!$A$2:$A$82,'Thai Holidays'!$A$2:$A$63))</f>
        <v>46183</v>
      </c>
      <c r="R388" s="350">
        <f>WORKDAY.INTL(Q388,INDEX(R$8:R$11,MATCH($L388,$L$8:$L$11,0)),1,IF(R$18="China",'China Holidays'!$A$2:$A$82,'Thai Holidays'!$A$2:$A$63))</f>
        <v>46183</v>
      </c>
      <c r="S388" s="350">
        <f>WORKDAY.INTL(R388,INDEX(S$8:S$11,MATCH($L388,$L$8:$L$11,0)),1,IF(S$18="China",'China Holidays'!$A$2:$A$82,'Thai Holidays'!$A$2:$A$63))</f>
        <v>46183</v>
      </c>
      <c r="T388" s="350">
        <f>WORKDAY.INTL(S388,INDEX(T$8:T$11,MATCH($L388,$L$8:$L$11,0)),1,IF(T$18="China",'China Holidays'!$A$2:$A$82,'Thai Holidays'!$A$2:$A$63))</f>
        <v>46198</v>
      </c>
      <c r="U388" s="350">
        <v>46218</v>
      </c>
      <c r="V388" s="350">
        <f>WORKDAY.INTL(U388,INDEX(V$8:V$11,MATCH($L388,$L$8:$L$11,0)),1,IF(V$18="China",'China Holidays'!$A$2:$A$82,'Thai Holidays'!$A$2:$A$63))</f>
        <v>46234</v>
      </c>
      <c r="W388" s="350">
        <f>WORKDAY.INTL(V388,INDEX(W$8:W$11,MATCH($L388,$L$8:$L$11,0)),1,IF(W$18="China",'China Holidays'!$A$2:$A$82,'Thai Holidays'!$A$2:$A$63))</f>
        <v>46247</v>
      </c>
      <c r="X388" s="350">
        <f>WORKDAY.INTL(W388,INDEX(X$12:X$15,MATCH($L388,$L$12:$L$15,0)),1,IF(X$18="China",'China Holidays'!$A$2:$A$82,'Thai Holidays'!$A$2:$A$63))</f>
        <v>46251</v>
      </c>
      <c r="Y388" s="350">
        <f>WORKDAY.INTL(X388,INDEX(Y$12:Y$15,MATCH($L388,$L$12:$L$15,0)),1,IF(Y$18="China",'China Holidays'!$A$2:$A$82,'Thai Holidays'!$A$2:$A$63))</f>
        <v>46258</v>
      </c>
      <c r="Z388" s="350">
        <f>WORKDAY.INTL(Y388,INDEX(Z$12:Z$15,MATCH($L388,$L$12:$L$15,0)),1,IF(Z$18="China",'China Holidays'!$A$2:$A$82,'Thai Holidays'!$A$2:$A$63))</f>
        <v>46286</v>
      </c>
      <c r="AA388" s="350">
        <f>WORKDAY.INTL(Z388,INDEX(AA$12:AA$15,MATCH($L388,$L$12:$L$15,0)),1,IF(AA$18="China",'China Holidays'!$A$2:$A$82,'Thai Holidays'!$A$2:$A$63))</f>
        <v>46300</v>
      </c>
      <c r="AB388" s="350">
        <f>AA388+30</f>
        <v>46330</v>
      </c>
      <c r="AC388" s="350">
        <f>AB388</f>
        <v>46330</v>
      </c>
      <c r="AD388" s="350">
        <f>AC388+2</f>
        <v>46332</v>
      </c>
      <c r="AE388" s="350">
        <f>AF388-7</f>
        <v>46401</v>
      </c>
      <c r="AF388" s="350">
        <f>AG388-7</f>
        <v>46408</v>
      </c>
      <c r="AG388" s="350">
        <f>AL388</f>
        <v>46415</v>
      </c>
      <c r="AH388" s="350">
        <f>AL388+14</f>
        <v>46429</v>
      </c>
      <c r="AI388" s="350">
        <f>AL388+30</f>
        <v>46445</v>
      </c>
      <c r="AJ388" s="362"/>
      <c r="AK388" s="326">
        <f>AJ386*7</f>
        <v>168</v>
      </c>
      <c r="AL388" s="350">
        <f>W388+AK388</f>
        <v>46415</v>
      </c>
      <c r="AM388" s="327">
        <f>AT386-7</f>
        <v>46500</v>
      </c>
      <c r="AN388" s="327">
        <f>AO388-7</f>
        <v>46501</v>
      </c>
      <c r="AO388" s="327">
        <v>46508</v>
      </c>
      <c r="AP388" s="327"/>
      <c r="AQ388" s="311">
        <f>AM388-AL388</f>
        <v>85</v>
      </c>
      <c r="AR388" s="329"/>
      <c r="AS388" s="330" t="s">
        <v>66</v>
      </c>
      <c r="AT388" s="331">
        <v>46507</v>
      </c>
    </row>
    <row r="389" spans="1:46" s="264" customFormat="1" ht="25.05" customHeight="1">
      <c r="A389" s="492"/>
      <c r="B389" s="337" t="str">
        <f>B386</f>
        <v>RFQ-PIP-094</v>
      </c>
      <c r="C389" s="337" t="str">
        <f>C386</f>
        <v>HOSE AND HOSE CONNECTOR</v>
      </c>
      <c r="D389" s="524"/>
      <c r="E389" s="544"/>
      <c r="F389" s="582"/>
      <c r="G389" s="340"/>
      <c r="H389" s="339"/>
      <c r="I389" s="340" t="s">
        <v>83</v>
      </c>
      <c r="J389" s="337" t="s">
        <v>60</v>
      </c>
      <c r="K389" s="308">
        <v>3</v>
      </c>
      <c r="L389" s="337" t="s">
        <v>6</v>
      </c>
      <c r="M389" s="341" t="s">
        <v>67</v>
      </c>
      <c r="N389" s="343"/>
      <c r="O389" s="343">
        <v>46169</v>
      </c>
      <c r="P389" s="343">
        <v>46184</v>
      </c>
      <c r="Q389" s="343">
        <v>46184</v>
      </c>
      <c r="R389" s="343">
        <v>46184</v>
      </c>
      <c r="S389" s="343">
        <v>46188</v>
      </c>
      <c r="T389" s="343"/>
      <c r="U389" s="343"/>
      <c r="V389" s="343"/>
      <c r="W389" s="343"/>
      <c r="X389" s="343"/>
      <c r="Y389" s="343"/>
      <c r="Z389" s="343"/>
      <c r="AA389" s="343"/>
      <c r="AB389" s="343"/>
      <c r="AC389" s="343"/>
      <c r="AD389" s="343"/>
      <c r="AE389" s="343"/>
      <c r="AF389" s="343"/>
      <c r="AG389" s="343"/>
      <c r="AH389" s="343"/>
      <c r="AI389" s="343"/>
      <c r="AJ389" s="353"/>
      <c r="AK389" s="354"/>
      <c r="AL389" s="343"/>
      <c r="AM389" s="355"/>
      <c r="AN389" s="355"/>
      <c r="AO389" s="355"/>
      <c r="AP389" s="355"/>
      <c r="AQ389" s="340"/>
      <c r="AR389" s="356"/>
      <c r="AS389" s="357"/>
      <c r="AT389" s="411" t="s">
        <v>316</v>
      </c>
    </row>
    <row r="390" spans="1:46" s="264" customFormat="1" ht="25.05" customHeight="1">
      <c r="A390" s="493">
        <f t="shared" ref="A390" si="28">A386+1</f>
        <v>95</v>
      </c>
      <c r="B390" s="308" t="s">
        <v>334</v>
      </c>
      <c r="C390" s="308" t="s">
        <v>335</v>
      </c>
      <c r="D390" s="521"/>
      <c r="E390" s="541">
        <v>24</v>
      </c>
      <c r="F390" s="580"/>
      <c r="G390" s="311"/>
      <c r="H390" s="310"/>
      <c r="I390" s="311" t="s">
        <v>83</v>
      </c>
      <c r="J390" s="308" t="s">
        <v>60</v>
      </c>
      <c r="K390" s="312">
        <f>K393</f>
        <v>3</v>
      </c>
      <c r="L390" s="308" t="s">
        <v>6</v>
      </c>
      <c r="M390" s="313" t="s">
        <v>61</v>
      </c>
      <c r="N390" s="364">
        <f>WORKDAY.INTL(O390,-INDEX(O$12:O$15,MATCH($L390,$L$12:$L$15,0)),1,IF(N$18="China",'China Holidays'!$A$2:$A$82,'Thai Holidays'!$A$2:$A$63))</f>
        <v>46164</v>
      </c>
      <c r="O390" s="350">
        <v>46167</v>
      </c>
      <c r="P390" s="350">
        <v>46175</v>
      </c>
      <c r="Q390" s="350">
        <v>46176</v>
      </c>
      <c r="R390" s="350">
        <v>46183</v>
      </c>
      <c r="S390" s="350">
        <f>R390+1</f>
        <v>46184</v>
      </c>
      <c r="T390" s="350">
        <v>46198</v>
      </c>
      <c r="U390" s="350">
        <v>46226</v>
      </c>
      <c r="V390" s="350">
        <v>46233</v>
      </c>
      <c r="W390" s="350">
        <v>46247</v>
      </c>
      <c r="X390" s="350">
        <v>46251</v>
      </c>
      <c r="Y390" s="350">
        <v>46258</v>
      </c>
      <c r="Z390" s="350">
        <v>46286</v>
      </c>
      <c r="AA390" s="350">
        <v>46300</v>
      </c>
      <c r="AB390" s="350">
        <v>46330</v>
      </c>
      <c r="AC390" s="350">
        <v>46330</v>
      </c>
      <c r="AD390" s="350">
        <v>46332</v>
      </c>
      <c r="AE390" s="350">
        <v>46401</v>
      </c>
      <c r="AF390" s="350">
        <v>46408</v>
      </c>
      <c r="AG390" s="350">
        <v>46415</v>
      </c>
      <c r="AH390" s="350">
        <v>46429</v>
      </c>
      <c r="AI390" s="350">
        <v>46445</v>
      </c>
      <c r="AJ390" s="316">
        <v>24</v>
      </c>
      <c r="AK390" s="351"/>
      <c r="AL390" s="350" t="str">
        <f>TEXT(AL392,"d-mmm-yy")</f>
        <v>28-Jan-27</v>
      </c>
      <c r="AM390" s="327"/>
      <c r="AN390" s="485"/>
      <c r="AO390" s="485"/>
      <c r="AP390" s="485"/>
      <c r="AQ390" s="311"/>
      <c r="AR390" s="329"/>
      <c r="AS390" s="330" t="s">
        <v>62</v>
      </c>
      <c r="AT390" s="331">
        <v>46446</v>
      </c>
    </row>
    <row r="391" spans="1:46" s="264" customFormat="1" ht="25.05" customHeight="1">
      <c r="A391" s="491"/>
      <c r="B391" s="308" t="str">
        <f>B390</f>
        <v>RFQ-PIP-095</v>
      </c>
      <c r="C391" s="308" t="str">
        <f>C390</f>
        <v>STRAINER</v>
      </c>
      <c r="D391" s="515"/>
      <c r="E391" s="542"/>
      <c r="F391" s="555"/>
      <c r="G391" s="311"/>
      <c r="H391" s="310"/>
      <c r="I391" s="311" t="str">
        <f>I390</f>
        <v>Piping</v>
      </c>
      <c r="J391" s="308"/>
      <c r="K391" s="322"/>
      <c r="L391" s="308"/>
      <c r="M391" s="323" t="s">
        <v>63</v>
      </c>
      <c r="N391" s="367"/>
      <c r="O391" s="325">
        <v>46167</v>
      </c>
      <c r="P391" s="325">
        <v>46175</v>
      </c>
      <c r="Q391" s="325">
        <v>46176</v>
      </c>
      <c r="R391" s="325">
        <v>46183</v>
      </c>
      <c r="S391" s="325">
        <v>46184</v>
      </c>
      <c r="T391" s="325">
        <v>46226</v>
      </c>
      <c r="U391" s="325">
        <v>46254</v>
      </c>
      <c r="V391" s="325">
        <v>46261</v>
      </c>
      <c r="W391" s="325">
        <v>46275</v>
      </c>
      <c r="X391" s="325">
        <v>46279</v>
      </c>
      <c r="Y391" s="325">
        <v>46286</v>
      </c>
      <c r="Z391" s="325">
        <v>46314</v>
      </c>
      <c r="AA391" s="325">
        <v>46328</v>
      </c>
      <c r="AB391" s="325">
        <v>46358</v>
      </c>
      <c r="AC391" s="325">
        <v>46358</v>
      </c>
      <c r="AD391" s="325">
        <v>46360</v>
      </c>
      <c r="AE391" s="325">
        <v>46429</v>
      </c>
      <c r="AF391" s="325">
        <v>46436</v>
      </c>
      <c r="AG391" s="325">
        <v>46443</v>
      </c>
      <c r="AH391" s="325">
        <v>46457</v>
      </c>
      <c r="AI391" s="325">
        <v>46473</v>
      </c>
      <c r="AJ391" s="365"/>
      <c r="AK391" s="326"/>
      <c r="AL391" s="325">
        <f>W391+AK392</f>
        <v>46443</v>
      </c>
      <c r="AM391" s="327"/>
      <c r="AN391" s="327"/>
      <c r="AO391" s="327"/>
      <c r="AP391" s="327"/>
      <c r="AQ391" s="328">
        <f>AM392-AL391</f>
        <v>-4</v>
      </c>
      <c r="AR391" s="329"/>
      <c r="AS391" s="330"/>
      <c r="AT391" s="331"/>
    </row>
    <row r="392" spans="1:46" s="264" customFormat="1" ht="25.05" customHeight="1">
      <c r="A392" s="491"/>
      <c r="B392" s="308" t="str">
        <f>B390</f>
        <v>RFQ-PIP-095</v>
      </c>
      <c r="C392" s="308" t="str">
        <f>C390</f>
        <v>STRAINER</v>
      </c>
      <c r="D392" s="511"/>
      <c r="E392" s="542"/>
      <c r="F392" s="581"/>
      <c r="G392" s="311">
        <v>24</v>
      </c>
      <c r="H392" s="310" t="s">
        <v>263</v>
      </c>
      <c r="I392" s="311" t="s">
        <v>83</v>
      </c>
      <c r="J392" s="308" t="s">
        <v>60</v>
      </c>
      <c r="K392" s="308">
        <f>K393</f>
        <v>3</v>
      </c>
      <c r="L392" s="308" t="s">
        <v>6</v>
      </c>
      <c r="M392" s="313" t="s">
        <v>65</v>
      </c>
      <c r="N392" s="350">
        <v>46161</v>
      </c>
      <c r="O392" s="350">
        <v>46167</v>
      </c>
      <c r="P392" s="350">
        <f>WORKDAY.INTL(O392,INDEX(P$8:P$11,MATCH($L392,$L$8:$L$11,0)),1,IF(P$18="China",'China Holidays'!$A$2:$A$82,'Thai Holidays'!$A$2:$A$63))</f>
        <v>46183</v>
      </c>
      <c r="Q392" s="350">
        <f>WORKDAY.INTL(P392,INDEX(Q$8:Q$11,MATCH($L392,$L$8:$L$11,0)),1,IF(Q$18="China",'China Holidays'!$A$2:$A$82,'Thai Holidays'!$A$2:$A$63))</f>
        <v>46183</v>
      </c>
      <c r="R392" s="350">
        <f>WORKDAY.INTL(Q392,INDEX(R$8:R$11,MATCH($L392,$L$8:$L$11,0)),1,IF(R$18="China",'China Holidays'!$A$2:$A$82,'Thai Holidays'!$A$2:$A$63))</f>
        <v>46183</v>
      </c>
      <c r="S392" s="350">
        <f>WORKDAY.INTL(R392,INDEX(S$8:S$11,MATCH($L392,$L$8:$L$11,0)),1,IF(S$18="China",'China Holidays'!$A$2:$A$82,'Thai Holidays'!$A$2:$A$63))</f>
        <v>46183</v>
      </c>
      <c r="T392" s="350">
        <f>WORKDAY.INTL(S392,INDEX(T$8:T$11,MATCH($L392,$L$8:$L$11,0)),1,IF(T$18="China",'China Holidays'!$A$2:$A$82,'Thai Holidays'!$A$2:$A$63))</f>
        <v>46198</v>
      </c>
      <c r="U392" s="350">
        <v>46218</v>
      </c>
      <c r="V392" s="350">
        <f>WORKDAY.INTL(U392,INDEX(V$8:V$11,MATCH($L392,$L$8:$L$11,0)),1,IF(V$18="China",'China Holidays'!$A$2:$A$82,'Thai Holidays'!$A$2:$A$63))</f>
        <v>46234</v>
      </c>
      <c r="W392" s="350">
        <f>WORKDAY.INTL(V392,INDEX(W$8:W$11,MATCH($L392,$L$8:$L$11,0)),1,IF(W$18="China",'China Holidays'!$A$2:$A$82,'Thai Holidays'!$A$2:$A$63))</f>
        <v>46247</v>
      </c>
      <c r="X392" s="350">
        <f>WORKDAY.INTL(W392,INDEX(X$12:X$15,MATCH($L392,$L$12:$L$15,0)),1,IF(X$18="China",'China Holidays'!$A$2:$A$82,'Thai Holidays'!$A$2:$A$63))</f>
        <v>46251</v>
      </c>
      <c r="Y392" s="350">
        <f>WORKDAY.INTL(X392,INDEX(Y$12:Y$15,MATCH($L392,$L$12:$L$15,0)),1,IF(Y$18="China",'China Holidays'!$A$2:$A$82,'Thai Holidays'!$A$2:$A$63))</f>
        <v>46258</v>
      </c>
      <c r="Z392" s="350">
        <f>WORKDAY.INTL(Y392,INDEX(Z$12:Z$15,MATCH($L392,$L$12:$L$15,0)),1,IF(Z$18="China",'China Holidays'!$A$2:$A$82,'Thai Holidays'!$A$2:$A$63))</f>
        <v>46286</v>
      </c>
      <c r="AA392" s="350">
        <f>WORKDAY.INTL(Z392,INDEX(AA$12:AA$15,MATCH($L392,$L$12:$L$15,0)),1,IF(AA$18="China",'China Holidays'!$A$2:$A$82,'Thai Holidays'!$A$2:$A$63))</f>
        <v>46300</v>
      </c>
      <c r="AB392" s="350">
        <f>AA392+30</f>
        <v>46330</v>
      </c>
      <c r="AC392" s="350">
        <f>AB392</f>
        <v>46330</v>
      </c>
      <c r="AD392" s="350">
        <f>AC392+2</f>
        <v>46332</v>
      </c>
      <c r="AE392" s="350">
        <f>AF392-7</f>
        <v>46401</v>
      </c>
      <c r="AF392" s="350">
        <f>AG392-7</f>
        <v>46408</v>
      </c>
      <c r="AG392" s="350">
        <f>AL392</f>
        <v>46415</v>
      </c>
      <c r="AH392" s="350">
        <f>AL392+14</f>
        <v>46429</v>
      </c>
      <c r="AI392" s="350">
        <f>AL392+30</f>
        <v>46445</v>
      </c>
      <c r="AJ392" s="362"/>
      <c r="AK392" s="326">
        <f>AJ390*7</f>
        <v>168</v>
      </c>
      <c r="AL392" s="350">
        <f>W392+AK392</f>
        <v>46415</v>
      </c>
      <c r="AM392" s="327">
        <f>AT390-7</f>
        <v>46439</v>
      </c>
      <c r="AN392" s="327">
        <f>AO392-7</f>
        <v>46135</v>
      </c>
      <c r="AO392" s="327">
        <v>46142</v>
      </c>
      <c r="AP392" s="327"/>
      <c r="AQ392" s="311">
        <f>AM392-AL392</f>
        <v>24</v>
      </c>
      <c r="AR392" s="329"/>
      <c r="AS392" s="330" t="s">
        <v>66</v>
      </c>
      <c r="AT392" s="331">
        <v>46446</v>
      </c>
    </row>
    <row r="393" spans="1:46" s="264" customFormat="1" ht="25.05" customHeight="1">
      <c r="A393" s="492"/>
      <c r="B393" s="337" t="str">
        <f>B390</f>
        <v>RFQ-PIP-095</v>
      </c>
      <c r="C393" s="337" t="str">
        <f>C390</f>
        <v>STRAINER</v>
      </c>
      <c r="D393" s="524"/>
      <c r="E393" s="544"/>
      <c r="F393" s="582"/>
      <c r="G393" s="340"/>
      <c r="H393" s="339"/>
      <c r="I393" s="340" t="s">
        <v>83</v>
      </c>
      <c r="J393" s="337" t="s">
        <v>60</v>
      </c>
      <c r="K393" s="308">
        <v>3</v>
      </c>
      <c r="L393" s="337" t="s">
        <v>6</v>
      </c>
      <c r="M393" s="341" t="s">
        <v>67</v>
      </c>
      <c r="N393" s="343"/>
      <c r="O393" s="343">
        <v>46169</v>
      </c>
      <c r="P393" s="343">
        <v>46184</v>
      </c>
      <c r="Q393" s="343">
        <v>46184</v>
      </c>
      <c r="R393" s="343">
        <v>46184</v>
      </c>
      <c r="S393" s="343">
        <v>46188</v>
      </c>
      <c r="T393" s="343"/>
      <c r="U393" s="343"/>
      <c r="V393" s="343"/>
      <c r="W393" s="343"/>
      <c r="X393" s="343"/>
      <c r="Y393" s="343"/>
      <c r="Z393" s="343"/>
      <c r="AA393" s="343"/>
      <c r="AB393" s="343"/>
      <c r="AC393" s="343"/>
      <c r="AD393" s="343"/>
      <c r="AE393" s="343"/>
      <c r="AF393" s="343"/>
      <c r="AG393" s="343"/>
      <c r="AH393" s="343"/>
      <c r="AI393" s="343"/>
      <c r="AJ393" s="353"/>
      <c r="AK393" s="354"/>
      <c r="AL393" s="343"/>
      <c r="AM393" s="355"/>
      <c r="AN393" s="355"/>
      <c r="AO393" s="355"/>
      <c r="AP393" s="355" t="s">
        <v>216</v>
      </c>
      <c r="AQ393" s="340"/>
      <c r="AR393" s="356"/>
      <c r="AS393" s="357"/>
      <c r="AT393" s="411" t="s">
        <v>316</v>
      </c>
    </row>
    <row r="394" spans="1:46" s="264" customFormat="1" ht="25.05" customHeight="1">
      <c r="A394" s="493">
        <f t="shared" ref="A394" si="29">A390+1</f>
        <v>96</v>
      </c>
      <c r="B394" s="308" t="s">
        <v>336</v>
      </c>
      <c r="C394" s="308" t="s">
        <v>337</v>
      </c>
      <c r="D394" s="521"/>
      <c r="E394" s="541">
        <v>24</v>
      </c>
      <c r="F394" s="580"/>
      <c r="G394" s="311"/>
      <c r="H394" s="310"/>
      <c r="I394" s="311" t="s">
        <v>83</v>
      </c>
      <c r="J394" s="308" t="s">
        <v>60</v>
      </c>
      <c r="K394" s="312">
        <f>K397</f>
        <v>3</v>
      </c>
      <c r="L394" s="308" t="s">
        <v>6</v>
      </c>
      <c r="M394" s="313" t="s">
        <v>61</v>
      </c>
      <c r="N394" s="364">
        <f>WORKDAY.INTL(O394,-INDEX(O$12:O$15,MATCH($L394,$L$12:$L$15,0)),1,IF(N$18="China",'China Holidays'!$A$2:$A$82,'Thai Holidays'!$A$2:$A$63))</f>
        <v>46164</v>
      </c>
      <c r="O394" s="350">
        <v>46167</v>
      </c>
      <c r="P394" s="350">
        <v>46175</v>
      </c>
      <c r="Q394" s="350">
        <v>46176</v>
      </c>
      <c r="R394" s="350">
        <v>46183</v>
      </c>
      <c r="S394" s="350">
        <f>R394+1</f>
        <v>46184</v>
      </c>
      <c r="T394" s="350">
        <v>46198</v>
      </c>
      <c r="U394" s="350">
        <v>46226</v>
      </c>
      <c r="V394" s="350">
        <v>46233</v>
      </c>
      <c r="W394" s="350">
        <v>46247</v>
      </c>
      <c r="X394" s="350">
        <v>46251</v>
      </c>
      <c r="Y394" s="350">
        <v>46258</v>
      </c>
      <c r="Z394" s="350">
        <v>46286</v>
      </c>
      <c r="AA394" s="350">
        <v>46300</v>
      </c>
      <c r="AB394" s="350">
        <v>46330</v>
      </c>
      <c r="AC394" s="350">
        <v>46330</v>
      </c>
      <c r="AD394" s="350">
        <v>46332</v>
      </c>
      <c r="AE394" s="350">
        <v>46401</v>
      </c>
      <c r="AF394" s="350">
        <v>46408</v>
      </c>
      <c r="AG394" s="350">
        <v>46415</v>
      </c>
      <c r="AH394" s="350">
        <v>46429</v>
      </c>
      <c r="AI394" s="350">
        <v>46445</v>
      </c>
      <c r="AJ394" s="316">
        <v>24</v>
      </c>
      <c r="AK394" s="351"/>
      <c r="AL394" s="350" t="str">
        <f>TEXT(AL396,"d-mmm-yy")</f>
        <v>28-Jan-27</v>
      </c>
      <c r="AM394" s="327"/>
      <c r="AN394" s="485"/>
      <c r="AO394" s="485"/>
      <c r="AP394" s="485"/>
      <c r="AQ394" s="311"/>
      <c r="AR394" s="329"/>
      <c r="AS394" s="330" t="s">
        <v>62</v>
      </c>
      <c r="AT394" s="331">
        <v>46507</v>
      </c>
    </row>
    <row r="395" spans="1:46" s="264" customFormat="1" ht="25.05" customHeight="1">
      <c r="A395" s="491"/>
      <c r="B395" s="308" t="str">
        <f>B394</f>
        <v>RFQ-PIP-096</v>
      </c>
      <c r="C395" s="308" t="str">
        <f>C394</f>
        <v>LIQUID TRAP</v>
      </c>
      <c r="D395" s="515"/>
      <c r="E395" s="542"/>
      <c r="F395" s="555"/>
      <c r="G395" s="311"/>
      <c r="H395" s="310"/>
      <c r="I395" s="311" t="str">
        <f>I394</f>
        <v>Piping</v>
      </c>
      <c r="J395" s="308"/>
      <c r="K395" s="322"/>
      <c r="L395" s="308"/>
      <c r="M395" s="323" t="s">
        <v>63</v>
      </c>
      <c r="N395" s="367"/>
      <c r="O395" s="325">
        <v>46167</v>
      </c>
      <c r="P395" s="325">
        <v>46175</v>
      </c>
      <c r="Q395" s="325">
        <v>46176</v>
      </c>
      <c r="R395" s="325">
        <v>46183</v>
      </c>
      <c r="S395" s="325">
        <v>46184</v>
      </c>
      <c r="T395" s="325">
        <v>46226</v>
      </c>
      <c r="U395" s="325">
        <v>46254</v>
      </c>
      <c r="V395" s="325">
        <v>46261</v>
      </c>
      <c r="W395" s="325">
        <v>46275</v>
      </c>
      <c r="X395" s="325">
        <v>46279</v>
      </c>
      <c r="Y395" s="325">
        <v>46286</v>
      </c>
      <c r="Z395" s="325">
        <v>46314</v>
      </c>
      <c r="AA395" s="325">
        <v>46328</v>
      </c>
      <c r="AB395" s="325">
        <v>46358</v>
      </c>
      <c r="AC395" s="325">
        <v>46358</v>
      </c>
      <c r="AD395" s="325">
        <v>46360</v>
      </c>
      <c r="AE395" s="325">
        <v>46429</v>
      </c>
      <c r="AF395" s="325">
        <v>46436</v>
      </c>
      <c r="AG395" s="325">
        <v>46443</v>
      </c>
      <c r="AH395" s="325">
        <v>46457</v>
      </c>
      <c r="AI395" s="325">
        <v>46473</v>
      </c>
      <c r="AJ395" s="365"/>
      <c r="AK395" s="326"/>
      <c r="AL395" s="325">
        <f>W395+AK396</f>
        <v>46443</v>
      </c>
      <c r="AM395" s="327"/>
      <c r="AN395" s="327"/>
      <c r="AO395" s="327"/>
      <c r="AP395" s="327"/>
      <c r="AQ395" s="328">
        <f>AM396-AL395</f>
        <v>57</v>
      </c>
      <c r="AR395" s="329"/>
      <c r="AS395" s="330"/>
      <c r="AT395" s="331"/>
    </row>
    <row r="396" spans="1:46" s="264" customFormat="1" ht="25.05" customHeight="1">
      <c r="A396" s="491"/>
      <c r="B396" s="308" t="str">
        <f>B394</f>
        <v>RFQ-PIP-096</v>
      </c>
      <c r="C396" s="308" t="str">
        <f>C394</f>
        <v>LIQUID TRAP</v>
      </c>
      <c r="D396" s="511"/>
      <c r="E396" s="542"/>
      <c r="F396" s="581"/>
      <c r="G396" s="311">
        <v>85</v>
      </c>
      <c r="H396" s="310" t="s">
        <v>263</v>
      </c>
      <c r="I396" s="311" t="s">
        <v>83</v>
      </c>
      <c r="J396" s="308" t="s">
        <v>60</v>
      </c>
      <c r="K396" s="308">
        <f>K397</f>
        <v>3</v>
      </c>
      <c r="L396" s="308" t="s">
        <v>6</v>
      </c>
      <c r="M396" s="313" t="s">
        <v>65</v>
      </c>
      <c r="N396" s="350">
        <v>46161</v>
      </c>
      <c r="O396" s="350">
        <v>46167</v>
      </c>
      <c r="P396" s="350">
        <f>WORKDAY.INTL(O396,INDEX(P$8:P$11,MATCH($L396,$L$8:$L$11,0)),1,IF(P$18="China",'China Holidays'!$A$2:$A$82,'Thai Holidays'!$A$2:$A$63))</f>
        <v>46183</v>
      </c>
      <c r="Q396" s="350">
        <f>WORKDAY.INTL(P396,INDEX(Q$8:Q$11,MATCH($L396,$L$8:$L$11,0)),1,IF(Q$18="China",'China Holidays'!$A$2:$A$82,'Thai Holidays'!$A$2:$A$63))</f>
        <v>46183</v>
      </c>
      <c r="R396" s="350">
        <f>WORKDAY.INTL(Q396,INDEX(R$8:R$11,MATCH($L396,$L$8:$L$11,0)),1,IF(R$18="China",'China Holidays'!$A$2:$A$82,'Thai Holidays'!$A$2:$A$63))</f>
        <v>46183</v>
      </c>
      <c r="S396" s="350">
        <f>WORKDAY.INTL(R396,INDEX(S$8:S$11,MATCH($L396,$L$8:$L$11,0)),1,IF(S$18="China",'China Holidays'!$A$2:$A$82,'Thai Holidays'!$A$2:$A$63))</f>
        <v>46183</v>
      </c>
      <c r="T396" s="350">
        <f>WORKDAY.INTL(S396,INDEX(T$8:T$11,MATCH($L396,$L$8:$L$11,0)),1,IF(T$18="China",'China Holidays'!$A$2:$A$82,'Thai Holidays'!$A$2:$A$63))</f>
        <v>46198</v>
      </c>
      <c r="U396" s="350">
        <v>46218</v>
      </c>
      <c r="V396" s="350">
        <f>WORKDAY.INTL(U396,INDEX(V$8:V$11,MATCH($L396,$L$8:$L$11,0)),1,IF(V$18="China",'China Holidays'!$A$2:$A$82,'Thai Holidays'!$A$2:$A$63))</f>
        <v>46234</v>
      </c>
      <c r="W396" s="350">
        <f>WORKDAY.INTL(V396,INDEX(W$8:W$11,MATCH($L396,$L$8:$L$11,0)),1,IF(W$18="China",'China Holidays'!$A$2:$A$82,'Thai Holidays'!$A$2:$A$63))</f>
        <v>46247</v>
      </c>
      <c r="X396" s="350">
        <f>WORKDAY.INTL(W396,INDEX(X$12:X$15,MATCH($L396,$L$12:$L$15,0)),1,IF(X$18="China",'China Holidays'!$A$2:$A$82,'Thai Holidays'!$A$2:$A$63))</f>
        <v>46251</v>
      </c>
      <c r="Y396" s="350">
        <f>WORKDAY.INTL(X396,INDEX(Y$12:Y$15,MATCH($L396,$L$12:$L$15,0)),1,IF(Y$18="China",'China Holidays'!$A$2:$A$82,'Thai Holidays'!$A$2:$A$63))</f>
        <v>46258</v>
      </c>
      <c r="Z396" s="350">
        <f>WORKDAY.INTL(Y396,INDEX(Z$12:Z$15,MATCH($L396,$L$12:$L$15,0)),1,IF(Z$18="China",'China Holidays'!$A$2:$A$82,'Thai Holidays'!$A$2:$A$63))</f>
        <v>46286</v>
      </c>
      <c r="AA396" s="350">
        <f>WORKDAY.INTL(Z396,INDEX(AA$12:AA$15,MATCH($L396,$L$12:$L$15,0)),1,IF(AA$18="China",'China Holidays'!$A$2:$A$82,'Thai Holidays'!$A$2:$A$63))</f>
        <v>46300</v>
      </c>
      <c r="AB396" s="350">
        <f>AA396+30</f>
        <v>46330</v>
      </c>
      <c r="AC396" s="350">
        <f>AB396</f>
        <v>46330</v>
      </c>
      <c r="AD396" s="350">
        <f>AC396+2</f>
        <v>46332</v>
      </c>
      <c r="AE396" s="350">
        <f>AF396-7</f>
        <v>46401</v>
      </c>
      <c r="AF396" s="350">
        <f>AG396-7</f>
        <v>46408</v>
      </c>
      <c r="AG396" s="350">
        <f>AL396</f>
        <v>46415</v>
      </c>
      <c r="AH396" s="350">
        <f>AL396+14</f>
        <v>46429</v>
      </c>
      <c r="AI396" s="350">
        <f>AL396+30</f>
        <v>46445</v>
      </c>
      <c r="AJ396" s="362"/>
      <c r="AK396" s="326">
        <f>AJ394*7</f>
        <v>168</v>
      </c>
      <c r="AL396" s="350">
        <f>W396+AK396</f>
        <v>46415</v>
      </c>
      <c r="AM396" s="327">
        <f>AT394-7</f>
        <v>46500</v>
      </c>
      <c r="AN396" s="327">
        <f>AO396-7</f>
        <v>46135</v>
      </c>
      <c r="AO396" s="327">
        <v>46142</v>
      </c>
      <c r="AP396" s="327"/>
      <c r="AQ396" s="311">
        <f>AM396-AL396</f>
        <v>85</v>
      </c>
      <c r="AR396" s="329"/>
      <c r="AS396" s="330" t="s">
        <v>66</v>
      </c>
      <c r="AT396" s="331">
        <v>46507</v>
      </c>
    </row>
    <row r="397" spans="1:46" s="264" customFormat="1" ht="25.05" customHeight="1">
      <c r="A397" s="492"/>
      <c r="B397" s="337" t="str">
        <f>B394</f>
        <v>RFQ-PIP-096</v>
      </c>
      <c r="C397" s="337" t="str">
        <f>C394</f>
        <v>LIQUID TRAP</v>
      </c>
      <c r="D397" s="524"/>
      <c r="E397" s="544"/>
      <c r="F397" s="582"/>
      <c r="G397" s="340"/>
      <c r="H397" s="339"/>
      <c r="I397" s="340" t="s">
        <v>83</v>
      </c>
      <c r="J397" s="337" t="s">
        <v>60</v>
      </c>
      <c r="K397" s="308">
        <v>3</v>
      </c>
      <c r="L397" s="337" t="s">
        <v>6</v>
      </c>
      <c r="M397" s="341" t="s">
        <v>67</v>
      </c>
      <c r="N397" s="343"/>
      <c r="O397" s="343">
        <v>46169</v>
      </c>
      <c r="P397" s="343">
        <v>46184</v>
      </c>
      <c r="Q397" s="343">
        <v>46184</v>
      </c>
      <c r="R397" s="343">
        <v>46184</v>
      </c>
      <c r="S397" s="343">
        <v>46188</v>
      </c>
      <c r="T397" s="343"/>
      <c r="U397" s="343"/>
      <c r="V397" s="343"/>
      <c r="W397" s="343"/>
      <c r="X397" s="343"/>
      <c r="Y397" s="343"/>
      <c r="Z397" s="343"/>
      <c r="AA397" s="343"/>
      <c r="AB397" s="343"/>
      <c r="AC397" s="343"/>
      <c r="AD397" s="343"/>
      <c r="AE397" s="343"/>
      <c r="AF397" s="343"/>
      <c r="AG397" s="343"/>
      <c r="AH397" s="343"/>
      <c r="AI397" s="343"/>
      <c r="AJ397" s="353"/>
      <c r="AK397" s="354"/>
      <c r="AL397" s="343"/>
      <c r="AM397" s="355"/>
      <c r="AN397" s="355"/>
      <c r="AO397" s="355"/>
      <c r="AP397" s="355" t="s">
        <v>216</v>
      </c>
      <c r="AQ397" s="340"/>
      <c r="AR397" s="356"/>
      <c r="AS397" s="357"/>
      <c r="AT397" s="411" t="s">
        <v>316</v>
      </c>
    </row>
    <row r="398" spans="1:46" s="264" customFormat="1" ht="25.05" customHeight="1">
      <c r="A398" s="493">
        <f t="shared" ref="A398" si="30">A394+1</f>
        <v>97</v>
      </c>
      <c r="B398" s="308" t="s">
        <v>338</v>
      </c>
      <c r="C398" s="308" t="s">
        <v>339</v>
      </c>
      <c r="D398" s="419"/>
      <c r="E398" s="541">
        <v>24</v>
      </c>
      <c r="F398" s="419"/>
      <c r="G398" s="311"/>
      <c r="H398" s="310"/>
      <c r="I398" s="311" t="s">
        <v>83</v>
      </c>
      <c r="J398" s="308" t="s">
        <v>60</v>
      </c>
      <c r="K398" s="312">
        <f>K401</f>
        <v>3</v>
      </c>
      <c r="L398" s="308" t="s">
        <v>6</v>
      </c>
      <c r="M398" s="313" t="s">
        <v>61</v>
      </c>
      <c r="N398" s="364">
        <f>WORKDAY.INTL(O398,-INDEX(O$12:O$15,MATCH($L398,$L$12:$L$15,0)),1,IF(N$18="China",'China Holidays'!$A$2:$A$82,'Thai Holidays'!$A$2:$A$63))</f>
        <v>46164</v>
      </c>
      <c r="O398" s="350">
        <v>46167</v>
      </c>
      <c r="P398" s="350">
        <v>46175</v>
      </c>
      <c r="Q398" s="350">
        <v>46176</v>
      </c>
      <c r="R398" s="350">
        <v>46183</v>
      </c>
      <c r="S398" s="350">
        <f>R398+1</f>
        <v>46184</v>
      </c>
      <c r="T398" s="350">
        <v>46198</v>
      </c>
      <c r="U398" s="350">
        <v>46226</v>
      </c>
      <c r="V398" s="350">
        <v>46233</v>
      </c>
      <c r="W398" s="350">
        <v>46247</v>
      </c>
      <c r="X398" s="350">
        <v>46251</v>
      </c>
      <c r="Y398" s="350">
        <v>46258</v>
      </c>
      <c r="Z398" s="350">
        <v>46286</v>
      </c>
      <c r="AA398" s="350">
        <v>46300</v>
      </c>
      <c r="AB398" s="350">
        <v>46330</v>
      </c>
      <c r="AC398" s="350">
        <v>46330</v>
      </c>
      <c r="AD398" s="350">
        <v>46332</v>
      </c>
      <c r="AE398" s="350">
        <v>46401</v>
      </c>
      <c r="AF398" s="350">
        <v>46408</v>
      </c>
      <c r="AG398" s="350">
        <v>46415</v>
      </c>
      <c r="AH398" s="350">
        <v>46429</v>
      </c>
      <c r="AI398" s="350">
        <v>46445</v>
      </c>
      <c r="AJ398" s="316">
        <v>24</v>
      </c>
      <c r="AK398" s="351"/>
      <c r="AL398" s="350" t="str">
        <f>TEXT(AL400,"d-mmm-yy")</f>
        <v>28-Jan-27</v>
      </c>
      <c r="AM398" s="327"/>
      <c r="AN398" s="485"/>
      <c r="AO398" s="485"/>
      <c r="AP398" s="485"/>
      <c r="AQ398" s="311"/>
      <c r="AR398" s="329"/>
      <c r="AS398" s="330" t="s">
        <v>62</v>
      </c>
      <c r="AT398" s="331">
        <v>46507</v>
      </c>
    </row>
    <row r="399" spans="1:46" s="264" customFormat="1" ht="25.05" customHeight="1">
      <c r="A399" s="491"/>
      <c r="B399" s="308" t="str">
        <f>B398</f>
        <v>RFQ-PIP-097</v>
      </c>
      <c r="C399" s="308" t="str">
        <f>C398</f>
        <v>G-CLAMP</v>
      </c>
      <c r="D399" s="368"/>
      <c r="E399" s="542"/>
      <c r="F399" s="361"/>
      <c r="G399" s="311"/>
      <c r="H399" s="310"/>
      <c r="I399" s="311" t="str">
        <f>I398</f>
        <v>Piping</v>
      </c>
      <c r="J399" s="308"/>
      <c r="K399" s="322"/>
      <c r="L399" s="308"/>
      <c r="M399" s="323" t="s">
        <v>63</v>
      </c>
      <c r="N399" s="367"/>
      <c r="O399" s="325">
        <v>46167</v>
      </c>
      <c r="P399" s="325">
        <v>46175</v>
      </c>
      <c r="Q399" s="325">
        <v>46176</v>
      </c>
      <c r="R399" s="325">
        <v>46183</v>
      </c>
      <c r="S399" s="325">
        <v>46184</v>
      </c>
      <c r="T399" s="325">
        <v>46226</v>
      </c>
      <c r="U399" s="325">
        <v>46254</v>
      </c>
      <c r="V399" s="325">
        <v>46261</v>
      </c>
      <c r="W399" s="325">
        <v>46275</v>
      </c>
      <c r="X399" s="325">
        <v>46279</v>
      </c>
      <c r="Y399" s="325">
        <v>46286</v>
      </c>
      <c r="Z399" s="325">
        <v>46314</v>
      </c>
      <c r="AA399" s="325">
        <v>46328</v>
      </c>
      <c r="AB399" s="325">
        <v>46358</v>
      </c>
      <c r="AC399" s="325">
        <v>46358</v>
      </c>
      <c r="AD399" s="325">
        <v>46360</v>
      </c>
      <c r="AE399" s="325">
        <v>46429</v>
      </c>
      <c r="AF399" s="325">
        <v>46436</v>
      </c>
      <c r="AG399" s="325">
        <v>46443</v>
      </c>
      <c r="AH399" s="325">
        <v>46457</v>
      </c>
      <c r="AI399" s="325">
        <v>46473</v>
      </c>
      <c r="AJ399" s="365"/>
      <c r="AK399" s="326"/>
      <c r="AL399" s="325">
        <f>W399+AK400</f>
        <v>46443</v>
      </c>
      <c r="AM399" s="327"/>
      <c r="AN399" s="327"/>
      <c r="AO399" s="327"/>
      <c r="AP399" s="327"/>
      <c r="AQ399" s="328">
        <f>AM400-AL399</f>
        <v>57</v>
      </c>
      <c r="AR399" s="329"/>
      <c r="AS399" s="330"/>
      <c r="AT399" s="331"/>
    </row>
    <row r="400" spans="1:46" s="264" customFormat="1" ht="25.05" customHeight="1">
      <c r="A400" s="491"/>
      <c r="B400" s="308" t="str">
        <f>B398</f>
        <v>RFQ-PIP-097</v>
      </c>
      <c r="C400" s="308" t="str">
        <f>C398</f>
        <v>G-CLAMP</v>
      </c>
      <c r="D400" s="360"/>
      <c r="E400" s="542"/>
      <c r="F400" s="360"/>
      <c r="G400" s="311">
        <v>85</v>
      </c>
      <c r="H400" s="310" t="s">
        <v>263</v>
      </c>
      <c r="I400" s="311" t="s">
        <v>83</v>
      </c>
      <c r="J400" s="308" t="s">
        <v>60</v>
      </c>
      <c r="K400" s="308">
        <f>K401</f>
        <v>3</v>
      </c>
      <c r="L400" s="308" t="s">
        <v>6</v>
      </c>
      <c r="M400" s="313" t="s">
        <v>65</v>
      </c>
      <c r="N400" s="350">
        <v>46161</v>
      </c>
      <c r="O400" s="350">
        <v>46167</v>
      </c>
      <c r="P400" s="350">
        <f>WORKDAY.INTL(O400,INDEX(P$8:P$11,MATCH($L400,$L$8:$L$11,0)),1,IF(P$18="China",'China Holidays'!$A$2:$A$82,'Thai Holidays'!$A$2:$A$63))</f>
        <v>46183</v>
      </c>
      <c r="Q400" s="350">
        <f>WORKDAY.INTL(P400,INDEX(Q$8:Q$11,MATCH($L400,$L$8:$L$11,0)),1,IF(Q$18="China",'China Holidays'!$A$2:$A$82,'Thai Holidays'!$A$2:$A$63))</f>
        <v>46183</v>
      </c>
      <c r="R400" s="350">
        <f>WORKDAY.INTL(Q400,INDEX(R$8:R$11,MATCH($L400,$L$8:$L$11,0)),1,IF(R$18="China",'China Holidays'!$A$2:$A$82,'Thai Holidays'!$A$2:$A$63))</f>
        <v>46183</v>
      </c>
      <c r="S400" s="350">
        <f>WORKDAY.INTL(R400,INDEX(S$8:S$11,MATCH($L400,$L$8:$L$11,0)),1,IF(S$18="China",'China Holidays'!$A$2:$A$82,'Thai Holidays'!$A$2:$A$63))</f>
        <v>46183</v>
      </c>
      <c r="T400" s="350">
        <f>WORKDAY.INTL(S400,INDEX(T$8:T$11,MATCH($L400,$L$8:$L$11,0)),1,IF(T$18="China",'China Holidays'!$A$2:$A$82,'Thai Holidays'!$A$2:$A$63))</f>
        <v>46198</v>
      </c>
      <c r="U400" s="350">
        <v>46218</v>
      </c>
      <c r="V400" s="350">
        <f>WORKDAY.INTL(U400,INDEX(V$8:V$11,MATCH($L400,$L$8:$L$11,0)),1,IF(V$18="China",'China Holidays'!$A$2:$A$82,'Thai Holidays'!$A$2:$A$63))</f>
        <v>46234</v>
      </c>
      <c r="W400" s="350">
        <f>WORKDAY.INTL(V400,INDEX(W$8:W$11,MATCH($L400,$L$8:$L$11,0)),1,IF(W$18="China",'China Holidays'!$A$2:$A$82,'Thai Holidays'!$A$2:$A$63))</f>
        <v>46247</v>
      </c>
      <c r="X400" s="350">
        <f>WORKDAY.INTL(W400,INDEX(X$12:X$15,MATCH($L400,$L$12:$L$15,0)),1,IF(X$18="China",'China Holidays'!$A$2:$A$82,'Thai Holidays'!$A$2:$A$63))</f>
        <v>46251</v>
      </c>
      <c r="Y400" s="350">
        <f>WORKDAY.INTL(X400,INDEX(Y$12:Y$15,MATCH($L400,$L$12:$L$15,0)),1,IF(Y$18="China",'China Holidays'!$A$2:$A$82,'Thai Holidays'!$A$2:$A$63))</f>
        <v>46258</v>
      </c>
      <c r="Z400" s="350">
        <f>WORKDAY.INTL(Y400,INDEX(Z$12:Z$15,MATCH($L400,$L$12:$L$15,0)),1,IF(Z$18="China",'China Holidays'!$A$2:$A$82,'Thai Holidays'!$A$2:$A$63))</f>
        <v>46286</v>
      </c>
      <c r="AA400" s="350">
        <f>WORKDAY.INTL(Z400,INDEX(AA$12:AA$15,MATCH($L400,$L$12:$L$15,0)),1,IF(AA$18="China",'China Holidays'!$A$2:$A$82,'Thai Holidays'!$A$2:$A$63))</f>
        <v>46300</v>
      </c>
      <c r="AB400" s="350">
        <f>AA400+30</f>
        <v>46330</v>
      </c>
      <c r="AC400" s="350">
        <f>AB400</f>
        <v>46330</v>
      </c>
      <c r="AD400" s="350">
        <f>AC400+2</f>
        <v>46332</v>
      </c>
      <c r="AE400" s="350">
        <f>AF400-7</f>
        <v>46401</v>
      </c>
      <c r="AF400" s="350">
        <f>AG400-7</f>
        <v>46408</v>
      </c>
      <c r="AG400" s="350">
        <f>AL400</f>
        <v>46415</v>
      </c>
      <c r="AH400" s="350">
        <f>AL400+14</f>
        <v>46429</v>
      </c>
      <c r="AI400" s="350">
        <f>AL400+30</f>
        <v>46445</v>
      </c>
      <c r="AJ400" s="362"/>
      <c r="AK400" s="326">
        <f>AJ398*7</f>
        <v>168</v>
      </c>
      <c r="AL400" s="350">
        <f>W400+AK400</f>
        <v>46415</v>
      </c>
      <c r="AM400" s="327">
        <f>AT398-7</f>
        <v>46500</v>
      </c>
      <c r="AN400" s="327">
        <f>AO400-7</f>
        <v>46135</v>
      </c>
      <c r="AO400" s="327">
        <v>46142</v>
      </c>
      <c r="AP400" s="327"/>
      <c r="AQ400" s="311">
        <f>AM400-AL400</f>
        <v>85</v>
      </c>
      <c r="AR400" s="329"/>
      <c r="AS400" s="330" t="s">
        <v>66</v>
      </c>
      <c r="AT400" s="331">
        <v>46507</v>
      </c>
    </row>
    <row r="401" spans="1:46" s="264" customFormat="1" ht="25.05" customHeight="1">
      <c r="A401" s="492"/>
      <c r="B401" s="337" t="str">
        <f>B398</f>
        <v>RFQ-PIP-097</v>
      </c>
      <c r="C401" s="337" t="str">
        <f>C398</f>
        <v>G-CLAMP</v>
      </c>
      <c r="D401" s="395"/>
      <c r="E401" s="544"/>
      <c r="F401" s="395"/>
      <c r="G401" s="340"/>
      <c r="H401" s="339"/>
      <c r="I401" s="340" t="s">
        <v>83</v>
      </c>
      <c r="J401" s="337" t="s">
        <v>60</v>
      </c>
      <c r="K401" s="308">
        <v>3</v>
      </c>
      <c r="L401" s="337" t="s">
        <v>6</v>
      </c>
      <c r="M401" s="341" t="s">
        <v>67</v>
      </c>
      <c r="N401" s="343"/>
      <c r="O401" s="343">
        <v>46169</v>
      </c>
      <c r="P401" s="343">
        <v>46184</v>
      </c>
      <c r="Q401" s="343">
        <v>46184</v>
      </c>
      <c r="R401" s="343">
        <v>46184</v>
      </c>
      <c r="S401" s="343">
        <v>46188</v>
      </c>
      <c r="T401" s="343"/>
      <c r="U401" s="343"/>
      <c r="V401" s="343"/>
      <c r="W401" s="343"/>
      <c r="X401" s="343"/>
      <c r="Y401" s="343"/>
      <c r="Z401" s="343"/>
      <c r="AA401" s="343"/>
      <c r="AB401" s="343"/>
      <c r="AC401" s="343"/>
      <c r="AD401" s="343"/>
      <c r="AE401" s="343"/>
      <c r="AF401" s="343"/>
      <c r="AG401" s="343"/>
      <c r="AH401" s="343"/>
      <c r="AI401" s="343"/>
      <c r="AJ401" s="353"/>
      <c r="AK401" s="354"/>
      <c r="AL401" s="343"/>
      <c r="AM401" s="355"/>
      <c r="AN401" s="355"/>
      <c r="AO401" s="355"/>
      <c r="AP401" s="355"/>
      <c r="AQ401" s="340"/>
      <c r="AR401" s="356"/>
      <c r="AS401" s="357"/>
      <c r="AT401" s="411" t="s">
        <v>316</v>
      </c>
    </row>
    <row r="402" spans="1:46" s="264" customFormat="1" ht="25.05" customHeight="1">
      <c r="A402" s="493">
        <f t="shared" ref="A402" si="31">A398+1</f>
        <v>98</v>
      </c>
      <c r="B402" s="308" t="s">
        <v>340</v>
      </c>
      <c r="C402" s="308" t="s">
        <v>341</v>
      </c>
      <c r="D402" s="419"/>
      <c r="E402" s="541">
        <v>24</v>
      </c>
      <c r="F402" s="419"/>
      <c r="G402" s="311"/>
      <c r="H402" s="310"/>
      <c r="I402" s="311" t="s">
        <v>83</v>
      </c>
      <c r="J402" s="308" t="s">
        <v>60</v>
      </c>
      <c r="K402" s="312">
        <f>K405</f>
        <v>3</v>
      </c>
      <c r="L402" s="308" t="s">
        <v>6</v>
      </c>
      <c r="M402" s="313" t="s">
        <v>61</v>
      </c>
      <c r="N402" s="364">
        <f>WORKDAY.INTL(O402,-INDEX(O$12:O$15,MATCH($L402,$L$12:$L$15,0)),1,IF(N$18="China",'China Holidays'!$A$2:$A$82,'Thai Holidays'!$A$2:$A$63))</f>
        <v>46164</v>
      </c>
      <c r="O402" s="350">
        <v>46167</v>
      </c>
      <c r="P402" s="350">
        <v>46175</v>
      </c>
      <c r="Q402" s="350">
        <v>46176</v>
      </c>
      <c r="R402" s="350">
        <v>46183</v>
      </c>
      <c r="S402" s="350">
        <f>R402+1</f>
        <v>46184</v>
      </c>
      <c r="T402" s="350">
        <v>46198</v>
      </c>
      <c r="U402" s="350">
        <v>46226</v>
      </c>
      <c r="V402" s="350">
        <v>46233</v>
      </c>
      <c r="W402" s="350">
        <v>46247</v>
      </c>
      <c r="X402" s="350">
        <v>46251</v>
      </c>
      <c r="Y402" s="350">
        <v>46258</v>
      </c>
      <c r="Z402" s="350">
        <v>46286</v>
      </c>
      <c r="AA402" s="350">
        <v>46300</v>
      </c>
      <c r="AB402" s="350">
        <v>46330</v>
      </c>
      <c r="AC402" s="350">
        <v>46330</v>
      </c>
      <c r="AD402" s="350">
        <v>46332</v>
      </c>
      <c r="AE402" s="350">
        <v>46401</v>
      </c>
      <c r="AF402" s="350">
        <v>46408</v>
      </c>
      <c r="AG402" s="350">
        <v>46415</v>
      </c>
      <c r="AH402" s="350">
        <v>46429</v>
      </c>
      <c r="AI402" s="350">
        <v>46445</v>
      </c>
      <c r="AJ402" s="316">
        <v>24</v>
      </c>
      <c r="AK402" s="351"/>
      <c r="AL402" s="350" t="str">
        <f>TEXT(AL404,"d-mmm-yy")</f>
        <v>28-Jan-27</v>
      </c>
      <c r="AM402" s="327"/>
      <c r="AN402" s="485"/>
      <c r="AO402" s="485"/>
      <c r="AP402" s="485"/>
      <c r="AQ402" s="311"/>
      <c r="AR402" s="329"/>
      <c r="AS402" s="330" t="s">
        <v>62</v>
      </c>
      <c r="AT402" s="331">
        <v>46507</v>
      </c>
    </row>
    <row r="403" spans="1:46" s="264" customFormat="1" ht="25.05" customHeight="1">
      <c r="A403" s="491"/>
      <c r="B403" s="308" t="str">
        <f>B402</f>
        <v>RFQ-PIP-098</v>
      </c>
      <c r="C403" s="308" t="str">
        <f>C402</f>
        <v>FLAME ARRESTOR</v>
      </c>
      <c r="D403" s="368"/>
      <c r="E403" s="542"/>
      <c r="F403" s="361"/>
      <c r="G403" s="311"/>
      <c r="H403" s="310"/>
      <c r="I403" s="311" t="str">
        <f>I402</f>
        <v>Piping</v>
      </c>
      <c r="J403" s="308"/>
      <c r="K403" s="322"/>
      <c r="L403" s="308"/>
      <c r="M403" s="323" t="s">
        <v>63</v>
      </c>
      <c r="N403" s="367"/>
      <c r="O403" s="325">
        <v>46167</v>
      </c>
      <c r="P403" s="325">
        <v>46175</v>
      </c>
      <c r="Q403" s="325">
        <v>46176</v>
      </c>
      <c r="R403" s="325">
        <v>46183</v>
      </c>
      <c r="S403" s="325">
        <v>46184</v>
      </c>
      <c r="T403" s="325">
        <v>46226</v>
      </c>
      <c r="U403" s="325">
        <v>46254</v>
      </c>
      <c r="V403" s="325">
        <v>46261</v>
      </c>
      <c r="W403" s="325">
        <v>46275</v>
      </c>
      <c r="X403" s="325">
        <v>46279</v>
      </c>
      <c r="Y403" s="325">
        <v>46286</v>
      </c>
      <c r="Z403" s="325">
        <v>46314</v>
      </c>
      <c r="AA403" s="325">
        <v>46328</v>
      </c>
      <c r="AB403" s="325">
        <v>46358</v>
      </c>
      <c r="AC403" s="325">
        <v>46358</v>
      </c>
      <c r="AD403" s="325">
        <v>46360</v>
      </c>
      <c r="AE403" s="325">
        <v>46429</v>
      </c>
      <c r="AF403" s="325">
        <v>46436</v>
      </c>
      <c r="AG403" s="325">
        <v>46443</v>
      </c>
      <c r="AH403" s="325">
        <v>46457</v>
      </c>
      <c r="AI403" s="325">
        <v>46473</v>
      </c>
      <c r="AJ403" s="365"/>
      <c r="AK403" s="326"/>
      <c r="AL403" s="325">
        <f>W403+AK404</f>
        <v>46443</v>
      </c>
      <c r="AM403" s="327"/>
      <c r="AN403" s="327"/>
      <c r="AO403" s="327"/>
      <c r="AP403" s="327"/>
      <c r="AQ403" s="328">
        <f>AM404-AL403</f>
        <v>57</v>
      </c>
      <c r="AR403" s="329"/>
      <c r="AS403" s="330"/>
      <c r="AT403" s="331"/>
    </row>
    <row r="404" spans="1:46" s="264" customFormat="1" ht="25.05" customHeight="1">
      <c r="A404" s="491"/>
      <c r="B404" s="308" t="str">
        <f>B402</f>
        <v>RFQ-PIP-098</v>
      </c>
      <c r="C404" s="308" t="str">
        <f>C402</f>
        <v>FLAME ARRESTOR</v>
      </c>
      <c r="D404" s="360"/>
      <c r="E404" s="542"/>
      <c r="F404" s="360"/>
      <c r="G404" s="311">
        <v>85</v>
      </c>
      <c r="H404" s="310" t="s">
        <v>263</v>
      </c>
      <c r="I404" s="311" t="s">
        <v>83</v>
      </c>
      <c r="J404" s="308" t="s">
        <v>60</v>
      </c>
      <c r="K404" s="308">
        <f>K405</f>
        <v>3</v>
      </c>
      <c r="L404" s="308" t="s">
        <v>6</v>
      </c>
      <c r="M404" s="313" t="s">
        <v>65</v>
      </c>
      <c r="N404" s="350">
        <v>46161</v>
      </c>
      <c r="O404" s="350">
        <v>46167</v>
      </c>
      <c r="P404" s="350">
        <f>WORKDAY.INTL(O404,INDEX(P$8:P$11,MATCH($L404,$L$8:$L$11,0)),1,IF(P$18="China",'China Holidays'!$A$2:$A$82,'Thai Holidays'!$A$2:$A$63))</f>
        <v>46183</v>
      </c>
      <c r="Q404" s="350">
        <f>WORKDAY.INTL(P404,INDEX(Q$8:Q$11,MATCH($L404,$L$8:$L$11,0)),1,IF(Q$18="China",'China Holidays'!$A$2:$A$82,'Thai Holidays'!$A$2:$A$63))</f>
        <v>46183</v>
      </c>
      <c r="R404" s="350">
        <f>WORKDAY.INTL(Q404,INDEX(R$8:R$11,MATCH($L404,$L$8:$L$11,0)),1,IF(R$18="China",'China Holidays'!$A$2:$A$82,'Thai Holidays'!$A$2:$A$63))</f>
        <v>46183</v>
      </c>
      <c r="S404" s="350">
        <f>WORKDAY.INTL(R404,INDEX(S$8:S$11,MATCH($L404,$L$8:$L$11,0)),1,IF(S$18="China",'China Holidays'!$A$2:$A$82,'Thai Holidays'!$A$2:$A$63))</f>
        <v>46183</v>
      </c>
      <c r="T404" s="350">
        <f>WORKDAY.INTL(S404,INDEX(T$8:T$11,MATCH($L404,$L$8:$L$11,0)),1,IF(T$18="China",'China Holidays'!$A$2:$A$82,'Thai Holidays'!$A$2:$A$63))</f>
        <v>46198</v>
      </c>
      <c r="U404" s="350">
        <v>46218</v>
      </c>
      <c r="V404" s="350">
        <f>WORKDAY.INTL(U404,INDEX(V$8:V$11,MATCH($L404,$L$8:$L$11,0)),1,IF(V$18="China",'China Holidays'!$A$2:$A$82,'Thai Holidays'!$A$2:$A$63))</f>
        <v>46234</v>
      </c>
      <c r="W404" s="350">
        <f>WORKDAY.INTL(V404,INDEX(W$8:W$11,MATCH($L404,$L$8:$L$11,0)),1,IF(W$18="China",'China Holidays'!$A$2:$A$82,'Thai Holidays'!$A$2:$A$63))</f>
        <v>46247</v>
      </c>
      <c r="X404" s="350">
        <f>WORKDAY.INTL(W404,INDEX(X$12:X$15,MATCH($L404,$L$12:$L$15,0)),1,IF(X$18="China",'China Holidays'!$A$2:$A$82,'Thai Holidays'!$A$2:$A$63))</f>
        <v>46251</v>
      </c>
      <c r="Y404" s="350">
        <f>WORKDAY.INTL(X404,INDEX(Y$12:Y$15,MATCH($L404,$L$12:$L$15,0)),1,IF(Y$18="China",'China Holidays'!$A$2:$A$82,'Thai Holidays'!$A$2:$A$63))</f>
        <v>46258</v>
      </c>
      <c r="Z404" s="350">
        <f>WORKDAY.INTL(Y404,INDEX(Z$12:Z$15,MATCH($L404,$L$12:$L$15,0)),1,IF(Z$18="China",'China Holidays'!$A$2:$A$82,'Thai Holidays'!$A$2:$A$63))</f>
        <v>46286</v>
      </c>
      <c r="AA404" s="350">
        <f>WORKDAY.INTL(Z404,INDEX(AA$12:AA$15,MATCH($L404,$L$12:$L$15,0)),1,IF(AA$18="China",'China Holidays'!$A$2:$A$82,'Thai Holidays'!$A$2:$A$63))</f>
        <v>46300</v>
      </c>
      <c r="AB404" s="350">
        <f>AA404+30</f>
        <v>46330</v>
      </c>
      <c r="AC404" s="350">
        <f>AB404</f>
        <v>46330</v>
      </c>
      <c r="AD404" s="350">
        <f>AC404+2</f>
        <v>46332</v>
      </c>
      <c r="AE404" s="350">
        <f>AF404-7</f>
        <v>46401</v>
      </c>
      <c r="AF404" s="350">
        <f>AG404-7</f>
        <v>46408</v>
      </c>
      <c r="AG404" s="350">
        <f>AL404</f>
        <v>46415</v>
      </c>
      <c r="AH404" s="350">
        <f>AL404+14</f>
        <v>46429</v>
      </c>
      <c r="AI404" s="350">
        <f>AL404+30</f>
        <v>46445</v>
      </c>
      <c r="AJ404" s="362"/>
      <c r="AK404" s="326">
        <f>AJ402*7</f>
        <v>168</v>
      </c>
      <c r="AL404" s="350">
        <f>W404+AK404</f>
        <v>46415</v>
      </c>
      <c r="AM404" s="327">
        <f>AT402-7</f>
        <v>46500</v>
      </c>
      <c r="AN404" s="327">
        <f>AO404-7</f>
        <v>46135</v>
      </c>
      <c r="AO404" s="327">
        <v>46142</v>
      </c>
      <c r="AP404" s="327"/>
      <c r="AQ404" s="311">
        <f>AM404-AL404</f>
        <v>85</v>
      </c>
      <c r="AR404" s="329"/>
      <c r="AS404" s="330" t="s">
        <v>66</v>
      </c>
      <c r="AT404" s="331">
        <v>46507</v>
      </c>
    </row>
    <row r="405" spans="1:46" s="264" customFormat="1" ht="25.05" customHeight="1">
      <c r="A405" s="492"/>
      <c r="B405" s="337" t="str">
        <f>B402</f>
        <v>RFQ-PIP-098</v>
      </c>
      <c r="C405" s="337" t="str">
        <f>C402</f>
        <v>FLAME ARRESTOR</v>
      </c>
      <c r="D405" s="395"/>
      <c r="E405" s="544"/>
      <c r="F405" s="395"/>
      <c r="G405" s="340"/>
      <c r="H405" s="339"/>
      <c r="I405" s="340" t="s">
        <v>83</v>
      </c>
      <c r="J405" s="337" t="s">
        <v>60</v>
      </c>
      <c r="K405" s="308">
        <v>3</v>
      </c>
      <c r="L405" s="337" t="s">
        <v>6</v>
      </c>
      <c r="M405" s="341" t="s">
        <v>67</v>
      </c>
      <c r="N405" s="343"/>
      <c r="O405" s="343">
        <v>46169</v>
      </c>
      <c r="P405" s="343">
        <v>46184</v>
      </c>
      <c r="Q405" s="343">
        <v>46184</v>
      </c>
      <c r="R405" s="343">
        <v>46184</v>
      </c>
      <c r="S405" s="343">
        <v>46188</v>
      </c>
      <c r="T405" s="343"/>
      <c r="U405" s="343"/>
      <c r="V405" s="343"/>
      <c r="W405" s="343"/>
      <c r="X405" s="343"/>
      <c r="Y405" s="343"/>
      <c r="Z405" s="343"/>
      <c r="AA405" s="343"/>
      <c r="AB405" s="343"/>
      <c r="AC405" s="343"/>
      <c r="AD405" s="343"/>
      <c r="AE405" s="343"/>
      <c r="AF405" s="343"/>
      <c r="AG405" s="343"/>
      <c r="AH405" s="343"/>
      <c r="AI405" s="343"/>
      <c r="AJ405" s="353"/>
      <c r="AK405" s="354"/>
      <c r="AL405" s="343"/>
      <c r="AM405" s="355"/>
      <c r="AN405" s="355"/>
      <c r="AO405" s="355"/>
      <c r="AP405" s="355" t="s">
        <v>216</v>
      </c>
      <c r="AQ405" s="340"/>
      <c r="AR405" s="356"/>
      <c r="AS405" s="357"/>
      <c r="AT405" s="411" t="s">
        <v>316</v>
      </c>
    </row>
    <row r="406" spans="1:46" s="264" customFormat="1" ht="25.05" customHeight="1">
      <c r="A406" s="493">
        <f>A402+1</f>
        <v>99</v>
      </c>
      <c r="B406" s="308" t="s">
        <v>342</v>
      </c>
      <c r="C406" s="308" t="str">
        <f>C405</f>
        <v>FLAME ARRESTOR</v>
      </c>
      <c r="D406" s="419"/>
      <c r="E406" s="541">
        <v>24</v>
      </c>
      <c r="F406" s="419"/>
      <c r="G406" s="311"/>
      <c r="H406" s="310"/>
      <c r="I406" s="311" t="s">
        <v>83</v>
      </c>
      <c r="J406" s="308" t="s">
        <v>60</v>
      </c>
      <c r="K406" s="312">
        <f>K409</f>
        <v>3</v>
      </c>
      <c r="L406" s="308" t="s">
        <v>6</v>
      </c>
      <c r="M406" s="313" t="s">
        <v>61</v>
      </c>
      <c r="N406" s="364">
        <f>WORKDAY.INTL(O406,-INDEX(O$12:O$15,MATCH($L406,$L$12:$L$15,0)),1,IF(N$18="China",'China Holidays'!$A$2:$A$82,'Thai Holidays'!$A$2:$A$63))</f>
        <v>46164</v>
      </c>
      <c r="O406" s="350">
        <v>46167</v>
      </c>
      <c r="P406" s="350">
        <v>46175</v>
      </c>
      <c r="Q406" s="350">
        <v>46176</v>
      </c>
      <c r="R406" s="350">
        <v>46183</v>
      </c>
      <c r="S406" s="350">
        <f>R406+1</f>
        <v>46184</v>
      </c>
      <c r="T406" s="350">
        <v>46198</v>
      </c>
      <c r="U406" s="350">
        <v>46226</v>
      </c>
      <c r="V406" s="350">
        <v>46233</v>
      </c>
      <c r="W406" s="350">
        <v>46247</v>
      </c>
      <c r="X406" s="350">
        <v>46251</v>
      </c>
      <c r="Y406" s="350">
        <v>46258</v>
      </c>
      <c r="Z406" s="350">
        <v>46286</v>
      </c>
      <c r="AA406" s="350">
        <v>46300</v>
      </c>
      <c r="AB406" s="350">
        <v>46330</v>
      </c>
      <c r="AC406" s="350">
        <v>46330</v>
      </c>
      <c r="AD406" s="350">
        <v>46332</v>
      </c>
      <c r="AE406" s="350">
        <v>46401</v>
      </c>
      <c r="AF406" s="350">
        <v>46408</v>
      </c>
      <c r="AG406" s="350">
        <v>46415</v>
      </c>
      <c r="AH406" s="350">
        <v>46429</v>
      </c>
      <c r="AI406" s="350">
        <v>46445</v>
      </c>
      <c r="AJ406" s="316">
        <v>24</v>
      </c>
      <c r="AK406" s="351"/>
      <c r="AL406" s="350" t="str">
        <f>TEXT(AL408,"d-mmm-yy")</f>
        <v>28-Jan-27</v>
      </c>
      <c r="AM406" s="327"/>
      <c r="AN406" s="485"/>
      <c r="AO406" s="485"/>
      <c r="AP406" s="485"/>
      <c r="AQ406" s="311"/>
      <c r="AR406" s="329"/>
      <c r="AS406" s="330" t="s">
        <v>62</v>
      </c>
      <c r="AT406" s="331">
        <v>46507</v>
      </c>
    </row>
    <row r="407" spans="1:46" s="264" customFormat="1" ht="25.05" customHeight="1">
      <c r="A407" s="491"/>
      <c r="B407" s="308" t="str">
        <f>B406</f>
        <v>RFQ-PIP-099</v>
      </c>
      <c r="C407" s="308" t="str">
        <f>C405</f>
        <v>FLAME ARRESTOR</v>
      </c>
      <c r="D407" s="368"/>
      <c r="E407" s="542"/>
      <c r="F407" s="361"/>
      <c r="G407" s="311"/>
      <c r="H407" s="310"/>
      <c r="I407" s="311" t="str">
        <f>I406</f>
        <v>Piping</v>
      </c>
      <c r="J407" s="308"/>
      <c r="K407" s="322"/>
      <c r="L407" s="308"/>
      <c r="M407" s="323" t="s">
        <v>63</v>
      </c>
      <c r="N407" s="367"/>
      <c r="O407" s="325">
        <v>46167</v>
      </c>
      <c r="P407" s="325">
        <v>46175</v>
      </c>
      <c r="Q407" s="325">
        <v>46176</v>
      </c>
      <c r="R407" s="325">
        <v>46183</v>
      </c>
      <c r="S407" s="325">
        <v>46184</v>
      </c>
      <c r="T407" s="325">
        <v>46226</v>
      </c>
      <c r="U407" s="325">
        <v>46254</v>
      </c>
      <c r="V407" s="325">
        <v>46261</v>
      </c>
      <c r="W407" s="325">
        <v>46275</v>
      </c>
      <c r="X407" s="325">
        <v>46279</v>
      </c>
      <c r="Y407" s="325">
        <v>46286</v>
      </c>
      <c r="Z407" s="325">
        <v>46314</v>
      </c>
      <c r="AA407" s="325">
        <v>46328</v>
      </c>
      <c r="AB407" s="325">
        <v>46358</v>
      </c>
      <c r="AC407" s="325">
        <v>46358</v>
      </c>
      <c r="AD407" s="325">
        <v>46360</v>
      </c>
      <c r="AE407" s="325">
        <v>46429</v>
      </c>
      <c r="AF407" s="325">
        <v>46436</v>
      </c>
      <c r="AG407" s="325">
        <v>46443</v>
      </c>
      <c r="AH407" s="325">
        <v>46457</v>
      </c>
      <c r="AI407" s="325">
        <v>46473</v>
      </c>
      <c r="AJ407" s="365"/>
      <c r="AK407" s="326"/>
      <c r="AL407" s="325">
        <f>W407+AK408</f>
        <v>46443</v>
      </c>
      <c r="AM407" s="327"/>
      <c r="AN407" s="327"/>
      <c r="AO407" s="327"/>
      <c r="AP407" s="327"/>
      <c r="AQ407" s="328">
        <f>AM408-AL407</f>
        <v>57</v>
      </c>
      <c r="AR407" s="329"/>
      <c r="AS407" s="330"/>
      <c r="AT407" s="331"/>
    </row>
    <row r="408" spans="1:46" s="264" customFormat="1" ht="25.05" customHeight="1">
      <c r="A408" s="491"/>
      <c r="B408" s="308" t="str">
        <f>B406</f>
        <v>RFQ-PIP-099</v>
      </c>
      <c r="C408" s="308" t="str">
        <f>C406</f>
        <v>FLAME ARRESTOR</v>
      </c>
      <c r="D408" s="360"/>
      <c r="E408" s="542"/>
      <c r="F408" s="360"/>
      <c r="G408" s="311">
        <v>85</v>
      </c>
      <c r="H408" s="310" t="s">
        <v>263</v>
      </c>
      <c r="I408" s="311" t="s">
        <v>83</v>
      </c>
      <c r="J408" s="308" t="s">
        <v>60</v>
      </c>
      <c r="K408" s="308">
        <f>K409</f>
        <v>3</v>
      </c>
      <c r="L408" s="308" t="s">
        <v>6</v>
      </c>
      <c r="M408" s="313" t="s">
        <v>65</v>
      </c>
      <c r="N408" s="350">
        <v>46161</v>
      </c>
      <c r="O408" s="350">
        <v>46167</v>
      </c>
      <c r="P408" s="350">
        <f>WORKDAY.INTL(O408,INDEX(P$8:P$11,MATCH($L408,$L$8:$L$11,0)),1,IF(P$18="China",'China Holidays'!$A$2:$A$82,'Thai Holidays'!$A$2:$A$63))</f>
        <v>46183</v>
      </c>
      <c r="Q408" s="350">
        <f>WORKDAY.INTL(P408,INDEX(Q$8:Q$11,MATCH($L408,$L$8:$L$11,0)),1,IF(Q$18="China",'China Holidays'!$A$2:$A$82,'Thai Holidays'!$A$2:$A$63))</f>
        <v>46183</v>
      </c>
      <c r="R408" s="350">
        <f>WORKDAY.INTL(Q408,INDEX(R$8:R$11,MATCH($L408,$L$8:$L$11,0)),1,IF(R$18="China",'China Holidays'!$A$2:$A$82,'Thai Holidays'!$A$2:$A$63))</f>
        <v>46183</v>
      </c>
      <c r="S408" s="350">
        <f>WORKDAY.INTL(R408,INDEX(S$8:S$11,MATCH($L408,$L$8:$L$11,0)),1,IF(S$18="China",'China Holidays'!$A$2:$A$82,'Thai Holidays'!$A$2:$A$63))</f>
        <v>46183</v>
      </c>
      <c r="T408" s="350">
        <f>WORKDAY.INTL(S408,INDEX(T$8:T$11,MATCH($L408,$L$8:$L$11,0)),1,IF(T$18="China",'China Holidays'!$A$2:$A$82,'Thai Holidays'!$A$2:$A$63))</f>
        <v>46198</v>
      </c>
      <c r="U408" s="350">
        <v>46218</v>
      </c>
      <c r="V408" s="350">
        <f>WORKDAY.INTL(U408,INDEX(V$8:V$11,MATCH($L408,$L$8:$L$11,0)),1,IF(V$18="China",'China Holidays'!$A$2:$A$82,'Thai Holidays'!$A$2:$A$63))</f>
        <v>46234</v>
      </c>
      <c r="W408" s="350">
        <f>WORKDAY.INTL(V408,INDEX(W$8:W$11,MATCH($L408,$L$8:$L$11,0)),1,IF(W$18="China",'China Holidays'!$A$2:$A$82,'Thai Holidays'!$A$2:$A$63))</f>
        <v>46247</v>
      </c>
      <c r="X408" s="350">
        <f>WORKDAY.INTL(W408,INDEX(X$12:X$15,MATCH($L408,$L$12:$L$15,0)),1,IF(X$18="China",'China Holidays'!$A$2:$A$82,'Thai Holidays'!$A$2:$A$63))</f>
        <v>46251</v>
      </c>
      <c r="Y408" s="350">
        <f>WORKDAY.INTL(X408,INDEX(Y$12:Y$15,MATCH($L408,$L$12:$L$15,0)),1,IF(Y$18="China",'China Holidays'!$A$2:$A$82,'Thai Holidays'!$A$2:$A$63))</f>
        <v>46258</v>
      </c>
      <c r="Z408" s="350">
        <f>WORKDAY.INTL(Y408,INDEX(Z$12:Z$15,MATCH($L408,$L$12:$L$15,0)),1,IF(Z$18="China",'China Holidays'!$A$2:$A$82,'Thai Holidays'!$A$2:$A$63))</f>
        <v>46286</v>
      </c>
      <c r="AA408" s="350">
        <f>WORKDAY.INTL(Z408,INDEX(AA$12:AA$15,MATCH($L408,$L$12:$L$15,0)),1,IF(AA$18="China",'China Holidays'!$A$2:$A$82,'Thai Holidays'!$A$2:$A$63))</f>
        <v>46300</v>
      </c>
      <c r="AB408" s="350">
        <f>AA408+30</f>
        <v>46330</v>
      </c>
      <c r="AC408" s="350">
        <f>AB408</f>
        <v>46330</v>
      </c>
      <c r="AD408" s="350">
        <f>AC408+2</f>
        <v>46332</v>
      </c>
      <c r="AE408" s="350">
        <f>AF408-7</f>
        <v>46401</v>
      </c>
      <c r="AF408" s="350">
        <f>AG408-7</f>
        <v>46408</v>
      </c>
      <c r="AG408" s="350">
        <f>AL408</f>
        <v>46415</v>
      </c>
      <c r="AH408" s="350">
        <f>AL408+14</f>
        <v>46429</v>
      </c>
      <c r="AI408" s="350">
        <f>AL408+30</f>
        <v>46445</v>
      </c>
      <c r="AJ408" s="362"/>
      <c r="AK408" s="326">
        <f>AJ406*7</f>
        <v>168</v>
      </c>
      <c r="AL408" s="350">
        <f>W408+AK408</f>
        <v>46415</v>
      </c>
      <c r="AM408" s="327">
        <f>AT406-7</f>
        <v>46500</v>
      </c>
      <c r="AN408" s="327">
        <f>AO408-7</f>
        <v>46135</v>
      </c>
      <c r="AO408" s="327">
        <v>46142</v>
      </c>
      <c r="AP408" s="327"/>
      <c r="AQ408" s="311">
        <f>AM408-AL408</f>
        <v>85</v>
      </c>
      <c r="AR408" s="329"/>
      <c r="AS408" s="330" t="s">
        <v>66</v>
      </c>
      <c r="AT408" s="331">
        <v>46507</v>
      </c>
    </row>
    <row r="409" spans="1:46" s="264" customFormat="1" ht="25.05" customHeight="1">
      <c r="A409" s="492"/>
      <c r="B409" s="337" t="str">
        <f>B406</f>
        <v>RFQ-PIP-099</v>
      </c>
      <c r="C409" s="337" t="str">
        <f>C406</f>
        <v>FLAME ARRESTOR</v>
      </c>
      <c r="D409" s="395"/>
      <c r="E409" s="544"/>
      <c r="F409" s="395"/>
      <c r="G409" s="340"/>
      <c r="H409" s="339"/>
      <c r="I409" s="340" t="s">
        <v>83</v>
      </c>
      <c r="J409" s="337" t="s">
        <v>60</v>
      </c>
      <c r="K409" s="337">
        <v>3</v>
      </c>
      <c r="L409" s="337" t="s">
        <v>6</v>
      </c>
      <c r="M409" s="341" t="s">
        <v>67</v>
      </c>
      <c r="N409" s="343"/>
      <c r="O409" s="343">
        <v>46169</v>
      </c>
      <c r="P409" s="343">
        <v>46184</v>
      </c>
      <c r="Q409" s="343">
        <v>46184</v>
      </c>
      <c r="R409" s="343">
        <v>46184</v>
      </c>
      <c r="S409" s="340"/>
      <c r="T409" s="343"/>
      <c r="U409" s="343"/>
      <c r="V409" s="343"/>
      <c r="W409" s="343"/>
      <c r="X409" s="343"/>
      <c r="Y409" s="343"/>
      <c r="Z409" s="343"/>
      <c r="AA409" s="343"/>
      <c r="AB409" s="343"/>
      <c r="AC409" s="343"/>
      <c r="AD409" s="343"/>
      <c r="AE409" s="343"/>
      <c r="AF409" s="343"/>
      <c r="AG409" s="343"/>
      <c r="AH409" s="343"/>
      <c r="AI409" s="343"/>
      <c r="AJ409" s="353"/>
      <c r="AK409" s="354"/>
      <c r="AL409" s="343"/>
      <c r="AM409" s="355"/>
      <c r="AN409" s="355"/>
      <c r="AO409" s="355"/>
      <c r="AP409" s="355" t="s">
        <v>216</v>
      </c>
      <c r="AQ409" s="340"/>
      <c r="AR409" s="356"/>
      <c r="AS409" s="357"/>
      <c r="AT409" s="411" t="s">
        <v>316</v>
      </c>
    </row>
    <row r="410" spans="1:46" s="262" customFormat="1" ht="25.05" customHeight="1">
      <c r="A410" s="493">
        <f>A406+1</f>
        <v>100</v>
      </c>
      <c r="B410" s="308" t="s">
        <v>343</v>
      </c>
      <c r="C410" s="308" t="s">
        <v>344</v>
      </c>
      <c r="D410" s="419"/>
      <c r="E410" s="541">
        <v>17.1428571428571</v>
      </c>
      <c r="F410" s="419"/>
      <c r="G410" s="311"/>
      <c r="H410" s="486"/>
      <c r="I410" s="311" t="s">
        <v>83</v>
      </c>
      <c r="J410" s="308" t="s">
        <v>71</v>
      </c>
      <c r="K410" s="312">
        <f>K413</f>
        <v>0</v>
      </c>
      <c r="L410" s="312" t="s">
        <v>9</v>
      </c>
      <c r="M410" s="313" t="s">
        <v>61</v>
      </c>
      <c r="N410" s="364">
        <f>O410-3</f>
        <v>46168</v>
      </c>
      <c r="O410" s="350">
        <v>46171</v>
      </c>
      <c r="P410" s="350">
        <v>46182</v>
      </c>
      <c r="Q410" s="350">
        <v>46183</v>
      </c>
      <c r="R410" s="350">
        <v>46188</v>
      </c>
      <c r="S410" s="350">
        <f>R410+1</f>
        <v>46189</v>
      </c>
      <c r="T410" s="350">
        <v>46196</v>
      </c>
      <c r="U410" s="350">
        <v>46205</v>
      </c>
      <c r="V410" s="350">
        <v>46209</v>
      </c>
      <c r="W410" s="350">
        <v>46218</v>
      </c>
      <c r="X410" s="350">
        <v>46225</v>
      </c>
      <c r="Y410" s="350">
        <v>46239</v>
      </c>
      <c r="Z410" s="350">
        <v>46254</v>
      </c>
      <c r="AA410" s="350">
        <v>46293</v>
      </c>
      <c r="AB410" s="350">
        <v>46284</v>
      </c>
      <c r="AC410" s="350">
        <v>46284</v>
      </c>
      <c r="AD410" s="350">
        <v>46286</v>
      </c>
      <c r="AE410" s="350">
        <v>46369</v>
      </c>
      <c r="AF410" s="350">
        <v>46372</v>
      </c>
      <c r="AG410" s="350">
        <v>46387</v>
      </c>
      <c r="AH410" s="350">
        <v>46401</v>
      </c>
      <c r="AI410" s="350">
        <v>46417</v>
      </c>
      <c r="AJ410" s="316">
        <v>17.1428571428571</v>
      </c>
      <c r="AK410" s="351"/>
      <c r="AL410" s="350" t="str">
        <f>TEXT(AL412,"d-mmm-yy")</f>
        <v>19-Nov-26</v>
      </c>
      <c r="AM410" s="487"/>
      <c r="AN410" s="488"/>
      <c r="AO410" s="488"/>
      <c r="AP410" s="488"/>
      <c r="AQ410" s="311"/>
      <c r="AR410" s="329"/>
      <c r="AS410" s="330" t="s">
        <v>62</v>
      </c>
      <c r="AT410" s="331">
        <v>46365</v>
      </c>
    </row>
    <row r="411" spans="1:46" s="264" customFormat="1" ht="25.05" customHeight="1">
      <c r="A411" s="491"/>
      <c r="B411" s="308" t="str">
        <f>B410</f>
        <v>RFQ-PIP-100</v>
      </c>
      <c r="C411" s="308" t="str">
        <f>C410</f>
        <v>PIPE SUPPORT</v>
      </c>
      <c r="D411" s="368"/>
      <c r="E411" s="542"/>
      <c r="F411" s="361"/>
      <c r="G411" s="311"/>
      <c r="H411" s="310"/>
      <c r="I411" s="311" t="str">
        <f>I410</f>
        <v>Piping</v>
      </c>
      <c r="J411" s="308"/>
      <c r="K411" s="322"/>
      <c r="L411" s="308"/>
      <c r="M411" s="323" t="s">
        <v>63</v>
      </c>
      <c r="N411" s="367"/>
      <c r="O411" s="325">
        <v>46171</v>
      </c>
      <c r="P411" s="325">
        <v>46182</v>
      </c>
      <c r="Q411" s="325">
        <v>46183</v>
      </c>
      <c r="R411" s="325">
        <v>46188</v>
      </c>
      <c r="S411" s="325">
        <v>46189</v>
      </c>
      <c r="T411" s="325">
        <v>46196</v>
      </c>
      <c r="U411" s="325">
        <v>46205</v>
      </c>
      <c r="V411" s="325">
        <v>46209</v>
      </c>
      <c r="W411" s="325">
        <v>46218</v>
      </c>
      <c r="X411" s="325">
        <v>46225</v>
      </c>
      <c r="Y411" s="325">
        <v>46239</v>
      </c>
      <c r="Z411" s="325">
        <v>46254</v>
      </c>
      <c r="AA411" s="325">
        <v>46293</v>
      </c>
      <c r="AB411" s="325">
        <v>46284</v>
      </c>
      <c r="AC411" s="325">
        <v>46284</v>
      </c>
      <c r="AD411" s="325">
        <v>46286</v>
      </c>
      <c r="AE411" s="325">
        <v>46369</v>
      </c>
      <c r="AF411" s="325">
        <v>46372</v>
      </c>
      <c r="AG411" s="325">
        <v>46387</v>
      </c>
      <c r="AH411" s="325">
        <v>46401</v>
      </c>
      <c r="AI411" s="325">
        <v>46417</v>
      </c>
      <c r="AJ411" s="365"/>
      <c r="AK411" s="326"/>
      <c r="AL411" s="325">
        <f>W411+AK412</f>
        <v>46338</v>
      </c>
      <c r="AM411" s="327"/>
      <c r="AN411" s="327"/>
      <c r="AO411" s="327"/>
      <c r="AP411" s="327"/>
      <c r="AQ411" s="328">
        <f>AM412-AL411</f>
        <v>20</v>
      </c>
      <c r="AR411" s="329"/>
      <c r="AS411" s="330"/>
      <c r="AT411" s="331"/>
    </row>
    <row r="412" spans="1:46" s="262" customFormat="1" ht="25.05" customHeight="1">
      <c r="A412" s="491"/>
      <c r="B412" s="308" t="str">
        <f>B410</f>
        <v>RFQ-PIP-100</v>
      </c>
      <c r="C412" s="308" t="str">
        <f>C410</f>
        <v>PIPE SUPPORT</v>
      </c>
      <c r="D412" s="359"/>
      <c r="E412" s="543"/>
      <c r="F412" s="359"/>
      <c r="G412" s="311">
        <v>13</v>
      </c>
      <c r="H412" s="454" t="s">
        <v>263</v>
      </c>
      <c r="I412" s="311" t="s">
        <v>83</v>
      </c>
      <c r="J412" s="308" t="s">
        <v>71</v>
      </c>
      <c r="K412" s="308">
        <f>K413</f>
        <v>0</v>
      </c>
      <c r="L412" s="308" t="s">
        <v>9</v>
      </c>
      <c r="M412" s="313" t="s">
        <v>65</v>
      </c>
      <c r="N412" s="350">
        <v>46162</v>
      </c>
      <c r="O412" s="350">
        <v>46169</v>
      </c>
      <c r="P412" s="350">
        <f>WORKDAY.INTL(O412,INDEX(P$8:P$11,MATCH($L412,$L$8:$L$11,0)),1,IF(P$18="China",'China Holidays'!$A$2:$A$82,'Thai Holidays'!$A$2:$A$63))</f>
        <v>46185</v>
      </c>
      <c r="Q412" s="350">
        <f>WORKDAY.INTL(P412,INDEX(Q$8:Q$11,MATCH($L412,$L$8:$L$11,0)),1,IF(Q$18="China",'China Holidays'!$A$2:$A$82,'Thai Holidays'!$A$2:$A$63))</f>
        <v>46185</v>
      </c>
      <c r="R412" s="350">
        <f>WORKDAY.INTL(Q412,INDEX(R$8:R$11,MATCH($L412,$L$8:$L$11,0)),1,IF(R$18="China",'China Holidays'!$A$2:$A$82,'Thai Holidays'!$A$2:$A$63))</f>
        <v>46185</v>
      </c>
      <c r="S412" s="350">
        <f>WORKDAY.INTL(R412,INDEX(S$8:S$11,MATCH($L412,$L$8:$L$11,0)),1,IF(S$18="China",'China Holidays'!$A$2:$A$82,'Thai Holidays'!$A$2:$A$63))</f>
        <v>46185</v>
      </c>
      <c r="T412" s="350">
        <f>WORKDAY.INTL(S412,INDEX(T$8:T$11,MATCH($L412,$L$8:$L$11,0)),1,IF(T$18="China",'China Holidays'!$A$2:$A$82,'Thai Holidays'!$A$2:$A$63))</f>
        <v>46195</v>
      </c>
      <c r="U412" s="350">
        <f>WORKDAY.INTL(T412,INDEX(U$8:U$11,MATCH($L412,$L$8:$L$11,0)),1,IF(U$18="China",'China Holidays'!$A$2:$A$82,'Thai Holidays'!$A$2:$A$63))</f>
        <v>46204</v>
      </c>
      <c r="V412" s="350">
        <f>WORKDAY.INTL(U412,INDEX(V$8:V$11,MATCH($L412,$L$8:$L$11,0)),1,IF(V$18="China",'China Holidays'!$A$2:$A$82,'Thai Holidays'!$A$2:$A$63))</f>
        <v>46218</v>
      </c>
      <c r="W412" s="350">
        <f>WORKDAY.INTL(V412,INDEX(W$8:W$11,MATCH($L412,$L$8:$L$11,0)),1,IF(W$18="China",'China Holidays'!$A$2:$A$82,'Thai Holidays'!$A$2:$A$63))</f>
        <v>46225</v>
      </c>
      <c r="X412" s="350">
        <v>46218</v>
      </c>
      <c r="Y412" s="350">
        <v>46225</v>
      </c>
      <c r="Z412" s="350">
        <v>46239</v>
      </c>
      <c r="AA412" s="350">
        <v>46254</v>
      </c>
      <c r="AB412" s="350">
        <f>AA412+30</f>
        <v>46284</v>
      </c>
      <c r="AC412" s="350">
        <f>AB412</f>
        <v>46284</v>
      </c>
      <c r="AD412" s="350">
        <f>AC412+2</f>
        <v>46286</v>
      </c>
      <c r="AE412" s="350">
        <f>AF412-3</f>
        <v>46327</v>
      </c>
      <c r="AF412" s="350">
        <f>AG412-15</f>
        <v>46330</v>
      </c>
      <c r="AG412" s="350">
        <f>AL412</f>
        <v>46345</v>
      </c>
      <c r="AH412" s="350">
        <f>AL412+14</f>
        <v>46359</v>
      </c>
      <c r="AI412" s="350">
        <f>AL412+30</f>
        <v>46375</v>
      </c>
      <c r="AJ412" s="362"/>
      <c r="AK412" s="326">
        <f>AJ410*7</f>
        <v>119.9999999999997</v>
      </c>
      <c r="AL412" s="350">
        <f>W412+AK412</f>
        <v>46345</v>
      </c>
      <c r="AM412" s="327">
        <f>AT410-7</f>
        <v>46358</v>
      </c>
      <c r="AN412" s="327">
        <f>AO412-7</f>
        <v>46358</v>
      </c>
      <c r="AO412" s="327">
        <v>46365</v>
      </c>
      <c r="AP412" s="355" t="s">
        <v>345</v>
      </c>
      <c r="AQ412" s="311">
        <f>AM412-AL412</f>
        <v>13</v>
      </c>
      <c r="AR412" s="329"/>
      <c r="AS412" s="330" t="s">
        <v>66</v>
      </c>
      <c r="AT412" s="331">
        <v>46365</v>
      </c>
    </row>
    <row r="413" spans="1:46" s="262" customFormat="1" ht="25.05" customHeight="1">
      <c r="A413" s="492"/>
      <c r="B413" s="337" t="str">
        <f>B410</f>
        <v>RFQ-PIP-100</v>
      </c>
      <c r="C413" s="337" t="str">
        <f>C410</f>
        <v>PIPE SUPPORT</v>
      </c>
      <c r="D413" s="363"/>
      <c r="E413" s="546"/>
      <c r="F413" s="363"/>
      <c r="G413" s="340"/>
      <c r="H413" s="455"/>
      <c r="I413" s="340" t="s">
        <v>83</v>
      </c>
      <c r="J413" s="337" t="s">
        <v>71</v>
      </c>
      <c r="K413" s="337"/>
      <c r="L413" s="337" t="s">
        <v>9</v>
      </c>
      <c r="M413" s="341" t="s">
        <v>67</v>
      </c>
      <c r="N413" s="343"/>
      <c r="O413" s="343">
        <v>46169</v>
      </c>
      <c r="P413" s="343">
        <v>46184</v>
      </c>
      <c r="Q413" s="343">
        <v>46184</v>
      </c>
      <c r="R413" s="343">
        <v>46184</v>
      </c>
      <c r="S413" s="343">
        <v>46184</v>
      </c>
      <c r="T413" s="343"/>
      <c r="U413" s="343"/>
      <c r="V413" s="343"/>
      <c r="W413" s="340">
        <f>W410-W412</f>
        <v>-7</v>
      </c>
      <c r="X413" s="343"/>
      <c r="Y413" s="343"/>
      <c r="Z413" s="343"/>
      <c r="AA413" s="343"/>
      <c r="AB413" s="343"/>
      <c r="AC413" s="343"/>
      <c r="AD413" s="343"/>
      <c r="AE413" s="343"/>
      <c r="AF413" s="343"/>
      <c r="AG413" s="343"/>
      <c r="AH413" s="343"/>
      <c r="AI413" s="343"/>
      <c r="AJ413" s="353"/>
      <c r="AK413" s="354"/>
      <c r="AL413" s="343"/>
      <c r="AM413" s="489"/>
      <c r="AN413" s="489"/>
      <c r="AO413" s="489"/>
      <c r="AP413" s="489"/>
      <c r="AQ413" s="340"/>
      <c r="AR413" s="356"/>
      <c r="AS413" s="357"/>
      <c r="AT413" s="356"/>
    </row>
    <row r="414" spans="1:46" s="264" customFormat="1" ht="25.05" customHeight="1">
      <c r="A414" s="493">
        <f>A410+1</f>
        <v>101</v>
      </c>
      <c r="B414" s="308" t="s">
        <v>346</v>
      </c>
      <c r="C414" s="308" t="s">
        <v>347</v>
      </c>
      <c r="D414" s="419"/>
      <c r="E414" s="541">
        <v>18</v>
      </c>
      <c r="F414" s="419"/>
      <c r="G414" s="311"/>
      <c r="H414" s="310"/>
      <c r="I414" s="311" t="s">
        <v>139</v>
      </c>
      <c r="J414" s="308" t="s">
        <v>71</v>
      </c>
      <c r="K414" s="312">
        <f>K417</f>
        <v>4</v>
      </c>
      <c r="L414" s="308" t="s">
        <v>8</v>
      </c>
      <c r="M414" s="313" t="s">
        <v>61</v>
      </c>
      <c r="N414" s="364">
        <f>WORKDAY.INTL(O414,-INDEX(O$12:O$15,MATCH($L414,$L$12:$L$15,0)),1,IF(N$18="China",'China Holidays'!$A$2:$A$82,'Thai Holidays'!$A$2:$A$63))</f>
        <v>46240</v>
      </c>
      <c r="O414" s="350">
        <v>46245</v>
      </c>
      <c r="P414" s="350">
        <f>WORKDAY.INTL(O414,INDEX(P$12:P$15,MATCH($L414,$L$12:$L$15,0)),1,IF(P$18="China",'China Holidays'!$A$2:$A$82,'Thai Holidays'!$A$2:$A$63))</f>
        <v>46253</v>
      </c>
      <c r="Q414" s="350">
        <f>WORKDAY.INTL(P414,INDEX(Q$12:Q$15,MATCH($L414,$L$12:$L$15,0)),1,IF(Q$18="China",'China Holidays'!$A$2:$A$82,'Thai Holidays'!$A$2:$A$63))</f>
        <v>46254</v>
      </c>
      <c r="R414" s="350">
        <f>WORKDAY.INTL(Q414,INDEX(R$12:R$15,MATCH($L414,$L$12:$L$15,0)),1,IF(R$18="China",'China Holidays'!$A$2:$A$82,'Thai Holidays'!$A$2:$A$63))</f>
        <v>46261</v>
      </c>
      <c r="S414" s="350">
        <f>WORKDAY.INTL(R414,INDEX(S$12:S$15,MATCH($L414,$L$12:$L$15,0)),1,IF(S$18="China",'China Holidays'!$A$2:$A$82,'Thai Holidays'!$A$2:$A$63))</f>
        <v>46261</v>
      </c>
      <c r="T414" s="350">
        <f>WORKDAY.INTL(S414,INDEX(T$12:T$15,MATCH($L414,$L$12:$L$15,0)),1,IF(T$18="China",'China Holidays'!$A$2:$A$82,'Thai Holidays'!$A$2:$A$63))</f>
        <v>46275</v>
      </c>
      <c r="U414" s="350">
        <f>WORKDAY.INTL(T414,INDEX(U$12:U$15,MATCH($L414,$L$12:$L$15,0)),1,IF(U$18="China",'China Holidays'!$A$2:$A$82,'Thai Holidays'!$A$2:$A$63))</f>
        <v>46296</v>
      </c>
      <c r="V414" s="350">
        <f>WORKDAY.INTL(U414,INDEX(V$12:V$15,MATCH($L414,$L$12:$L$15,0)),1,IF(V$18="China",'China Holidays'!$A$2:$A$82,'Thai Holidays'!$A$2:$A$63))</f>
        <v>46301</v>
      </c>
      <c r="W414" s="350">
        <f>WORKDAY.INTL(V414,INDEX(W$12:W$15,MATCH($L414,$L$12:$L$15,0)),1,IF(W$18="China",'China Holidays'!$A$2:$A$82,'Thai Holidays'!$A$2:$A$63))</f>
        <v>46316</v>
      </c>
      <c r="X414" s="350">
        <v>46318</v>
      </c>
      <c r="Y414" s="350">
        <v>46325</v>
      </c>
      <c r="Z414" s="350">
        <v>46346</v>
      </c>
      <c r="AA414" s="350">
        <v>46360</v>
      </c>
      <c r="AB414" s="350">
        <v>46375</v>
      </c>
      <c r="AC414" s="350">
        <v>46375</v>
      </c>
      <c r="AD414" s="350">
        <v>46377</v>
      </c>
      <c r="AE414" s="350">
        <v>46421</v>
      </c>
      <c r="AF414" s="350">
        <v>46435</v>
      </c>
      <c r="AG414" s="350">
        <v>46442</v>
      </c>
      <c r="AH414" s="350">
        <v>46456</v>
      </c>
      <c r="AI414" s="350">
        <v>46472</v>
      </c>
      <c r="AJ414" s="316">
        <v>18</v>
      </c>
      <c r="AK414" s="351"/>
      <c r="AL414" s="350" t="str">
        <f>TEXT(AL416,"d-mmm-yy")</f>
        <v>26-Feb-27</v>
      </c>
      <c r="AM414" s="327"/>
      <c r="AN414" s="327"/>
      <c r="AO414" s="327"/>
      <c r="AP414" s="327"/>
      <c r="AQ414" s="311"/>
      <c r="AR414" s="329"/>
      <c r="AS414" s="330" t="s">
        <v>62</v>
      </c>
      <c r="AT414" s="331">
        <v>46485</v>
      </c>
    </row>
    <row r="415" spans="1:46" s="264" customFormat="1" ht="25.05" customHeight="1">
      <c r="A415" s="491"/>
      <c r="B415" s="308" t="str">
        <f>B414</f>
        <v>RFQ-INS-101</v>
      </c>
      <c r="C415" s="308" t="str">
        <f>C414</f>
        <v xml:space="preserve">DP LEVEL TRANSMITTERS </v>
      </c>
      <c r="D415" s="368"/>
      <c r="E415" s="542"/>
      <c r="F415" s="361"/>
      <c r="G415" s="311"/>
      <c r="H415" s="310"/>
      <c r="I415" s="311" t="s">
        <v>139</v>
      </c>
      <c r="J415" s="308"/>
      <c r="K415" s="322"/>
      <c r="L415" s="308"/>
      <c r="M415" s="323" t="s">
        <v>63</v>
      </c>
      <c r="N415" s="367"/>
      <c r="O415" s="325">
        <v>46245</v>
      </c>
      <c r="P415" s="325">
        <v>46253</v>
      </c>
      <c r="Q415" s="325">
        <v>46254</v>
      </c>
      <c r="R415" s="325">
        <v>46261</v>
      </c>
      <c r="S415" s="325">
        <v>46261</v>
      </c>
      <c r="T415" s="325">
        <v>46275</v>
      </c>
      <c r="U415" s="325">
        <v>46296</v>
      </c>
      <c r="V415" s="325">
        <v>46301</v>
      </c>
      <c r="W415" s="325">
        <v>46316</v>
      </c>
      <c r="X415" s="325">
        <v>46318</v>
      </c>
      <c r="Y415" s="325">
        <v>46325</v>
      </c>
      <c r="Z415" s="325">
        <v>46346</v>
      </c>
      <c r="AA415" s="325">
        <v>46360</v>
      </c>
      <c r="AB415" s="325">
        <v>46375</v>
      </c>
      <c r="AC415" s="325">
        <v>46375</v>
      </c>
      <c r="AD415" s="325">
        <v>46377</v>
      </c>
      <c r="AE415" s="325">
        <v>46421</v>
      </c>
      <c r="AF415" s="325">
        <v>46435</v>
      </c>
      <c r="AG415" s="325">
        <v>46442</v>
      </c>
      <c r="AH415" s="325">
        <v>46456</v>
      </c>
      <c r="AI415" s="325">
        <v>46472</v>
      </c>
      <c r="AJ415" s="365"/>
      <c r="AK415" s="326"/>
      <c r="AL415" s="325">
        <f>W415+AK416</f>
        <v>46442</v>
      </c>
      <c r="AM415" s="327"/>
      <c r="AN415" s="327"/>
      <c r="AO415" s="327"/>
      <c r="AP415" s="327"/>
      <c r="AQ415" s="328">
        <f>AM416-AL415</f>
        <v>36</v>
      </c>
      <c r="AR415" s="329"/>
      <c r="AS415" s="330"/>
      <c r="AT415" s="331"/>
    </row>
    <row r="416" spans="1:46" s="264" customFormat="1" ht="25.05" customHeight="1">
      <c r="A416" s="491"/>
      <c r="B416" s="308" t="str">
        <f>B414</f>
        <v>RFQ-INS-101</v>
      </c>
      <c r="C416" s="308" t="str">
        <f>C414</f>
        <v xml:space="preserve">DP LEVEL TRANSMITTERS </v>
      </c>
      <c r="D416" s="360"/>
      <c r="E416" s="542"/>
      <c r="F416" s="360"/>
      <c r="G416" s="311">
        <v>34</v>
      </c>
      <c r="H416" s="310" t="s">
        <v>164</v>
      </c>
      <c r="I416" s="311" t="s">
        <v>139</v>
      </c>
      <c r="J416" s="308" t="s">
        <v>71</v>
      </c>
      <c r="K416" s="308">
        <f>K417</f>
        <v>4</v>
      </c>
      <c r="L416" s="308" t="s">
        <v>8</v>
      </c>
      <c r="M416" s="313" t="s">
        <v>65</v>
      </c>
      <c r="N416" s="350">
        <f>N414</f>
        <v>46240</v>
      </c>
      <c r="O416" s="350">
        <v>46245</v>
      </c>
      <c r="P416" s="350">
        <f>WORKDAY.INTL(O416,INDEX(P$8:P$11,MATCH($L416,$L$8:$L$11,0)),1,IF(P$18="China",'China Holidays'!$A$2:$A$82,'Thai Holidays'!$A$2:$A$63))</f>
        <v>46260</v>
      </c>
      <c r="Q416" s="350">
        <f>WORKDAY.INTL(P416,INDEX(Q$8:Q$11,MATCH($L416,$L$8:$L$11,0)),1,IF(Q$18="China",'China Holidays'!$A$2:$A$82,'Thai Holidays'!$A$2:$A$63))</f>
        <v>46260</v>
      </c>
      <c r="R416" s="350">
        <f>WORKDAY.INTL(Q416,INDEX(R$8:R$11,MATCH($L416,$L$8:$L$11,0)),1,IF(R$18="China",'China Holidays'!$A$2:$A$82,'Thai Holidays'!$A$2:$A$63))</f>
        <v>46260</v>
      </c>
      <c r="S416" s="350">
        <f>WORKDAY.INTL(R416,INDEX(S$8:S$11,MATCH($L416,$L$8:$L$11,0)),1,IF(S$18="China",'China Holidays'!$A$2:$A$82,'Thai Holidays'!$A$2:$A$63))</f>
        <v>46260</v>
      </c>
      <c r="T416" s="350">
        <f>WORKDAY.INTL(S416,INDEX(T$8:T$11,MATCH($L416,$L$8:$L$11,0)),1,IF(T$18="China",'China Holidays'!$A$2:$A$82,'Thai Holidays'!$A$2:$A$63))</f>
        <v>46274</v>
      </c>
      <c r="U416" s="350">
        <f>WORKDAY.INTL(T416,INDEX(U$8:U$11,MATCH($L416,$L$8:$L$11,0)),1,IF(U$18="China",'China Holidays'!$A$2:$A$82,'Thai Holidays'!$A$2:$A$63))</f>
        <v>46293</v>
      </c>
      <c r="V416" s="350">
        <f>WORKDAY.INTL(U416,INDEX(V$8:V$11,MATCH($L416,$L$8:$L$11,0)),1,IF(V$18="China",'China Holidays'!$A$2:$A$82,'Thai Holidays'!$A$2:$A$63))</f>
        <v>46307</v>
      </c>
      <c r="W416" s="350">
        <f>WORKDAY.INTL(V416,INDEX(W$8:W$11,MATCH($L416,$L$8:$L$11,0)),1,IF(W$18="China",'China Holidays'!$A$2:$A$82,'Thai Holidays'!$A$2:$A$63))</f>
        <v>46318</v>
      </c>
      <c r="X416" s="350">
        <f>WORKDAY.INTL(W416,INDEX(X$12:X$15,MATCH($L416,$L$12:$L$15,0)),1,IF(X$18="China",'China Holidays'!$A$2:$A$82,'Thai Holidays'!$A$2:$A$63))</f>
        <v>46322</v>
      </c>
      <c r="Y416" s="350">
        <f>WORKDAY.INTL(X416,INDEX(Y$12:Y$15,MATCH($L416,$L$12:$L$15,0)),1,IF(Y$18="China",'China Holidays'!$A$2:$A$82,'Thai Holidays'!$A$2:$A$63))</f>
        <v>46329</v>
      </c>
      <c r="Z416" s="350">
        <f>WORKDAY.INTL(Y416,INDEX(Z$12:Z$15,MATCH($L416,$L$12:$L$15,0)),1,IF(Z$18="China",'China Holidays'!$A$2:$A$82,'Thai Holidays'!$A$2:$A$63))</f>
        <v>46350</v>
      </c>
      <c r="AA416" s="350">
        <f>WORKDAY.INTL(Z416,INDEX(AA$12:AA$15,MATCH($L416,$L$12:$L$15,0)),1,IF(AA$18="China",'China Holidays'!$A$2:$A$82,'Thai Holidays'!$A$2:$A$63))</f>
        <v>46365</v>
      </c>
      <c r="AB416" s="350">
        <f>AA416+15</f>
        <v>46380</v>
      </c>
      <c r="AC416" s="350">
        <f>AB416</f>
        <v>46380</v>
      </c>
      <c r="AD416" s="350">
        <f>AC416+2</f>
        <v>46382</v>
      </c>
      <c r="AE416" s="350">
        <f>AF416-14</f>
        <v>46423</v>
      </c>
      <c r="AF416" s="350">
        <f>AG416-7</f>
        <v>46437</v>
      </c>
      <c r="AG416" s="350">
        <f>AL416</f>
        <v>46444</v>
      </c>
      <c r="AH416" s="350">
        <f>AL416+14</f>
        <v>46458</v>
      </c>
      <c r="AI416" s="350">
        <f>AL416+30</f>
        <v>46474</v>
      </c>
      <c r="AJ416" s="362"/>
      <c r="AK416" s="326">
        <f>AJ414*7</f>
        <v>126</v>
      </c>
      <c r="AL416" s="350">
        <f>W416+AK416</f>
        <v>46444</v>
      </c>
      <c r="AM416" s="327">
        <f>AT414-7</f>
        <v>46478</v>
      </c>
      <c r="AN416" s="327">
        <f>AO416-7</f>
        <v>46485</v>
      </c>
      <c r="AO416" s="327">
        <v>46492</v>
      </c>
      <c r="AP416" s="327"/>
      <c r="AQ416" s="311">
        <f>AM416-AL416</f>
        <v>34</v>
      </c>
      <c r="AR416" s="329"/>
      <c r="AS416" s="330" t="s">
        <v>66</v>
      </c>
      <c r="AT416" s="331">
        <v>46485</v>
      </c>
    </row>
    <row r="417" spans="1:46" s="264" customFormat="1" ht="25.05" customHeight="1">
      <c r="A417" s="492"/>
      <c r="B417" s="337" t="str">
        <f>B414</f>
        <v>RFQ-INS-101</v>
      </c>
      <c r="C417" s="337" t="str">
        <f>C414</f>
        <v xml:space="preserve">DP LEVEL TRANSMITTERS </v>
      </c>
      <c r="D417" s="395"/>
      <c r="E417" s="544"/>
      <c r="F417" s="395"/>
      <c r="G417" s="340"/>
      <c r="H417" s="339"/>
      <c r="I417" s="340" t="s">
        <v>139</v>
      </c>
      <c r="J417" s="337" t="s">
        <v>71</v>
      </c>
      <c r="K417" s="308">
        <v>4</v>
      </c>
      <c r="L417" s="337" t="s">
        <v>8</v>
      </c>
      <c r="M417" s="341" t="s">
        <v>67</v>
      </c>
      <c r="N417" s="340"/>
      <c r="O417" s="343"/>
      <c r="P417" s="343"/>
      <c r="Q417" s="343"/>
      <c r="R417" s="343"/>
      <c r="S417" s="343"/>
      <c r="T417" s="343"/>
      <c r="U417" s="343"/>
      <c r="V417" s="343"/>
      <c r="W417" s="340">
        <f>W414-W416</f>
        <v>-2</v>
      </c>
      <c r="X417" s="343"/>
      <c r="Y417" s="343"/>
      <c r="Z417" s="343"/>
      <c r="AA417" s="343"/>
      <c r="AB417" s="343"/>
      <c r="AC417" s="343"/>
      <c r="AD417" s="343"/>
      <c r="AE417" s="343"/>
      <c r="AF417" s="343"/>
      <c r="AG417" s="343"/>
      <c r="AH417" s="343"/>
      <c r="AI417" s="343"/>
      <c r="AJ417" s="353"/>
      <c r="AK417" s="354"/>
      <c r="AL417" s="343"/>
      <c r="AM417" s="355"/>
      <c r="AN417" s="355"/>
      <c r="AO417" s="355"/>
      <c r="AP417" s="355"/>
      <c r="AQ417" s="340"/>
      <c r="AR417" s="356"/>
      <c r="AS417" s="357"/>
      <c r="AT417" s="356"/>
    </row>
  </sheetData>
  <autoFilter ref="A18:AT417" xr:uid="{00000000-0009-0000-0000-000000000000}"/>
  <mergeCells count="280">
    <mergeCell ref="AN12:AP15"/>
    <mergeCell ref="F221:F228"/>
    <mergeCell ref="F229:F232"/>
    <mergeCell ref="F382:F385"/>
    <mergeCell ref="F386:F389"/>
    <mergeCell ref="F390:F393"/>
    <mergeCell ref="F394:F397"/>
    <mergeCell ref="H375:H378"/>
    <mergeCell ref="AT43:AT45"/>
    <mergeCell ref="AT62:AT64"/>
    <mergeCell ref="F109:F112"/>
    <mergeCell ref="F113:F116"/>
    <mergeCell ref="F117:F120"/>
    <mergeCell ref="F125:F128"/>
    <mergeCell ref="F161:F164"/>
    <mergeCell ref="F193:F196"/>
    <mergeCell ref="F205:F208"/>
    <mergeCell ref="F209:F212"/>
    <mergeCell ref="F213:F220"/>
    <mergeCell ref="E414:E417"/>
    <mergeCell ref="F19:F22"/>
    <mergeCell ref="F23:F26"/>
    <mergeCell ref="F27:F30"/>
    <mergeCell ref="F31:F34"/>
    <mergeCell ref="F35:F38"/>
    <mergeCell ref="F39:F42"/>
    <mergeCell ref="F43:F45"/>
    <mergeCell ref="F46:F49"/>
    <mergeCell ref="F50:F53"/>
    <mergeCell ref="F54:F57"/>
    <mergeCell ref="F58:F61"/>
    <mergeCell ref="F62:F64"/>
    <mergeCell ref="F65:F68"/>
    <mergeCell ref="F69:F72"/>
    <mergeCell ref="F73:F76"/>
    <mergeCell ref="F77:F80"/>
    <mergeCell ref="F81:F84"/>
    <mergeCell ref="F85:F88"/>
    <mergeCell ref="F89:F92"/>
    <mergeCell ref="F93:F96"/>
    <mergeCell ref="F97:F100"/>
    <mergeCell ref="F101:F104"/>
    <mergeCell ref="F105:F108"/>
    <mergeCell ref="E379:E381"/>
    <mergeCell ref="E382:E385"/>
    <mergeCell ref="E386:E389"/>
    <mergeCell ref="E390:E393"/>
    <mergeCell ref="E394:E397"/>
    <mergeCell ref="E398:E401"/>
    <mergeCell ref="E402:E405"/>
    <mergeCell ref="E406:E409"/>
    <mergeCell ref="E410:E413"/>
    <mergeCell ref="E343:E346"/>
    <mergeCell ref="E347:E350"/>
    <mergeCell ref="E351:E354"/>
    <mergeCell ref="E355:E358"/>
    <mergeCell ref="E359:E362"/>
    <mergeCell ref="E363:E366"/>
    <mergeCell ref="E367:E370"/>
    <mergeCell ref="E371:E374"/>
    <mergeCell ref="E375:E378"/>
    <mergeCell ref="E307:E310"/>
    <mergeCell ref="E311:E314"/>
    <mergeCell ref="E315:E318"/>
    <mergeCell ref="E319:E322"/>
    <mergeCell ref="E323:E326"/>
    <mergeCell ref="E327:E330"/>
    <mergeCell ref="E331:E334"/>
    <mergeCell ref="E335:E338"/>
    <mergeCell ref="E339:E342"/>
    <mergeCell ref="E272:E275"/>
    <mergeCell ref="E276:E278"/>
    <mergeCell ref="E279:E282"/>
    <mergeCell ref="E283:E286"/>
    <mergeCell ref="E287:E290"/>
    <mergeCell ref="E291:E294"/>
    <mergeCell ref="E295:E298"/>
    <mergeCell ref="E299:E302"/>
    <mergeCell ref="E303:E306"/>
    <mergeCell ref="E237:E240"/>
    <mergeCell ref="E241:E244"/>
    <mergeCell ref="E245:E248"/>
    <mergeCell ref="E249:E252"/>
    <mergeCell ref="E253:E256"/>
    <mergeCell ref="E257:E260"/>
    <mergeCell ref="E261:E264"/>
    <mergeCell ref="E265:E267"/>
    <mergeCell ref="E268:E271"/>
    <mergeCell ref="E201:E204"/>
    <mergeCell ref="E205:E208"/>
    <mergeCell ref="E209:E212"/>
    <mergeCell ref="E213:E216"/>
    <mergeCell ref="E217:E220"/>
    <mergeCell ref="E221:E224"/>
    <mergeCell ref="E225:E228"/>
    <mergeCell ref="E229:E232"/>
    <mergeCell ref="E233:E236"/>
    <mergeCell ref="E165:E168"/>
    <mergeCell ref="E169:E172"/>
    <mergeCell ref="E173:E176"/>
    <mergeCell ref="E177:E180"/>
    <mergeCell ref="E181:E184"/>
    <mergeCell ref="E185:E188"/>
    <mergeCell ref="E189:E192"/>
    <mergeCell ref="E193:E196"/>
    <mergeCell ref="E197:E200"/>
    <mergeCell ref="E129:E132"/>
    <mergeCell ref="E133:E136"/>
    <mergeCell ref="E137:E140"/>
    <mergeCell ref="E141:E144"/>
    <mergeCell ref="E145:E148"/>
    <mergeCell ref="E149:E152"/>
    <mergeCell ref="E153:E156"/>
    <mergeCell ref="E157:E160"/>
    <mergeCell ref="E161:E164"/>
    <mergeCell ref="E93:E96"/>
    <mergeCell ref="E97:E100"/>
    <mergeCell ref="E101:E104"/>
    <mergeCell ref="E105:E108"/>
    <mergeCell ref="E109:E112"/>
    <mergeCell ref="E113:E116"/>
    <mergeCell ref="E117:E120"/>
    <mergeCell ref="E121:E124"/>
    <mergeCell ref="E125:E128"/>
    <mergeCell ref="D213:D220"/>
    <mergeCell ref="D221:D228"/>
    <mergeCell ref="D229:D232"/>
    <mergeCell ref="D382:D385"/>
    <mergeCell ref="D386:D389"/>
    <mergeCell ref="D390:D393"/>
    <mergeCell ref="D394:D397"/>
    <mergeCell ref="E19:E22"/>
    <mergeCell ref="E23:E26"/>
    <mergeCell ref="E27:E30"/>
    <mergeCell ref="E31:E34"/>
    <mergeCell ref="E35:E38"/>
    <mergeCell ref="E39:E42"/>
    <mergeCell ref="E46:E49"/>
    <mergeCell ref="E50:E53"/>
    <mergeCell ref="E54:E57"/>
    <mergeCell ref="E58:E61"/>
    <mergeCell ref="E65:E68"/>
    <mergeCell ref="E69:E72"/>
    <mergeCell ref="E73:E76"/>
    <mergeCell ref="E77:E80"/>
    <mergeCell ref="E81:E84"/>
    <mergeCell ref="E85:E88"/>
    <mergeCell ref="E89:E92"/>
    <mergeCell ref="D105:D108"/>
    <mergeCell ref="D109:D112"/>
    <mergeCell ref="D113:D116"/>
    <mergeCell ref="D117:D120"/>
    <mergeCell ref="D125:D128"/>
    <mergeCell ref="D161:D164"/>
    <mergeCell ref="D193:D196"/>
    <mergeCell ref="D205:D208"/>
    <mergeCell ref="D209:D212"/>
    <mergeCell ref="A410:A413"/>
    <mergeCell ref="A414:A417"/>
    <mergeCell ref="D19:D22"/>
    <mergeCell ref="D23:D26"/>
    <mergeCell ref="D27:D30"/>
    <mergeCell ref="D31:D34"/>
    <mergeCell ref="D35:D38"/>
    <mergeCell ref="D39:D42"/>
    <mergeCell ref="D43:D45"/>
    <mergeCell ref="D46:D49"/>
    <mergeCell ref="D50:D53"/>
    <mergeCell ref="D54:D57"/>
    <mergeCell ref="D58:D61"/>
    <mergeCell ref="D62:D64"/>
    <mergeCell ref="D65:D68"/>
    <mergeCell ref="D69:D72"/>
    <mergeCell ref="D73:D76"/>
    <mergeCell ref="D77:D80"/>
    <mergeCell ref="D81:D84"/>
    <mergeCell ref="D85:D88"/>
    <mergeCell ref="D89:D92"/>
    <mergeCell ref="D93:D96"/>
    <mergeCell ref="D97:D100"/>
    <mergeCell ref="D101:D104"/>
    <mergeCell ref="A375:A378"/>
    <mergeCell ref="A379:A381"/>
    <mergeCell ref="A382:A385"/>
    <mergeCell ref="A386:A389"/>
    <mergeCell ref="A390:A393"/>
    <mergeCell ref="A394:A397"/>
    <mergeCell ref="A398:A401"/>
    <mergeCell ref="A402:A405"/>
    <mergeCell ref="A406:A409"/>
    <mergeCell ref="A339:A342"/>
    <mergeCell ref="A343:A346"/>
    <mergeCell ref="A347:A350"/>
    <mergeCell ref="A351:A354"/>
    <mergeCell ref="A355:A358"/>
    <mergeCell ref="A359:A362"/>
    <mergeCell ref="A363:A366"/>
    <mergeCell ref="A367:A370"/>
    <mergeCell ref="A371:A374"/>
    <mergeCell ref="A303:A306"/>
    <mergeCell ref="A307:A310"/>
    <mergeCell ref="A311:A314"/>
    <mergeCell ref="A315:A318"/>
    <mergeCell ref="A319:A322"/>
    <mergeCell ref="A323:A326"/>
    <mergeCell ref="A327:A330"/>
    <mergeCell ref="A331:A334"/>
    <mergeCell ref="A335:A338"/>
    <mergeCell ref="A268:A271"/>
    <mergeCell ref="A272:A275"/>
    <mergeCell ref="A276:A278"/>
    <mergeCell ref="A279:A282"/>
    <mergeCell ref="A283:A286"/>
    <mergeCell ref="A287:A290"/>
    <mergeCell ref="A291:A294"/>
    <mergeCell ref="A295:A298"/>
    <mergeCell ref="A299:A302"/>
    <mergeCell ref="A233:A236"/>
    <mergeCell ref="A237:A240"/>
    <mergeCell ref="A241:A244"/>
    <mergeCell ref="A245:A248"/>
    <mergeCell ref="A249:A252"/>
    <mergeCell ref="A253:A256"/>
    <mergeCell ref="A257:A260"/>
    <mergeCell ref="A261:A264"/>
    <mergeCell ref="A265:A267"/>
    <mergeCell ref="A197:A200"/>
    <mergeCell ref="A201:A204"/>
    <mergeCell ref="A205:A208"/>
    <mergeCell ref="A209:A212"/>
    <mergeCell ref="A213:A216"/>
    <mergeCell ref="A217:A220"/>
    <mergeCell ref="A221:A224"/>
    <mergeCell ref="A225:A228"/>
    <mergeCell ref="A229:A232"/>
    <mergeCell ref="A161:A164"/>
    <mergeCell ref="A165:A168"/>
    <mergeCell ref="A169:A172"/>
    <mergeCell ref="A173:A176"/>
    <mergeCell ref="A177:A180"/>
    <mergeCell ref="A181:A184"/>
    <mergeCell ref="A185:A188"/>
    <mergeCell ref="A189:A192"/>
    <mergeCell ref="A193:A196"/>
    <mergeCell ref="A125:A128"/>
    <mergeCell ref="A129:A132"/>
    <mergeCell ref="A133:A136"/>
    <mergeCell ref="A137:A140"/>
    <mergeCell ref="A141:A144"/>
    <mergeCell ref="A145:A148"/>
    <mergeCell ref="A149:A152"/>
    <mergeCell ref="A153:A156"/>
    <mergeCell ref="A157:A160"/>
    <mergeCell ref="A89:A92"/>
    <mergeCell ref="A93:A96"/>
    <mergeCell ref="A97:A100"/>
    <mergeCell ref="A101:A104"/>
    <mergeCell ref="A105:A108"/>
    <mergeCell ref="A109:A112"/>
    <mergeCell ref="A113:A116"/>
    <mergeCell ref="A117:A120"/>
    <mergeCell ref="A121:A124"/>
    <mergeCell ref="A54:A57"/>
    <mergeCell ref="A58:A61"/>
    <mergeCell ref="A62:A64"/>
    <mergeCell ref="A65:A68"/>
    <mergeCell ref="A69:A72"/>
    <mergeCell ref="A73:A76"/>
    <mergeCell ref="A77:A80"/>
    <mergeCell ref="A81:A84"/>
    <mergeCell ref="A85:A88"/>
    <mergeCell ref="A19:A22"/>
    <mergeCell ref="A23:A26"/>
    <mergeCell ref="A27:A30"/>
    <mergeCell ref="A31:A34"/>
    <mergeCell ref="A35:A38"/>
    <mergeCell ref="A39:A42"/>
    <mergeCell ref="A43:A45"/>
    <mergeCell ref="A46:A49"/>
    <mergeCell ref="A50:A53"/>
  </mergeCells>
  <dataValidations count="1">
    <dataValidation type="list" allowBlank="1" showInputMessage="1" showErrorMessage="1" sqref="E18:G18 N18:AT18" xr:uid="{00000000-0002-0000-0000-000000000000}">
      <formula1>"Thai,China"</formula1>
    </dataValidation>
  </dataValidations>
  <pageMargins left="0.7" right="0.7" top="0.75" bottom="0.75" header="0.3" footer="0.3"/>
  <pageSetup paperSize="8" scale="27" fitToHeight="0"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3:E22"/>
  <sheetViews>
    <sheetView workbookViewId="0">
      <selection activeCell="H25" sqref="H25"/>
    </sheetView>
  </sheetViews>
  <sheetFormatPr defaultColWidth="9" defaultRowHeight="13.8"/>
  <cols>
    <col min="4" max="4" width="11" customWidth="1"/>
  </cols>
  <sheetData>
    <row r="3" spans="4:5">
      <c r="D3" s="261">
        <v>46054</v>
      </c>
    </row>
    <row r="4" spans="4:5">
      <c r="D4" s="261">
        <v>46082</v>
      </c>
      <c r="E4">
        <v>1</v>
      </c>
    </row>
    <row r="5" spans="4:5">
      <c r="D5" s="261">
        <v>46113</v>
      </c>
      <c r="E5">
        <v>2</v>
      </c>
    </row>
    <row r="6" spans="4:5">
      <c r="D6" s="261">
        <v>46143</v>
      </c>
      <c r="E6">
        <v>3</v>
      </c>
    </row>
    <row r="7" spans="4:5">
      <c r="D7" s="261">
        <v>46174</v>
      </c>
      <c r="E7">
        <v>4</v>
      </c>
    </row>
    <row r="8" spans="4:5">
      <c r="D8" s="261">
        <v>46204</v>
      </c>
      <c r="E8">
        <v>5</v>
      </c>
    </row>
    <row r="9" spans="4:5">
      <c r="D9" s="261">
        <v>46235</v>
      </c>
      <c r="E9">
        <v>6</v>
      </c>
    </row>
    <row r="10" spans="4:5">
      <c r="D10" s="261">
        <v>46266</v>
      </c>
      <c r="E10">
        <v>7</v>
      </c>
    </row>
    <row r="11" spans="4:5">
      <c r="D11" s="261">
        <v>46296</v>
      </c>
      <c r="E11">
        <v>8</v>
      </c>
    </row>
    <row r="12" spans="4:5">
      <c r="D12" s="261">
        <v>46327</v>
      </c>
      <c r="E12">
        <v>9</v>
      </c>
    </row>
    <row r="13" spans="4:5">
      <c r="D13" s="261">
        <v>46357</v>
      </c>
      <c r="E13">
        <v>10</v>
      </c>
    </row>
    <row r="14" spans="4:5">
      <c r="D14" s="261">
        <v>46388</v>
      </c>
      <c r="E14">
        <v>11</v>
      </c>
    </row>
    <row r="15" spans="4:5">
      <c r="D15" s="261">
        <v>46419</v>
      </c>
      <c r="E15">
        <v>12</v>
      </c>
    </row>
    <row r="16" spans="4:5">
      <c r="D16" s="261">
        <v>46447</v>
      </c>
      <c r="E16">
        <v>13</v>
      </c>
    </row>
    <row r="17" spans="4:5">
      <c r="D17" s="261">
        <v>46478</v>
      </c>
      <c r="E17">
        <v>14</v>
      </c>
    </row>
    <row r="18" spans="4:5">
      <c r="D18" s="261">
        <v>46508</v>
      </c>
      <c r="E18">
        <v>15</v>
      </c>
    </row>
    <row r="19" spans="4:5">
      <c r="D19" s="261">
        <v>46539</v>
      </c>
      <c r="E19">
        <v>16</v>
      </c>
    </row>
    <row r="20" spans="4:5">
      <c r="D20" s="261">
        <v>46569</v>
      </c>
      <c r="E20">
        <v>17</v>
      </c>
    </row>
    <row r="21" spans="4:5">
      <c r="D21" s="261">
        <v>46600</v>
      </c>
      <c r="E21">
        <v>18</v>
      </c>
    </row>
    <row r="22" spans="4:5">
      <c r="D22" s="261">
        <v>46631</v>
      </c>
      <c r="E22">
        <v>19</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3"/>
  <sheetViews>
    <sheetView topLeftCell="A232" workbookViewId="0">
      <selection activeCell="A250" sqref="A250:A252"/>
    </sheetView>
  </sheetViews>
  <sheetFormatPr defaultColWidth="9" defaultRowHeight="13.8"/>
  <cols>
    <col min="1" max="1" width="18.296875" customWidth="1"/>
    <col min="2" max="2" width="69" customWidth="1"/>
    <col min="3" max="5" width="16.69921875" customWidth="1"/>
    <col min="6" max="6" width="12.3984375" customWidth="1"/>
    <col min="7" max="7" width="20.09765625" customWidth="1"/>
    <col min="8" max="8" width="40.796875" customWidth="1"/>
  </cols>
  <sheetData>
    <row r="1" spans="1:7">
      <c r="A1" t="s">
        <v>348</v>
      </c>
      <c r="B1" t="s">
        <v>349</v>
      </c>
      <c r="C1" t="s">
        <v>350</v>
      </c>
      <c r="D1" t="s">
        <v>351</v>
      </c>
      <c r="E1" t="s">
        <v>352</v>
      </c>
      <c r="F1" t="s">
        <v>353</v>
      </c>
      <c r="G1" t="s">
        <v>354</v>
      </c>
    </row>
    <row r="2" spans="1:7">
      <c r="A2" t="s">
        <v>355</v>
      </c>
      <c r="C2">
        <v>211</v>
      </c>
      <c r="D2" s="260">
        <v>46085</v>
      </c>
      <c r="E2" s="260">
        <v>46405</v>
      </c>
      <c r="F2">
        <v>0</v>
      </c>
      <c r="G2" t="s">
        <v>356</v>
      </c>
    </row>
    <row r="3" spans="1:7">
      <c r="A3" t="s">
        <v>357</v>
      </c>
      <c r="C3">
        <v>211</v>
      </c>
      <c r="D3" s="260">
        <v>46085</v>
      </c>
      <c r="E3" s="260">
        <v>46405</v>
      </c>
      <c r="F3">
        <v>0</v>
      </c>
      <c r="G3" t="s">
        <v>356</v>
      </c>
    </row>
    <row r="4" spans="1:7">
      <c r="A4" t="s">
        <v>358</v>
      </c>
      <c r="B4" t="s">
        <v>359</v>
      </c>
      <c r="C4">
        <v>0</v>
      </c>
      <c r="D4" s="260">
        <v>46085</v>
      </c>
      <c r="F4">
        <v>-47</v>
      </c>
      <c r="G4" t="s">
        <v>356</v>
      </c>
    </row>
    <row r="5" spans="1:7">
      <c r="A5" t="s">
        <v>360</v>
      </c>
      <c r="B5" t="s">
        <v>361</v>
      </c>
      <c r="C5">
        <v>0</v>
      </c>
      <c r="E5" t="s">
        <v>362</v>
      </c>
      <c r="F5">
        <v>-7</v>
      </c>
      <c r="G5" t="s">
        <v>356</v>
      </c>
    </row>
    <row r="6" spans="1:7">
      <c r="A6" t="s">
        <v>363</v>
      </c>
      <c r="B6" t="s">
        <v>364</v>
      </c>
      <c r="C6">
        <v>2</v>
      </c>
      <c r="D6" s="260">
        <v>46155</v>
      </c>
      <c r="E6" s="260">
        <v>46156</v>
      </c>
      <c r="F6">
        <v>10</v>
      </c>
      <c r="G6" t="s">
        <v>356</v>
      </c>
    </row>
    <row r="7" spans="1:7">
      <c r="A7" t="s">
        <v>365</v>
      </c>
      <c r="B7" t="s">
        <v>366</v>
      </c>
      <c r="C7">
        <v>0</v>
      </c>
      <c r="E7" s="260">
        <v>46170</v>
      </c>
      <c r="F7">
        <v>22</v>
      </c>
      <c r="G7" t="s">
        <v>356</v>
      </c>
    </row>
    <row r="8" spans="1:7">
      <c r="A8" t="s">
        <v>367</v>
      </c>
      <c r="B8" t="s">
        <v>368</v>
      </c>
      <c r="C8">
        <v>2</v>
      </c>
      <c r="D8" s="260">
        <v>46162</v>
      </c>
      <c r="E8" s="260">
        <v>46163</v>
      </c>
      <c r="F8">
        <v>105</v>
      </c>
      <c r="G8" t="s">
        <v>356</v>
      </c>
    </row>
    <row r="9" spans="1:7">
      <c r="A9" t="s">
        <v>369</v>
      </c>
      <c r="B9" t="s">
        <v>370</v>
      </c>
      <c r="C9">
        <v>5</v>
      </c>
      <c r="D9" s="260">
        <v>46178</v>
      </c>
      <c r="E9" s="260">
        <v>46184</v>
      </c>
      <c r="F9">
        <v>22</v>
      </c>
      <c r="G9" t="s">
        <v>356</v>
      </c>
    </row>
    <row r="10" spans="1:7">
      <c r="A10" t="s">
        <v>371</v>
      </c>
      <c r="B10" t="s">
        <v>372</v>
      </c>
      <c r="C10">
        <v>2</v>
      </c>
      <c r="D10" s="260">
        <v>46192</v>
      </c>
      <c r="E10" s="260">
        <v>46195</v>
      </c>
      <c r="F10">
        <v>75</v>
      </c>
      <c r="G10" t="s">
        <v>356</v>
      </c>
    </row>
    <row r="11" spans="1:7">
      <c r="A11" t="s">
        <v>373</v>
      </c>
      <c r="B11" t="s">
        <v>374</v>
      </c>
      <c r="C11">
        <v>0</v>
      </c>
      <c r="E11" t="s">
        <v>375</v>
      </c>
      <c r="F11">
        <v>0</v>
      </c>
      <c r="G11" t="s">
        <v>356</v>
      </c>
    </row>
    <row r="12" spans="1:7">
      <c r="A12" t="s">
        <v>376</v>
      </c>
      <c r="B12" t="s">
        <v>377</v>
      </c>
      <c r="C12">
        <v>5</v>
      </c>
      <c r="D12" s="260">
        <v>46258</v>
      </c>
      <c r="E12" s="260">
        <v>46262</v>
      </c>
      <c r="F12">
        <v>0</v>
      </c>
      <c r="G12" t="s">
        <v>356</v>
      </c>
    </row>
    <row r="13" spans="1:7">
      <c r="A13" t="s">
        <v>378</v>
      </c>
      <c r="B13" t="s">
        <v>379</v>
      </c>
      <c r="C13">
        <v>1</v>
      </c>
      <c r="D13" s="260">
        <v>46321</v>
      </c>
      <c r="E13" s="260">
        <v>46321</v>
      </c>
      <c r="F13">
        <v>11</v>
      </c>
      <c r="G13" t="s">
        <v>356</v>
      </c>
    </row>
    <row r="14" spans="1:7">
      <c r="A14" t="s">
        <v>380</v>
      </c>
      <c r="B14" t="s">
        <v>381</v>
      </c>
      <c r="C14">
        <v>0</v>
      </c>
      <c r="E14" s="260">
        <v>46392</v>
      </c>
      <c r="F14">
        <v>0</v>
      </c>
      <c r="G14" t="s">
        <v>356</v>
      </c>
    </row>
    <row r="15" spans="1:7">
      <c r="A15" t="s">
        <v>382</v>
      </c>
      <c r="B15" t="s">
        <v>383</v>
      </c>
      <c r="C15">
        <v>0</v>
      </c>
      <c r="E15" s="260">
        <v>46405</v>
      </c>
      <c r="F15">
        <v>0</v>
      </c>
      <c r="G15" t="s">
        <v>356</v>
      </c>
    </row>
    <row r="16" spans="1:7">
      <c r="A16" t="s">
        <v>384</v>
      </c>
      <c r="C16">
        <v>35</v>
      </c>
      <c r="D16" s="260">
        <v>46086</v>
      </c>
      <c r="E16" s="260">
        <v>46140</v>
      </c>
      <c r="F16">
        <v>166</v>
      </c>
      <c r="G16" t="s">
        <v>356</v>
      </c>
    </row>
    <row r="17" spans="1:7">
      <c r="A17" t="s">
        <v>385</v>
      </c>
      <c r="B17" t="s">
        <v>386</v>
      </c>
      <c r="C17">
        <v>10</v>
      </c>
      <c r="D17" s="260">
        <v>46086</v>
      </c>
      <c r="E17" s="260">
        <v>46099</v>
      </c>
      <c r="F17">
        <v>166</v>
      </c>
      <c r="G17" t="s">
        <v>356</v>
      </c>
    </row>
    <row r="18" spans="1:7">
      <c r="A18" t="s">
        <v>387</v>
      </c>
      <c r="B18" t="s">
        <v>388</v>
      </c>
      <c r="C18">
        <v>5</v>
      </c>
      <c r="D18" s="260">
        <v>46114</v>
      </c>
      <c r="E18" s="260">
        <v>46121</v>
      </c>
      <c r="F18">
        <v>171</v>
      </c>
      <c r="G18" t="s">
        <v>356</v>
      </c>
    </row>
    <row r="19" spans="1:7">
      <c r="A19" t="s">
        <v>389</v>
      </c>
      <c r="B19" t="s">
        <v>390</v>
      </c>
      <c r="C19">
        <v>10</v>
      </c>
      <c r="D19" s="260">
        <v>46100</v>
      </c>
      <c r="E19" s="260">
        <v>46113</v>
      </c>
      <c r="F19">
        <v>166</v>
      </c>
      <c r="G19" t="s">
        <v>356</v>
      </c>
    </row>
    <row r="20" spans="1:7">
      <c r="A20" t="s">
        <v>391</v>
      </c>
      <c r="B20" t="s">
        <v>392</v>
      </c>
      <c r="C20">
        <v>5</v>
      </c>
      <c r="D20" s="260">
        <v>46134</v>
      </c>
      <c r="E20" s="260">
        <v>46140</v>
      </c>
      <c r="F20">
        <v>166</v>
      </c>
      <c r="G20" t="s">
        <v>356</v>
      </c>
    </row>
    <row r="21" spans="1:7">
      <c r="A21" t="s">
        <v>393</v>
      </c>
      <c r="C21">
        <v>80</v>
      </c>
      <c r="D21" s="260">
        <v>46106</v>
      </c>
      <c r="E21" s="260">
        <v>46226</v>
      </c>
      <c r="F21">
        <v>107</v>
      </c>
      <c r="G21" t="s">
        <v>356</v>
      </c>
    </row>
    <row r="22" spans="1:7">
      <c r="A22" t="s">
        <v>394</v>
      </c>
      <c r="B22" t="s">
        <v>395</v>
      </c>
      <c r="C22">
        <v>10</v>
      </c>
      <c r="D22" s="260">
        <v>46113</v>
      </c>
      <c r="E22" s="260">
        <v>46132</v>
      </c>
      <c r="F22">
        <v>33</v>
      </c>
      <c r="G22" t="s">
        <v>356</v>
      </c>
    </row>
    <row r="23" spans="1:7">
      <c r="A23" t="s">
        <v>396</v>
      </c>
      <c r="B23" t="s">
        <v>397</v>
      </c>
      <c r="C23">
        <v>5</v>
      </c>
      <c r="D23" s="260">
        <v>46148</v>
      </c>
      <c r="E23" s="260">
        <v>46154</v>
      </c>
      <c r="F23">
        <v>33</v>
      </c>
      <c r="G23" t="s">
        <v>356</v>
      </c>
    </row>
    <row r="24" spans="1:7">
      <c r="A24" t="s">
        <v>398</v>
      </c>
      <c r="B24" t="s">
        <v>399</v>
      </c>
      <c r="C24">
        <v>5</v>
      </c>
      <c r="D24" s="260">
        <v>46169</v>
      </c>
      <c r="E24" s="260">
        <v>46177</v>
      </c>
      <c r="F24">
        <v>33</v>
      </c>
      <c r="G24" t="s">
        <v>356</v>
      </c>
    </row>
    <row r="25" spans="1:7">
      <c r="A25" t="s">
        <v>400</v>
      </c>
      <c r="B25" t="s">
        <v>401</v>
      </c>
      <c r="C25">
        <v>5</v>
      </c>
      <c r="D25" s="260">
        <v>46185</v>
      </c>
      <c r="E25" s="260">
        <v>46191</v>
      </c>
      <c r="F25">
        <v>117</v>
      </c>
      <c r="G25" t="s">
        <v>356</v>
      </c>
    </row>
    <row r="26" spans="1:7">
      <c r="A26" t="s">
        <v>402</v>
      </c>
      <c r="B26" t="s">
        <v>403</v>
      </c>
      <c r="C26">
        <v>5</v>
      </c>
      <c r="D26" s="260">
        <v>46206</v>
      </c>
      <c r="E26" s="260">
        <v>46212</v>
      </c>
      <c r="F26">
        <v>117</v>
      </c>
      <c r="G26" t="s">
        <v>356</v>
      </c>
    </row>
    <row r="27" spans="1:7">
      <c r="A27" t="s">
        <v>404</v>
      </c>
      <c r="B27" t="s">
        <v>405</v>
      </c>
      <c r="C27">
        <v>10</v>
      </c>
      <c r="D27" s="260">
        <v>46185</v>
      </c>
      <c r="E27" s="260">
        <v>46198</v>
      </c>
      <c r="F27">
        <v>112</v>
      </c>
      <c r="G27" t="s">
        <v>356</v>
      </c>
    </row>
    <row r="28" spans="1:7">
      <c r="A28" t="s">
        <v>406</v>
      </c>
      <c r="B28" t="s">
        <v>407</v>
      </c>
      <c r="C28">
        <v>5</v>
      </c>
      <c r="D28" s="260">
        <v>46213</v>
      </c>
      <c r="E28" s="260">
        <v>46219</v>
      </c>
      <c r="F28">
        <v>112</v>
      </c>
      <c r="G28" t="s">
        <v>356</v>
      </c>
    </row>
    <row r="29" spans="1:7">
      <c r="A29" t="s">
        <v>408</v>
      </c>
      <c r="B29" t="s">
        <v>409</v>
      </c>
      <c r="C29">
        <v>15</v>
      </c>
      <c r="D29" s="260">
        <v>46162</v>
      </c>
      <c r="E29" s="260">
        <v>46184</v>
      </c>
      <c r="F29">
        <v>109</v>
      </c>
      <c r="G29" t="s">
        <v>356</v>
      </c>
    </row>
    <row r="30" spans="1:7">
      <c r="A30" t="s">
        <v>410</v>
      </c>
      <c r="B30" t="s">
        <v>411</v>
      </c>
      <c r="C30">
        <v>5</v>
      </c>
      <c r="D30" s="260">
        <v>46199</v>
      </c>
      <c r="E30" s="260">
        <v>46205</v>
      </c>
      <c r="F30">
        <v>122</v>
      </c>
      <c r="G30" t="s">
        <v>356</v>
      </c>
    </row>
    <row r="31" spans="1:7">
      <c r="A31" t="s">
        <v>412</v>
      </c>
      <c r="B31" t="s">
        <v>413</v>
      </c>
      <c r="C31">
        <v>20</v>
      </c>
      <c r="D31" s="260">
        <v>46175</v>
      </c>
      <c r="E31" s="260">
        <v>46203</v>
      </c>
      <c r="F31">
        <v>109</v>
      </c>
      <c r="G31" t="s">
        <v>356</v>
      </c>
    </row>
    <row r="32" spans="1:7">
      <c r="A32" t="s">
        <v>414</v>
      </c>
      <c r="B32" t="s">
        <v>415</v>
      </c>
      <c r="C32">
        <v>5</v>
      </c>
      <c r="D32" s="260">
        <v>46218</v>
      </c>
      <c r="E32" s="260">
        <v>46224</v>
      </c>
      <c r="F32">
        <v>109</v>
      </c>
      <c r="G32" t="s">
        <v>356</v>
      </c>
    </row>
    <row r="33" spans="1:7">
      <c r="A33" t="s">
        <v>416</v>
      </c>
      <c r="B33" t="s">
        <v>417</v>
      </c>
      <c r="C33">
        <v>13</v>
      </c>
      <c r="D33" s="260">
        <v>46175</v>
      </c>
      <c r="E33" s="260">
        <v>46192</v>
      </c>
      <c r="F33">
        <v>116</v>
      </c>
      <c r="G33" t="s">
        <v>356</v>
      </c>
    </row>
    <row r="34" spans="1:7">
      <c r="A34" t="s">
        <v>418</v>
      </c>
      <c r="B34" t="s">
        <v>419</v>
      </c>
      <c r="C34">
        <v>5</v>
      </c>
      <c r="D34" s="260">
        <v>46209</v>
      </c>
      <c r="E34" s="260">
        <v>46213</v>
      </c>
      <c r="F34">
        <v>116</v>
      </c>
      <c r="G34" t="s">
        <v>356</v>
      </c>
    </row>
    <row r="35" spans="1:7">
      <c r="A35" t="s">
        <v>420</v>
      </c>
      <c r="B35" t="s">
        <v>421</v>
      </c>
      <c r="C35">
        <v>15</v>
      </c>
      <c r="D35" s="260">
        <v>46185</v>
      </c>
      <c r="E35" s="260">
        <v>46205</v>
      </c>
      <c r="F35">
        <v>107</v>
      </c>
      <c r="G35" t="s">
        <v>356</v>
      </c>
    </row>
    <row r="36" spans="1:7">
      <c r="A36" t="s">
        <v>422</v>
      </c>
      <c r="B36" t="s">
        <v>423</v>
      </c>
      <c r="C36">
        <v>5</v>
      </c>
      <c r="D36" s="260">
        <v>46220</v>
      </c>
      <c r="E36" s="260">
        <v>46226</v>
      </c>
      <c r="F36">
        <v>107</v>
      </c>
      <c r="G36" t="s">
        <v>356</v>
      </c>
    </row>
    <row r="37" spans="1:7">
      <c r="A37" t="s">
        <v>424</v>
      </c>
      <c r="B37" t="s">
        <v>425</v>
      </c>
      <c r="C37">
        <v>15</v>
      </c>
      <c r="D37" s="260">
        <v>46185</v>
      </c>
      <c r="E37" s="260">
        <v>46205</v>
      </c>
      <c r="F37">
        <v>107</v>
      </c>
      <c r="G37" t="s">
        <v>356</v>
      </c>
    </row>
    <row r="38" spans="1:7">
      <c r="A38" t="s">
        <v>426</v>
      </c>
      <c r="B38" t="s">
        <v>427</v>
      </c>
      <c r="C38">
        <v>5</v>
      </c>
      <c r="D38" s="260">
        <v>46220</v>
      </c>
      <c r="E38" s="260">
        <v>46226</v>
      </c>
      <c r="F38">
        <v>107</v>
      </c>
      <c r="G38" t="s">
        <v>356</v>
      </c>
    </row>
    <row r="39" spans="1:7">
      <c r="A39" t="s">
        <v>428</v>
      </c>
      <c r="B39" t="s">
        <v>429</v>
      </c>
      <c r="C39">
        <v>13</v>
      </c>
      <c r="D39" s="260">
        <v>46175</v>
      </c>
      <c r="E39" s="260">
        <v>46192</v>
      </c>
      <c r="F39">
        <v>116</v>
      </c>
      <c r="G39" t="s">
        <v>356</v>
      </c>
    </row>
    <row r="40" spans="1:7">
      <c r="A40" t="s">
        <v>430</v>
      </c>
      <c r="B40" t="s">
        <v>431</v>
      </c>
      <c r="C40">
        <v>5</v>
      </c>
      <c r="D40" s="260">
        <v>46209</v>
      </c>
      <c r="E40" s="260">
        <v>46213</v>
      </c>
      <c r="F40">
        <v>116</v>
      </c>
      <c r="G40" t="s">
        <v>356</v>
      </c>
    </row>
    <row r="41" spans="1:7">
      <c r="A41" t="s">
        <v>432</v>
      </c>
      <c r="B41" t="s">
        <v>433</v>
      </c>
      <c r="C41">
        <v>15</v>
      </c>
      <c r="D41" s="260">
        <v>46140</v>
      </c>
      <c r="E41" s="260">
        <v>46161</v>
      </c>
      <c r="F41">
        <v>105</v>
      </c>
      <c r="G41" t="s">
        <v>356</v>
      </c>
    </row>
    <row r="42" spans="1:7">
      <c r="A42" t="s">
        <v>434</v>
      </c>
      <c r="B42" t="s">
        <v>435</v>
      </c>
      <c r="C42">
        <v>5</v>
      </c>
      <c r="D42" s="260">
        <v>46199</v>
      </c>
      <c r="E42" s="260">
        <v>46205</v>
      </c>
      <c r="F42">
        <v>122</v>
      </c>
      <c r="G42" t="s">
        <v>356</v>
      </c>
    </row>
    <row r="43" spans="1:7">
      <c r="A43" t="s">
        <v>436</v>
      </c>
      <c r="B43" t="s">
        <v>437</v>
      </c>
      <c r="C43">
        <v>15</v>
      </c>
      <c r="D43" s="260">
        <v>46140</v>
      </c>
      <c r="E43" s="260">
        <v>46161</v>
      </c>
      <c r="F43">
        <v>137</v>
      </c>
      <c r="G43" t="s">
        <v>356</v>
      </c>
    </row>
    <row r="44" spans="1:7">
      <c r="A44" t="s">
        <v>438</v>
      </c>
      <c r="B44" t="s">
        <v>439</v>
      </c>
      <c r="C44">
        <v>5</v>
      </c>
      <c r="D44" s="260">
        <v>46199</v>
      </c>
      <c r="E44" s="260">
        <v>46205</v>
      </c>
      <c r="F44">
        <v>122</v>
      </c>
      <c r="G44" t="s">
        <v>356</v>
      </c>
    </row>
    <row r="45" spans="1:7">
      <c r="A45" t="s">
        <v>440</v>
      </c>
      <c r="B45" t="s">
        <v>441</v>
      </c>
      <c r="C45">
        <v>10</v>
      </c>
      <c r="D45" s="260">
        <v>46185</v>
      </c>
      <c r="E45" s="260">
        <v>46198</v>
      </c>
      <c r="F45">
        <v>112</v>
      </c>
      <c r="G45" t="s">
        <v>356</v>
      </c>
    </row>
    <row r="46" spans="1:7">
      <c r="A46" t="s">
        <v>442</v>
      </c>
      <c r="B46" t="s">
        <v>443</v>
      </c>
      <c r="C46">
        <v>5</v>
      </c>
      <c r="D46" s="260">
        <v>46213</v>
      </c>
      <c r="E46" s="260">
        <v>46219</v>
      </c>
      <c r="F46">
        <v>112</v>
      </c>
      <c r="G46" t="s">
        <v>356</v>
      </c>
    </row>
    <row r="47" spans="1:7">
      <c r="A47" t="s">
        <v>444</v>
      </c>
      <c r="B47" t="s">
        <v>445</v>
      </c>
      <c r="C47">
        <v>10</v>
      </c>
      <c r="D47" s="260">
        <v>46113</v>
      </c>
      <c r="E47" s="260">
        <v>46132</v>
      </c>
      <c r="F47">
        <v>157</v>
      </c>
      <c r="G47" t="s">
        <v>356</v>
      </c>
    </row>
    <row r="48" spans="1:7">
      <c r="A48" t="s">
        <v>446</v>
      </c>
      <c r="B48" t="s">
        <v>447</v>
      </c>
      <c r="C48">
        <v>5</v>
      </c>
      <c r="D48" s="260">
        <v>46213</v>
      </c>
      <c r="E48" s="260">
        <v>46219</v>
      </c>
      <c r="F48">
        <v>112</v>
      </c>
      <c r="G48" t="s">
        <v>356</v>
      </c>
    </row>
    <row r="49" spans="1:7">
      <c r="A49" t="s">
        <v>448</v>
      </c>
      <c r="B49" t="s">
        <v>449</v>
      </c>
      <c r="C49">
        <v>10</v>
      </c>
      <c r="D49" s="260">
        <v>46113</v>
      </c>
      <c r="E49" s="260">
        <v>46132</v>
      </c>
      <c r="F49">
        <v>172</v>
      </c>
      <c r="G49" t="s">
        <v>356</v>
      </c>
    </row>
    <row r="50" spans="1:7">
      <c r="A50" t="s">
        <v>450</v>
      </c>
      <c r="B50" t="s">
        <v>451</v>
      </c>
      <c r="C50">
        <v>10</v>
      </c>
      <c r="D50" s="260">
        <v>46206</v>
      </c>
      <c r="E50" s="260">
        <v>46219</v>
      </c>
      <c r="F50">
        <v>112</v>
      </c>
      <c r="G50" t="s">
        <v>356</v>
      </c>
    </row>
    <row r="51" spans="1:7">
      <c r="A51" t="s">
        <v>452</v>
      </c>
      <c r="B51" t="s">
        <v>453</v>
      </c>
      <c r="C51">
        <v>5</v>
      </c>
      <c r="D51" s="260">
        <v>46113</v>
      </c>
      <c r="E51" s="260">
        <v>46120</v>
      </c>
      <c r="F51">
        <v>-47</v>
      </c>
      <c r="G51" t="s">
        <v>356</v>
      </c>
    </row>
    <row r="52" spans="1:7">
      <c r="A52" t="s">
        <v>454</v>
      </c>
      <c r="B52" t="s">
        <v>455</v>
      </c>
      <c r="C52">
        <v>10</v>
      </c>
      <c r="D52" s="260">
        <v>46140</v>
      </c>
      <c r="E52" s="260">
        <v>46154</v>
      </c>
      <c r="F52">
        <v>-17</v>
      </c>
      <c r="G52" t="s">
        <v>356</v>
      </c>
    </row>
    <row r="53" spans="1:7">
      <c r="A53" t="s">
        <v>456</v>
      </c>
      <c r="B53" t="s">
        <v>457</v>
      </c>
      <c r="C53">
        <v>10</v>
      </c>
      <c r="D53" s="260">
        <v>46169</v>
      </c>
      <c r="E53" s="260">
        <v>46184</v>
      </c>
      <c r="F53">
        <v>-17</v>
      </c>
      <c r="G53" t="s">
        <v>356</v>
      </c>
    </row>
    <row r="54" spans="1:7">
      <c r="A54" t="s">
        <v>458</v>
      </c>
      <c r="B54" t="s">
        <v>459</v>
      </c>
      <c r="C54">
        <v>5</v>
      </c>
      <c r="D54" s="260">
        <v>46113</v>
      </c>
      <c r="E54" s="260">
        <v>46120</v>
      </c>
      <c r="F54">
        <v>-47</v>
      </c>
      <c r="G54" t="s">
        <v>356</v>
      </c>
    </row>
    <row r="55" spans="1:7">
      <c r="A55" t="s">
        <v>460</v>
      </c>
      <c r="B55" t="s">
        <v>461</v>
      </c>
      <c r="C55">
        <v>10</v>
      </c>
      <c r="D55" s="260">
        <v>46140</v>
      </c>
      <c r="E55" s="260">
        <v>46154</v>
      </c>
      <c r="F55">
        <v>-17</v>
      </c>
      <c r="G55" t="s">
        <v>356</v>
      </c>
    </row>
    <row r="56" spans="1:7">
      <c r="A56" t="s">
        <v>462</v>
      </c>
      <c r="B56" t="s">
        <v>463</v>
      </c>
      <c r="C56">
        <v>10</v>
      </c>
      <c r="D56" s="260">
        <v>46169</v>
      </c>
      <c r="E56" s="260">
        <v>46184</v>
      </c>
      <c r="F56">
        <v>-17</v>
      </c>
      <c r="G56" t="s">
        <v>356</v>
      </c>
    </row>
    <row r="57" spans="1:7">
      <c r="A57" t="s">
        <v>464</v>
      </c>
      <c r="B57" t="s">
        <v>465</v>
      </c>
      <c r="C57">
        <v>5</v>
      </c>
      <c r="D57" s="260">
        <v>46113</v>
      </c>
      <c r="E57" s="260">
        <v>46120</v>
      </c>
      <c r="F57">
        <v>-47</v>
      </c>
      <c r="G57" t="s">
        <v>356</v>
      </c>
    </row>
    <row r="58" spans="1:7">
      <c r="A58" t="s">
        <v>466</v>
      </c>
      <c r="B58" t="s">
        <v>467</v>
      </c>
      <c r="C58">
        <v>10</v>
      </c>
      <c r="D58" s="260">
        <v>46140</v>
      </c>
      <c r="E58" s="260">
        <v>46154</v>
      </c>
      <c r="F58">
        <v>-17</v>
      </c>
      <c r="G58" t="s">
        <v>356</v>
      </c>
    </row>
    <row r="59" spans="1:7">
      <c r="A59" t="s">
        <v>468</v>
      </c>
      <c r="B59" t="s">
        <v>469</v>
      </c>
      <c r="C59">
        <v>10</v>
      </c>
      <c r="D59" s="260">
        <v>46169</v>
      </c>
      <c r="E59" s="260">
        <v>46184</v>
      </c>
      <c r="F59">
        <v>-17</v>
      </c>
      <c r="G59" t="s">
        <v>356</v>
      </c>
    </row>
    <row r="60" spans="1:7">
      <c r="A60" t="s">
        <v>470</v>
      </c>
      <c r="B60" t="s">
        <v>471</v>
      </c>
      <c r="C60">
        <v>5</v>
      </c>
      <c r="D60" s="260">
        <v>46113</v>
      </c>
      <c r="E60" s="260">
        <v>46120</v>
      </c>
      <c r="F60">
        <v>-47</v>
      </c>
      <c r="G60" t="s">
        <v>356</v>
      </c>
    </row>
    <row r="61" spans="1:7">
      <c r="A61" t="s">
        <v>472</v>
      </c>
      <c r="B61" t="s">
        <v>473</v>
      </c>
      <c r="C61">
        <v>10</v>
      </c>
      <c r="D61" s="260">
        <v>46140</v>
      </c>
      <c r="E61" s="260">
        <v>46154</v>
      </c>
      <c r="F61">
        <v>-17</v>
      </c>
      <c r="G61" t="s">
        <v>356</v>
      </c>
    </row>
    <row r="62" spans="1:7">
      <c r="A62" t="s">
        <v>474</v>
      </c>
      <c r="B62" t="s">
        <v>475</v>
      </c>
      <c r="C62">
        <v>10</v>
      </c>
      <c r="D62" s="260">
        <v>46169</v>
      </c>
      <c r="E62" s="260">
        <v>46184</v>
      </c>
      <c r="F62">
        <v>-17</v>
      </c>
      <c r="G62" t="s">
        <v>356</v>
      </c>
    </row>
    <row r="63" spans="1:7">
      <c r="A63" t="s">
        <v>476</v>
      </c>
      <c r="B63" t="s">
        <v>477</v>
      </c>
      <c r="C63">
        <v>15</v>
      </c>
      <c r="D63" s="260">
        <v>46113</v>
      </c>
      <c r="E63" s="260">
        <v>46139</v>
      </c>
      <c r="F63">
        <v>-47</v>
      </c>
      <c r="G63" t="s">
        <v>356</v>
      </c>
    </row>
    <row r="64" spans="1:7">
      <c r="A64" t="s">
        <v>478</v>
      </c>
      <c r="B64" t="s">
        <v>479</v>
      </c>
      <c r="C64">
        <v>10</v>
      </c>
      <c r="D64" s="260">
        <v>46155</v>
      </c>
      <c r="E64" s="260">
        <v>46168</v>
      </c>
      <c r="F64">
        <v>-17</v>
      </c>
      <c r="G64" t="s">
        <v>356</v>
      </c>
    </row>
    <row r="65" spans="1:7">
      <c r="A65" t="s">
        <v>480</v>
      </c>
      <c r="B65" t="s">
        <v>481</v>
      </c>
      <c r="C65">
        <v>10</v>
      </c>
      <c r="D65" s="260">
        <v>46185</v>
      </c>
      <c r="E65" s="260">
        <v>46198</v>
      </c>
      <c r="F65">
        <v>-17</v>
      </c>
      <c r="G65" t="s">
        <v>356</v>
      </c>
    </row>
    <row r="66" spans="1:7">
      <c r="A66" t="s">
        <v>482</v>
      </c>
      <c r="B66" t="s">
        <v>483</v>
      </c>
      <c r="C66">
        <v>15</v>
      </c>
      <c r="D66" s="260">
        <v>46113</v>
      </c>
      <c r="E66" s="260">
        <v>46139</v>
      </c>
      <c r="F66">
        <v>-47</v>
      </c>
      <c r="G66" t="s">
        <v>356</v>
      </c>
    </row>
    <row r="67" spans="1:7">
      <c r="A67" t="s">
        <v>484</v>
      </c>
      <c r="B67" t="s">
        <v>485</v>
      </c>
      <c r="C67">
        <v>10</v>
      </c>
      <c r="D67" s="260">
        <v>46155</v>
      </c>
      <c r="E67" s="260">
        <v>46168</v>
      </c>
      <c r="F67">
        <v>-17</v>
      </c>
      <c r="G67" t="s">
        <v>356</v>
      </c>
    </row>
    <row r="68" spans="1:7">
      <c r="A68" t="s">
        <v>486</v>
      </c>
      <c r="B68" t="s">
        <v>487</v>
      </c>
      <c r="C68">
        <v>10</v>
      </c>
      <c r="D68" s="260">
        <v>46185</v>
      </c>
      <c r="E68" s="260">
        <v>46198</v>
      </c>
      <c r="F68">
        <v>-17</v>
      </c>
      <c r="G68" t="s">
        <v>356</v>
      </c>
    </row>
    <row r="69" spans="1:7">
      <c r="A69" t="s">
        <v>488</v>
      </c>
      <c r="B69" t="s">
        <v>489</v>
      </c>
      <c r="C69">
        <v>15</v>
      </c>
      <c r="D69" s="260">
        <v>46113</v>
      </c>
      <c r="E69" s="260">
        <v>46139</v>
      </c>
      <c r="F69">
        <v>-47</v>
      </c>
      <c r="G69" t="s">
        <v>356</v>
      </c>
    </row>
    <row r="70" spans="1:7">
      <c r="A70" t="s">
        <v>490</v>
      </c>
      <c r="B70" t="s">
        <v>491</v>
      </c>
      <c r="C70">
        <v>10</v>
      </c>
      <c r="D70" s="260">
        <v>46155</v>
      </c>
      <c r="E70" s="260">
        <v>46168</v>
      </c>
      <c r="F70">
        <v>-17</v>
      </c>
      <c r="G70" t="s">
        <v>356</v>
      </c>
    </row>
    <row r="71" spans="1:7">
      <c r="A71" t="s">
        <v>492</v>
      </c>
      <c r="B71" t="s">
        <v>493</v>
      </c>
      <c r="C71">
        <v>10</v>
      </c>
      <c r="D71" s="260">
        <v>46185</v>
      </c>
      <c r="E71" s="260">
        <v>46198</v>
      </c>
      <c r="F71">
        <v>-17</v>
      </c>
      <c r="G71" t="s">
        <v>356</v>
      </c>
    </row>
    <row r="72" spans="1:7">
      <c r="A72" t="s">
        <v>494</v>
      </c>
      <c r="B72" t="s">
        <v>495</v>
      </c>
      <c r="C72">
        <v>10</v>
      </c>
      <c r="D72" s="260">
        <v>46106</v>
      </c>
      <c r="E72" s="260">
        <v>46120</v>
      </c>
      <c r="F72">
        <v>162</v>
      </c>
      <c r="G72" t="s">
        <v>356</v>
      </c>
    </row>
    <row r="73" spans="1:7">
      <c r="A73" t="s">
        <v>496</v>
      </c>
      <c r="B73" t="s">
        <v>497</v>
      </c>
      <c r="C73">
        <v>5</v>
      </c>
      <c r="D73" s="260">
        <v>46185</v>
      </c>
      <c r="E73" s="260">
        <v>46191</v>
      </c>
      <c r="F73">
        <v>132</v>
      </c>
      <c r="G73" t="s">
        <v>356</v>
      </c>
    </row>
    <row r="74" spans="1:7">
      <c r="A74" t="s">
        <v>498</v>
      </c>
      <c r="B74" t="s">
        <v>499</v>
      </c>
      <c r="C74">
        <v>10</v>
      </c>
      <c r="D74" s="260">
        <v>46106</v>
      </c>
      <c r="E74" s="260">
        <v>46120</v>
      </c>
      <c r="F74">
        <v>162</v>
      </c>
      <c r="G74" t="s">
        <v>356</v>
      </c>
    </row>
    <row r="75" spans="1:7">
      <c r="A75" t="s">
        <v>500</v>
      </c>
      <c r="B75" t="s">
        <v>501</v>
      </c>
      <c r="C75">
        <v>5</v>
      </c>
      <c r="D75" s="260">
        <v>46185</v>
      </c>
      <c r="E75" s="260">
        <v>46191</v>
      </c>
      <c r="F75">
        <v>132</v>
      </c>
      <c r="G75" t="s">
        <v>356</v>
      </c>
    </row>
    <row r="76" spans="1:7">
      <c r="A76" t="s">
        <v>502</v>
      </c>
      <c r="B76" t="s">
        <v>503</v>
      </c>
      <c r="C76">
        <v>25</v>
      </c>
      <c r="D76" s="260">
        <v>46140</v>
      </c>
      <c r="E76" s="260">
        <v>46177</v>
      </c>
      <c r="F76">
        <v>107</v>
      </c>
      <c r="G76" t="s">
        <v>356</v>
      </c>
    </row>
    <row r="77" spans="1:7">
      <c r="A77" t="s">
        <v>504</v>
      </c>
      <c r="B77" t="s">
        <v>505</v>
      </c>
      <c r="C77">
        <v>10</v>
      </c>
      <c r="D77" s="260">
        <v>46192</v>
      </c>
      <c r="E77" s="260">
        <v>46205</v>
      </c>
      <c r="F77">
        <v>107</v>
      </c>
      <c r="G77" t="s">
        <v>356</v>
      </c>
    </row>
    <row r="78" spans="1:7">
      <c r="A78" t="s">
        <v>506</v>
      </c>
      <c r="B78" t="s">
        <v>507</v>
      </c>
      <c r="C78">
        <v>5</v>
      </c>
      <c r="D78" s="260">
        <v>46220</v>
      </c>
      <c r="E78" s="260">
        <v>46226</v>
      </c>
      <c r="F78">
        <v>107</v>
      </c>
      <c r="G78" t="s">
        <v>356</v>
      </c>
    </row>
    <row r="79" spans="1:7">
      <c r="A79" t="s">
        <v>508</v>
      </c>
      <c r="B79" t="s">
        <v>509</v>
      </c>
      <c r="C79">
        <v>25</v>
      </c>
      <c r="D79" s="260">
        <v>46140</v>
      </c>
      <c r="E79" s="260">
        <v>46177</v>
      </c>
      <c r="F79">
        <v>127</v>
      </c>
      <c r="G79" t="s">
        <v>356</v>
      </c>
    </row>
    <row r="80" spans="1:7">
      <c r="A80" t="s">
        <v>510</v>
      </c>
      <c r="B80" t="s">
        <v>511</v>
      </c>
      <c r="C80">
        <v>5</v>
      </c>
      <c r="D80" s="260">
        <v>46220</v>
      </c>
      <c r="E80" s="260">
        <v>46226</v>
      </c>
      <c r="F80">
        <v>107</v>
      </c>
      <c r="G80" t="s">
        <v>356</v>
      </c>
    </row>
    <row r="81" spans="1:7">
      <c r="A81" t="s">
        <v>512</v>
      </c>
      <c r="B81" t="s">
        <v>513</v>
      </c>
      <c r="C81">
        <v>25</v>
      </c>
      <c r="D81" s="260">
        <v>46140</v>
      </c>
      <c r="E81" s="260">
        <v>46177</v>
      </c>
      <c r="F81">
        <v>107</v>
      </c>
      <c r="G81" t="s">
        <v>356</v>
      </c>
    </row>
    <row r="82" spans="1:7">
      <c r="A82" t="s">
        <v>514</v>
      </c>
      <c r="B82" t="s">
        <v>515</v>
      </c>
      <c r="C82">
        <v>10</v>
      </c>
      <c r="D82" s="260">
        <v>46192</v>
      </c>
      <c r="E82" s="260">
        <v>46205</v>
      </c>
      <c r="F82">
        <v>107</v>
      </c>
      <c r="G82" t="s">
        <v>356</v>
      </c>
    </row>
    <row r="83" spans="1:7">
      <c r="A83" t="s">
        <v>516</v>
      </c>
      <c r="B83" t="s">
        <v>517</v>
      </c>
      <c r="C83">
        <v>5</v>
      </c>
      <c r="D83" s="260">
        <v>46220</v>
      </c>
      <c r="E83" s="260">
        <v>46226</v>
      </c>
      <c r="F83">
        <v>107</v>
      </c>
      <c r="G83" t="s">
        <v>356</v>
      </c>
    </row>
    <row r="84" spans="1:7">
      <c r="A84" t="s">
        <v>518</v>
      </c>
      <c r="C84">
        <v>45</v>
      </c>
      <c r="D84" s="260">
        <v>46140</v>
      </c>
      <c r="E84" s="260">
        <v>46205</v>
      </c>
      <c r="F84">
        <v>-17</v>
      </c>
      <c r="G84" t="s">
        <v>356</v>
      </c>
    </row>
    <row r="85" spans="1:7">
      <c r="A85" t="s">
        <v>519</v>
      </c>
      <c r="B85" t="s">
        <v>520</v>
      </c>
      <c r="C85">
        <v>23</v>
      </c>
      <c r="D85" s="260">
        <v>46140</v>
      </c>
      <c r="E85" s="260">
        <v>46171</v>
      </c>
      <c r="F85">
        <v>-10</v>
      </c>
      <c r="G85" t="s">
        <v>356</v>
      </c>
    </row>
    <row r="86" spans="1:7">
      <c r="A86" t="s">
        <v>521</v>
      </c>
      <c r="B86" t="s">
        <v>522</v>
      </c>
      <c r="C86">
        <v>5</v>
      </c>
      <c r="D86" s="260">
        <v>46199</v>
      </c>
      <c r="E86" s="260">
        <v>46205</v>
      </c>
      <c r="F86">
        <v>-17</v>
      </c>
      <c r="G86" t="s">
        <v>356</v>
      </c>
    </row>
    <row r="87" spans="1:7">
      <c r="A87" t="s">
        <v>523</v>
      </c>
      <c r="B87" t="s">
        <v>524</v>
      </c>
      <c r="C87">
        <v>15</v>
      </c>
      <c r="D87" s="260">
        <v>46140</v>
      </c>
      <c r="E87" s="260">
        <v>46161</v>
      </c>
      <c r="F87">
        <v>-2</v>
      </c>
      <c r="G87" t="s">
        <v>356</v>
      </c>
    </row>
    <row r="88" spans="1:7">
      <c r="A88" t="s">
        <v>525</v>
      </c>
      <c r="B88" t="s">
        <v>526</v>
      </c>
      <c r="C88">
        <v>5</v>
      </c>
      <c r="D88" s="260">
        <v>46199</v>
      </c>
      <c r="E88" s="260">
        <v>46205</v>
      </c>
      <c r="F88">
        <v>-17</v>
      </c>
      <c r="G88" t="s">
        <v>356</v>
      </c>
    </row>
    <row r="89" spans="1:7">
      <c r="A89" t="s">
        <v>527</v>
      </c>
      <c r="B89" t="s">
        <v>528</v>
      </c>
      <c r="C89">
        <v>15</v>
      </c>
      <c r="D89" s="260">
        <v>46140</v>
      </c>
      <c r="E89" s="260">
        <v>46161</v>
      </c>
      <c r="F89">
        <v>-2</v>
      </c>
      <c r="G89" t="s">
        <v>356</v>
      </c>
    </row>
    <row r="90" spans="1:7">
      <c r="A90" t="s">
        <v>529</v>
      </c>
      <c r="B90" t="s">
        <v>530</v>
      </c>
      <c r="C90">
        <v>5</v>
      </c>
      <c r="D90" s="260">
        <v>46199</v>
      </c>
      <c r="E90" s="260">
        <v>46205</v>
      </c>
      <c r="F90">
        <v>-17</v>
      </c>
      <c r="G90" t="s">
        <v>356</v>
      </c>
    </row>
    <row r="91" spans="1:7">
      <c r="A91" t="s">
        <v>531</v>
      </c>
      <c r="B91" t="s">
        <v>532</v>
      </c>
      <c r="C91">
        <v>15</v>
      </c>
      <c r="D91" s="260">
        <v>46140</v>
      </c>
      <c r="E91" s="260">
        <v>46161</v>
      </c>
      <c r="F91">
        <v>-2</v>
      </c>
      <c r="G91" t="s">
        <v>356</v>
      </c>
    </row>
    <row r="92" spans="1:7">
      <c r="A92" t="s">
        <v>533</v>
      </c>
      <c r="B92" t="s">
        <v>534</v>
      </c>
      <c r="C92">
        <v>5</v>
      </c>
      <c r="D92" s="260">
        <v>46199</v>
      </c>
      <c r="E92" s="260">
        <v>46205</v>
      </c>
      <c r="F92">
        <v>-17</v>
      </c>
      <c r="G92" t="s">
        <v>356</v>
      </c>
    </row>
    <row r="93" spans="1:7">
      <c r="A93" t="s">
        <v>535</v>
      </c>
      <c r="B93" t="s">
        <v>536</v>
      </c>
      <c r="C93">
        <v>15</v>
      </c>
      <c r="D93" s="260">
        <v>46140</v>
      </c>
      <c r="E93" s="260">
        <v>46161</v>
      </c>
      <c r="F93">
        <v>-2</v>
      </c>
      <c r="G93" t="s">
        <v>356</v>
      </c>
    </row>
    <row r="94" spans="1:7">
      <c r="A94" t="s">
        <v>537</v>
      </c>
      <c r="B94" t="s">
        <v>538</v>
      </c>
      <c r="C94">
        <v>5</v>
      </c>
      <c r="D94" s="260">
        <v>46199</v>
      </c>
      <c r="E94" s="260">
        <v>46205</v>
      </c>
      <c r="F94">
        <v>-17</v>
      </c>
      <c r="G94" t="s">
        <v>356</v>
      </c>
    </row>
    <row r="95" spans="1:7">
      <c r="A95" t="s">
        <v>539</v>
      </c>
      <c r="B95" t="s">
        <v>540</v>
      </c>
      <c r="C95">
        <v>23</v>
      </c>
      <c r="D95" s="260">
        <v>46140</v>
      </c>
      <c r="E95" s="260">
        <v>46171</v>
      </c>
      <c r="F95">
        <v>-10</v>
      </c>
      <c r="G95" t="s">
        <v>356</v>
      </c>
    </row>
    <row r="96" spans="1:7">
      <c r="A96" t="s">
        <v>541</v>
      </c>
      <c r="B96" t="s">
        <v>542</v>
      </c>
      <c r="C96">
        <v>5</v>
      </c>
      <c r="D96" s="260">
        <v>46199</v>
      </c>
      <c r="E96" s="260">
        <v>46205</v>
      </c>
      <c r="F96">
        <v>-17</v>
      </c>
      <c r="G96" t="s">
        <v>356</v>
      </c>
    </row>
    <row r="97" spans="1:7">
      <c r="A97" t="s">
        <v>543</v>
      </c>
      <c r="B97" t="s">
        <v>544</v>
      </c>
      <c r="C97">
        <v>23</v>
      </c>
      <c r="D97" s="260">
        <v>46140</v>
      </c>
      <c r="E97" s="260">
        <v>46171</v>
      </c>
      <c r="F97">
        <v>-10</v>
      </c>
      <c r="G97" t="s">
        <v>356</v>
      </c>
    </row>
    <row r="98" spans="1:7">
      <c r="A98" t="s">
        <v>545</v>
      </c>
      <c r="B98" t="s">
        <v>546</v>
      </c>
      <c r="C98">
        <v>5</v>
      </c>
      <c r="D98" s="260">
        <v>46199</v>
      </c>
      <c r="E98" s="260">
        <v>46205</v>
      </c>
      <c r="F98">
        <v>-17</v>
      </c>
      <c r="G98" t="s">
        <v>356</v>
      </c>
    </row>
    <row r="99" spans="1:7">
      <c r="A99" t="s">
        <v>547</v>
      </c>
      <c r="B99" t="s">
        <v>548</v>
      </c>
      <c r="C99">
        <v>23</v>
      </c>
      <c r="D99" s="260">
        <v>46140</v>
      </c>
      <c r="E99" s="260">
        <v>46171</v>
      </c>
      <c r="F99">
        <v>-10</v>
      </c>
      <c r="G99" t="s">
        <v>356</v>
      </c>
    </row>
    <row r="100" spans="1:7">
      <c r="A100" t="s">
        <v>549</v>
      </c>
      <c r="B100" t="s">
        <v>550</v>
      </c>
      <c r="C100">
        <v>5</v>
      </c>
      <c r="D100" s="260">
        <v>46199</v>
      </c>
      <c r="E100" s="260">
        <v>46205</v>
      </c>
      <c r="F100">
        <v>-17</v>
      </c>
      <c r="G100" t="s">
        <v>356</v>
      </c>
    </row>
    <row r="101" spans="1:7">
      <c r="A101" t="s">
        <v>551</v>
      </c>
      <c r="B101" t="s">
        <v>552</v>
      </c>
      <c r="C101">
        <v>23</v>
      </c>
      <c r="D101" s="260">
        <v>46140</v>
      </c>
      <c r="E101" s="260">
        <v>46171</v>
      </c>
      <c r="F101">
        <v>-10</v>
      </c>
      <c r="G101" t="s">
        <v>356</v>
      </c>
    </row>
    <row r="102" spans="1:7">
      <c r="A102" t="s">
        <v>553</v>
      </c>
      <c r="B102" t="s">
        <v>554</v>
      </c>
      <c r="C102">
        <v>5</v>
      </c>
      <c r="D102" s="260">
        <v>46199</v>
      </c>
      <c r="E102" s="260">
        <v>46205</v>
      </c>
      <c r="F102">
        <v>-17</v>
      </c>
      <c r="G102" t="s">
        <v>356</v>
      </c>
    </row>
    <row r="103" spans="1:7">
      <c r="A103" t="s">
        <v>555</v>
      </c>
      <c r="B103" t="s">
        <v>556</v>
      </c>
      <c r="C103">
        <v>15</v>
      </c>
      <c r="D103" s="260">
        <v>46140</v>
      </c>
      <c r="E103" s="260">
        <v>46161</v>
      </c>
      <c r="F103">
        <v>-2</v>
      </c>
      <c r="G103" t="s">
        <v>356</v>
      </c>
    </row>
    <row r="104" spans="1:7">
      <c r="A104" t="s">
        <v>557</v>
      </c>
      <c r="B104" t="s">
        <v>558</v>
      </c>
      <c r="C104">
        <v>5</v>
      </c>
      <c r="D104" s="260">
        <v>46199</v>
      </c>
      <c r="E104" s="260">
        <v>46205</v>
      </c>
      <c r="F104">
        <v>-17</v>
      </c>
      <c r="G104" t="s">
        <v>356</v>
      </c>
    </row>
    <row r="105" spans="1:7">
      <c r="A105" t="s">
        <v>559</v>
      </c>
      <c r="B105" t="s">
        <v>560</v>
      </c>
      <c r="C105">
        <v>23</v>
      </c>
      <c r="D105" s="260">
        <v>46140</v>
      </c>
      <c r="E105" s="260">
        <v>46171</v>
      </c>
      <c r="F105">
        <v>-30</v>
      </c>
      <c r="G105" t="s">
        <v>356</v>
      </c>
    </row>
    <row r="106" spans="1:7">
      <c r="A106" t="s">
        <v>561</v>
      </c>
      <c r="B106" t="s">
        <v>562</v>
      </c>
      <c r="C106">
        <v>5</v>
      </c>
      <c r="D106" s="260">
        <v>46199</v>
      </c>
      <c r="E106" s="260">
        <v>46205</v>
      </c>
      <c r="F106">
        <v>-17</v>
      </c>
      <c r="G106" t="s">
        <v>356</v>
      </c>
    </row>
    <row r="107" spans="1:7">
      <c r="A107" t="s">
        <v>563</v>
      </c>
      <c r="B107" t="s">
        <v>564</v>
      </c>
      <c r="C107">
        <v>15</v>
      </c>
      <c r="D107" s="260">
        <v>46140</v>
      </c>
      <c r="E107" s="260">
        <v>46161</v>
      </c>
      <c r="F107">
        <v>-44</v>
      </c>
      <c r="G107" t="s">
        <v>356</v>
      </c>
    </row>
    <row r="108" spans="1:7">
      <c r="A108" t="s">
        <v>565</v>
      </c>
      <c r="B108" t="s">
        <v>566</v>
      </c>
      <c r="C108">
        <v>5</v>
      </c>
      <c r="D108" s="260">
        <v>46199</v>
      </c>
      <c r="E108" s="260">
        <v>46205</v>
      </c>
      <c r="F108">
        <v>-17</v>
      </c>
      <c r="G108" t="s">
        <v>356</v>
      </c>
    </row>
    <row r="109" spans="1:7">
      <c r="A109" t="s">
        <v>567</v>
      </c>
      <c r="B109" t="s">
        <v>568</v>
      </c>
      <c r="C109">
        <v>15</v>
      </c>
      <c r="D109" s="260">
        <v>46140</v>
      </c>
      <c r="E109" s="260">
        <v>46161</v>
      </c>
      <c r="F109">
        <v>-47</v>
      </c>
      <c r="G109" t="s">
        <v>356</v>
      </c>
    </row>
    <row r="110" spans="1:7">
      <c r="A110" t="s">
        <v>569</v>
      </c>
      <c r="B110" t="s">
        <v>570</v>
      </c>
      <c r="C110">
        <v>5</v>
      </c>
      <c r="D110" s="260">
        <v>46199</v>
      </c>
      <c r="E110" s="260">
        <v>46205</v>
      </c>
      <c r="F110">
        <v>-17</v>
      </c>
      <c r="G110" t="s">
        <v>356</v>
      </c>
    </row>
    <row r="111" spans="1:7">
      <c r="A111" t="s">
        <v>571</v>
      </c>
      <c r="B111" t="s">
        <v>572</v>
      </c>
      <c r="C111">
        <v>15</v>
      </c>
      <c r="D111" s="260">
        <v>46140</v>
      </c>
      <c r="E111" s="260">
        <v>46161</v>
      </c>
      <c r="F111">
        <v>-2</v>
      </c>
      <c r="G111" t="s">
        <v>356</v>
      </c>
    </row>
    <row r="112" spans="1:7">
      <c r="A112" t="s">
        <v>573</v>
      </c>
      <c r="B112" t="s">
        <v>574</v>
      </c>
      <c r="C112">
        <v>5</v>
      </c>
      <c r="D112" s="260">
        <v>46199</v>
      </c>
      <c r="E112" s="260">
        <v>46205</v>
      </c>
      <c r="F112">
        <v>-17</v>
      </c>
      <c r="G112" t="s">
        <v>356</v>
      </c>
    </row>
    <row r="113" spans="1:7">
      <c r="A113" t="s">
        <v>575</v>
      </c>
      <c r="B113" t="s">
        <v>576</v>
      </c>
      <c r="C113">
        <v>15</v>
      </c>
      <c r="D113" s="260">
        <v>46140</v>
      </c>
      <c r="E113" s="260">
        <v>46161</v>
      </c>
      <c r="F113">
        <v>-21</v>
      </c>
      <c r="G113" t="s">
        <v>356</v>
      </c>
    </row>
    <row r="114" spans="1:7">
      <c r="A114" t="s">
        <v>577</v>
      </c>
      <c r="B114" t="s">
        <v>578</v>
      </c>
      <c r="C114">
        <v>5</v>
      </c>
      <c r="D114" s="260">
        <v>46199</v>
      </c>
      <c r="E114" s="260">
        <v>46205</v>
      </c>
      <c r="F114">
        <v>-17</v>
      </c>
      <c r="G114" t="s">
        <v>356</v>
      </c>
    </row>
    <row r="115" spans="1:7">
      <c r="A115" t="s">
        <v>579</v>
      </c>
      <c r="B115" t="s">
        <v>580</v>
      </c>
      <c r="C115">
        <v>15</v>
      </c>
      <c r="D115" s="260">
        <v>46140</v>
      </c>
      <c r="E115" s="260">
        <v>46161</v>
      </c>
      <c r="F115">
        <v>-16</v>
      </c>
      <c r="G115" t="s">
        <v>356</v>
      </c>
    </row>
    <row r="116" spans="1:7">
      <c r="A116" t="s">
        <v>581</v>
      </c>
      <c r="B116" t="s">
        <v>582</v>
      </c>
      <c r="C116">
        <v>5</v>
      </c>
      <c r="D116" s="260">
        <v>46199</v>
      </c>
      <c r="E116" s="260">
        <v>46205</v>
      </c>
      <c r="F116">
        <v>-17</v>
      </c>
      <c r="G116" t="s">
        <v>356</v>
      </c>
    </row>
    <row r="117" spans="1:7">
      <c r="A117" t="s">
        <v>583</v>
      </c>
      <c r="B117" t="s">
        <v>584</v>
      </c>
      <c r="C117">
        <v>8</v>
      </c>
      <c r="D117" s="260">
        <v>46140</v>
      </c>
      <c r="E117" s="260">
        <v>46150</v>
      </c>
      <c r="F117">
        <v>5</v>
      </c>
      <c r="G117" t="s">
        <v>356</v>
      </c>
    </row>
    <row r="118" spans="1:7">
      <c r="A118" t="s">
        <v>585</v>
      </c>
      <c r="B118" t="s">
        <v>586</v>
      </c>
      <c r="C118">
        <v>5</v>
      </c>
      <c r="D118" s="260">
        <v>46199</v>
      </c>
      <c r="E118" s="260">
        <v>46205</v>
      </c>
      <c r="F118">
        <v>-17</v>
      </c>
      <c r="G118" t="s">
        <v>356</v>
      </c>
    </row>
    <row r="119" spans="1:7">
      <c r="A119" t="s">
        <v>587</v>
      </c>
      <c r="B119" t="s">
        <v>588</v>
      </c>
      <c r="C119">
        <v>13</v>
      </c>
      <c r="D119" s="260">
        <v>46140</v>
      </c>
      <c r="E119" s="260">
        <v>46157</v>
      </c>
      <c r="F119">
        <v>0</v>
      </c>
      <c r="G119" t="s">
        <v>356</v>
      </c>
    </row>
    <row r="120" spans="1:7">
      <c r="A120" t="s">
        <v>589</v>
      </c>
      <c r="B120" t="s">
        <v>590</v>
      </c>
      <c r="C120">
        <v>5</v>
      </c>
      <c r="D120" s="260">
        <v>46199</v>
      </c>
      <c r="E120" s="260">
        <v>46205</v>
      </c>
      <c r="F120">
        <v>-17</v>
      </c>
      <c r="G120" t="s">
        <v>356</v>
      </c>
    </row>
    <row r="121" spans="1:7">
      <c r="A121" t="s">
        <v>591</v>
      </c>
      <c r="B121" t="s">
        <v>592</v>
      </c>
      <c r="C121">
        <v>23</v>
      </c>
      <c r="D121" s="260">
        <v>46140</v>
      </c>
      <c r="E121" s="260">
        <v>46171</v>
      </c>
      <c r="F121">
        <v>-10</v>
      </c>
      <c r="G121" t="s">
        <v>356</v>
      </c>
    </row>
    <row r="122" spans="1:7">
      <c r="A122" t="s">
        <v>593</v>
      </c>
      <c r="B122" t="s">
        <v>594</v>
      </c>
      <c r="C122">
        <v>5</v>
      </c>
      <c r="D122" s="260">
        <v>46199</v>
      </c>
      <c r="E122" s="260">
        <v>46205</v>
      </c>
      <c r="F122">
        <v>-17</v>
      </c>
      <c r="G122" t="s">
        <v>356</v>
      </c>
    </row>
    <row r="123" spans="1:7">
      <c r="A123" t="s">
        <v>595</v>
      </c>
      <c r="B123" t="s">
        <v>596</v>
      </c>
      <c r="C123">
        <v>23</v>
      </c>
      <c r="D123" s="260">
        <v>46140</v>
      </c>
      <c r="E123" s="260">
        <v>46171</v>
      </c>
      <c r="F123">
        <v>-10</v>
      </c>
      <c r="G123" t="s">
        <v>356</v>
      </c>
    </row>
    <row r="124" spans="1:7">
      <c r="A124" t="s">
        <v>597</v>
      </c>
      <c r="B124" t="s">
        <v>598</v>
      </c>
      <c r="C124">
        <v>5</v>
      </c>
      <c r="D124" s="260">
        <v>46199</v>
      </c>
      <c r="E124" s="260">
        <v>46205</v>
      </c>
      <c r="F124">
        <v>-17</v>
      </c>
      <c r="G124" t="s">
        <v>356</v>
      </c>
    </row>
    <row r="125" spans="1:7">
      <c r="A125" t="s">
        <v>599</v>
      </c>
      <c r="B125" t="s">
        <v>600</v>
      </c>
      <c r="C125">
        <v>23</v>
      </c>
      <c r="D125" s="260">
        <v>46140</v>
      </c>
      <c r="E125" s="260">
        <v>46171</v>
      </c>
      <c r="F125">
        <v>-10</v>
      </c>
      <c r="G125" t="s">
        <v>356</v>
      </c>
    </row>
    <row r="126" spans="1:7">
      <c r="A126" t="s">
        <v>601</v>
      </c>
      <c r="B126" t="s">
        <v>602</v>
      </c>
      <c r="C126">
        <v>5</v>
      </c>
      <c r="D126" s="260">
        <v>46199</v>
      </c>
      <c r="E126" s="260">
        <v>46205</v>
      </c>
      <c r="F126">
        <v>-17</v>
      </c>
      <c r="G126" t="s">
        <v>356</v>
      </c>
    </row>
    <row r="127" spans="1:7">
      <c r="A127" t="s">
        <v>603</v>
      </c>
      <c r="C127">
        <v>194</v>
      </c>
      <c r="D127" s="260">
        <v>46091</v>
      </c>
      <c r="E127" s="260">
        <v>46384</v>
      </c>
      <c r="F127">
        <v>4</v>
      </c>
      <c r="G127" t="s">
        <v>356</v>
      </c>
    </row>
    <row r="128" spans="1:7">
      <c r="A128" t="s">
        <v>604</v>
      </c>
      <c r="B128" t="s">
        <v>605</v>
      </c>
      <c r="C128">
        <v>19</v>
      </c>
      <c r="D128" s="260">
        <v>46091</v>
      </c>
      <c r="E128" s="260">
        <v>46115</v>
      </c>
      <c r="F128">
        <v>4</v>
      </c>
      <c r="G128" t="s">
        <v>356</v>
      </c>
    </row>
    <row r="129" spans="1:7">
      <c r="A129" t="s">
        <v>606</v>
      </c>
      <c r="B129" t="s">
        <v>607</v>
      </c>
      <c r="C129">
        <v>10</v>
      </c>
      <c r="D129" s="260">
        <v>46136</v>
      </c>
      <c r="E129" s="260">
        <v>46150</v>
      </c>
      <c r="F129">
        <v>159</v>
      </c>
      <c r="G129" t="s">
        <v>356</v>
      </c>
    </row>
    <row r="130" spans="1:7">
      <c r="A130" t="s">
        <v>608</v>
      </c>
      <c r="B130" t="s">
        <v>609</v>
      </c>
      <c r="C130">
        <v>15</v>
      </c>
      <c r="D130" s="260">
        <v>46129</v>
      </c>
      <c r="E130" s="260">
        <v>46150</v>
      </c>
      <c r="F130">
        <v>4</v>
      </c>
      <c r="G130" t="s">
        <v>356</v>
      </c>
    </row>
    <row r="131" spans="1:7">
      <c r="A131" t="s">
        <v>610</v>
      </c>
      <c r="B131" t="s">
        <v>611</v>
      </c>
      <c r="C131">
        <v>10</v>
      </c>
      <c r="D131" s="260">
        <v>46274</v>
      </c>
      <c r="E131" s="260">
        <v>46287</v>
      </c>
      <c r="F131">
        <v>68</v>
      </c>
      <c r="G131" t="s">
        <v>356</v>
      </c>
    </row>
    <row r="132" spans="1:7">
      <c r="A132" t="s">
        <v>612</v>
      </c>
      <c r="B132" t="s">
        <v>613</v>
      </c>
      <c r="C132">
        <v>20</v>
      </c>
      <c r="D132" s="260">
        <v>46141</v>
      </c>
      <c r="E132" s="260">
        <v>46169</v>
      </c>
      <c r="F132">
        <v>32</v>
      </c>
      <c r="G132" t="s">
        <v>356</v>
      </c>
    </row>
    <row r="133" spans="1:7">
      <c r="A133" t="s">
        <v>614</v>
      </c>
      <c r="B133" t="s">
        <v>615</v>
      </c>
      <c r="C133">
        <v>10</v>
      </c>
      <c r="D133" s="260">
        <v>46199</v>
      </c>
      <c r="E133" s="260">
        <v>46212</v>
      </c>
      <c r="F133">
        <v>82</v>
      </c>
      <c r="G133" t="s">
        <v>356</v>
      </c>
    </row>
    <row r="134" spans="1:7">
      <c r="A134" t="s">
        <v>616</v>
      </c>
      <c r="B134" t="s">
        <v>617</v>
      </c>
      <c r="C134">
        <v>20</v>
      </c>
      <c r="D134" s="260">
        <v>46141</v>
      </c>
      <c r="E134" s="260">
        <v>46169</v>
      </c>
      <c r="F134">
        <v>32</v>
      </c>
      <c r="G134" t="s">
        <v>356</v>
      </c>
    </row>
    <row r="135" spans="1:7">
      <c r="A135" t="s">
        <v>618</v>
      </c>
      <c r="B135" t="s">
        <v>619</v>
      </c>
      <c r="C135">
        <v>10</v>
      </c>
      <c r="D135" s="260">
        <v>46199</v>
      </c>
      <c r="E135" s="260">
        <v>46212</v>
      </c>
      <c r="F135">
        <v>82</v>
      </c>
      <c r="G135" t="s">
        <v>356</v>
      </c>
    </row>
    <row r="136" spans="1:7">
      <c r="A136" t="s">
        <v>620</v>
      </c>
      <c r="B136" t="s">
        <v>621</v>
      </c>
      <c r="C136">
        <v>25</v>
      </c>
      <c r="D136" s="260">
        <v>46091</v>
      </c>
      <c r="E136" s="260">
        <v>46129</v>
      </c>
      <c r="F136">
        <v>153</v>
      </c>
      <c r="G136" t="s">
        <v>356</v>
      </c>
    </row>
    <row r="137" spans="1:7">
      <c r="A137" t="s">
        <v>622</v>
      </c>
      <c r="B137" t="s">
        <v>623</v>
      </c>
      <c r="C137">
        <v>10</v>
      </c>
      <c r="D137" s="260">
        <v>46147</v>
      </c>
      <c r="E137" s="260">
        <v>46160</v>
      </c>
      <c r="F137">
        <v>153</v>
      </c>
      <c r="G137" t="s">
        <v>356</v>
      </c>
    </row>
    <row r="138" spans="1:7">
      <c r="A138" t="s">
        <v>624</v>
      </c>
      <c r="B138" t="s">
        <v>625</v>
      </c>
      <c r="C138">
        <v>23</v>
      </c>
      <c r="D138" s="260">
        <v>46091</v>
      </c>
      <c r="E138" s="260">
        <v>46122</v>
      </c>
      <c r="F138">
        <v>155</v>
      </c>
      <c r="G138" t="s">
        <v>356</v>
      </c>
    </row>
    <row r="139" spans="1:7">
      <c r="A139" t="s">
        <v>626</v>
      </c>
      <c r="B139" t="s">
        <v>627</v>
      </c>
      <c r="C139">
        <v>10</v>
      </c>
      <c r="D139" s="260">
        <v>46142</v>
      </c>
      <c r="E139" s="260">
        <v>46156</v>
      </c>
      <c r="F139">
        <v>155</v>
      </c>
      <c r="G139" t="s">
        <v>356</v>
      </c>
    </row>
    <row r="140" spans="1:7">
      <c r="A140" t="s">
        <v>628</v>
      </c>
      <c r="B140" t="s">
        <v>629</v>
      </c>
      <c r="C140">
        <v>29</v>
      </c>
      <c r="D140" s="260">
        <v>46091</v>
      </c>
      <c r="E140" s="260">
        <v>46135</v>
      </c>
      <c r="F140">
        <v>149</v>
      </c>
      <c r="G140" t="s">
        <v>356</v>
      </c>
    </row>
    <row r="141" spans="1:7">
      <c r="A141" t="s">
        <v>630</v>
      </c>
      <c r="B141" t="s">
        <v>631</v>
      </c>
      <c r="C141">
        <v>10</v>
      </c>
      <c r="D141" s="260">
        <v>46153</v>
      </c>
      <c r="E141" s="260">
        <v>46164</v>
      </c>
      <c r="F141">
        <v>149</v>
      </c>
      <c r="G141" t="s">
        <v>356</v>
      </c>
    </row>
    <row r="142" spans="1:7">
      <c r="A142" t="s">
        <v>632</v>
      </c>
      <c r="B142" t="s">
        <v>633</v>
      </c>
      <c r="C142">
        <v>29</v>
      </c>
      <c r="D142" s="260">
        <v>46091</v>
      </c>
      <c r="E142" s="260">
        <v>46135</v>
      </c>
      <c r="F142">
        <v>149</v>
      </c>
      <c r="G142" t="s">
        <v>356</v>
      </c>
    </row>
    <row r="143" spans="1:7">
      <c r="A143" t="s">
        <v>634</v>
      </c>
      <c r="B143" t="s">
        <v>635</v>
      </c>
      <c r="C143">
        <v>10</v>
      </c>
      <c r="D143" s="260">
        <v>46153</v>
      </c>
      <c r="E143" s="260">
        <v>46164</v>
      </c>
      <c r="F143">
        <v>149</v>
      </c>
      <c r="G143" t="s">
        <v>356</v>
      </c>
    </row>
    <row r="144" spans="1:7">
      <c r="A144" t="s">
        <v>636</v>
      </c>
      <c r="B144" t="s">
        <v>637</v>
      </c>
      <c r="C144">
        <v>27</v>
      </c>
      <c r="D144" s="260">
        <v>46091</v>
      </c>
      <c r="E144" s="260">
        <v>46133</v>
      </c>
      <c r="F144">
        <v>57</v>
      </c>
      <c r="G144" t="s">
        <v>356</v>
      </c>
    </row>
    <row r="145" spans="1:7">
      <c r="A145" t="s">
        <v>638</v>
      </c>
      <c r="B145" t="s">
        <v>639</v>
      </c>
      <c r="C145">
        <v>10</v>
      </c>
      <c r="D145" s="260">
        <v>46149</v>
      </c>
      <c r="E145" s="260">
        <v>46162</v>
      </c>
      <c r="F145">
        <v>141</v>
      </c>
      <c r="G145" t="s">
        <v>356</v>
      </c>
    </row>
    <row r="146" spans="1:7">
      <c r="A146" t="s">
        <v>640</v>
      </c>
      <c r="B146" t="s">
        <v>641</v>
      </c>
      <c r="C146">
        <v>19</v>
      </c>
      <c r="D146" s="260">
        <v>46157</v>
      </c>
      <c r="E146" s="260">
        <v>46185</v>
      </c>
      <c r="F146">
        <v>41</v>
      </c>
      <c r="G146" t="s">
        <v>356</v>
      </c>
    </row>
    <row r="147" spans="1:7">
      <c r="A147" t="s">
        <v>642</v>
      </c>
      <c r="B147" t="s">
        <v>643</v>
      </c>
      <c r="C147">
        <v>10</v>
      </c>
      <c r="D147" s="260">
        <v>46202</v>
      </c>
      <c r="E147" s="260">
        <v>46213</v>
      </c>
      <c r="F147">
        <v>106</v>
      </c>
      <c r="G147" t="s">
        <v>356</v>
      </c>
    </row>
    <row r="148" spans="1:7">
      <c r="A148" t="s">
        <v>644</v>
      </c>
      <c r="B148" t="s">
        <v>645</v>
      </c>
      <c r="C148">
        <v>15</v>
      </c>
      <c r="D148" s="260">
        <v>46097</v>
      </c>
      <c r="E148" s="260">
        <v>46115</v>
      </c>
      <c r="F148">
        <v>-34</v>
      </c>
      <c r="G148" t="s">
        <v>356</v>
      </c>
    </row>
    <row r="149" spans="1:7">
      <c r="A149" t="s">
        <v>646</v>
      </c>
      <c r="B149" t="s">
        <v>647</v>
      </c>
      <c r="C149">
        <v>10</v>
      </c>
      <c r="D149" s="260">
        <v>46136</v>
      </c>
      <c r="E149" s="260">
        <v>46150</v>
      </c>
      <c r="F149">
        <v>20</v>
      </c>
      <c r="G149" t="s">
        <v>356</v>
      </c>
    </row>
    <row r="150" spans="1:7">
      <c r="A150" t="s">
        <v>648</v>
      </c>
      <c r="B150" t="s">
        <v>649</v>
      </c>
      <c r="C150">
        <v>15</v>
      </c>
      <c r="D150" s="260">
        <v>46113</v>
      </c>
      <c r="E150" s="260">
        <v>46139</v>
      </c>
      <c r="F150">
        <v>147</v>
      </c>
      <c r="G150" t="s">
        <v>356</v>
      </c>
    </row>
    <row r="151" spans="1:7">
      <c r="A151" t="s">
        <v>650</v>
      </c>
      <c r="B151" t="s">
        <v>651</v>
      </c>
      <c r="C151">
        <v>10</v>
      </c>
      <c r="D151" s="260">
        <v>46155</v>
      </c>
      <c r="E151" s="260">
        <v>46168</v>
      </c>
      <c r="F151">
        <v>147</v>
      </c>
      <c r="G151" t="s">
        <v>356</v>
      </c>
    </row>
    <row r="152" spans="1:7">
      <c r="A152" t="s">
        <v>652</v>
      </c>
      <c r="B152" t="s">
        <v>653</v>
      </c>
      <c r="C152">
        <v>15</v>
      </c>
      <c r="D152" s="260">
        <v>46113</v>
      </c>
      <c r="E152" s="260">
        <v>46139</v>
      </c>
      <c r="F152">
        <v>147</v>
      </c>
      <c r="G152" t="s">
        <v>356</v>
      </c>
    </row>
    <row r="153" spans="1:7">
      <c r="A153" t="s">
        <v>654</v>
      </c>
      <c r="B153" t="s">
        <v>655</v>
      </c>
      <c r="C153">
        <v>10</v>
      </c>
      <c r="D153" s="260">
        <v>46155</v>
      </c>
      <c r="E153" s="260">
        <v>46168</v>
      </c>
      <c r="F153">
        <v>147</v>
      </c>
      <c r="G153" t="s">
        <v>356</v>
      </c>
    </row>
    <row r="154" spans="1:7">
      <c r="A154" t="s">
        <v>656</v>
      </c>
      <c r="B154" t="s">
        <v>657</v>
      </c>
      <c r="C154">
        <v>10</v>
      </c>
      <c r="D154" s="260">
        <v>46153</v>
      </c>
      <c r="E154" s="260">
        <v>46164</v>
      </c>
      <c r="F154">
        <v>99</v>
      </c>
      <c r="G154" t="s">
        <v>356</v>
      </c>
    </row>
    <row r="155" spans="1:7">
      <c r="A155" t="s">
        <v>658</v>
      </c>
      <c r="B155" t="s">
        <v>659</v>
      </c>
      <c r="C155">
        <v>10</v>
      </c>
      <c r="D155" s="260">
        <v>46183</v>
      </c>
      <c r="E155" s="260">
        <v>46196</v>
      </c>
      <c r="F155">
        <v>119</v>
      </c>
      <c r="G155" t="s">
        <v>356</v>
      </c>
    </row>
    <row r="156" spans="1:7">
      <c r="A156" t="s">
        <v>660</v>
      </c>
      <c r="B156" t="s">
        <v>661</v>
      </c>
      <c r="C156">
        <v>18</v>
      </c>
      <c r="D156" s="260">
        <v>46097</v>
      </c>
      <c r="E156" s="260">
        <v>46121</v>
      </c>
      <c r="F156">
        <v>-33</v>
      </c>
      <c r="G156" t="s">
        <v>356</v>
      </c>
    </row>
    <row r="157" spans="1:7">
      <c r="A157" t="s">
        <v>662</v>
      </c>
      <c r="B157" t="s">
        <v>663</v>
      </c>
      <c r="C157">
        <v>10</v>
      </c>
      <c r="D157" s="260">
        <v>46141</v>
      </c>
      <c r="E157" s="260">
        <v>46155</v>
      </c>
      <c r="F157">
        <v>28</v>
      </c>
      <c r="G157" t="s">
        <v>356</v>
      </c>
    </row>
    <row r="158" spans="1:7">
      <c r="A158" t="s">
        <v>664</v>
      </c>
      <c r="B158" t="s">
        <v>665</v>
      </c>
      <c r="C158">
        <v>23</v>
      </c>
      <c r="D158" s="260">
        <v>46091</v>
      </c>
      <c r="E158" s="260">
        <v>46122</v>
      </c>
      <c r="F158">
        <v>155</v>
      </c>
      <c r="G158" t="s">
        <v>356</v>
      </c>
    </row>
    <row r="159" spans="1:7">
      <c r="A159" t="s">
        <v>666</v>
      </c>
      <c r="B159" t="s">
        <v>667</v>
      </c>
      <c r="C159">
        <v>10</v>
      </c>
      <c r="D159" s="260">
        <v>46142</v>
      </c>
      <c r="E159" s="260">
        <v>46156</v>
      </c>
      <c r="F159">
        <v>155</v>
      </c>
      <c r="G159" t="s">
        <v>356</v>
      </c>
    </row>
    <row r="160" spans="1:7">
      <c r="A160" t="s">
        <v>668</v>
      </c>
      <c r="B160" t="s">
        <v>669</v>
      </c>
      <c r="C160">
        <v>15</v>
      </c>
      <c r="D160" s="260">
        <v>46112</v>
      </c>
      <c r="E160" s="260">
        <v>46136</v>
      </c>
      <c r="F160">
        <v>148</v>
      </c>
      <c r="G160" t="s">
        <v>356</v>
      </c>
    </row>
    <row r="161" spans="1:7">
      <c r="A161" t="s">
        <v>670</v>
      </c>
      <c r="B161" t="s">
        <v>671</v>
      </c>
      <c r="C161">
        <v>10</v>
      </c>
      <c r="D161" s="260">
        <v>46154</v>
      </c>
      <c r="E161" s="260">
        <v>46167</v>
      </c>
      <c r="F161">
        <v>148</v>
      </c>
      <c r="G161" t="s">
        <v>356</v>
      </c>
    </row>
    <row r="162" spans="1:7">
      <c r="A162" t="s">
        <v>672</v>
      </c>
      <c r="B162" t="s">
        <v>673</v>
      </c>
      <c r="C162">
        <v>15</v>
      </c>
      <c r="D162" s="260">
        <v>46134</v>
      </c>
      <c r="E162" s="260">
        <v>46155</v>
      </c>
      <c r="F162">
        <v>136</v>
      </c>
      <c r="G162" t="s">
        <v>356</v>
      </c>
    </row>
    <row r="163" spans="1:7">
      <c r="A163" t="s">
        <v>674</v>
      </c>
      <c r="B163" t="s">
        <v>675</v>
      </c>
      <c r="C163">
        <v>10</v>
      </c>
      <c r="D163" s="260">
        <v>46170</v>
      </c>
      <c r="E163" s="260">
        <v>46185</v>
      </c>
      <c r="F163">
        <v>136</v>
      </c>
      <c r="G163" t="s">
        <v>356</v>
      </c>
    </row>
    <row r="164" spans="1:7">
      <c r="A164" t="s">
        <v>676</v>
      </c>
      <c r="B164" t="s">
        <v>677</v>
      </c>
      <c r="C164">
        <v>15</v>
      </c>
      <c r="D164" s="260">
        <v>46106</v>
      </c>
      <c r="E164" s="260">
        <v>46132</v>
      </c>
      <c r="F164">
        <v>152</v>
      </c>
      <c r="G164" t="s">
        <v>356</v>
      </c>
    </row>
    <row r="165" spans="1:7">
      <c r="A165" t="s">
        <v>678</v>
      </c>
      <c r="B165" t="s">
        <v>679</v>
      </c>
      <c r="C165">
        <v>10</v>
      </c>
      <c r="D165" s="260">
        <v>46148</v>
      </c>
      <c r="E165" s="260">
        <v>46161</v>
      </c>
      <c r="F165">
        <v>152</v>
      </c>
      <c r="G165" t="s">
        <v>356</v>
      </c>
    </row>
    <row r="166" spans="1:7">
      <c r="A166" t="s">
        <v>680</v>
      </c>
      <c r="C166">
        <v>104</v>
      </c>
      <c r="D166" s="260">
        <v>46097</v>
      </c>
      <c r="E166" s="260">
        <v>46255</v>
      </c>
      <c r="F166">
        <v>90</v>
      </c>
      <c r="G166" t="s">
        <v>356</v>
      </c>
    </row>
    <row r="167" spans="1:7">
      <c r="A167" t="s">
        <v>681</v>
      </c>
      <c r="B167" t="s">
        <v>682</v>
      </c>
      <c r="C167">
        <v>10</v>
      </c>
      <c r="D167" s="260">
        <v>46140</v>
      </c>
      <c r="E167" s="260">
        <v>46154</v>
      </c>
      <c r="F167">
        <v>-44</v>
      </c>
      <c r="G167" t="s">
        <v>356</v>
      </c>
    </row>
    <row r="168" spans="1:7">
      <c r="A168" t="s">
        <v>683</v>
      </c>
      <c r="B168" t="s">
        <v>684</v>
      </c>
      <c r="C168">
        <v>10</v>
      </c>
      <c r="D168" s="260">
        <v>46175</v>
      </c>
      <c r="E168" s="260">
        <v>46189</v>
      </c>
      <c r="F168">
        <v>34</v>
      </c>
      <c r="G168" t="s">
        <v>356</v>
      </c>
    </row>
    <row r="169" spans="1:7">
      <c r="A169" t="s">
        <v>685</v>
      </c>
      <c r="B169" t="s">
        <v>686</v>
      </c>
      <c r="C169">
        <v>5</v>
      </c>
      <c r="D169" s="260">
        <v>46206</v>
      </c>
      <c r="E169" s="260">
        <v>46212</v>
      </c>
      <c r="F169">
        <v>32</v>
      </c>
      <c r="G169" t="s">
        <v>356</v>
      </c>
    </row>
    <row r="170" spans="1:7">
      <c r="A170" t="s">
        <v>687</v>
      </c>
      <c r="B170" t="s">
        <v>688</v>
      </c>
      <c r="C170">
        <v>12</v>
      </c>
      <c r="D170" s="260">
        <v>46140</v>
      </c>
      <c r="E170" s="260">
        <v>46156</v>
      </c>
      <c r="F170">
        <v>-16</v>
      </c>
      <c r="G170" t="s">
        <v>356</v>
      </c>
    </row>
    <row r="171" spans="1:7">
      <c r="A171" t="s">
        <v>689</v>
      </c>
      <c r="B171" t="s">
        <v>690</v>
      </c>
      <c r="C171">
        <v>10</v>
      </c>
      <c r="D171" s="260">
        <v>46178</v>
      </c>
      <c r="E171" s="260">
        <v>46191</v>
      </c>
      <c r="F171">
        <v>32</v>
      </c>
      <c r="G171" t="s">
        <v>356</v>
      </c>
    </row>
    <row r="172" spans="1:7">
      <c r="A172" t="s">
        <v>691</v>
      </c>
      <c r="B172" t="s">
        <v>692</v>
      </c>
      <c r="C172">
        <v>5</v>
      </c>
      <c r="D172" s="260">
        <v>46206</v>
      </c>
      <c r="E172" s="260">
        <v>46212</v>
      </c>
      <c r="F172">
        <v>32</v>
      </c>
      <c r="G172" t="s">
        <v>356</v>
      </c>
    </row>
    <row r="173" spans="1:7">
      <c r="A173" t="s">
        <v>693</v>
      </c>
      <c r="B173" t="s">
        <v>694</v>
      </c>
      <c r="C173">
        <v>10</v>
      </c>
      <c r="D173" s="260">
        <v>46142</v>
      </c>
      <c r="E173" s="260">
        <v>46156</v>
      </c>
      <c r="F173">
        <v>-16</v>
      </c>
      <c r="G173" t="s">
        <v>356</v>
      </c>
    </row>
    <row r="174" spans="1:7">
      <c r="A174" t="s">
        <v>695</v>
      </c>
      <c r="B174" t="s">
        <v>696</v>
      </c>
      <c r="C174">
        <v>10</v>
      </c>
      <c r="D174" s="260">
        <v>46178</v>
      </c>
      <c r="E174" s="260">
        <v>46191</v>
      </c>
      <c r="F174">
        <v>32</v>
      </c>
      <c r="G174" t="s">
        <v>356</v>
      </c>
    </row>
    <row r="175" spans="1:7">
      <c r="A175" t="s">
        <v>697</v>
      </c>
      <c r="B175" t="s">
        <v>698</v>
      </c>
      <c r="C175">
        <v>5</v>
      </c>
      <c r="D175" s="260">
        <v>46206</v>
      </c>
      <c r="E175" s="260">
        <v>46212</v>
      </c>
      <c r="F175">
        <v>32</v>
      </c>
      <c r="G175" t="s">
        <v>356</v>
      </c>
    </row>
    <row r="176" spans="1:7">
      <c r="A176" t="s">
        <v>699</v>
      </c>
      <c r="B176" t="s">
        <v>700</v>
      </c>
      <c r="C176">
        <v>10</v>
      </c>
      <c r="D176" s="260">
        <v>46146</v>
      </c>
      <c r="E176" s="260">
        <v>46157</v>
      </c>
      <c r="F176">
        <v>-21</v>
      </c>
      <c r="G176" t="s">
        <v>356</v>
      </c>
    </row>
    <row r="177" spans="1:7">
      <c r="A177" t="s">
        <v>701</v>
      </c>
      <c r="B177" t="s">
        <v>702</v>
      </c>
      <c r="C177">
        <v>10</v>
      </c>
      <c r="D177" s="260">
        <v>46181</v>
      </c>
      <c r="E177" s="260">
        <v>46192</v>
      </c>
      <c r="F177">
        <v>32</v>
      </c>
      <c r="G177" t="s">
        <v>356</v>
      </c>
    </row>
    <row r="178" spans="1:7">
      <c r="A178" t="s">
        <v>703</v>
      </c>
      <c r="B178" t="s">
        <v>704</v>
      </c>
      <c r="C178">
        <v>5</v>
      </c>
      <c r="D178" s="260">
        <v>46206</v>
      </c>
      <c r="E178" s="260">
        <v>46212</v>
      </c>
      <c r="F178">
        <v>32</v>
      </c>
      <c r="G178" t="s">
        <v>356</v>
      </c>
    </row>
    <row r="179" spans="1:7">
      <c r="A179" t="s">
        <v>705</v>
      </c>
      <c r="B179" t="s">
        <v>706</v>
      </c>
      <c r="C179">
        <v>15</v>
      </c>
      <c r="D179" s="260">
        <v>46097</v>
      </c>
      <c r="E179" s="260">
        <v>46115</v>
      </c>
      <c r="F179">
        <v>-34</v>
      </c>
      <c r="G179" t="s">
        <v>356</v>
      </c>
    </row>
    <row r="180" spans="1:7">
      <c r="A180" t="s">
        <v>707</v>
      </c>
      <c r="B180" t="s">
        <v>708</v>
      </c>
      <c r="C180">
        <v>5</v>
      </c>
      <c r="D180" s="260">
        <v>46146</v>
      </c>
      <c r="E180" s="260">
        <v>46150</v>
      </c>
      <c r="F180">
        <v>10</v>
      </c>
      <c r="G180" t="s">
        <v>356</v>
      </c>
    </row>
    <row r="181" spans="1:7">
      <c r="A181" t="s">
        <v>709</v>
      </c>
      <c r="B181" t="s">
        <v>710</v>
      </c>
      <c r="C181">
        <v>5</v>
      </c>
      <c r="D181" s="260">
        <v>46206</v>
      </c>
      <c r="E181" s="260">
        <v>46212</v>
      </c>
      <c r="F181">
        <v>-17</v>
      </c>
      <c r="G181" t="s">
        <v>356</v>
      </c>
    </row>
    <row r="182" spans="1:7">
      <c r="A182" t="s">
        <v>711</v>
      </c>
      <c r="B182" t="s">
        <v>712</v>
      </c>
      <c r="C182">
        <v>12</v>
      </c>
      <c r="D182" s="260">
        <v>46140</v>
      </c>
      <c r="E182" s="260">
        <v>46156</v>
      </c>
      <c r="F182">
        <v>-30</v>
      </c>
      <c r="G182" t="s">
        <v>356</v>
      </c>
    </row>
    <row r="183" spans="1:7">
      <c r="A183" t="s">
        <v>713</v>
      </c>
      <c r="B183" t="s">
        <v>714</v>
      </c>
      <c r="C183">
        <v>10</v>
      </c>
      <c r="D183" s="260">
        <v>46178</v>
      </c>
      <c r="E183" s="260">
        <v>46191</v>
      </c>
      <c r="F183">
        <v>117</v>
      </c>
      <c r="G183" t="s">
        <v>356</v>
      </c>
    </row>
    <row r="184" spans="1:7">
      <c r="A184" t="s">
        <v>715</v>
      </c>
      <c r="B184" t="s">
        <v>716</v>
      </c>
      <c r="C184">
        <v>5</v>
      </c>
      <c r="D184" s="260">
        <v>46206</v>
      </c>
      <c r="E184" s="260">
        <v>46212</v>
      </c>
      <c r="F184">
        <v>117</v>
      </c>
      <c r="G184" t="s">
        <v>356</v>
      </c>
    </row>
    <row r="185" spans="1:7">
      <c r="A185" t="s">
        <v>717</v>
      </c>
      <c r="B185" t="s">
        <v>718</v>
      </c>
      <c r="C185">
        <v>15</v>
      </c>
      <c r="D185" s="260">
        <v>46188</v>
      </c>
      <c r="E185" s="260">
        <v>46206</v>
      </c>
      <c r="F185">
        <v>41</v>
      </c>
      <c r="G185" t="s">
        <v>356</v>
      </c>
    </row>
    <row r="186" spans="1:7">
      <c r="A186" t="s">
        <v>719</v>
      </c>
      <c r="B186" t="s">
        <v>720</v>
      </c>
      <c r="C186">
        <v>10</v>
      </c>
      <c r="D186" s="260">
        <v>46225</v>
      </c>
      <c r="E186" s="260">
        <v>46241</v>
      </c>
      <c r="F186">
        <v>85</v>
      </c>
      <c r="G186" t="s">
        <v>356</v>
      </c>
    </row>
    <row r="187" spans="1:7">
      <c r="A187" t="s">
        <v>721</v>
      </c>
      <c r="B187" t="s">
        <v>722</v>
      </c>
      <c r="C187">
        <v>5</v>
      </c>
      <c r="D187" s="260">
        <v>46251</v>
      </c>
      <c r="E187" s="260">
        <v>46255</v>
      </c>
      <c r="F187">
        <v>85</v>
      </c>
      <c r="G187" t="s">
        <v>356</v>
      </c>
    </row>
    <row r="188" spans="1:7">
      <c r="A188" t="s">
        <v>723</v>
      </c>
      <c r="B188" t="s">
        <v>724</v>
      </c>
      <c r="C188">
        <v>10</v>
      </c>
      <c r="D188" s="260">
        <v>46112</v>
      </c>
      <c r="E188" s="260">
        <v>46129</v>
      </c>
      <c r="F188">
        <v>-21</v>
      </c>
      <c r="G188" t="s">
        <v>356</v>
      </c>
    </row>
    <row r="189" spans="1:7">
      <c r="A189" t="s">
        <v>725</v>
      </c>
      <c r="B189" t="s">
        <v>726</v>
      </c>
      <c r="C189">
        <v>10</v>
      </c>
      <c r="D189" s="260">
        <v>46153</v>
      </c>
      <c r="E189" s="260">
        <v>46164</v>
      </c>
      <c r="F189">
        <v>49</v>
      </c>
      <c r="G189" t="s">
        <v>356</v>
      </c>
    </row>
    <row r="190" spans="1:7">
      <c r="A190" t="s">
        <v>727</v>
      </c>
      <c r="B190" t="s">
        <v>728</v>
      </c>
      <c r="C190">
        <v>5</v>
      </c>
      <c r="D190" s="260">
        <v>46206</v>
      </c>
      <c r="E190" s="260">
        <v>46212</v>
      </c>
      <c r="F190">
        <v>32</v>
      </c>
      <c r="G190" t="s">
        <v>356</v>
      </c>
    </row>
    <row r="191" spans="1:7">
      <c r="A191" t="s">
        <v>729</v>
      </c>
      <c r="B191" t="s">
        <v>730</v>
      </c>
      <c r="C191">
        <v>12</v>
      </c>
      <c r="D191" s="260">
        <v>46140</v>
      </c>
      <c r="E191" s="260">
        <v>46156</v>
      </c>
      <c r="F191">
        <v>92</v>
      </c>
      <c r="G191" t="s">
        <v>356</v>
      </c>
    </row>
    <row r="192" spans="1:7">
      <c r="A192" t="s">
        <v>731</v>
      </c>
      <c r="B192" t="s">
        <v>732</v>
      </c>
      <c r="C192">
        <v>10</v>
      </c>
      <c r="D192" s="260">
        <v>46178</v>
      </c>
      <c r="E192" s="260">
        <v>46191</v>
      </c>
      <c r="F192">
        <v>112</v>
      </c>
      <c r="G192" t="s">
        <v>356</v>
      </c>
    </row>
    <row r="193" spans="1:7">
      <c r="A193" t="s">
        <v>733</v>
      </c>
      <c r="B193" t="s">
        <v>734</v>
      </c>
      <c r="C193">
        <v>5</v>
      </c>
      <c r="D193" s="260">
        <v>46206</v>
      </c>
      <c r="E193" s="260">
        <v>46212</v>
      </c>
      <c r="F193">
        <v>112</v>
      </c>
      <c r="G193" t="s">
        <v>356</v>
      </c>
    </row>
    <row r="194" spans="1:7">
      <c r="A194" t="s">
        <v>735</v>
      </c>
      <c r="B194" t="s">
        <v>736</v>
      </c>
      <c r="C194">
        <v>8</v>
      </c>
      <c r="D194" s="260">
        <v>46140</v>
      </c>
      <c r="E194" s="260">
        <v>46150</v>
      </c>
      <c r="F194">
        <v>1</v>
      </c>
      <c r="G194" t="s">
        <v>356</v>
      </c>
    </row>
    <row r="195" spans="1:7">
      <c r="A195" t="s">
        <v>737</v>
      </c>
      <c r="B195" t="s">
        <v>738</v>
      </c>
      <c r="C195">
        <v>10</v>
      </c>
      <c r="D195" s="260">
        <v>46170</v>
      </c>
      <c r="E195" s="260">
        <v>46185</v>
      </c>
      <c r="F195">
        <v>43</v>
      </c>
      <c r="G195" t="s">
        <v>356</v>
      </c>
    </row>
    <row r="196" spans="1:7">
      <c r="A196" t="s">
        <v>739</v>
      </c>
      <c r="B196" t="s">
        <v>740</v>
      </c>
      <c r="C196">
        <v>5</v>
      </c>
      <c r="D196" s="260">
        <v>46206</v>
      </c>
      <c r="E196" s="260">
        <v>46212</v>
      </c>
      <c r="F196">
        <v>39</v>
      </c>
      <c r="G196" t="s">
        <v>356</v>
      </c>
    </row>
    <row r="197" spans="1:7">
      <c r="A197" t="s">
        <v>741</v>
      </c>
      <c r="B197" t="s">
        <v>742</v>
      </c>
      <c r="C197">
        <v>8</v>
      </c>
      <c r="D197" s="260">
        <v>46140</v>
      </c>
      <c r="E197" s="260">
        <v>46150</v>
      </c>
      <c r="F197">
        <v>0</v>
      </c>
      <c r="G197" t="s">
        <v>356</v>
      </c>
    </row>
    <row r="198" spans="1:7">
      <c r="A198" t="s">
        <v>743</v>
      </c>
      <c r="B198" t="s">
        <v>744</v>
      </c>
      <c r="C198">
        <v>10</v>
      </c>
      <c r="D198" s="260">
        <v>46170</v>
      </c>
      <c r="E198" s="260">
        <v>46185</v>
      </c>
      <c r="F198">
        <v>16</v>
      </c>
      <c r="G198" t="s">
        <v>356</v>
      </c>
    </row>
    <row r="199" spans="1:7">
      <c r="A199" t="s">
        <v>745</v>
      </c>
      <c r="B199" t="s">
        <v>746</v>
      </c>
      <c r="C199">
        <v>5</v>
      </c>
      <c r="D199" s="260">
        <v>46206</v>
      </c>
      <c r="E199" s="260">
        <v>46212</v>
      </c>
      <c r="F199">
        <v>12</v>
      </c>
      <c r="G199" t="s">
        <v>356</v>
      </c>
    </row>
    <row r="200" spans="1:7">
      <c r="A200" t="s">
        <v>747</v>
      </c>
      <c r="B200" t="s">
        <v>748</v>
      </c>
      <c r="C200">
        <v>10</v>
      </c>
      <c r="D200" s="260">
        <v>46160</v>
      </c>
      <c r="E200" s="260">
        <v>46171</v>
      </c>
      <c r="F200">
        <v>4</v>
      </c>
      <c r="G200" t="s">
        <v>356</v>
      </c>
    </row>
    <row r="201" spans="1:7">
      <c r="A201" t="s">
        <v>749</v>
      </c>
      <c r="B201" t="s">
        <v>750</v>
      </c>
      <c r="C201">
        <v>10</v>
      </c>
      <c r="D201" s="260">
        <v>46195</v>
      </c>
      <c r="E201" s="260">
        <v>46206</v>
      </c>
      <c r="F201">
        <v>106</v>
      </c>
      <c r="G201" t="s">
        <v>356</v>
      </c>
    </row>
    <row r="202" spans="1:7">
      <c r="A202" t="s">
        <v>751</v>
      </c>
      <c r="B202" t="s">
        <v>752</v>
      </c>
      <c r="C202">
        <v>5</v>
      </c>
      <c r="D202" s="260">
        <v>46216</v>
      </c>
      <c r="E202" s="260">
        <v>46220</v>
      </c>
      <c r="F202">
        <v>106</v>
      </c>
      <c r="G202" t="s">
        <v>356</v>
      </c>
    </row>
    <row r="203" spans="1:7">
      <c r="A203" t="s">
        <v>753</v>
      </c>
      <c r="B203" t="s">
        <v>754</v>
      </c>
      <c r="C203">
        <v>15</v>
      </c>
      <c r="D203" s="260">
        <v>46112</v>
      </c>
      <c r="E203" s="260">
        <v>46136</v>
      </c>
      <c r="F203">
        <v>-26</v>
      </c>
      <c r="G203" t="s">
        <v>356</v>
      </c>
    </row>
    <row r="204" spans="1:7">
      <c r="A204" t="s">
        <v>755</v>
      </c>
      <c r="B204" t="s">
        <v>756</v>
      </c>
      <c r="C204">
        <v>5</v>
      </c>
      <c r="D204" s="260">
        <v>46167</v>
      </c>
      <c r="E204" s="260">
        <v>46171</v>
      </c>
      <c r="F204">
        <v>44</v>
      </c>
      <c r="G204" t="s">
        <v>356</v>
      </c>
    </row>
    <row r="205" spans="1:7">
      <c r="A205" t="s">
        <v>757</v>
      </c>
      <c r="B205" t="s">
        <v>758</v>
      </c>
      <c r="C205">
        <v>5</v>
      </c>
      <c r="D205" s="260">
        <v>46206</v>
      </c>
      <c r="E205" s="260">
        <v>46212</v>
      </c>
      <c r="F205">
        <v>32</v>
      </c>
      <c r="G205" t="s">
        <v>356</v>
      </c>
    </row>
    <row r="206" spans="1:7">
      <c r="A206" t="s">
        <v>759</v>
      </c>
      <c r="B206" t="s">
        <v>760</v>
      </c>
      <c r="C206">
        <v>15</v>
      </c>
      <c r="D206" s="260">
        <v>46112</v>
      </c>
      <c r="E206" s="260">
        <v>46136</v>
      </c>
      <c r="F206">
        <v>138</v>
      </c>
      <c r="G206" t="s">
        <v>356</v>
      </c>
    </row>
    <row r="207" spans="1:7">
      <c r="A207" t="s">
        <v>761</v>
      </c>
      <c r="B207" t="s">
        <v>762</v>
      </c>
      <c r="C207">
        <v>5</v>
      </c>
      <c r="D207" s="260">
        <v>46167</v>
      </c>
      <c r="E207" s="260">
        <v>46171</v>
      </c>
      <c r="F207">
        <v>129</v>
      </c>
      <c r="G207" t="s">
        <v>356</v>
      </c>
    </row>
    <row r="208" spans="1:7">
      <c r="A208" t="s">
        <v>763</v>
      </c>
      <c r="B208" t="s">
        <v>764</v>
      </c>
      <c r="C208">
        <v>5</v>
      </c>
      <c r="D208" s="260">
        <v>46206</v>
      </c>
      <c r="E208" s="260">
        <v>46212</v>
      </c>
      <c r="F208">
        <v>117</v>
      </c>
      <c r="G208" t="s">
        <v>356</v>
      </c>
    </row>
    <row r="209" spans="1:7">
      <c r="A209" t="s">
        <v>765</v>
      </c>
      <c r="B209" t="s">
        <v>766</v>
      </c>
      <c r="C209">
        <v>13</v>
      </c>
      <c r="D209" s="260">
        <v>46140</v>
      </c>
      <c r="E209" s="260">
        <v>46157</v>
      </c>
      <c r="F209">
        <v>-47</v>
      </c>
      <c r="G209" t="s">
        <v>356</v>
      </c>
    </row>
    <row r="210" spans="1:7">
      <c r="A210" t="s">
        <v>767</v>
      </c>
      <c r="B210" t="s">
        <v>768</v>
      </c>
      <c r="C210">
        <v>10</v>
      </c>
      <c r="D210" s="260">
        <v>46181</v>
      </c>
      <c r="E210" s="260">
        <v>46192</v>
      </c>
      <c r="F210">
        <v>32</v>
      </c>
      <c r="G210" t="s">
        <v>356</v>
      </c>
    </row>
    <row r="211" spans="1:7">
      <c r="A211" t="s">
        <v>769</v>
      </c>
      <c r="B211" t="s">
        <v>770</v>
      </c>
      <c r="C211">
        <v>5</v>
      </c>
      <c r="D211" s="260">
        <v>46206</v>
      </c>
      <c r="E211" s="260">
        <v>46212</v>
      </c>
      <c r="F211">
        <v>32</v>
      </c>
      <c r="G211" t="s">
        <v>356</v>
      </c>
    </row>
    <row r="212" spans="1:7">
      <c r="A212" t="s">
        <v>771</v>
      </c>
      <c r="B212" t="s">
        <v>772</v>
      </c>
      <c r="C212">
        <v>12</v>
      </c>
      <c r="D212" s="260">
        <v>46140</v>
      </c>
      <c r="E212" s="260">
        <v>46156</v>
      </c>
      <c r="F212">
        <v>-46</v>
      </c>
      <c r="G212" t="s">
        <v>356</v>
      </c>
    </row>
    <row r="213" spans="1:7">
      <c r="A213" t="s">
        <v>773</v>
      </c>
      <c r="B213" t="s">
        <v>774</v>
      </c>
      <c r="C213">
        <v>10</v>
      </c>
      <c r="D213" s="260">
        <v>46178</v>
      </c>
      <c r="E213" s="260">
        <v>46191</v>
      </c>
      <c r="F213">
        <v>32</v>
      </c>
      <c r="G213" t="s">
        <v>356</v>
      </c>
    </row>
    <row r="214" spans="1:7">
      <c r="A214" t="s">
        <v>775</v>
      </c>
      <c r="B214" t="s">
        <v>776</v>
      </c>
      <c r="C214">
        <v>5</v>
      </c>
      <c r="D214" s="260">
        <v>46206</v>
      </c>
      <c r="E214" s="260">
        <v>46212</v>
      </c>
      <c r="F214">
        <v>32</v>
      </c>
      <c r="G214" t="s">
        <v>356</v>
      </c>
    </row>
    <row r="215" spans="1:7">
      <c r="A215" t="s">
        <v>777</v>
      </c>
      <c r="B215" t="s">
        <v>778</v>
      </c>
      <c r="C215">
        <v>12</v>
      </c>
      <c r="D215" s="260">
        <v>46140</v>
      </c>
      <c r="E215" s="260">
        <v>46156</v>
      </c>
      <c r="F215">
        <v>92</v>
      </c>
      <c r="G215" t="s">
        <v>356</v>
      </c>
    </row>
    <row r="216" spans="1:7">
      <c r="A216" t="s">
        <v>779</v>
      </c>
      <c r="B216" t="s">
        <v>780</v>
      </c>
      <c r="C216">
        <v>10</v>
      </c>
      <c r="D216" s="260">
        <v>46178</v>
      </c>
      <c r="E216" s="260">
        <v>46191</v>
      </c>
      <c r="F216">
        <v>112</v>
      </c>
      <c r="G216" t="s">
        <v>356</v>
      </c>
    </row>
    <row r="217" spans="1:7">
      <c r="A217" t="s">
        <v>781</v>
      </c>
      <c r="B217" t="s">
        <v>782</v>
      </c>
      <c r="C217">
        <v>5</v>
      </c>
      <c r="D217" s="260">
        <v>46206</v>
      </c>
      <c r="E217" s="260">
        <v>46212</v>
      </c>
      <c r="F217">
        <v>112</v>
      </c>
      <c r="G217" t="s">
        <v>356</v>
      </c>
    </row>
    <row r="218" spans="1:7">
      <c r="A218" t="s">
        <v>783</v>
      </c>
      <c r="B218" t="s">
        <v>784</v>
      </c>
      <c r="C218">
        <v>9</v>
      </c>
      <c r="D218" s="260">
        <v>46140</v>
      </c>
      <c r="E218" s="260">
        <v>46153</v>
      </c>
      <c r="F218">
        <v>0</v>
      </c>
      <c r="G218" t="s">
        <v>356</v>
      </c>
    </row>
    <row r="219" spans="1:7">
      <c r="A219" t="s">
        <v>785</v>
      </c>
      <c r="B219" t="s">
        <v>786</v>
      </c>
      <c r="C219">
        <v>10</v>
      </c>
      <c r="D219" s="260">
        <v>46171</v>
      </c>
      <c r="E219" s="260">
        <v>46188</v>
      </c>
      <c r="F219">
        <v>42</v>
      </c>
      <c r="G219" t="s">
        <v>356</v>
      </c>
    </row>
    <row r="220" spans="1:7">
      <c r="A220" t="s">
        <v>787</v>
      </c>
      <c r="B220" t="s">
        <v>788</v>
      </c>
      <c r="C220">
        <v>5</v>
      </c>
      <c r="D220" s="260">
        <v>46206</v>
      </c>
      <c r="E220" s="260">
        <v>46212</v>
      </c>
      <c r="F220">
        <v>39</v>
      </c>
      <c r="G220" t="s">
        <v>356</v>
      </c>
    </row>
    <row r="221" spans="1:7">
      <c r="A221" t="s">
        <v>789</v>
      </c>
      <c r="B221" t="s">
        <v>790</v>
      </c>
      <c r="C221">
        <v>8</v>
      </c>
      <c r="D221" s="260">
        <v>46140</v>
      </c>
      <c r="E221" s="260">
        <v>46150</v>
      </c>
      <c r="F221">
        <v>0</v>
      </c>
      <c r="G221" t="s">
        <v>356</v>
      </c>
    </row>
    <row r="222" spans="1:7">
      <c r="A222" t="s">
        <v>791</v>
      </c>
      <c r="B222" t="s">
        <v>792</v>
      </c>
      <c r="C222">
        <v>10</v>
      </c>
      <c r="D222" s="260">
        <v>46170</v>
      </c>
      <c r="E222" s="260">
        <v>46185</v>
      </c>
      <c r="F222">
        <v>16</v>
      </c>
      <c r="G222" t="s">
        <v>356</v>
      </c>
    </row>
    <row r="223" spans="1:7">
      <c r="A223" t="s">
        <v>793</v>
      </c>
      <c r="B223" t="s">
        <v>794</v>
      </c>
      <c r="C223">
        <v>5</v>
      </c>
      <c r="D223" s="260">
        <v>46206</v>
      </c>
      <c r="E223" s="260">
        <v>46212</v>
      </c>
      <c r="F223">
        <v>12</v>
      </c>
      <c r="G223" t="s">
        <v>356</v>
      </c>
    </row>
    <row r="224" spans="1:7">
      <c r="A224" t="s">
        <v>795</v>
      </c>
      <c r="B224" t="s">
        <v>796</v>
      </c>
      <c r="C224">
        <v>10</v>
      </c>
      <c r="D224" s="260">
        <v>46160</v>
      </c>
      <c r="E224" s="260">
        <v>46171</v>
      </c>
      <c r="F224">
        <v>4</v>
      </c>
      <c r="G224" t="s">
        <v>356</v>
      </c>
    </row>
    <row r="225" spans="1:7">
      <c r="A225" t="s">
        <v>797</v>
      </c>
      <c r="B225" t="s">
        <v>798</v>
      </c>
      <c r="C225">
        <v>10</v>
      </c>
      <c r="D225" s="260">
        <v>46195</v>
      </c>
      <c r="E225" s="260">
        <v>46206</v>
      </c>
      <c r="F225">
        <v>106</v>
      </c>
      <c r="G225" t="s">
        <v>356</v>
      </c>
    </row>
    <row r="226" spans="1:7">
      <c r="A226" t="s">
        <v>799</v>
      </c>
      <c r="B226" t="s">
        <v>800</v>
      </c>
      <c r="C226">
        <v>5</v>
      </c>
      <c r="D226" s="260">
        <v>46216</v>
      </c>
      <c r="E226" s="260">
        <v>46220</v>
      </c>
      <c r="F226">
        <v>106</v>
      </c>
      <c r="G226" t="s">
        <v>356</v>
      </c>
    </row>
    <row r="227" spans="1:7">
      <c r="A227" t="s">
        <v>801</v>
      </c>
      <c r="B227" t="s">
        <v>802</v>
      </c>
      <c r="C227">
        <v>8</v>
      </c>
      <c r="D227" s="260">
        <v>46140</v>
      </c>
      <c r="E227" s="260">
        <v>46150</v>
      </c>
      <c r="F227">
        <v>0</v>
      </c>
      <c r="G227" t="s">
        <v>356</v>
      </c>
    </row>
    <row r="228" spans="1:7">
      <c r="A228" t="s">
        <v>803</v>
      </c>
      <c r="B228" t="s">
        <v>804</v>
      </c>
      <c r="C228">
        <v>10</v>
      </c>
      <c r="D228" s="260">
        <v>46170</v>
      </c>
      <c r="E228" s="260">
        <v>46185</v>
      </c>
      <c r="F228">
        <v>31</v>
      </c>
      <c r="G228" t="s">
        <v>356</v>
      </c>
    </row>
    <row r="229" spans="1:7">
      <c r="A229" t="s">
        <v>805</v>
      </c>
      <c r="B229" t="s">
        <v>806</v>
      </c>
      <c r="C229">
        <v>5</v>
      </c>
      <c r="D229" s="260">
        <v>46206</v>
      </c>
      <c r="E229" s="260">
        <v>46212</v>
      </c>
      <c r="F229">
        <v>27</v>
      </c>
      <c r="G229" t="s">
        <v>356</v>
      </c>
    </row>
    <row r="230" spans="1:7">
      <c r="A230" t="s">
        <v>807</v>
      </c>
      <c r="B230" t="s">
        <v>808</v>
      </c>
      <c r="C230">
        <v>6</v>
      </c>
      <c r="D230" s="260">
        <v>46122</v>
      </c>
      <c r="E230" s="260">
        <v>46134</v>
      </c>
      <c r="F230">
        <v>-33</v>
      </c>
      <c r="G230" t="s">
        <v>356</v>
      </c>
    </row>
    <row r="231" spans="1:7">
      <c r="A231" t="s">
        <v>809</v>
      </c>
      <c r="B231" t="s">
        <v>810</v>
      </c>
      <c r="C231">
        <v>10</v>
      </c>
      <c r="D231" s="260">
        <v>46156</v>
      </c>
      <c r="E231" s="260">
        <v>46169</v>
      </c>
      <c r="F231">
        <v>8</v>
      </c>
      <c r="G231" t="s">
        <v>356</v>
      </c>
    </row>
    <row r="232" spans="1:7">
      <c r="A232" t="s">
        <v>811</v>
      </c>
      <c r="B232" t="s">
        <v>812</v>
      </c>
      <c r="C232">
        <v>5</v>
      </c>
      <c r="D232" s="260">
        <v>46206</v>
      </c>
      <c r="E232" s="260">
        <v>46212</v>
      </c>
      <c r="F232">
        <v>-6</v>
      </c>
      <c r="G232" t="s">
        <v>356</v>
      </c>
    </row>
    <row r="233" spans="1:7">
      <c r="A233" t="s">
        <v>813</v>
      </c>
      <c r="B233" t="s">
        <v>814</v>
      </c>
      <c r="C233">
        <v>6</v>
      </c>
      <c r="D233" s="260">
        <v>46122</v>
      </c>
      <c r="E233" s="260">
        <v>46134</v>
      </c>
      <c r="F233">
        <v>0</v>
      </c>
      <c r="G233" t="s">
        <v>356</v>
      </c>
    </row>
    <row r="234" spans="1:7">
      <c r="A234" t="s">
        <v>815</v>
      </c>
      <c r="B234" t="s">
        <v>816</v>
      </c>
      <c r="C234">
        <v>10</v>
      </c>
      <c r="D234" s="260">
        <v>46156</v>
      </c>
      <c r="E234" s="260">
        <v>46169</v>
      </c>
      <c r="F234">
        <v>41</v>
      </c>
      <c r="G234" t="s">
        <v>356</v>
      </c>
    </row>
    <row r="235" spans="1:7">
      <c r="A235" t="s">
        <v>817</v>
      </c>
      <c r="B235" t="s">
        <v>818</v>
      </c>
      <c r="C235">
        <v>5</v>
      </c>
      <c r="D235" s="260">
        <v>46206</v>
      </c>
      <c r="E235" s="260">
        <v>46212</v>
      </c>
      <c r="F235">
        <v>27</v>
      </c>
      <c r="G235" t="s">
        <v>356</v>
      </c>
    </row>
    <row r="236" spans="1:7">
      <c r="A236" t="s">
        <v>819</v>
      </c>
      <c r="B236" t="s">
        <v>820</v>
      </c>
      <c r="C236">
        <v>15</v>
      </c>
      <c r="D236" s="260">
        <v>46156</v>
      </c>
      <c r="E236" s="260">
        <v>46178</v>
      </c>
      <c r="F236">
        <v>72</v>
      </c>
      <c r="G236" t="s">
        <v>356</v>
      </c>
    </row>
    <row r="237" spans="1:7">
      <c r="A237" t="s">
        <v>821</v>
      </c>
      <c r="B237" t="s">
        <v>822</v>
      </c>
      <c r="C237">
        <v>10</v>
      </c>
      <c r="D237" s="260">
        <v>46202</v>
      </c>
      <c r="E237" s="260">
        <v>46213</v>
      </c>
      <c r="F237">
        <v>101</v>
      </c>
      <c r="G237" t="s">
        <v>356</v>
      </c>
    </row>
    <row r="238" spans="1:7">
      <c r="A238" t="s">
        <v>823</v>
      </c>
      <c r="B238" t="s">
        <v>824</v>
      </c>
      <c r="C238">
        <v>5</v>
      </c>
      <c r="D238" s="260">
        <v>46223</v>
      </c>
      <c r="E238" s="260">
        <v>46227</v>
      </c>
      <c r="F238">
        <v>101</v>
      </c>
      <c r="G238" t="s">
        <v>356</v>
      </c>
    </row>
    <row r="239" spans="1:7">
      <c r="A239" t="s">
        <v>825</v>
      </c>
      <c r="C239">
        <v>165</v>
      </c>
      <c r="D239" s="260">
        <v>46136</v>
      </c>
      <c r="E239" s="260">
        <v>46384</v>
      </c>
      <c r="F239">
        <v>4</v>
      </c>
      <c r="G239" t="s">
        <v>356</v>
      </c>
    </row>
    <row r="240" spans="1:7">
      <c r="A240" t="s">
        <v>826</v>
      </c>
      <c r="B240" t="s">
        <v>827</v>
      </c>
      <c r="C240">
        <v>10</v>
      </c>
      <c r="D240" s="260">
        <v>46199</v>
      </c>
      <c r="E240" s="260">
        <v>46212</v>
      </c>
      <c r="F240">
        <v>-26</v>
      </c>
      <c r="G240" t="s">
        <v>356</v>
      </c>
    </row>
    <row r="241" spans="1:7">
      <c r="A241" t="s">
        <v>828</v>
      </c>
      <c r="B241" t="s">
        <v>829</v>
      </c>
      <c r="C241">
        <v>5</v>
      </c>
      <c r="D241" s="260">
        <v>46301</v>
      </c>
      <c r="E241" s="260">
        <v>46307</v>
      </c>
      <c r="F241">
        <v>-26</v>
      </c>
      <c r="G241" t="s">
        <v>356</v>
      </c>
    </row>
    <row r="242" spans="1:7">
      <c r="A242" t="s">
        <v>830</v>
      </c>
      <c r="B242" t="s">
        <v>831</v>
      </c>
      <c r="C242">
        <v>10</v>
      </c>
      <c r="D242" s="260">
        <v>46211</v>
      </c>
      <c r="E242" s="260">
        <v>46224</v>
      </c>
      <c r="F242">
        <v>-30</v>
      </c>
      <c r="G242" t="s">
        <v>356</v>
      </c>
    </row>
    <row r="243" spans="1:7">
      <c r="A243" t="s">
        <v>832</v>
      </c>
      <c r="B243" t="s">
        <v>833</v>
      </c>
      <c r="C243">
        <v>5</v>
      </c>
      <c r="D243" s="260">
        <v>46307</v>
      </c>
      <c r="E243" s="260">
        <v>46314</v>
      </c>
      <c r="F243">
        <v>-30</v>
      </c>
      <c r="G243" t="s">
        <v>356</v>
      </c>
    </row>
    <row r="244" spans="1:7">
      <c r="A244" t="s">
        <v>834</v>
      </c>
      <c r="B244" t="s">
        <v>835</v>
      </c>
      <c r="C244">
        <v>10</v>
      </c>
      <c r="D244" s="260">
        <v>46192</v>
      </c>
      <c r="E244" s="260">
        <v>46205</v>
      </c>
      <c r="F244">
        <v>-21</v>
      </c>
      <c r="G244" t="s">
        <v>356</v>
      </c>
    </row>
    <row r="245" spans="1:7">
      <c r="A245" t="s">
        <v>836</v>
      </c>
      <c r="B245" t="s">
        <v>837</v>
      </c>
      <c r="C245">
        <v>5</v>
      </c>
      <c r="D245" s="260">
        <v>46294</v>
      </c>
      <c r="E245" s="260">
        <v>46300</v>
      </c>
      <c r="F245">
        <v>-21</v>
      </c>
      <c r="G245" t="s">
        <v>356</v>
      </c>
    </row>
    <row r="246" spans="1:7">
      <c r="A246" t="s">
        <v>838</v>
      </c>
      <c r="B246" t="s">
        <v>839</v>
      </c>
      <c r="C246">
        <v>10</v>
      </c>
      <c r="D246" s="260">
        <v>46225</v>
      </c>
      <c r="E246" s="260">
        <v>46241</v>
      </c>
      <c r="F246">
        <v>-47</v>
      </c>
      <c r="G246" t="s">
        <v>356</v>
      </c>
    </row>
    <row r="247" spans="1:7">
      <c r="A247" t="s">
        <v>840</v>
      </c>
      <c r="B247" t="s">
        <v>841</v>
      </c>
      <c r="C247">
        <v>5</v>
      </c>
      <c r="D247" s="260">
        <v>46332</v>
      </c>
      <c r="E247" s="260">
        <v>46338</v>
      </c>
      <c r="F247">
        <v>-47</v>
      </c>
      <c r="G247" t="s">
        <v>356</v>
      </c>
    </row>
    <row r="248" spans="1:7">
      <c r="A248" t="s">
        <v>842</v>
      </c>
      <c r="B248" t="s">
        <v>843</v>
      </c>
      <c r="C248">
        <v>10</v>
      </c>
      <c r="D248" s="260">
        <v>46147</v>
      </c>
      <c r="E248" s="260">
        <v>46160</v>
      </c>
      <c r="F248">
        <v>92</v>
      </c>
      <c r="G248" t="s">
        <v>356</v>
      </c>
    </row>
    <row r="249" spans="1:7">
      <c r="A249" t="s">
        <v>844</v>
      </c>
      <c r="B249" t="s">
        <v>845</v>
      </c>
      <c r="C249">
        <v>5</v>
      </c>
      <c r="D249" s="260">
        <v>46247</v>
      </c>
      <c r="E249" s="260">
        <v>46253</v>
      </c>
      <c r="F249">
        <v>92</v>
      </c>
      <c r="G249" t="s">
        <v>356</v>
      </c>
    </row>
    <row r="250" spans="1:7">
      <c r="A250" t="s">
        <v>846</v>
      </c>
      <c r="B250" t="s">
        <v>847</v>
      </c>
      <c r="C250">
        <v>10</v>
      </c>
      <c r="D250" s="260">
        <v>46219</v>
      </c>
      <c r="E250" s="260">
        <v>46237</v>
      </c>
      <c r="F250">
        <v>41</v>
      </c>
      <c r="G250" t="s">
        <v>356</v>
      </c>
    </row>
    <row r="251" spans="1:7">
      <c r="A251" t="s">
        <v>848</v>
      </c>
      <c r="B251" t="s">
        <v>849</v>
      </c>
      <c r="C251">
        <v>5</v>
      </c>
      <c r="D251" s="260">
        <v>46322</v>
      </c>
      <c r="E251" s="260">
        <v>46328</v>
      </c>
      <c r="F251">
        <v>41</v>
      </c>
      <c r="G251" t="s">
        <v>356</v>
      </c>
    </row>
    <row r="252" spans="1:7">
      <c r="A252" t="s">
        <v>850</v>
      </c>
      <c r="B252" t="s">
        <v>851</v>
      </c>
      <c r="C252">
        <v>5</v>
      </c>
      <c r="D252" s="260">
        <v>46149</v>
      </c>
      <c r="E252" s="260">
        <v>46155</v>
      </c>
      <c r="F252">
        <v>-34</v>
      </c>
      <c r="G252" t="s">
        <v>356</v>
      </c>
    </row>
    <row r="253" spans="1:7">
      <c r="A253" t="s">
        <v>852</v>
      </c>
      <c r="B253" t="s">
        <v>853</v>
      </c>
      <c r="C253">
        <v>5</v>
      </c>
      <c r="D253" s="260">
        <v>46241</v>
      </c>
      <c r="E253" s="260">
        <v>46248</v>
      </c>
      <c r="F253">
        <v>-34</v>
      </c>
      <c r="G253" t="s">
        <v>356</v>
      </c>
    </row>
    <row r="254" spans="1:7">
      <c r="A254" t="s">
        <v>854</v>
      </c>
      <c r="B254" t="s">
        <v>855</v>
      </c>
      <c r="C254">
        <v>10</v>
      </c>
      <c r="D254" s="260">
        <v>46169</v>
      </c>
      <c r="E254" s="260">
        <v>46184</v>
      </c>
      <c r="F254">
        <v>0</v>
      </c>
      <c r="G254" t="s">
        <v>356</v>
      </c>
    </row>
    <row r="255" spans="1:7">
      <c r="A255" t="s">
        <v>856</v>
      </c>
      <c r="B255" t="s">
        <v>857</v>
      </c>
      <c r="C255">
        <v>5</v>
      </c>
      <c r="D255" s="260">
        <v>46274</v>
      </c>
      <c r="E255" s="260">
        <v>46280</v>
      </c>
      <c r="F255">
        <v>0</v>
      </c>
      <c r="G255" t="s">
        <v>356</v>
      </c>
    </row>
    <row r="256" spans="1:7">
      <c r="A256" t="s">
        <v>858</v>
      </c>
      <c r="B256" t="s">
        <v>859</v>
      </c>
      <c r="C256">
        <v>10</v>
      </c>
      <c r="D256" s="260">
        <v>46136</v>
      </c>
      <c r="E256" s="260">
        <v>46150</v>
      </c>
      <c r="F256">
        <v>0</v>
      </c>
      <c r="G256" t="s">
        <v>356</v>
      </c>
    </row>
    <row r="257" spans="1:7">
      <c r="A257" t="s">
        <v>860</v>
      </c>
      <c r="B257" t="s">
        <v>861</v>
      </c>
      <c r="C257">
        <v>5</v>
      </c>
      <c r="D257" s="260">
        <v>46234</v>
      </c>
      <c r="E257" s="260">
        <v>46240</v>
      </c>
      <c r="F257">
        <v>0</v>
      </c>
      <c r="G257" t="s">
        <v>356</v>
      </c>
    </row>
    <row r="258" spans="1:7">
      <c r="A258" t="s">
        <v>862</v>
      </c>
      <c r="B258" t="s">
        <v>863</v>
      </c>
      <c r="C258">
        <v>10</v>
      </c>
      <c r="D258" s="260">
        <v>46272</v>
      </c>
      <c r="E258" s="260">
        <v>46283</v>
      </c>
      <c r="F258">
        <v>4</v>
      </c>
      <c r="G258" t="s">
        <v>356</v>
      </c>
    </row>
    <row r="259" spans="1:7">
      <c r="A259" t="s">
        <v>864</v>
      </c>
      <c r="B259" t="s">
        <v>865</v>
      </c>
      <c r="C259">
        <v>5</v>
      </c>
      <c r="D259" s="260">
        <v>46377</v>
      </c>
      <c r="E259" s="260">
        <v>46384</v>
      </c>
      <c r="F259">
        <v>4</v>
      </c>
      <c r="G259" t="s">
        <v>356</v>
      </c>
    </row>
    <row r="260" spans="1:7">
      <c r="A260" t="s">
        <v>866</v>
      </c>
      <c r="B260" t="s">
        <v>867</v>
      </c>
      <c r="C260">
        <v>10</v>
      </c>
      <c r="D260" s="260">
        <v>46150</v>
      </c>
      <c r="E260" s="260">
        <v>46163</v>
      </c>
      <c r="F260">
        <v>-33</v>
      </c>
      <c r="G260" t="s">
        <v>356</v>
      </c>
    </row>
    <row r="261" spans="1:7">
      <c r="A261" t="s">
        <v>868</v>
      </c>
      <c r="B261" t="s">
        <v>869</v>
      </c>
      <c r="C261">
        <v>5</v>
      </c>
      <c r="D261" s="260">
        <v>46258</v>
      </c>
      <c r="E261" s="260">
        <v>46262</v>
      </c>
      <c r="F261">
        <v>-33</v>
      </c>
      <c r="G261" t="s">
        <v>356</v>
      </c>
    </row>
    <row r="262" spans="1:7">
      <c r="A262" t="s">
        <v>870</v>
      </c>
      <c r="B262" t="s">
        <v>871</v>
      </c>
      <c r="C262">
        <v>10</v>
      </c>
      <c r="D262" s="260">
        <v>46150</v>
      </c>
      <c r="E262" s="260">
        <v>46163</v>
      </c>
      <c r="F262">
        <v>0</v>
      </c>
      <c r="G262" t="s">
        <v>356</v>
      </c>
    </row>
    <row r="263" spans="1:7">
      <c r="A263" t="s">
        <v>872</v>
      </c>
      <c r="B263" t="s">
        <v>873</v>
      </c>
      <c r="C263">
        <v>5</v>
      </c>
      <c r="D263" s="260">
        <v>46258</v>
      </c>
      <c r="E263" s="260">
        <v>46262</v>
      </c>
      <c r="F263">
        <v>0</v>
      </c>
      <c r="G263" t="s">
        <v>356</v>
      </c>
    </row>
    <row r="264" spans="1:7">
      <c r="A264" t="s">
        <v>874</v>
      </c>
      <c r="B264" t="s">
        <v>875</v>
      </c>
      <c r="C264">
        <v>10</v>
      </c>
      <c r="D264" s="260">
        <v>46150</v>
      </c>
      <c r="E264" s="260">
        <v>46163</v>
      </c>
      <c r="F264">
        <v>0</v>
      </c>
      <c r="G264" t="s">
        <v>356</v>
      </c>
    </row>
    <row r="265" spans="1:7">
      <c r="A265" t="s">
        <v>876</v>
      </c>
      <c r="B265" t="s">
        <v>877</v>
      </c>
      <c r="C265">
        <v>5</v>
      </c>
      <c r="D265" s="260">
        <v>46258</v>
      </c>
      <c r="E265" s="260">
        <v>46262</v>
      </c>
      <c r="F265">
        <v>0</v>
      </c>
      <c r="G265" t="s">
        <v>356</v>
      </c>
    </row>
    <row r="266" spans="1:7">
      <c r="A266" t="s">
        <v>878</v>
      </c>
      <c r="B266" t="s">
        <v>879</v>
      </c>
      <c r="C266">
        <v>10</v>
      </c>
      <c r="D266" s="260">
        <v>46178</v>
      </c>
      <c r="E266" s="260">
        <v>46191</v>
      </c>
      <c r="F266">
        <v>72</v>
      </c>
      <c r="G266" t="s">
        <v>356</v>
      </c>
    </row>
    <row r="267" spans="1:7">
      <c r="A267" t="s">
        <v>880</v>
      </c>
      <c r="B267" t="s">
        <v>881</v>
      </c>
      <c r="C267">
        <v>5</v>
      </c>
      <c r="D267" s="260">
        <v>46275</v>
      </c>
      <c r="E267" s="260">
        <v>46281</v>
      </c>
      <c r="F267">
        <v>72</v>
      </c>
      <c r="G267" t="s">
        <v>356</v>
      </c>
    </row>
    <row r="268" spans="1:7">
      <c r="A268" t="s">
        <v>882</v>
      </c>
      <c r="C268">
        <v>129</v>
      </c>
      <c r="D268" s="260">
        <v>46168</v>
      </c>
      <c r="E268" s="260">
        <v>46358</v>
      </c>
      <c r="F268">
        <v>4</v>
      </c>
      <c r="G268" t="s">
        <v>356</v>
      </c>
    </row>
    <row r="269" spans="1:7">
      <c r="A269" t="s">
        <v>883</v>
      </c>
      <c r="B269" t="s">
        <v>884</v>
      </c>
      <c r="C269">
        <v>20</v>
      </c>
      <c r="D269" s="260">
        <v>46237</v>
      </c>
      <c r="E269" s="260">
        <v>46265</v>
      </c>
      <c r="F269">
        <v>-26</v>
      </c>
      <c r="G269" t="s">
        <v>356</v>
      </c>
    </row>
    <row r="270" spans="1:7">
      <c r="A270" t="s">
        <v>885</v>
      </c>
      <c r="B270" t="s">
        <v>886</v>
      </c>
      <c r="C270">
        <v>5</v>
      </c>
      <c r="D270" s="260">
        <v>46280</v>
      </c>
      <c r="E270" s="260">
        <v>46286</v>
      </c>
      <c r="F270">
        <v>-26</v>
      </c>
      <c r="G270" t="s">
        <v>356</v>
      </c>
    </row>
    <row r="271" spans="1:7">
      <c r="A271" t="s">
        <v>887</v>
      </c>
      <c r="B271" t="s">
        <v>888</v>
      </c>
      <c r="C271">
        <v>20</v>
      </c>
      <c r="D271" s="260">
        <v>46241</v>
      </c>
      <c r="E271" s="260">
        <v>46269</v>
      </c>
      <c r="F271">
        <v>-30</v>
      </c>
      <c r="G271" t="s">
        <v>356</v>
      </c>
    </row>
    <row r="272" spans="1:7">
      <c r="A272" t="s">
        <v>889</v>
      </c>
      <c r="B272" t="s">
        <v>890</v>
      </c>
      <c r="C272">
        <v>5</v>
      </c>
      <c r="D272" s="260">
        <v>46286</v>
      </c>
      <c r="E272" s="260">
        <v>46290</v>
      </c>
      <c r="F272">
        <v>-30</v>
      </c>
      <c r="G272" t="s">
        <v>356</v>
      </c>
    </row>
    <row r="273" spans="1:7">
      <c r="A273" t="s">
        <v>891</v>
      </c>
      <c r="B273" t="s">
        <v>892</v>
      </c>
      <c r="C273">
        <v>17</v>
      </c>
      <c r="D273" s="260">
        <v>46230</v>
      </c>
      <c r="E273" s="260">
        <v>46258</v>
      </c>
      <c r="F273">
        <v>-21</v>
      </c>
      <c r="G273" t="s">
        <v>356</v>
      </c>
    </row>
    <row r="274" spans="1:7">
      <c r="A274" t="s">
        <v>893</v>
      </c>
      <c r="B274" t="s">
        <v>894</v>
      </c>
      <c r="C274">
        <v>5</v>
      </c>
      <c r="D274" s="260">
        <v>46273</v>
      </c>
      <c r="E274" s="260">
        <v>46279</v>
      </c>
      <c r="F274">
        <v>-21</v>
      </c>
      <c r="G274" t="s">
        <v>356</v>
      </c>
    </row>
    <row r="275" spans="1:7">
      <c r="A275" t="s">
        <v>895</v>
      </c>
      <c r="B275" t="s">
        <v>896</v>
      </c>
      <c r="C275">
        <v>20</v>
      </c>
      <c r="D275" s="260">
        <v>46267</v>
      </c>
      <c r="E275" s="260">
        <v>46294</v>
      </c>
      <c r="F275">
        <v>-47</v>
      </c>
      <c r="G275" t="s">
        <v>356</v>
      </c>
    </row>
    <row r="276" spans="1:7">
      <c r="A276" t="s">
        <v>897</v>
      </c>
      <c r="B276" t="s">
        <v>898</v>
      </c>
      <c r="C276">
        <v>5</v>
      </c>
      <c r="D276" s="260">
        <v>46310</v>
      </c>
      <c r="E276" s="260">
        <v>46316</v>
      </c>
      <c r="F276">
        <v>-47</v>
      </c>
      <c r="G276" t="s">
        <v>356</v>
      </c>
    </row>
    <row r="277" spans="1:7">
      <c r="A277" t="s">
        <v>899</v>
      </c>
      <c r="B277" t="s">
        <v>900</v>
      </c>
      <c r="C277">
        <v>20</v>
      </c>
      <c r="D277" s="260">
        <v>46178</v>
      </c>
      <c r="E277" s="260">
        <v>46205</v>
      </c>
      <c r="F277">
        <v>92</v>
      </c>
      <c r="G277" t="s">
        <v>356</v>
      </c>
    </row>
    <row r="278" spans="1:7">
      <c r="A278" t="s">
        <v>901</v>
      </c>
      <c r="B278" t="s">
        <v>902</v>
      </c>
      <c r="C278">
        <v>5</v>
      </c>
      <c r="D278" s="260">
        <v>46220</v>
      </c>
      <c r="E278" s="260">
        <v>46226</v>
      </c>
      <c r="F278">
        <v>92</v>
      </c>
      <c r="G278" t="s">
        <v>356</v>
      </c>
    </row>
    <row r="279" spans="1:7">
      <c r="A279" t="s">
        <v>903</v>
      </c>
      <c r="B279" t="s">
        <v>904</v>
      </c>
      <c r="C279">
        <v>20</v>
      </c>
      <c r="D279" s="260">
        <v>46255</v>
      </c>
      <c r="E279" s="260">
        <v>46282</v>
      </c>
      <c r="F279">
        <v>41</v>
      </c>
      <c r="G279" t="s">
        <v>356</v>
      </c>
    </row>
    <row r="280" spans="1:7">
      <c r="A280" t="s">
        <v>905</v>
      </c>
      <c r="B280" t="s">
        <v>906</v>
      </c>
      <c r="C280">
        <v>5</v>
      </c>
      <c r="D280" s="260">
        <v>46297</v>
      </c>
      <c r="E280" s="260">
        <v>46303</v>
      </c>
      <c r="F280">
        <v>41</v>
      </c>
      <c r="G280" t="s">
        <v>356</v>
      </c>
    </row>
    <row r="281" spans="1:7">
      <c r="A281" t="s">
        <v>907</v>
      </c>
      <c r="B281" t="s">
        <v>908</v>
      </c>
      <c r="C281">
        <v>20</v>
      </c>
      <c r="D281" s="260">
        <v>46171</v>
      </c>
      <c r="E281" s="260">
        <v>46202</v>
      </c>
      <c r="F281">
        <v>-34</v>
      </c>
      <c r="G281" t="s">
        <v>356</v>
      </c>
    </row>
    <row r="282" spans="1:7">
      <c r="A282" t="s">
        <v>909</v>
      </c>
      <c r="B282" t="s">
        <v>910</v>
      </c>
      <c r="C282">
        <v>5</v>
      </c>
      <c r="D282" s="260">
        <v>46217</v>
      </c>
      <c r="E282" s="260">
        <v>46223</v>
      </c>
      <c r="F282">
        <v>-34</v>
      </c>
      <c r="G282" t="s">
        <v>356</v>
      </c>
    </row>
    <row r="283" spans="1:7">
      <c r="A283" t="s">
        <v>911</v>
      </c>
      <c r="B283" t="s">
        <v>912</v>
      </c>
      <c r="C283">
        <v>17</v>
      </c>
      <c r="D283" s="260">
        <v>46210</v>
      </c>
      <c r="E283" s="260">
        <v>46237</v>
      </c>
      <c r="F283">
        <v>0</v>
      </c>
      <c r="G283" t="s">
        <v>356</v>
      </c>
    </row>
    <row r="284" spans="1:7">
      <c r="A284" t="s">
        <v>913</v>
      </c>
      <c r="B284" t="s">
        <v>914</v>
      </c>
      <c r="C284">
        <v>5</v>
      </c>
      <c r="D284" s="260">
        <v>46253</v>
      </c>
      <c r="E284" s="260">
        <v>46259</v>
      </c>
      <c r="F284">
        <v>0</v>
      </c>
      <c r="G284" t="s">
        <v>356</v>
      </c>
    </row>
    <row r="285" spans="1:7">
      <c r="A285" t="s">
        <v>915</v>
      </c>
      <c r="B285" t="s">
        <v>916</v>
      </c>
      <c r="C285">
        <v>18</v>
      </c>
      <c r="D285" s="260">
        <v>46168</v>
      </c>
      <c r="E285" s="260">
        <v>46195</v>
      </c>
      <c r="F285">
        <v>0</v>
      </c>
      <c r="G285" t="s">
        <v>356</v>
      </c>
    </row>
    <row r="286" spans="1:7">
      <c r="A286" t="s">
        <v>917</v>
      </c>
      <c r="B286" t="s">
        <v>918</v>
      </c>
      <c r="C286">
        <v>5</v>
      </c>
      <c r="D286" s="260">
        <v>46210</v>
      </c>
      <c r="E286" s="260">
        <v>46216</v>
      </c>
      <c r="F286">
        <v>0</v>
      </c>
      <c r="G286" t="s">
        <v>356</v>
      </c>
    </row>
    <row r="287" spans="1:7">
      <c r="A287" t="s">
        <v>919</v>
      </c>
      <c r="B287" t="s">
        <v>920</v>
      </c>
      <c r="C287">
        <v>14</v>
      </c>
      <c r="D287" s="260">
        <v>46317</v>
      </c>
      <c r="E287" s="260">
        <v>46337</v>
      </c>
      <c r="F287">
        <v>4</v>
      </c>
      <c r="G287" t="s">
        <v>356</v>
      </c>
    </row>
    <row r="288" spans="1:7">
      <c r="A288" t="s">
        <v>921</v>
      </c>
      <c r="B288" t="s">
        <v>922</v>
      </c>
      <c r="C288">
        <v>5</v>
      </c>
      <c r="D288" s="260">
        <v>46352</v>
      </c>
      <c r="E288" s="260">
        <v>46358</v>
      </c>
      <c r="F288">
        <v>4</v>
      </c>
      <c r="G288" t="s">
        <v>356</v>
      </c>
    </row>
    <row r="289" spans="1:7">
      <c r="A289" t="s">
        <v>923</v>
      </c>
      <c r="B289" t="s">
        <v>924</v>
      </c>
      <c r="C289">
        <v>20</v>
      </c>
      <c r="D289" s="260">
        <v>46189</v>
      </c>
      <c r="E289" s="260">
        <v>46216</v>
      </c>
      <c r="F289">
        <v>-33</v>
      </c>
      <c r="G289" t="s">
        <v>356</v>
      </c>
    </row>
    <row r="290" spans="1:7">
      <c r="A290" t="s">
        <v>925</v>
      </c>
      <c r="B290" t="s">
        <v>926</v>
      </c>
      <c r="C290">
        <v>5</v>
      </c>
      <c r="D290" s="260">
        <v>46234</v>
      </c>
      <c r="E290" s="260">
        <v>46240</v>
      </c>
      <c r="F290">
        <v>-33</v>
      </c>
      <c r="G290" t="s">
        <v>356</v>
      </c>
    </row>
    <row r="291" spans="1:7">
      <c r="A291" t="s">
        <v>927</v>
      </c>
      <c r="B291" t="s">
        <v>928</v>
      </c>
      <c r="C291">
        <v>20</v>
      </c>
      <c r="D291" s="260">
        <v>46189</v>
      </c>
      <c r="E291" s="260">
        <v>46216</v>
      </c>
      <c r="F291">
        <v>0</v>
      </c>
      <c r="G291" t="s">
        <v>356</v>
      </c>
    </row>
    <row r="292" spans="1:7">
      <c r="A292" t="s">
        <v>929</v>
      </c>
      <c r="B292" t="s">
        <v>930</v>
      </c>
      <c r="C292">
        <v>5</v>
      </c>
      <c r="D292" s="260">
        <v>46234</v>
      </c>
      <c r="E292" s="260">
        <v>46240</v>
      </c>
      <c r="F292">
        <v>0</v>
      </c>
      <c r="G292" t="s">
        <v>356</v>
      </c>
    </row>
    <row r="293" spans="1:7">
      <c r="A293" t="s">
        <v>931</v>
      </c>
      <c r="B293" t="s">
        <v>932</v>
      </c>
      <c r="C293">
        <v>20</v>
      </c>
      <c r="D293" s="260">
        <v>46189</v>
      </c>
      <c r="E293" s="260">
        <v>46216</v>
      </c>
      <c r="F293">
        <v>0</v>
      </c>
      <c r="G293" t="s">
        <v>356</v>
      </c>
    </row>
    <row r="294" spans="1:7">
      <c r="A294" t="s">
        <v>933</v>
      </c>
      <c r="B294" t="s">
        <v>934</v>
      </c>
      <c r="C294">
        <v>5</v>
      </c>
      <c r="D294" s="260">
        <v>46234</v>
      </c>
      <c r="E294" s="260">
        <v>46240</v>
      </c>
      <c r="F294">
        <v>0</v>
      </c>
      <c r="G294" t="s">
        <v>356</v>
      </c>
    </row>
    <row r="295" spans="1:7">
      <c r="A295" t="s">
        <v>935</v>
      </c>
      <c r="B295" t="s">
        <v>936</v>
      </c>
      <c r="C295">
        <v>17</v>
      </c>
      <c r="D295" s="260">
        <v>46211</v>
      </c>
      <c r="E295" s="260">
        <v>46238</v>
      </c>
      <c r="F295">
        <v>72</v>
      </c>
      <c r="G295" t="s">
        <v>356</v>
      </c>
    </row>
    <row r="296" spans="1:7">
      <c r="A296" t="s">
        <v>937</v>
      </c>
      <c r="B296" t="s">
        <v>938</v>
      </c>
      <c r="C296">
        <v>5</v>
      </c>
      <c r="D296" s="260">
        <v>46254</v>
      </c>
      <c r="E296" s="260">
        <v>46260</v>
      </c>
      <c r="F296">
        <v>72</v>
      </c>
      <c r="G296" t="s">
        <v>356</v>
      </c>
    </row>
    <row r="297" spans="1:7">
      <c r="A297" t="s">
        <v>939</v>
      </c>
      <c r="C297">
        <v>166</v>
      </c>
      <c r="D297" s="260">
        <v>46121</v>
      </c>
      <c r="E297" s="260">
        <v>46372</v>
      </c>
      <c r="F297">
        <v>20</v>
      </c>
      <c r="G297" t="s">
        <v>356</v>
      </c>
    </row>
    <row r="298" spans="1:7">
      <c r="A298" t="s">
        <v>940</v>
      </c>
      <c r="B298" t="s">
        <v>941</v>
      </c>
      <c r="C298">
        <v>20</v>
      </c>
      <c r="D298" s="260">
        <v>46133</v>
      </c>
      <c r="E298" s="260">
        <v>46161</v>
      </c>
      <c r="F298">
        <v>52</v>
      </c>
      <c r="G298" t="s">
        <v>356</v>
      </c>
    </row>
    <row r="299" spans="1:7">
      <c r="A299" t="s">
        <v>942</v>
      </c>
      <c r="B299" t="s">
        <v>943</v>
      </c>
      <c r="C299">
        <v>5</v>
      </c>
      <c r="D299" s="260">
        <v>46178</v>
      </c>
      <c r="E299" s="260">
        <v>46184</v>
      </c>
      <c r="F299">
        <v>127</v>
      </c>
      <c r="G299" t="s">
        <v>356</v>
      </c>
    </row>
    <row r="300" spans="1:7">
      <c r="A300" t="s">
        <v>944</v>
      </c>
      <c r="B300" t="s">
        <v>945</v>
      </c>
      <c r="C300">
        <v>20</v>
      </c>
      <c r="D300" s="260">
        <v>46140</v>
      </c>
      <c r="E300" s="260">
        <v>46168</v>
      </c>
      <c r="F300">
        <v>112</v>
      </c>
      <c r="G300" t="s">
        <v>356</v>
      </c>
    </row>
    <row r="301" spans="1:7">
      <c r="A301" t="s">
        <v>946</v>
      </c>
      <c r="B301" t="s">
        <v>947</v>
      </c>
      <c r="C301">
        <v>5</v>
      </c>
      <c r="D301" s="260">
        <v>46185</v>
      </c>
      <c r="E301" s="260">
        <v>46191</v>
      </c>
      <c r="F301">
        <v>127</v>
      </c>
      <c r="G301" t="s">
        <v>356</v>
      </c>
    </row>
    <row r="302" spans="1:7">
      <c r="A302" t="s">
        <v>948</v>
      </c>
      <c r="B302" t="s">
        <v>949</v>
      </c>
      <c r="C302">
        <v>10</v>
      </c>
      <c r="D302" s="260">
        <v>46157</v>
      </c>
      <c r="E302" s="260">
        <v>46170</v>
      </c>
      <c r="F302">
        <v>130</v>
      </c>
      <c r="G302" t="s">
        <v>356</v>
      </c>
    </row>
    <row r="303" spans="1:7">
      <c r="A303" t="s">
        <v>950</v>
      </c>
      <c r="B303" t="s">
        <v>951</v>
      </c>
      <c r="C303">
        <v>5</v>
      </c>
      <c r="D303" s="260">
        <v>46189</v>
      </c>
      <c r="E303" s="260">
        <v>46195</v>
      </c>
      <c r="F303">
        <v>130</v>
      </c>
      <c r="G303" t="s">
        <v>356</v>
      </c>
    </row>
    <row r="304" spans="1:7">
      <c r="A304" t="s">
        <v>952</v>
      </c>
      <c r="B304" t="s">
        <v>953</v>
      </c>
      <c r="C304">
        <v>10</v>
      </c>
      <c r="D304" s="260">
        <v>46265</v>
      </c>
      <c r="E304" s="260">
        <v>46276</v>
      </c>
      <c r="F304">
        <v>60</v>
      </c>
      <c r="G304" t="s">
        <v>356</v>
      </c>
    </row>
    <row r="305" spans="1:7">
      <c r="A305" t="s">
        <v>954</v>
      </c>
      <c r="B305" t="s">
        <v>955</v>
      </c>
      <c r="C305">
        <v>5</v>
      </c>
      <c r="D305" s="260">
        <v>46293</v>
      </c>
      <c r="E305" s="260">
        <v>46297</v>
      </c>
      <c r="F305">
        <v>60</v>
      </c>
      <c r="G305" t="s">
        <v>356</v>
      </c>
    </row>
    <row r="306" spans="1:7">
      <c r="A306" t="s">
        <v>956</v>
      </c>
      <c r="B306" t="s">
        <v>957</v>
      </c>
      <c r="C306">
        <v>10</v>
      </c>
      <c r="D306" s="260">
        <v>46322</v>
      </c>
      <c r="E306" s="260">
        <v>46335</v>
      </c>
      <c r="F306">
        <v>21</v>
      </c>
      <c r="G306" t="s">
        <v>356</v>
      </c>
    </row>
    <row r="307" spans="1:7">
      <c r="A307" t="s">
        <v>958</v>
      </c>
      <c r="B307" t="s">
        <v>959</v>
      </c>
      <c r="C307">
        <v>5</v>
      </c>
      <c r="D307" s="260">
        <v>46350</v>
      </c>
      <c r="E307" s="260">
        <v>46356</v>
      </c>
      <c r="F307">
        <v>21</v>
      </c>
      <c r="G307" t="s">
        <v>356</v>
      </c>
    </row>
    <row r="308" spans="1:7">
      <c r="A308" t="s">
        <v>960</v>
      </c>
      <c r="B308" t="s">
        <v>961</v>
      </c>
      <c r="C308">
        <v>20</v>
      </c>
      <c r="D308" s="260">
        <v>46121</v>
      </c>
      <c r="E308" s="260">
        <v>46154</v>
      </c>
      <c r="F308">
        <v>0</v>
      </c>
      <c r="G308" t="s">
        <v>356</v>
      </c>
    </row>
    <row r="309" spans="1:7">
      <c r="A309" t="s">
        <v>962</v>
      </c>
      <c r="B309" t="s">
        <v>963</v>
      </c>
      <c r="C309">
        <v>60</v>
      </c>
      <c r="D309" s="260">
        <v>46155</v>
      </c>
      <c r="E309" s="260">
        <v>46245</v>
      </c>
      <c r="F309">
        <v>0</v>
      </c>
      <c r="G309" t="s">
        <v>356</v>
      </c>
    </row>
    <row r="310" spans="1:7">
      <c r="A310" t="s">
        <v>964</v>
      </c>
      <c r="B310" t="s">
        <v>965</v>
      </c>
      <c r="C310">
        <v>45</v>
      </c>
      <c r="D310" s="260">
        <v>46247</v>
      </c>
      <c r="E310" s="260">
        <v>46310</v>
      </c>
      <c r="F310">
        <v>11</v>
      </c>
      <c r="G310" t="s">
        <v>356</v>
      </c>
    </row>
    <row r="311" spans="1:7">
      <c r="A311" t="s">
        <v>966</v>
      </c>
      <c r="B311" t="s">
        <v>967</v>
      </c>
      <c r="C311">
        <v>5</v>
      </c>
      <c r="D311" s="260">
        <v>46155</v>
      </c>
      <c r="E311" s="260">
        <v>46161</v>
      </c>
      <c r="F311">
        <v>137</v>
      </c>
      <c r="G311" t="s">
        <v>356</v>
      </c>
    </row>
    <row r="312" spans="1:7">
      <c r="A312" t="s">
        <v>968</v>
      </c>
      <c r="B312" t="s">
        <v>969</v>
      </c>
      <c r="C312">
        <v>5</v>
      </c>
      <c r="D312" s="260">
        <v>46247</v>
      </c>
      <c r="E312" s="260">
        <v>46253</v>
      </c>
      <c r="F312">
        <v>92</v>
      </c>
      <c r="G312" t="s">
        <v>356</v>
      </c>
    </row>
    <row r="313" spans="1:7">
      <c r="A313" t="s">
        <v>970</v>
      </c>
      <c r="B313" t="s">
        <v>971</v>
      </c>
      <c r="C313">
        <v>5</v>
      </c>
      <c r="D313" s="260">
        <v>46155</v>
      </c>
      <c r="E313" s="260">
        <v>46161</v>
      </c>
      <c r="F313">
        <v>137</v>
      </c>
      <c r="G313" t="s">
        <v>356</v>
      </c>
    </row>
    <row r="314" spans="1:7">
      <c r="A314" t="s">
        <v>972</v>
      </c>
      <c r="B314" t="s">
        <v>973</v>
      </c>
      <c r="C314">
        <v>5</v>
      </c>
      <c r="D314" s="260">
        <v>46247</v>
      </c>
      <c r="E314" s="260">
        <v>46253</v>
      </c>
      <c r="F314">
        <v>92</v>
      </c>
      <c r="G314" t="s">
        <v>356</v>
      </c>
    </row>
    <row r="315" spans="1:7">
      <c r="A315" t="s">
        <v>974</v>
      </c>
      <c r="B315" t="s">
        <v>975</v>
      </c>
      <c r="C315">
        <v>5</v>
      </c>
      <c r="D315" s="260">
        <v>46162</v>
      </c>
      <c r="E315" s="260">
        <v>46168</v>
      </c>
      <c r="F315">
        <v>52</v>
      </c>
      <c r="G315" t="s">
        <v>356</v>
      </c>
    </row>
    <row r="316" spans="1:7">
      <c r="A316" t="s">
        <v>976</v>
      </c>
      <c r="B316" t="s">
        <v>977</v>
      </c>
      <c r="C316">
        <v>5</v>
      </c>
      <c r="D316" s="260">
        <v>46185</v>
      </c>
      <c r="E316" s="260">
        <v>46191</v>
      </c>
      <c r="F316">
        <v>127</v>
      </c>
      <c r="G316" t="s">
        <v>356</v>
      </c>
    </row>
    <row r="317" spans="1:7">
      <c r="A317" t="s">
        <v>978</v>
      </c>
      <c r="B317" t="s">
        <v>979</v>
      </c>
      <c r="C317">
        <v>20</v>
      </c>
      <c r="D317" s="260">
        <v>46162</v>
      </c>
      <c r="E317" s="260">
        <v>46191</v>
      </c>
      <c r="F317">
        <v>52</v>
      </c>
      <c r="G317" t="s">
        <v>356</v>
      </c>
    </row>
    <row r="318" spans="1:7">
      <c r="A318" t="s">
        <v>980</v>
      </c>
      <c r="B318" t="s">
        <v>981</v>
      </c>
      <c r="C318">
        <v>5</v>
      </c>
      <c r="D318" s="260">
        <v>46206</v>
      </c>
      <c r="E318" s="260">
        <v>46212</v>
      </c>
      <c r="F318">
        <v>117</v>
      </c>
      <c r="G318" t="s">
        <v>356</v>
      </c>
    </row>
    <row r="319" spans="1:7">
      <c r="A319" t="s">
        <v>982</v>
      </c>
      <c r="B319" t="s">
        <v>983</v>
      </c>
      <c r="C319">
        <v>20</v>
      </c>
      <c r="D319" s="260">
        <v>46162</v>
      </c>
      <c r="E319" s="260">
        <v>46191</v>
      </c>
      <c r="F319">
        <v>117</v>
      </c>
      <c r="G319" t="s">
        <v>356</v>
      </c>
    </row>
    <row r="320" spans="1:7">
      <c r="A320" t="s">
        <v>984</v>
      </c>
      <c r="B320" t="s">
        <v>985</v>
      </c>
      <c r="C320">
        <v>5</v>
      </c>
      <c r="D320" s="260">
        <v>46206</v>
      </c>
      <c r="E320" s="260">
        <v>46212</v>
      </c>
      <c r="F320">
        <v>117</v>
      </c>
      <c r="G320" t="s">
        <v>356</v>
      </c>
    </row>
    <row r="321" spans="1:7">
      <c r="A321" t="s">
        <v>986</v>
      </c>
      <c r="B321" t="s">
        <v>987</v>
      </c>
      <c r="C321">
        <v>15</v>
      </c>
      <c r="D321" s="260">
        <v>46140</v>
      </c>
      <c r="E321" s="260">
        <v>46161</v>
      </c>
      <c r="F321">
        <v>112</v>
      </c>
      <c r="G321" t="s">
        <v>356</v>
      </c>
    </row>
    <row r="322" spans="1:7">
      <c r="A322" t="s">
        <v>988</v>
      </c>
      <c r="B322" t="s">
        <v>989</v>
      </c>
      <c r="C322">
        <v>10</v>
      </c>
      <c r="D322" s="260">
        <v>46178</v>
      </c>
      <c r="E322" s="260">
        <v>46191</v>
      </c>
      <c r="F322">
        <v>112</v>
      </c>
      <c r="G322" t="s">
        <v>356</v>
      </c>
    </row>
    <row r="323" spans="1:7">
      <c r="A323" t="s">
        <v>990</v>
      </c>
      <c r="B323" t="s">
        <v>991</v>
      </c>
      <c r="C323">
        <v>10</v>
      </c>
      <c r="D323" s="260">
        <v>46206</v>
      </c>
      <c r="E323" s="260">
        <v>46219</v>
      </c>
      <c r="F323">
        <v>112</v>
      </c>
      <c r="G323" t="s">
        <v>356</v>
      </c>
    </row>
    <row r="324" spans="1:7">
      <c r="A324" t="s">
        <v>992</v>
      </c>
      <c r="B324" t="s">
        <v>993</v>
      </c>
      <c r="C324">
        <v>15</v>
      </c>
      <c r="D324" s="260">
        <v>46169</v>
      </c>
      <c r="E324" s="260">
        <v>46191</v>
      </c>
      <c r="F324">
        <v>52</v>
      </c>
      <c r="G324" t="s">
        <v>356</v>
      </c>
    </row>
    <row r="325" spans="1:7">
      <c r="A325" t="s">
        <v>994</v>
      </c>
      <c r="B325" t="s">
        <v>995</v>
      </c>
      <c r="C325">
        <v>10</v>
      </c>
      <c r="D325" s="260">
        <v>46206</v>
      </c>
      <c r="E325" s="260">
        <v>46219</v>
      </c>
      <c r="F325">
        <v>92</v>
      </c>
      <c r="G325" t="s">
        <v>356</v>
      </c>
    </row>
    <row r="326" spans="1:7">
      <c r="A326" t="s">
        <v>996</v>
      </c>
      <c r="B326" t="s">
        <v>997</v>
      </c>
      <c r="C326">
        <v>10</v>
      </c>
      <c r="D326" s="260">
        <v>46239</v>
      </c>
      <c r="E326" s="260">
        <v>46253</v>
      </c>
      <c r="F326">
        <v>92</v>
      </c>
      <c r="G326" t="s">
        <v>356</v>
      </c>
    </row>
    <row r="327" spans="1:7">
      <c r="A327" t="s">
        <v>998</v>
      </c>
      <c r="B327" t="s">
        <v>999</v>
      </c>
      <c r="C327">
        <v>15</v>
      </c>
      <c r="D327" s="260">
        <v>46121</v>
      </c>
      <c r="E327" s="260">
        <v>46147</v>
      </c>
      <c r="F327">
        <v>47</v>
      </c>
      <c r="G327" t="s">
        <v>356</v>
      </c>
    </row>
    <row r="328" spans="1:7">
      <c r="A328" t="s">
        <v>1000</v>
      </c>
      <c r="B328" t="s">
        <v>1001</v>
      </c>
      <c r="C328">
        <v>15</v>
      </c>
      <c r="D328" s="260">
        <v>46192</v>
      </c>
      <c r="E328" s="260">
        <v>46212</v>
      </c>
      <c r="F328">
        <v>47</v>
      </c>
      <c r="G328" t="s">
        <v>356</v>
      </c>
    </row>
    <row r="329" spans="1:7">
      <c r="A329" t="s">
        <v>1002</v>
      </c>
      <c r="B329" t="s">
        <v>1003</v>
      </c>
      <c r="C329">
        <v>10</v>
      </c>
      <c r="D329" s="260">
        <v>46261</v>
      </c>
      <c r="E329" s="260">
        <v>46274</v>
      </c>
      <c r="F329">
        <v>47</v>
      </c>
      <c r="G329" t="s">
        <v>356</v>
      </c>
    </row>
    <row r="330" spans="1:7">
      <c r="A330" t="s">
        <v>1004</v>
      </c>
      <c r="B330" t="s">
        <v>1005</v>
      </c>
      <c r="C330">
        <v>15</v>
      </c>
      <c r="D330" s="260">
        <v>46121</v>
      </c>
      <c r="E330" s="260">
        <v>46147</v>
      </c>
      <c r="F330">
        <v>47</v>
      </c>
      <c r="G330" t="s">
        <v>356</v>
      </c>
    </row>
    <row r="331" spans="1:7">
      <c r="A331" t="s">
        <v>1006</v>
      </c>
      <c r="B331" t="s">
        <v>1007</v>
      </c>
      <c r="C331">
        <v>15</v>
      </c>
      <c r="D331" s="260">
        <v>46192</v>
      </c>
      <c r="E331" s="260">
        <v>46212</v>
      </c>
      <c r="F331">
        <v>47</v>
      </c>
      <c r="G331" t="s">
        <v>356</v>
      </c>
    </row>
    <row r="332" spans="1:7">
      <c r="A332" t="s">
        <v>1008</v>
      </c>
      <c r="B332" t="s">
        <v>1009</v>
      </c>
      <c r="C332">
        <v>10</v>
      </c>
      <c r="D332" s="260">
        <v>46261</v>
      </c>
      <c r="E332" s="260">
        <v>46274</v>
      </c>
      <c r="F332">
        <v>47</v>
      </c>
      <c r="G332" t="s">
        <v>356</v>
      </c>
    </row>
    <row r="333" spans="1:7">
      <c r="A333" t="s">
        <v>1010</v>
      </c>
      <c r="B333" t="s">
        <v>1011</v>
      </c>
      <c r="C333">
        <v>15</v>
      </c>
      <c r="D333" s="260">
        <v>46121</v>
      </c>
      <c r="E333" s="260">
        <v>46147</v>
      </c>
      <c r="F333">
        <v>65</v>
      </c>
      <c r="G333" t="s">
        <v>356</v>
      </c>
    </row>
    <row r="334" spans="1:7">
      <c r="A334" t="s">
        <v>1012</v>
      </c>
      <c r="B334" t="s">
        <v>1013</v>
      </c>
      <c r="C334">
        <v>15</v>
      </c>
      <c r="D334" s="260">
        <v>46192</v>
      </c>
      <c r="E334" s="260">
        <v>46212</v>
      </c>
      <c r="F334">
        <v>67</v>
      </c>
      <c r="G334" t="s">
        <v>356</v>
      </c>
    </row>
    <row r="335" spans="1:7">
      <c r="A335" t="s">
        <v>1014</v>
      </c>
      <c r="B335" t="s">
        <v>1015</v>
      </c>
      <c r="C335">
        <v>10</v>
      </c>
      <c r="D335" s="260">
        <v>46261</v>
      </c>
      <c r="E335" s="260">
        <v>46274</v>
      </c>
      <c r="F335">
        <v>47</v>
      </c>
      <c r="G335" t="s">
        <v>356</v>
      </c>
    </row>
    <row r="336" spans="1:7">
      <c r="A336" t="s">
        <v>1016</v>
      </c>
      <c r="B336" t="s">
        <v>1017</v>
      </c>
      <c r="C336">
        <v>15</v>
      </c>
      <c r="D336" s="260">
        <v>46121</v>
      </c>
      <c r="E336" s="260">
        <v>46147</v>
      </c>
      <c r="F336">
        <v>32</v>
      </c>
      <c r="G336" t="s">
        <v>356</v>
      </c>
    </row>
    <row r="337" spans="1:7">
      <c r="A337" t="s">
        <v>1018</v>
      </c>
      <c r="B337" t="s">
        <v>1019</v>
      </c>
      <c r="C337">
        <v>15</v>
      </c>
      <c r="D337" s="260">
        <v>46192</v>
      </c>
      <c r="E337" s="260">
        <v>46212</v>
      </c>
      <c r="F337">
        <v>42</v>
      </c>
      <c r="G337" t="s">
        <v>356</v>
      </c>
    </row>
    <row r="338" spans="1:7">
      <c r="A338" t="s">
        <v>1020</v>
      </c>
      <c r="B338" t="s">
        <v>1021</v>
      </c>
      <c r="C338">
        <v>10</v>
      </c>
      <c r="D338" s="260">
        <v>46261</v>
      </c>
      <c r="E338" s="260">
        <v>46274</v>
      </c>
      <c r="F338">
        <v>47</v>
      </c>
      <c r="G338" t="s">
        <v>356</v>
      </c>
    </row>
    <row r="339" spans="1:7">
      <c r="A339" t="s">
        <v>1022</v>
      </c>
      <c r="B339" t="s">
        <v>1023</v>
      </c>
      <c r="C339">
        <v>15</v>
      </c>
      <c r="D339" s="260">
        <v>46121</v>
      </c>
      <c r="E339" s="260">
        <v>46147</v>
      </c>
      <c r="F339">
        <v>32</v>
      </c>
      <c r="G339" t="s">
        <v>356</v>
      </c>
    </row>
    <row r="340" spans="1:7">
      <c r="A340" t="s">
        <v>1024</v>
      </c>
      <c r="B340" t="s">
        <v>1025</v>
      </c>
      <c r="C340">
        <v>15</v>
      </c>
      <c r="D340" s="260">
        <v>46192</v>
      </c>
      <c r="E340" s="260">
        <v>46212</v>
      </c>
      <c r="F340">
        <v>42</v>
      </c>
      <c r="G340" t="s">
        <v>356</v>
      </c>
    </row>
    <row r="341" spans="1:7">
      <c r="A341" t="s">
        <v>1026</v>
      </c>
      <c r="B341" t="s">
        <v>1027</v>
      </c>
      <c r="C341">
        <v>10</v>
      </c>
      <c r="D341" s="260">
        <v>46261</v>
      </c>
      <c r="E341" s="260">
        <v>46274</v>
      </c>
      <c r="F341">
        <v>47</v>
      </c>
      <c r="G341" t="s">
        <v>356</v>
      </c>
    </row>
    <row r="342" spans="1:7">
      <c r="A342" t="s">
        <v>1028</v>
      </c>
      <c r="B342" t="s">
        <v>1029</v>
      </c>
      <c r="C342">
        <v>15</v>
      </c>
      <c r="D342" s="260">
        <v>46121</v>
      </c>
      <c r="E342" s="260">
        <v>46147</v>
      </c>
      <c r="F342">
        <v>65</v>
      </c>
      <c r="G342" t="s">
        <v>356</v>
      </c>
    </row>
    <row r="343" spans="1:7">
      <c r="A343" t="s">
        <v>1030</v>
      </c>
      <c r="B343" t="s">
        <v>1031</v>
      </c>
      <c r="C343">
        <v>15</v>
      </c>
      <c r="D343" s="260">
        <v>46192</v>
      </c>
      <c r="E343" s="260">
        <v>46212</v>
      </c>
      <c r="F343">
        <v>87</v>
      </c>
      <c r="G343" t="s">
        <v>356</v>
      </c>
    </row>
    <row r="344" spans="1:7">
      <c r="A344" t="s">
        <v>1032</v>
      </c>
      <c r="B344" t="s">
        <v>1033</v>
      </c>
      <c r="C344">
        <v>10</v>
      </c>
      <c r="D344" s="260">
        <v>46261</v>
      </c>
      <c r="E344" s="260">
        <v>46274</v>
      </c>
      <c r="F344">
        <v>67</v>
      </c>
      <c r="G344" t="s">
        <v>356</v>
      </c>
    </row>
    <row r="345" spans="1:7">
      <c r="A345" t="s">
        <v>1034</v>
      </c>
      <c r="B345" t="s">
        <v>1035</v>
      </c>
      <c r="C345">
        <v>35</v>
      </c>
      <c r="D345" s="260">
        <v>46265</v>
      </c>
      <c r="E345" s="260">
        <v>46314</v>
      </c>
      <c r="F345">
        <v>25</v>
      </c>
      <c r="G345" t="s">
        <v>356</v>
      </c>
    </row>
    <row r="346" spans="1:7">
      <c r="A346" t="s">
        <v>1036</v>
      </c>
      <c r="B346" t="s">
        <v>1037</v>
      </c>
      <c r="C346">
        <v>15</v>
      </c>
      <c r="D346" s="260">
        <v>46330</v>
      </c>
      <c r="E346" s="260">
        <v>46350</v>
      </c>
      <c r="F346">
        <v>25</v>
      </c>
      <c r="G346" t="s">
        <v>356</v>
      </c>
    </row>
    <row r="347" spans="1:7">
      <c r="A347" t="s">
        <v>1038</v>
      </c>
      <c r="B347" t="s">
        <v>1039</v>
      </c>
      <c r="C347">
        <v>35</v>
      </c>
      <c r="D347" s="260">
        <v>46265</v>
      </c>
      <c r="E347" s="260">
        <v>46314</v>
      </c>
      <c r="F347">
        <v>25</v>
      </c>
      <c r="G347" t="s">
        <v>356</v>
      </c>
    </row>
    <row r="348" spans="1:7">
      <c r="A348" t="s">
        <v>1040</v>
      </c>
      <c r="B348" t="s">
        <v>1041</v>
      </c>
      <c r="C348">
        <v>15</v>
      </c>
      <c r="D348" s="260">
        <v>46330</v>
      </c>
      <c r="E348" s="260">
        <v>46350</v>
      </c>
      <c r="F348">
        <v>25</v>
      </c>
      <c r="G348" t="s">
        <v>356</v>
      </c>
    </row>
    <row r="349" spans="1:7">
      <c r="A349" t="s">
        <v>1042</v>
      </c>
      <c r="B349" t="s">
        <v>1043</v>
      </c>
      <c r="C349">
        <v>15</v>
      </c>
      <c r="D349" s="260">
        <v>46148</v>
      </c>
      <c r="E349" s="260">
        <v>46168</v>
      </c>
      <c r="F349">
        <v>117</v>
      </c>
      <c r="G349" t="s">
        <v>356</v>
      </c>
    </row>
    <row r="350" spans="1:7">
      <c r="A350" t="s">
        <v>1044</v>
      </c>
      <c r="B350" t="s">
        <v>1045</v>
      </c>
      <c r="C350">
        <v>10</v>
      </c>
      <c r="D350" s="260">
        <v>46199</v>
      </c>
      <c r="E350" s="260">
        <v>46212</v>
      </c>
      <c r="F350">
        <v>117</v>
      </c>
      <c r="G350" t="s">
        <v>356</v>
      </c>
    </row>
    <row r="351" spans="1:7">
      <c r="A351" t="s">
        <v>1046</v>
      </c>
      <c r="B351" t="s">
        <v>1047</v>
      </c>
      <c r="C351">
        <v>15</v>
      </c>
      <c r="D351" s="260">
        <v>46322</v>
      </c>
      <c r="E351" s="260">
        <v>46342</v>
      </c>
      <c r="F351">
        <v>11</v>
      </c>
      <c r="G351" t="s">
        <v>356</v>
      </c>
    </row>
    <row r="352" spans="1:7">
      <c r="A352" t="s">
        <v>1048</v>
      </c>
      <c r="B352" t="s">
        <v>1049</v>
      </c>
      <c r="C352">
        <v>10</v>
      </c>
      <c r="D352" s="260">
        <v>46357</v>
      </c>
      <c r="E352" s="260">
        <v>46372</v>
      </c>
      <c r="F352">
        <v>11</v>
      </c>
      <c r="G352" t="s">
        <v>356</v>
      </c>
    </row>
    <row r="353" spans="1:7">
      <c r="A353" t="s">
        <v>1050</v>
      </c>
      <c r="B353" t="s">
        <v>1051</v>
      </c>
      <c r="C353">
        <v>20</v>
      </c>
      <c r="D353" s="260">
        <v>46258</v>
      </c>
      <c r="E353" s="260">
        <v>46283</v>
      </c>
      <c r="F353">
        <v>50</v>
      </c>
      <c r="G353" t="s">
        <v>356</v>
      </c>
    </row>
    <row r="354" spans="1:7">
      <c r="A354" t="s">
        <v>1052</v>
      </c>
      <c r="B354" t="s">
        <v>1053</v>
      </c>
      <c r="C354">
        <v>10</v>
      </c>
      <c r="D354" s="260">
        <v>46300</v>
      </c>
      <c r="E354" s="260">
        <v>46314</v>
      </c>
      <c r="F354">
        <v>50</v>
      </c>
      <c r="G354" t="s">
        <v>356</v>
      </c>
    </row>
    <row r="355" spans="1:7">
      <c r="A355" t="s">
        <v>1054</v>
      </c>
      <c r="B355" t="s">
        <v>1055</v>
      </c>
      <c r="C355">
        <v>20</v>
      </c>
      <c r="D355" s="260">
        <v>46258</v>
      </c>
      <c r="E355" s="260">
        <v>46283</v>
      </c>
      <c r="F355">
        <v>50</v>
      </c>
      <c r="G355" t="s">
        <v>356</v>
      </c>
    </row>
    <row r="356" spans="1:7">
      <c r="A356" t="s">
        <v>1056</v>
      </c>
      <c r="B356" t="s">
        <v>1057</v>
      </c>
      <c r="C356">
        <v>10</v>
      </c>
      <c r="D356" s="260">
        <v>46300</v>
      </c>
      <c r="E356" s="260">
        <v>46314</v>
      </c>
      <c r="F356">
        <v>50</v>
      </c>
      <c r="G356" t="s">
        <v>356</v>
      </c>
    </row>
    <row r="357" spans="1:7">
      <c r="A357" t="s">
        <v>1058</v>
      </c>
      <c r="B357" t="s">
        <v>1059</v>
      </c>
      <c r="C357">
        <v>20</v>
      </c>
      <c r="D357" s="260">
        <v>46258</v>
      </c>
      <c r="E357" s="260">
        <v>46283</v>
      </c>
      <c r="F357">
        <v>50</v>
      </c>
      <c r="G357" t="s">
        <v>356</v>
      </c>
    </row>
    <row r="358" spans="1:7">
      <c r="A358" t="s">
        <v>1060</v>
      </c>
      <c r="B358" t="s">
        <v>1061</v>
      </c>
      <c r="C358">
        <v>10</v>
      </c>
      <c r="D358" s="260">
        <v>46300</v>
      </c>
      <c r="E358" s="260">
        <v>46314</v>
      </c>
      <c r="F358">
        <v>50</v>
      </c>
      <c r="G358" t="s">
        <v>356</v>
      </c>
    </row>
    <row r="359" spans="1:7">
      <c r="A359" t="s">
        <v>1062</v>
      </c>
      <c r="B359" t="s">
        <v>1063</v>
      </c>
      <c r="C359">
        <v>20</v>
      </c>
      <c r="D359" s="260">
        <v>46258</v>
      </c>
      <c r="E359" s="260">
        <v>46283</v>
      </c>
      <c r="F359">
        <v>50</v>
      </c>
      <c r="G359" t="s">
        <v>356</v>
      </c>
    </row>
    <row r="360" spans="1:7">
      <c r="A360" t="s">
        <v>1064</v>
      </c>
      <c r="B360" t="s">
        <v>1065</v>
      </c>
      <c r="C360">
        <v>10</v>
      </c>
      <c r="D360" s="260">
        <v>46300</v>
      </c>
      <c r="E360" s="260">
        <v>46314</v>
      </c>
      <c r="F360">
        <v>50</v>
      </c>
      <c r="G360" t="s">
        <v>356</v>
      </c>
    </row>
    <row r="361" spans="1:7">
      <c r="A361" t="s">
        <v>1066</v>
      </c>
      <c r="B361" t="s">
        <v>1067</v>
      </c>
      <c r="C361">
        <v>20</v>
      </c>
      <c r="D361" s="260">
        <v>46258</v>
      </c>
      <c r="E361" s="260">
        <v>46283</v>
      </c>
      <c r="F361">
        <v>50</v>
      </c>
      <c r="G361" t="s">
        <v>356</v>
      </c>
    </row>
    <row r="362" spans="1:7">
      <c r="A362" t="s">
        <v>1068</v>
      </c>
      <c r="B362" t="s">
        <v>1069</v>
      </c>
      <c r="C362">
        <v>10</v>
      </c>
      <c r="D362" s="260">
        <v>46300</v>
      </c>
      <c r="E362" s="260">
        <v>46314</v>
      </c>
      <c r="F362">
        <v>50</v>
      </c>
      <c r="G362" t="s">
        <v>356</v>
      </c>
    </row>
    <row r="363" spans="1:7">
      <c r="A363" t="s">
        <v>1070</v>
      </c>
      <c r="B363" t="s">
        <v>1071</v>
      </c>
      <c r="C363">
        <v>20</v>
      </c>
      <c r="D363" s="260">
        <v>46265</v>
      </c>
      <c r="E363" s="260">
        <v>46290</v>
      </c>
      <c r="F363">
        <v>45</v>
      </c>
      <c r="G363" t="s">
        <v>356</v>
      </c>
    </row>
    <row r="364" spans="1:7">
      <c r="A364" t="s">
        <v>1072</v>
      </c>
      <c r="B364" t="s">
        <v>1073</v>
      </c>
      <c r="C364">
        <v>10</v>
      </c>
      <c r="D364" s="260">
        <v>46307</v>
      </c>
      <c r="E364" s="260">
        <v>46322</v>
      </c>
      <c r="F364">
        <v>45</v>
      </c>
      <c r="G364" t="s">
        <v>356</v>
      </c>
    </row>
    <row r="365" spans="1:7">
      <c r="A365" t="s">
        <v>1074</v>
      </c>
      <c r="B365" t="s">
        <v>1075</v>
      </c>
      <c r="C365">
        <v>20</v>
      </c>
      <c r="D365" s="260">
        <v>46265</v>
      </c>
      <c r="E365" s="260">
        <v>46290</v>
      </c>
      <c r="F365">
        <v>45</v>
      </c>
      <c r="G365" t="s">
        <v>356</v>
      </c>
    </row>
    <row r="366" spans="1:7">
      <c r="A366" t="s">
        <v>1076</v>
      </c>
      <c r="B366" t="s">
        <v>1077</v>
      </c>
      <c r="C366">
        <v>10</v>
      </c>
      <c r="D366" s="260">
        <v>46307</v>
      </c>
      <c r="E366" s="260">
        <v>46322</v>
      </c>
      <c r="F366">
        <v>45</v>
      </c>
      <c r="G366" t="s">
        <v>356</v>
      </c>
    </row>
    <row r="367" spans="1:7">
      <c r="A367" t="s">
        <v>1078</v>
      </c>
      <c r="B367" t="s">
        <v>1079</v>
      </c>
      <c r="C367">
        <v>20</v>
      </c>
      <c r="D367" s="260">
        <v>46265</v>
      </c>
      <c r="E367" s="260">
        <v>46290</v>
      </c>
      <c r="F367">
        <v>45</v>
      </c>
      <c r="G367" t="s">
        <v>356</v>
      </c>
    </row>
    <row r="368" spans="1:7">
      <c r="A368" t="s">
        <v>1080</v>
      </c>
      <c r="B368" t="s">
        <v>1081</v>
      </c>
      <c r="C368">
        <v>10</v>
      </c>
      <c r="D368" s="260">
        <v>46307</v>
      </c>
      <c r="E368" s="260">
        <v>46322</v>
      </c>
      <c r="F368">
        <v>45</v>
      </c>
      <c r="G368" t="s">
        <v>356</v>
      </c>
    </row>
    <row r="369" spans="1:7">
      <c r="A369" t="s">
        <v>1082</v>
      </c>
      <c r="B369" t="s">
        <v>1083</v>
      </c>
      <c r="C369">
        <v>20</v>
      </c>
      <c r="D369" s="260">
        <v>46265</v>
      </c>
      <c r="E369" s="260">
        <v>46290</v>
      </c>
      <c r="F369">
        <v>45</v>
      </c>
      <c r="G369" t="s">
        <v>356</v>
      </c>
    </row>
    <row r="370" spans="1:7">
      <c r="A370" t="s">
        <v>1084</v>
      </c>
      <c r="B370" t="s">
        <v>1085</v>
      </c>
      <c r="C370">
        <v>10</v>
      </c>
      <c r="D370" s="260">
        <v>46307</v>
      </c>
      <c r="E370" s="260">
        <v>46322</v>
      </c>
      <c r="F370">
        <v>45</v>
      </c>
      <c r="G370" t="s">
        <v>356</v>
      </c>
    </row>
    <row r="371" spans="1:7">
      <c r="A371" t="s">
        <v>1086</v>
      </c>
      <c r="B371" t="s">
        <v>1087</v>
      </c>
      <c r="C371">
        <v>20</v>
      </c>
      <c r="D371" s="260">
        <v>46265</v>
      </c>
      <c r="E371" s="260">
        <v>46290</v>
      </c>
      <c r="F371">
        <v>45</v>
      </c>
      <c r="G371" t="s">
        <v>356</v>
      </c>
    </row>
    <row r="372" spans="1:7">
      <c r="A372" t="s">
        <v>1088</v>
      </c>
      <c r="B372" t="s">
        <v>1089</v>
      </c>
      <c r="C372">
        <v>10</v>
      </c>
      <c r="D372" s="260">
        <v>46307</v>
      </c>
      <c r="E372" s="260">
        <v>46322</v>
      </c>
      <c r="F372">
        <v>45</v>
      </c>
      <c r="G372" t="s">
        <v>356</v>
      </c>
    </row>
    <row r="373" spans="1:7">
      <c r="A373" t="s">
        <v>1090</v>
      </c>
      <c r="B373" t="s">
        <v>1091</v>
      </c>
      <c r="C373">
        <v>10</v>
      </c>
      <c r="D373" s="260">
        <v>46148</v>
      </c>
      <c r="E373" s="260">
        <v>46161</v>
      </c>
      <c r="F373">
        <v>65</v>
      </c>
      <c r="G373" t="s">
        <v>356</v>
      </c>
    </row>
    <row r="374" spans="1:7">
      <c r="A374" t="s">
        <v>1092</v>
      </c>
      <c r="B374" t="s">
        <v>1093</v>
      </c>
      <c r="C374">
        <v>10</v>
      </c>
      <c r="D374" s="260">
        <v>46178</v>
      </c>
      <c r="E374" s="260">
        <v>46191</v>
      </c>
      <c r="F374">
        <v>107</v>
      </c>
      <c r="G374" t="s">
        <v>356</v>
      </c>
    </row>
    <row r="375" spans="1:7">
      <c r="A375" t="s">
        <v>1094</v>
      </c>
      <c r="B375" t="s">
        <v>1095</v>
      </c>
      <c r="C375">
        <v>5</v>
      </c>
      <c r="D375" s="260">
        <v>46206</v>
      </c>
      <c r="E375" s="260">
        <v>46212</v>
      </c>
      <c r="F375">
        <v>107</v>
      </c>
      <c r="G375" t="s">
        <v>356</v>
      </c>
    </row>
    <row r="376" spans="1:7">
      <c r="A376" t="s">
        <v>1096</v>
      </c>
      <c r="B376" t="s">
        <v>1097</v>
      </c>
      <c r="C376">
        <v>20</v>
      </c>
      <c r="D376" s="260">
        <v>46224</v>
      </c>
      <c r="E376" s="260">
        <v>46255</v>
      </c>
      <c r="F376">
        <v>55</v>
      </c>
      <c r="G376" t="s">
        <v>356</v>
      </c>
    </row>
    <row r="377" spans="1:7">
      <c r="A377" t="s">
        <v>1098</v>
      </c>
      <c r="B377" t="s">
        <v>1099</v>
      </c>
      <c r="C377">
        <v>10</v>
      </c>
      <c r="D377" s="260">
        <v>46286</v>
      </c>
      <c r="E377" s="260">
        <v>46297</v>
      </c>
      <c r="F377">
        <v>45</v>
      </c>
      <c r="G377" t="s">
        <v>356</v>
      </c>
    </row>
    <row r="378" spans="1:7">
      <c r="A378" t="s">
        <v>1100</v>
      </c>
      <c r="B378" t="s">
        <v>1101</v>
      </c>
      <c r="C378">
        <v>5</v>
      </c>
      <c r="D378" s="260">
        <v>46343</v>
      </c>
      <c r="E378" s="260">
        <v>46349</v>
      </c>
      <c r="F378">
        <v>26</v>
      </c>
      <c r="G378" t="s">
        <v>356</v>
      </c>
    </row>
    <row r="379" spans="1:7">
      <c r="A379" t="s">
        <v>1102</v>
      </c>
      <c r="B379" t="s">
        <v>1103</v>
      </c>
      <c r="C379">
        <v>15</v>
      </c>
      <c r="D379" s="260">
        <v>46148</v>
      </c>
      <c r="E379" s="260">
        <v>46168</v>
      </c>
      <c r="F379">
        <v>69</v>
      </c>
      <c r="G379" t="s">
        <v>356</v>
      </c>
    </row>
    <row r="380" spans="1:7">
      <c r="A380" t="s">
        <v>1104</v>
      </c>
      <c r="B380" t="s">
        <v>1105</v>
      </c>
      <c r="C380">
        <v>10</v>
      </c>
      <c r="D380" s="260">
        <v>46185</v>
      </c>
      <c r="E380" s="260">
        <v>46198</v>
      </c>
      <c r="F380">
        <v>112</v>
      </c>
      <c r="G380" t="s">
        <v>356</v>
      </c>
    </row>
    <row r="381" spans="1:7">
      <c r="A381" t="s">
        <v>1106</v>
      </c>
      <c r="B381" t="s">
        <v>1107</v>
      </c>
      <c r="C381">
        <v>5</v>
      </c>
      <c r="D381" s="260">
        <v>46213</v>
      </c>
      <c r="E381" s="260">
        <v>46219</v>
      </c>
      <c r="F381">
        <v>112</v>
      </c>
      <c r="G381" t="s">
        <v>356</v>
      </c>
    </row>
    <row r="382" spans="1:7">
      <c r="A382" t="s">
        <v>1108</v>
      </c>
      <c r="B382" t="s">
        <v>1109</v>
      </c>
      <c r="C382">
        <v>20</v>
      </c>
      <c r="D382" s="260">
        <v>46224</v>
      </c>
      <c r="E382" s="260">
        <v>46255</v>
      </c>
      <c r="F382">
        <v>55</v>
      </c>
      <c r="G382" t="s">
        <v>356</v>
      </c>
    </row>
    <row r="383" spans="1:7">
      <c r="A383" t="s">
        <v>1110</v>
      </c>
      <c r="B383" t="s">
        <v>1111</v>
      </c>
      <c r="C383">
        <v>10</v>
      </c>
      <c r="D383" s="260">
        <v>46286</v>
      </c>
      <c r="E383" s="260">
        <v>46297</v>
      </c>
      <c r="F383">
        <v>45</v>
      </c>
      <c r="G383" t="s">
        <v>356</v>
      </c>
    </row>
    <row r="384" spans="1:7">
      <c r="A384" t="s">
        <v>1112</v>
      </c>
      <c r="B384" t="s">
        <v>1113</v>
      </c>
      <c r="C384">
        <v>5</v>
      </c>
      <c r="D384" s="260">
        <v>46343</v>
      </c>
      <c r="E384" s="260">
        <v>46349</v>
      </c>
      <c r="F384">
        <v>26</v>
      </c>
      <c r="G384" t="s">
        <v>356</v>
      </c>
    </row>
    <row r="385" spans="1:7">
      <c r="A385" t="s">
        <v>1114</v>
      </c>
      <c r="B385" t="s">
        <v>1115</v>
      </c>
      <c r="C385">
        <v>20</v>
      </c>
      <c r="D385" s="260">
        <v>46258</v>
      </c>
      <c r="E385" s="260">
        <v>46283</v>
      </c>
      <c r="F385">
        <v>40</v>
      </c>
      <c r="G385" t="s">
        <v>356</v>
      </c>
    </row>
    <row r="386" spans="1:7">
      <c r="A386" t="s">
        <v>1116</v>
      </c>
      <c r="B386" t="s">
        <v>1117</v>
      </c>
      <c r="C386">
        <v>10</v>
      </c>
      <c r="D386" s="260">
        <v>46322</v>
      </c>
      <c r="E386" s="260">
        <v>46335</v>
      </c>
      <c r="F386">
        <v>26</v>
      </c>
      <c r="G386" t="s">
        <v>356</v>
      </c>
    </row>
    <row r="387" spans="1:7">
      <c r="A387" t="s">
        <v>1118</v>
      </c>
      <c r="B387" t="s">
        <v>1119</v>
      </c>
      <c r="C387">
        <v>10</v>
      </c>
      <c r="D387" s="260">
        <v>46286</v>
      </c>
      <c r="E387" s="260">
        <v>46297</v>
      </c>
      <c r="F387">
        <v>40</v>
      </c>
      <c r="G387" t="s">
        <v>356</v>
      </c>
    </row>
    <row r="388" spans="1:7">
      <c r="A388" t="s">
        <v>1120</v>
      </c>
      <c r="B388" t="s">
        <v>1121</v>
      </c>
      <c r="C388">
        <v>10</v>
      </c>
      <c r="D388" s="260">
        <v>46336</v>
      </c>
      <c r="E388" s="260">
        <v>46349</v>
      </c>
      <c r="F388">
        <v>26</v>
      </c>
      <c r="G388" t="s">
        <v>356</v>
      </c>
    </row>
    <row r="389" spans="1:7">
      <c r="A389" t="s">
        <v>1122</v>
      </c>
      <c r="B389" t="s">
        <v>1123</v>
      </c>
      <c r="C389">
        <v>10</v>
      </c>
      <c r="D389" s="260">
        <v>46286</v>
      </c>
      <c r="E389" s="260">
        <v>46297</v>
      </c>
      <c r="F389">
        <v>40</v>
      </c>
      <c r="G389" t="s">
        <v>356</v>
      </c>
    </row>
    <row r="390" spans="1:7">
      <c r="A390" t="s">
        <v>1124</v>
      </c>
      <c r="B390" t="s">
        <v>1125</v>
      </c>
      <c r="C390">
        <v>10</v>
      </c>
      <c r="D390" s="260">
        <v>46336</v>
      </c>
      <c r="E390" s="260">
        <v>46349</v>
      </c>
      <c r="F390">
        <v>26</v>
      </c>
      <c r="G390" t="s">
        <v>356</v>
      </c>
    </row>
    <row r="391" spans="1:7">
      <c r="A391" t="s">
        <v>1126</v>
      </c>
      <c r="B391" t="s">
        <v>1127</v>
      </c>
      <c r="C391">
        <v>10</v>
      </c>
      <c r="D391" s="260">
        <v>46286</v>
      </c>
      <c r="E391" s="260">
        <v>46297</v>
      </c>
      <c r="F391">
        <v>40</v>
      </c>
      <c r="G391" t="s">
        <v>356</v>
      </c>
    </row>
    <row r="392" spans="1:7">
      <c r="A392" t="s">
        <v>1128</v>
      </c>
      <c r="B392" t="s">
        <v>1129</v>
      </c>
      <c r="C392">
        <v>10</v>
      </c>
      <c r="D392" s="260">
        <v>46336</v>
      </c>
      <c r="E392" s="260">
        <v>46349</v>
      </c>
      <c r="F392">
        <v>26</v>
      </c>
      <c r="G392" t="s">
        <v>356</v>
      </c>
    </row>
    <row r="393" spans="1:7">
      <c r="A393" t="s">
        <v>1130</v>
      </c>
      <c r="B393" t="s">
        <v>1131</v>
      </c>
      <c r="C393">
        <v>10</v>
      </c>
      <c r="D393" s="260">
        <v>46286</v>
      </c>
      <c r="E393" s="260">
        <v>46297</v>
      </c>
      <c r="F393">
        <v>40</v>
      </c>
      <c r="G393" t="s">
        <v>356</v>
      </c>
    </row>
    <row r="394" spans="1:7">
      <c r="A394" t="s">
        <v>1132</v>
      </c>
      <c r="B394" t="s">
        <v>1133</v>
      </c>
      <c r="C394">
        <v>10</v>
      </c>
      <c r="D394" s="260">
        <v>46336</v>
      </c>
      <c r="E394" s="260">
        <v>46349</v>
      </c>
      <c r="F394">
        <v>26</v>
      </c>
      <c r="G394" t="s">
        <v>356</v>
      </c>
    </row>
    <row r="395" spans="1:7">
      <c r="A395" t="s">
        <v>1134</v>
      </c>
      <c r="B395" t="s">
        <v>1135</v>
      </c>
      <c r="C395">
        <v>15</v>
      </c>
      <c r="D395" s="260">
        <v>46265</v>
      </c>
      <c r="E395" s="260">
        <v>46283</v>
      </c>
      <c r="F395">
        <v>50</v>
      </c>
      <c r="G395" t="s">
        <v>356</v>
      </c>
    </row>
    <row r="396" spans="1:7">
      <c r="A396" t="s">
        <v>1136</v>
      </c>
      <c r="B396" t="s">
        <v>1137</v>
      </c>
      <c r="C396">
        <v>10</v>
      </c>
      <c r="D396" s="260">
        <v>46322</v>
      </c>
      <c r="E396" s="260">
        <v>46335</v>
      </c>
      <c r="F396">
        <v>36</v>
      </c>
      <c r="G396" t="s">
        <v>356</v>
      </c>
    </row>
    <row r="397" spans="1:7">
      <c r="A397" t="s">
        <v>1138</v>
      </c>
      <c r="B397" t="s">
        <v>1139</v>
      </c>
      <c r="C397">
        <v>10</v>
      </c>
      <c r="D397" s="260">
        <v>46286</v>
      </c>
      <c r="E397" s="260">
        <v>46297</v>
      </c>
      <c r="F397">
        <v>40</v>
      </c>
      <c r="G397" t="s">
        <v>356</v>
      </c>
    </row>
    <row r="398" spans="1:7">
      <c r="A398" t="s">
        <v>1140</v>
      </c>
      <c r="B398" t="s">
        <v>1141</v>
      </c>
      <c r="C398">
        <v>10</v>
      </c>
      <c r="D398" s="260">
        <v>46336</v>
      </c>
      <c r="E398" s="260">
        <v>46349</v>
      </c>
      <c r="F398">
        <v>26</v>
      </c>
      <c r="G398" t="s">
        <v>356</v>
      </c>
    </row>
    <row r="399" spans="1:7">
      <c r="A399" t="s">
        <v>1142</v>
      </c>
      <c r="B399" t="s">
        <v>1143</v>
      </c>
      <c r="C399">
        <v>10</v>
      </c>
      <c r="D399" s="260">
        <v>46286</v>
      </c>
      <c r="E399" s="260">
        <v>46297</v>
      </c>
      <c r="F399">
        <v>40</v>
      </c>
      <c r="G399" t="s">
        <v>356</v>
      </c>
    </row>
    <row r="400" spans="1:7">
      <c r="A400" t="s">
        <v>1144</v>
      </c>
      <c r="B400" t="s">
        <v>1145</v>
      </c>
      <c r="C400">
        <v>10</v>
      </c>
      <c r="D400" s="260">
        <v>46336</v>
      </c>
      <c r="E400" s="260">
        <v>46349</v>
      </c>
      <c r="F400">
        <v>26</v>
      </c>
      <c r="G400" t="s">
        <v>356</v>
      </c>
    </row>
    <row r="401" spans="1:7">
      <c r="A401" t="s">
        <v>1146</v>
      </c>
      <c r="B401" t="s">
        <v>1147</v>
      </c>
      <c r="C401">
        <v>10</v>
      </c>
      <c r="D401" s="260">
        <v>46286</v>
      </c>
      <c r="E401" s="260">
        <v>46297</v>
      </c>
      <c r="F401">
        <v>40</v>
      </c>
      <c r="G401" t="s">
        <v>356</v>
      </c>
    </row>
    <row r="402" spans="1:7">
      <c r="A402" t="s">
        <v>1148</v>
      </c>
      <c r="B402" t="s">
        <v>1149</v>
      </c>
      <c r="C402">
        <v>10</v>
      </c>
      <c r="D402" s="260">
        <v>46336</v>
      </c>
      <c r="E402" s="260">
        <v>46349</v>
      </c>
      <c r="F402">
        <v>26</v>
      </c>
      <c r="G402" t="s">
        <v>356</v>
      </c>
    </row>
    <row r="403" spans="1:7">
      <c r="A403" t="s">
        <v>1150</v>
      </c>
      <c r="B403" t="s">
        <v>1151</v>
      </c>
      <c r="C403">
        <v>10</v>
      </c>
      <c r="D403" s="260">
        <v>46286</v>
      </c>
      <c r="E403" s="260">
        <v>46297</v>
      </c>
      <c r="F403">
        <v>40</v>
      </c>
      <c r="G403" t="s">
        <v>356</v>
      </c>
    </row>
    <row r="404" spans="1:7">
      <c r="A404" t="s">
        <v>1152</v>
      </c>
      <c r="B404" t="s">
        <v>1153</v>
      </c>
      <c r="C404">
        <v>10</v>
      </c>
      <c r="D404" s="260">
        <v>46336</v>
      </c>
      <c r="E404" s="260">
        <v>46349</v>
      </c>
      <c r="F404">
        <v>26</v>
      </c>
      <c r="G404" t="s">
        <v>356</v>
      </c>
    </row>
    <row r="405" spans="1:7">
      <c r="A405" t="s">
        <v>1154</v>
      </c>
      <c r="C405">
        <v>70</v>
      </c>
      <c r="D405" s="260">
        <v>46155</v>
      </c>
      <c r="E405" s="260">
        <v>46260</v>
      </c>
      <c r="F405">
        <v>91</v>
      </c>
      <c r="G405" t="s">
        <v>356</v>
      </c>
    </row>
    <row r="406" spans="1:7">
      <c r="A406" t="s">
        <v>1155</v>
      </c>
      <c r="B406" t="s">
        <v>1156</v>
      </c>
      <c r="C406">
        <v>10</v>
      </c>
      <c r="D406" s="260">
        <v>46155</v>
      </c>
      <c r="E406" s="260">
        <v>46168</v>
      </c>
      <c r="F406">
        <v>65</v>
      </c>
      <c r="G406" t="s">
        <v>356</v>
      </c>
    </row>
    <row r="407" spans="1:7">
      <c r="A407" t="s">
        <v>1157</v>
      </c>
      <c r="B407" t="s">
        <v>1158</v>
      </c>
      <c r="C407">
        <v>5</v>
      </c>
      <c r="D407" s="260">
        <v>46192</v>
      </c>
      <c r="E407" s="260">
        <v>46198</v>
      </c>
      <c r="F407">
        <v>107</v>
      </c>
      <c r="G407" t="s">
        <v>356</v>
      </c>
    </row>
    <row r="408" spans="1:7">
      <c r="A408" t="s">
        <v>1159</v>
      </c>
      <c r="B408" t="s">
        <v>1160</v>
      </c>
      <c r="C408">
        <v>5</v>
      </c>
      <c r="D408" s="260">
        <v>46213</v>
      </c>
      <c r="E408" s="260">
        <v>46219</v>
      </c>
      <c r="F408">
        <v>107</v>
      </c>
      <c r="G408" t="s">
        <v>356</v>
      </c>
    </row>
    <row r="409" spans="1:7">
      <c r="A409" t="s">
        <v>1161</v>
      </c>
      <c r="B409" t="s">
        <v>1162</v>
      </c>
      <c r="C409">
        <v>20</v>
      </c>
      <c r="D409" s="260">
        <v>46169</v>
      </c>
      <c r="E409" s="260">
        <v>46198</v>
      </c>
      <c r="F409">
        <v>52</v>
      </c>
      <c r="G409" t="s">
        <v>356</v>
      </c>
    </row>
    <row r="410" spans="1:7">
      <c r="A410" t="s">
        <v>1163</v>
      </c>
      <c r="B410" t="s">
        <v>1164</v>
      </c>
      <c r="C410">
        <v>10</v>
      </c>
      <c r="D410" s="260">
        <v>46213</v>
      </c>
      <c r="E410" s="260">
        <v>46226</v>
      </c>
      <c r="F410">
        <v>82</v>
      </c>
      <c r="G410" t="s">
        <v>356</v>
      </c>
    </row>
    <row r="411" spans="1:7">
      <c r="A411" t="s">
        <v>1165</v>
      </c>
      <c r="B411" t="s">
        <v>1166</v>
      </c>
      <c r="C411">
        <v>10</v>
      </c>
      <c r="D411" s="260">
        <v>46247</v>
      </c>
      <c r="E411" s="260">
        <v>46260</v>
      </c>
      <c r="F411">
        <v>82</v>
      </c>
      <c r="G411" t="s">
        <v>356</v>
      </c>
    </row>
    <row r="412" spans="1:7">
      <c r="A412" t="s">
        <v>1167</v>
      </c>
      <c r="B412" t="s">
        <v>1168</v>
      </c>
      <c r="C412">
        <v>20</v>
      </c>
      <c r="D412" s="260">
        <v>46169</v>
      </c>
      <c r="E412" s="260">
        <v>46198</v>
      </c>
      <c r="F412">
        <v>52</v>
      </c>
      <c r="G412" t="s">
        <v>356</v>
      </c>
    </row>
    <row r="413" spans="1:7">
      <c r="A413" t="s">
        <v>1169</v>
      </c>
      <c r="B413" t="s">
        <v>1170</v>
      </c>
      <c r="C413">
        <v>10</v>
      </c>
      <c r="D413" s="260">
        <v>46213</v>
      </c>
      <c r="E413" s="260">
        <v>46226</v>
      </c>
      <c r="F413">
        <v>82</v>
      </c>
      <c r="G413" t="s">
        <v>356</v>
      </c>
    </row>
    <row r="414" spans="1:7">
      <c r="A414" t="s">
        <v>1171</v>
      </c>
      <c r="B414" t="s">
        <v>1172</v>
      </c>
      <c r="C414">
        <v>10</v>
      </c>
      <c r="D414" s="260">
        <v>46247</v>
      </c>
      <c r="E414" s="260">
        <v>46260</v>
      </c>
      <c r="F414">
        <v>82</v>
      </c>
      <c r="G414" t="s">
        <v>356</v>
      </c>
    </row>
    <row r="415" spans="1:7">
      <c r="A415" t="s">
        <v>1173</v>
      </c>
      <c r="B415" t="s">
        <v>1174</v>
      </c>
      <c r="C415">
        <v>20</v>
      </c>
      <c r="D415" s="260">
        <v>46169</v>
      </c>
      <c r="E415" s="260">
        <v>46198</v>
      </c>
      <c r="F415">
        <v>52</v>
      </c>
      <c r="G415" t="s">
        <v>356</v>
      </c>
    </row>
    <row r="416" spans="1:7">
      <c r="A416" t="s">
        <v>1175</v>
      </c>
      <c r="B416" t="s">
        <v>1176</v>
      </c>
      <c r="C416">
        <v>10</v>
      </c>
      <c r="D416" s="260">
        <v>46213</v>
      </c>
      <c r="E416" s="260">
        <v>46226</v>
      </c>
      <c r="F416">
        <v>82</v>
      </c>
      <c r="G416" t="s">
        <v>356</v>
      </c>
    </row>
    <row r="417" spans="1:7">
      <c r="A417" t="s">
        <v>1177</v>
      </c>
      <c r="B417" t="s">
        <v>1178</v>
      </c>
      <c r="C417">
        <v>10</v>
      </c>
      <c r="D417" s="260">
        <v>46247</v>
      </c>
      <c r="E417" s="260">
        <v>46260</v>
      </c>
      <c r="F417">
        <v>82</v>
      </c>
      <c r="G417" t="s">
        <v>356</v>
      </c>
    </row>
    <row r="418" spans="1:7">
      <c r="A418" t="s">
        <v>1179</v>
      </c>
      <c r="B418" t="s">
        <v>1180</v>
      </c>
      <c r="C418">
        <v>20</v>
      </c>
      <c r="D418" s="260">
        <v>46169</v>
      </c>
      <c r="E418" s="260">
        <v>46198</v>
      </c>
      <c r="F418">
        <v>52</v>
      </c>
      <c r="G418" t="s">
        <v>356</v>
      </c>
    </row>
    <row r="419" spans="1:7">
      <c r="A419" t="s">
        <v>1181</v>
      </c>
      <c r="B419" t="s">
        <v>1182</v>
      </c>
      <c r="C419">
        <v>10</v>
      </c>
      <c r="D419" s="260">
        <v>46213</v>
      </c>
      <c r="E419" s="260">
        <v>46226</v>
      </c>
      <c r="F419">
        <v>82</v>
      </c>
      <c r="G419" t="s">
        <v>356</v>
      </c>
    </row>
    <row r="420" spans="1:7">
      <c r="A420" t="s">
        <v>1183</v>
      </c>
      <c r="B420" t="s">
        <v>1184</v>
      </c>
      <c r="C420">
        <v>10</v>
      </c>
      <c r="D420" s="260">
        <v>46247</v>
      </c>
      <c r="E420" s="260">
        <v>46260</v>
      </c>
      <c r="F420">
        <v>82</v>
      </c>
      <c r="G420" t="s">
        <v>356</v>
      </c>
    </row>
    <row r="421" spans="1:7">
      <c r="A421" t="s">
        <v>1185</v>
      </c>
      <c r="B421" t="s">
        <v>1186</v>
      </c>
      <c r="C421">
        <v>20</v>
      </c>
      <c r="D421" s="260">
        <v>46169</v>
      </c>
      <c r="E421" s="260">
        <v>46198</v>
      </c>
      <c r="F421">
        <v>52</v>
      </c>
      <c r="G421" t="s">
        <v>356</v>
      </c>
    </row>
    <row r="422" spans="1:7">
      <c r="A422" t="s">
        <v>1187</v>
      </c>
      <c r="B422" t="s">
        <v>1188</v>
      </c>
      <c r="C422">
        <v>10</v>
      </c>
      <c r="D422" s="260">
        <v>46213</v>
      </c>
      <c r="E422" s="260">
        <v>46226</v>
      </c>
      <c r="F422">
        <v>82</v>
      </c>
      <c r="G422" t="s">
        <v>356</v>
      </c>
    </row>
    <row r="423" spans="1:7">
      <c r="A423" t="s">
        <v>1189</v>
      </c>
      <c r="B423" t="s">
        <v>1190</v>
      </c>
      <c r="C423">
        <v>10</v>
      </c>
      <c r="D423" s="260">
        <v>46247</v>
      </c>
      <c r="E423" s="260">
        <v>46260</v>
      </c>
      <c r="F423">
        <v>82</v>
      </c>
      <c r="G423" t="s">
        <v>356</v>
      </c>
    </row>
    <row r="424" spans="1:7">
      <c r="A424" t="s">
        <v>1191</v>
      </c>
      <c r="B424" t="s">
        <v>1192</v>
      </c>
      <c r="C424">
        <v>20</v>
      </c>
      <c r="D424" s="260">
        <v>46169</v>
      </c>
      <c r="E424" s="260">
        <v>46198</v>
      </c>
      <c r="F424">
        <v>52</v>
      </c>
      <c r="G424" t="s">
        <v>356</v>
      </c>
    </row>
    <row r="425" spans="1:7">
      <c r="A425" t="s">
        <v>1193</v>
      </c>
      <c r="B425" t="s">
        <v>1194</v>
      </c>
      <c r="C425">
        <v>10</v>
      </c>
      <c r="D425" s="260">
        <v>46213</v>
      </c>
      <c r="E425" s="260">
        <v>46226</v>
      </c>
      <c r="F425">
        <v>82</v>
      </c>
      <c r="G425" t="s">
        <v>356</v>
      </c>
    </row>
    <row r="426" spans="1:7">
      <c r="A426" t="s">
        <v>1195</v>
      </c>
      <c r="B426" t="s">
        <v>1196</v>
      </c>
      <c r="C426">
        <v>10</v>
      </c>
      <c r="D426" s="260">
        <v>46247</v>
      </c>
      <c r="E426" s="260">
        <v>46260</v>
      </c>
      <c r="F426">
        <v>82</v>
      </c>
      <c r="G426" t="s">
        <v>356</v>
      </c>
    </row>
    <row r="427" spans="1:7">
      <c r="A427" t="s">
        <v>1197</v>
      </c>
      <c r="B427" t="s">
        <v>1198</v>
      </c>
      <c r="C427">
        <v>20</v>
      </c>
      <c r="D427" s="260">
        <v>46169</v>
      </c>
      <c r="E427" s="260">
        <v>46198</v>
      </c>
      <c r="F427">
        <v>52</v>
      </c>
      <c r="G427" t="s">
        <v>356</v>
      </c>
    </row>
    <row r="428" spans="1:7">
      <c r="A428" t="s">
        <v>1199</v>
      </c>
      <c r="B428" t="s">
        <v>1200</v>
      </c>
      <c r="C428">
        <v>10</v>
      </c>
      <c r="D428" s="260">
        <v>46213</v>
      </c>
      <c r="E428" s="260">
        <v>46226</v>
      </c>
      <c r="F428">
        <v>82</v>
      </c>
      <c r="G428" t="s">
        <v>356</v>
      </c>
    </row>
    <row r="429" spans="1:7">
      <c r="A429" t="s">
        <v>1201</v>
      </c>
      <c r="B429" t="s">
        <v>1202</v>
      </c>
      <c r="C429">
        <v>10</v>
      </c>
      <c r="D429" s="260">
        <v>46247</v>
      </c>
      <c r="E429" s="260">
        <v>46260</v>
      </c>
      <c r="F429">
        <v>82</v>
      </c>
      <c r="G429" t="s">
        <v>356</v>
      </c>
    </row>
    <row r="430" spans="1:7">
      <c r="A430" t="s">
        <v>1203</v>
      </c>
      <c r="B430" t="s">
        <v>1204</v>
      </c>
      <c r="C430">
        <v>20</v>
      </c>
      <c r="D430" s="260">
        <v>46169</v>
      </c>
      <c r="E430" s="260">
        <v>46198</v>
      </c>
      <c r="F430">
        <v>61</v>
      </c>
      <c r="G430" t="s">
        <v>356</v>
      </c>
    </row>
    <row r="431" spans="1:7">
      <c r="A431" t="s">
        <v>1205</v>
      </c>
      <c r="B431" t="s">
        <v>1206</v>
      </c>
      <c r="C431">
        <v>10</v>
      </c>
      <c r="D431" s="260">
        <v>46213</v>
      </c>
      <c r="E431" s="260">
        <v>46226</v>
      </c>
      <c r="F431">
        <v>91</v>
      </c>
      <c r="G431" t="s">
        <v>356</v>
      </c>
    </row>
    <row r="432" spans="1:7">
      <c r="A432" t="s">
        <v>1207</v>
      </c>
      <c r="B432" t="s">
        <v>1208</v>
      </c>
      <c r="C432">
        <v>10</v>
      </c>
      <c r="D432" s="260">
        <v>46247</v>
      </c>
      <c r="E432" s="260">
        <v>46260</v>
      </c>
      <c r="F432">
        <v>91</v>
      </c>
      <c r="G432" t="s">
        <v>356</v>
      </c>
    </row>
    <row r="433" spans="1:7">
      <c r="A433" t="s">
        <v>1209</v>
      </c>
      <c r="C433">
        <v>109</v>
      </c>
      <c r="D433" s="260">
        <v>46149</v>
      </c>
      <c r="E433" s="260">
        <v>46310</v>
      </c>
      <c r="F433">
        <v>61</v>
      </c>
      <c r="G433" t="s">
        <v>356</v>
      </c>
    </row>
    <row r="434" spans="1:7">
      <c r="A434" t="s">
        <v>1210</v>
      </c>
      <c r="B434" t="s">
        <v>1211</v>
      </c>
      <c r="C434">
        <v>15</v>
      </c>
      <c r="D434" s="260">
        <v>46162</v>
      </c>
      <c r="E434" s="260">
        <v>46184</v>
      </c>
      <c r="F434">
        <v>71</v>
      </c>
      <c r="G434" t="s">
        <v>356</v>
      </c>
    </row>
    <row r="435" spans="1:7">
      <c r="A435" t="s">
        <v>1212</v>
      </c>
      <c r="B435" t="s">
        <v>1213</v>
      </c>
      <c r="C435">
        <v>5</v>
      </c>
      <c r="D435" s="260">
        <v>46276</v>
      </c>
      <c r="E435" s="260">
        <v>46282</v>
      </c>
      <c r="F435">
        <v>71</v>
      </c>
      <c r="G435" t="s">
        <v>356</v>
      </c>
    </row>
    <row r="436" spans="1:7">
      <c r="A436" t="s">
        <v>1214</v>
      </c>
      <c r="B436" t="s">
        <v>1215</v>
      </c>
      <c r="C436">
        <v>15</v>
      </c>
      <c r="D436" s="260">
        <v>46162</v>
      </c>
      <c r="E436" s="260">
        <v>46184</v>
      </c>
      <c r="F436">
        <v>71</v>
      </c>
      <c r="G436" t="s">
        <v>356</v>
      </c>
    </row>
    <row r="437" spans="1:7">
      <c r="A437" t="s">
        <v>1216</v>
      </c>
      <c r="B437" t="s">
        <v>1217</v>
      </c>
      <c r="C437">
        <v>5</v>
      </c>
      <c r="D437" s="260">
        <v>46276</v>
      </c>
      <c r="E437" s="260">
        <v>46282</v>
      </c>
      <c r="F437">
        <v>71</v>
      </c>
      <c r="G437" t="s">
        <v>356</v>
      </c>
    </row>
    <row r="438" spans="1:7">
      <c r="A438" t="s">
        <v>1218</v>
      </c>
      <c r="B438" t="s">
        <v>1219</v>
      </c>
      <c r="C438">
        <v>15</v>
      </c>
      <c r="D438" s="260">
        <v>46177</v>
      </c>
      <c r="E438" s="260">
        <v>46197</v>
      </c>
      <c r="F438">
        <v>65</v>
      </c>
      <c r="G438" t="s">
        <v>356</v>
      </c>
    </row>
    <row r="439" spans="1:7">
      <c r="A439" t="s">
        <v>1220</v>
      </c>
      <c r="B439" t="s">
        <v>1221</v>
      </c>
      <c r="C439">
        <v>5</v>
      </c>
      <c r="D439" s="260">
        <v>46286</v>
      </c>
      <c r="E439" s="260">
        <v>46290</v>
      </c>
      <c r="F439">
        <v>65</v>
      </c>
      <c r="G439" t="s">
        <v>356</v>
      </c>
    </row>
    <row r="440" spans="1:7">
      <c r="A440" t="s">
        <v>1222</v>
      </c>
      <c r="B440" t="s">
        <v>1223</v>
      </c>
      <c r="C440">
        <v>15</v>
      </c>
      <c r="D440" s="260">
        <v>46177</v>
      </c>
      <c r="E440" s="260">
        <v>46197</v>
      </c>
      <c r="F440">
        <v>65</v>
      </c>
      <c r="G440" t="s">
        <v>356</v>
      </c>
    </row>
    <row r="441" spans="1:7">
      <c r="A441" t="s">
        <v>1224</v>
      </c>
      <c r="B441" t="s">
        <v>1225</v>
      </c>
      <c r="C441">
        <v>5</v>
      </c>
      <c r="D441" s="260">
        <v>46286</v>
      </c>
      <c r="E441" s="260">
        <v>46290</v>
      </c>
      <c r="F441">
        <v>65</v>
      </c>
      <c r="G441" t="s">
        <v>356</v>
      </c>
    </row>
    <row r="442" spans="1:7">
      <c r="A442" t="s">
        <v>1226</v>
      </c>
      <c r="B442" t="s">
        <v>1227</v>
      </c>
      <c r="C442">
        <v>15</v>
      </c>
      <c r="D442" s="260">
        <v>46177</v>
      </c>
      <c r="E442" s="260">
        <v>46197</v>
      </c>
      <c r="F442">
        <v>65</v>
      </c>
      <c r="G442" t="s">
        <v>356</v>
      </c>
    </row>
    <row r="443" spans="1:7">
      <c r="A443" t="s">
        <v>1228</v>
      </c>
      <c r="B443" t="s">
        <v>1229</v>
      </c>
      <c r="C443">
        <v>5</v>
      </c>
      <c r="D443" s="260">
        <v>46286</v>
      </c>
      <c r="E443" s="260">
        <v>46290</v>
      </c>
      <c r="F443">
        <v>65</v>
      </c>
      <c r="G443" t="s">
        <v>356</v>
      </c>
    </row>
    <row r="444" spans="1:7">
      <c r="A444" t="s">
        <v>1230</v>
      </c>
      <c r="B444" t="s">
        <v>1231</v>
      </c>
      <c r="C444">
        <v>15</v>
      </c>
      <c r="D444" s="260">
        <v>46177</v>
      </c>
      <c r="E444" s="260">
        <v>46197</v>
      </c>
      <c r="F444">
        <v>65</v>
      </c>
      <c r="G444" t="s">
        <v>356</v>
      </c>
    </row>
    <row r="445" spans="1:7">
      <c r="A445" t="s">
        <v>1232</v>
      </c>
      <c r="B445" t="s">
        <v>1233</v>
      </c>
      <c r="C445">
        <v>5</v>
      </c>
      <c r="D445" s="260">
        <v>46286</v>
      </c>
      <c r="E445" s="260">
        <v>46290</v>
      </c>
      <c r="F445">
        <v>65</v>
      </c>
      <c r="G445" t="s">
        <v>356</v>
      </c>
    </row>
    <row r="446" spans="1:7">
      <c r="A446" t="s">
        <v>1234</v>
      </c>
      <c r="B446" t="s">
        <v>1235</v>
      </c>
      <c r="C446">
        <v>15</v>
      </c>
      <c r="D446" s="260">
        <v>46149</v>
      </c>
      <c r="E446" s="260">
        <v>46169</v>
      </c>
      <c r="F446">
        <v>81</v>
      </c>
      <c r="G446" t="s">
        <v>356</v>
      </c>
    </row>
    <row r="447" spans="1:7">
      <c r="A447" t="s">
        <v>1236</v>
      </c>
      <c r="B447" t="s">
        <v>1237</v>
      </c>
      <c r="C447">
        <v>5</v>
      </c>
      <c r="D447" s="260">
        <v>46262</v>
      </c>
      <c r="E447" s="260">
        <v>46268</v>
      </c>
      <c r="F447">
        <v>81</v>
      </c>
      <c r="G447" t="s">
        <v>356</v>
      </c>
    </row>
    <row r="448" spans="1:7">
      <c r="A448" t="s">
        <v>1238</v>
      </c>
      <c r="B448" t="s">
        <v>1239</v>
      </c>
      <c r="C448">
        <v>15</v>
      </c>
      <c r="D448" s="260">
        <v>46178</v>
      </c>
      <c r="E448" s="260">
        <v>46198</v>
      </c>
      <c r="F448">
        <v>78</v>
      </c>
      <c r="G448" t="s">
        <v>356</v>
      </c>
    </row>
    <row r="449" spans="1:7">
      <c r="A449" t="s">
        <v>1240</v>
      </c>
      <c r="B449" t="s">
        <v>1241</v>
      </c>
      <c r="C449">
        <v>5</v>
      </c>
      <c r="D449" s="260">
        <v>46267</v>
      </c>
      <c r="E449" s="260">
        <v>46273</v>
      </c>
      <c r="F449">
        <v>78</v>
      </c>
      <c r="G449" t="s">
        <v>356</v>
      </c>
    </row>
    <row r="450" spans="1:7">
      <c r="A450" t="s">
        <v>1242</v>
      </c>
      <c r="B450" t="s">
        <v>1243</v>
      </c>
      <c r="C450">
        <v>15</v>
      </c>
      <c r="D450" s="260">
        <v>46178</v>
      </c>
      <c r="E450" s="260">
        <v>46198</v>
      </c>
      <c r="F450">
        <v>78</v>
      </c>
      <c r="G450" t="s">
        <v>356</v>
      </c>
    </row>
    <row r="451" spans="1:7">
      <c r="A451" t="s">
        <v>1244</v>
      </c>
      <c r="B451" t="s">
        <v>1245</v>
      </c>
      <c r="C451">
        <v>5</v>
      </c>
      <c r="D451" s="260">
        <v>46267</v>
      </c>
      <c r="E451" s="260">
        <v>46273</v>
      </c>
      <c r="F451">
        <v>78</v>
      </c>
      <c r="G451" t="s">
        <v>356</v>
      </c>
    </row>
    <row r="452" spans="1:7">
      <c r="A452" t="s">
        <v>1246</v>
      </c>
      <c r="B452" t="s">
        <v>1247</v>
      </c>
      <c r="C452">
        <v>15</v>
      </c>
      <c r="D452" s="260">
        <v>46178</v>
      </c>
      <c r="E452" s="260">
        <v>46198</v>
      </c>
      <c r="F452">
        <v>78</v>
      </c>
      <c r="G452" t="s">
        <v>356</v>
      </c>
    </row>
    <row r="453" spans="1:7">
      <c r="A453" t="s">
        <v>1248</v>
      </c>
      <c r="B453" t="s">
        <v>1249</v>
      </c>
      <c r="C453">
        <v>5</v>
      </c>
      <c r="D453" s="260">
        <v>46267</v>
      </c>
      <c r="E453" s="260">
        <v>46273</v>
      </c>
      <c r="F453">
        <v>78</v>
      </c>
      <c r="G453" t="s">
        <v>356</v>
      </c>
    </row>
    <row r="454" spans="1:7">
      <c r="A454" t="s">
        <v>1250</v>
      </c>
      <c r="B454" t="s">
        <v>1251</v>
      </c>
      <c r="C454">
        <v>15</v>
      </c>
      <c r="D454" s="260">
        <v>46178</v>
      </c>
      <c r="E454" s="260">
        <v>46198</v>
      </c>
      <c r="F454">
        <v>78</v>
      </c>
      <c r="G454" t="s">
        <v>356</v>
      </c>
    </row>
    <row r="455" spans="1:7">
      <c r="A455" t="s">
        <v>1252</v>
      </c>
      <c r="B455" t="s">
        <v>1253</v>
      </c>
      <c r="C455">
        <v>5</v>
      </c>
      <c r="D455" s="260">
        <v>46267</v>
      </c>
      <c r="E455" s="260">
        <v>46273</v>
      </c>
      <c r="F455">
        <v>78</v>
      </c>
      <c r="G455" t="s">
        <v>356</v>
      </c>
    </row>
    <row r="456" spans="1:7">
      <c r="A456" t="s">
        <v>1254</v>
      </c>
      <c r="B456" t="s">
        <v>1255</v>
      </c>
      <c r="C456">
        <v>15</v>
      </c>
      <c r="D456" s="260">
        <v>46178</v>
      </c>
      <c r="E456" s="260">
        <v>46198</v>
      </c>
      <c r="F456">
        <v>78</v>
      </c>
      <c r="G456" t="s">
        <v>356</v>
      </c>
    </row>
    <row r="457" spans="1:7">
      <c r="A457" t="s">
        <v>1256</v>
      </c>
      <c r="B457" t="s">
        <v>1257</v>
      </c>
      <c r="C457">
        <v>5</v>
      </c>
      <c r="D457" s="260">
        <v>46267</v>
      </c>
      <c r="E457" s="260">
        <v>46273</v>
      </c>
      <c r="F457">
        <v>78</v>
      </c>
      <c r="G457" t="s">
        <v>356</v>
      </c>
    </row>
    <row r="458" spans="1:7">
      <c r="A458" t="s">
        <v>1258</v>
      </c>
      <c r="B458" t="s">
        <v>1259</v>
      </c>
      <c r="C458">
        <v>15</v>
      </c>
      <c r="D458" s="260">
        <v>46178</v>
      </c>
      <c r="E458" s="260">
        <v>46198</v>
      </c>
      <c r="F458">
        <v>78</v>
      </c>
      <c r="G458" t="s">
        <v>356</v>
      </c>
    </row>
    <row r="459" spans="1:7">
      <c r="A459" t="s">
        <v>1260</v>
      </c>
      <c r="B459" t="s">
        <v>1261</v>
      </c>
      <c r="C459">
        <v>5</v>
      </c>
      <c r="D459" s="260">
        <v>46267</v>
      </c>
      <c r="E459" s="260">
        <v>46273</v>
      </c>
      <c r="F459">
        <v>78</v>
      </c>
      <c r="G459" t="s">
        <v>356</v>
      </c>
    </row>
    <row r="460" spans="1:7">
      <c r="A460" t="s">
        <v>1262</v>
      </c>
      <c r="B460" t="s">
        <v>1263</v>
      </c>
      <c r="C460">
        <v>15</v>
      </c>
      <c r="D460" s="260">
        <v>46178</v>
      </c>
      <c r="E460" s="260">
        <v>46198</v>
      </c>
      <c r="F460">
        <v>78</v>
      </c>
      <c r="G460" t="s">
        <v>356</v>
      </c>
    </row>
    <row r="461" spans="1:7">
      <c r="A461" t="s">
        <v>1264</v>
      </c>
      <c r="B461" t="s">
        <v>1265</v>
      </c>
      <c r="C461">
        <v>5</v>
      </c>
      <c r="D461" s="260">
        <v>46267</v>
      </c>
      <c r="E461" s="260">
        <v>46273</v>
      </c>
      <c r="F461">
        <v>78</v>
      </c>
      <c r="G461" t="s">
        <v>356</v>
      </c>
    </row>
    <row r="462" spans="1:7">
      <c r="A462" t="s">
        <v>1266</v>
      </c>
      <c r="B462" t="s">
        <v>1267</v>
      </c>
      <c r="C462">
        <v>15</v>
      </c>
      <c r="D462" s="260">
        <v>46178</v>
      </c>
      <c r="E462" s="260">
        <v>46198</v>
      </c>
      <c r="F462">
        <v>80</v>
      </c>
      <c r="G462" t="s">
        <v>356</v>
      </c>
    </row>
    <row r="463" spans="1:7">
      <c r="A463" t="s">
        <v>1268</v>
      </c>
      <c r="B463" t="s">
        <v>1269</v>
      </c>
      <c r="C463">
        <v>5</v>
      </c>
      <c r="D463" s="260">
        <v>46267</v>
      </c>
      <c r="E463" s="260">
        <v>46273</v>
      </c>
      <c r="F463">
        <v>78</v>
      </c>
      <c r="G463" t="s">
        <v>356</v>
      </c>
    </row>
    <row r="464" spans="1:7">
      <c r="A464" t="s">
        <v>1270</v>
      </c>
      <c r="B464" t="s">
        <v>1271</v>
      </c>
      <c r="C464">
        <v>15</v>
      </c>
      <c r="D464" s="260">
        <v>46199</v>
      </c>
      <c r="E464" s="260">
        <v>46219</v>
      </c>
      <c r="F464">
        <v>52</v>
      </c>
      <c r="G464" t="s">
        <v>356</v>
      </c>
    </row>
    <row r="465" spans="1:7">
      <c r="A465" t="s">
        <v>1272</v>
      </c>
      <c r="B465" t="s">
        <v>1273</v>
      </c>
      <c r="C465">
        <v>5</v>
      </c>
      <c r="D465" s="260">
        <v>46303</v>
      </c>
      <c r="E465" s="260">
        <v>46310</v>
      </c>
      <c r="F465">
        <v>52</v>
      </c>
      <c r="G465" t="s">
        <v>356</v>
      </c>
    </row>
    <row r="466" spans="1:7">
      <c r="A466" t="s">
        <v>1274</v>
      </c>
      <c r="B466" t="s">
        <v>1275</v>
      </c>
      <c r="C466">
        <v>15</v>
      </c>
      <c r="D466" s="260">
        <v>46199</v>
      </c>
      <c r="E466" s="260">
        <v>46219</v>
      </c>
      <c r="F466">
        <v>52</v>
      </c>
      <c r="G466" t="s">
        <v>356</v>
      </c>
    </row>
    <row r="467" spans="1:7">
      <c r="A467" t="s">
        <v>1276</v>
      </c>
      <c r="B467" t="s">
        <v>1277</v>
      </c>
      <c r="C467">
        <v>5</v>
      </c>
      <c r="D467" s="260">
        <v>46303</v>
      </c>
      <c r="E467" s="260">
        <v>46310</v>
      </c>
      <c r="F467">
        <v>52</v>
      </c>
      <c r="G467" t="s">
        <v>356</v>
      </c>
    </row>
    <row r="468" spans="1:7">
      <c r="A468" t="s">
        <v>1278</v>
      </c>
      <c r="B468" t="s">
        <v>1279</v>
      </c>
      <c r="C468">
        <v>15</v>
      </c>
      <c r="D468" s="260">
        <v>46199</v>
      </c>
      <c r="E468" s="260">
        <v>46219</v>
      </c>
      <c r="F468">
        <v>52</v>
      </c>
      <c r="G468" t="s">
        <v>356</v>
      </c>
    </row>
    <row r="469" spans="1:7">
      <c r="A469" t="s">
        <v>1280</v>
      </c>
      <c r="B469" t="s">
        <v>1281</v>
      </c>
      <c r="C469">
        <v>5</v>
      </c>
      <c r="D469" s="260">
        <v>46303</v>
      </c>
      <c r="E469" s="260">
        <v>46310</v>
      </c>
      <c r="F469">
        <v>52</v>
      </c>
      <c r="G469" t="s">
        <v>356</v>
      </c>
    </row>
    <row r="470" spans="1:7">
      <c r="A470" t="s">
        <v>1282</v>
      </c>
      <c r="B470" t="s">
        <v>1283</v>
      </c>
      <c r="C470">
        <v>15</v>
      </c>
      <c r="D470" s="260">
        <v>46199</v>
      </c>
      <c r="E470" s="260">
        <v>46219</v>
      </c>
      <c r="F470">
        <v>52</v>
      </c>
      <c r="G470" t="s">
        <v>356</v>
      </c>
    </row>
    <row r="471" spans="1:7">
      <c r="A471" t="s">
        <v>1284</v>
      </c>
      <c r="B471" t="s">
        <v>1285</v>
      </c>
      <c r="C471">
        <v>5</v>
      </c>
      <c r="D471" s="260">
        <v>46303</v>
      </c>
      <c r="E471" s="260">
        <v>46310</v>
      </c>
      <c r="F471">
        <v>52</v>
      </c>
      <c r="G471" t="s">
        <v>356</v>
      </c>
    </row>
    <row r="472" spans="1:7">
      <c r="A472" t="s">
        <v>1286</v>
      </c>
      <c r="B472" t="s">
        <v>1287</v>
      </c>
      <c r="C472">
        <v>15</v>
      </c>
      <c r="D472" s="260">
        <v>46199</v>
      </c>
      <c r="E472" s="260">
        <v>46219</v>
      </c>
      <c r="F472">
        <v>52</v>
      </c>
      <c r="G472" t="s">
        <v>356</v>
      </c>
    </row>
    <row r="473" spans="1:7">
      <c r="A473" t="s">
        <v>1288</v>
      </c>
      <c r="B473" t="s">
        <v>1289</v>
      </c>
      <c r="C473">
        <v>5</v>
      </c>
      <c r="D473" s="260">
        <v>46303</v>
      </c>
      <c r="E473" s="260">
        <v>46310</v>
      </c>
      <c r="F473">
        <v>52</v>
      </c>
      <c r="G473" t="s">
        <v>356</v>
      </c>
    </row>
    <row r="474" spans="1:7">
      <c r="A474" t="s">
        <v>1290</v>
      </c>
      <c r="B474" t="s">
        <v>1291</v>
      </c>
      <c r="C474">
        <v>15</v>
      </c>
      <c r="D474" s="260">
        <v>46199</v>
      </c>
      <c r="E474" s="260">
        <v>46219</v>
      </c>
      <c r="F474">
        <v>52</v>
      </c>
      <c r="G474" t="s">
        <v>356</v>
      </c>
    </row>
    <row r="475" spans="1:7">
      <c r="A475" t="s">
        <v>1292</v>
      </c>
      <c r="B475" t="s">
        <v>1293</v>
      </c>
      <c r="C475">
        <v>5</v>
      </c>
      <c r="D475" s="260">
        <v>46303</v>
      </c>
      <c r="E475" s="260">
        <v>46310</v>
      </c>
      <c r="F475">
        <v>52</v>
      </c>
      <c r="G475" t="s">
        <v>356</v>
      </c>
    </row>
    <row r="476" spans="1:7">
      <c r="A476" t="s">
        <v>1294</v>
      </c>
      <c r="B476" t="s">
        <v>1295</v>
      </c>
      <c r="C476">
        <v>15</v>
      </c>
      <c r="D476" s="260">
        <v>46199</v>
      </c>
      <c r="E476" s="260">
        <v>46219</v>
      </c>
      <c r="F476">
        <v>52</v>
      </c>
      <c r="G476" t="s">
        <v>356</v>
      </c>
    </row>
    <row r="477" spans="1:7">
      <c r="A477" t="s">
        <v>1296</v>
      </c>
      <c r="B477" t="s">
        <v>1297</v>
      </c>
      <c r="C477">
        <v>5</v>
      </c>
      <c r="D477" s="260">
        <v>46303</v>
      </c>
      <c r="E477" s="260">
        <v>46310</v>
      </c>
      <c r="F477">
        <v>52</v>
      </c>
      <c r="G477" t="s">
        <v>356</v>
      </c>
    </row>
    <row r="478" spans="1:7">
      <c r="A478" t="s">
        <v>1298</v>
      </c>
      <c r="B478" t="s">
        <v>1299</v>
      </c>
      <c r="C478">
        <v>15</v>
      </c>
      <c r="D478" s="260">
        <v>46199</v>
      </c>
      <c r="E478" s="260">
        <v>46219</v>
      </c>
      <c r="F478">
        <v>52</v>
      </c>
      <c r="G478" t="s">
        <v>356</v>
      </c>
    </row>
    <row r="479" spans="1:7">
      <c r="A479" t="s">
        <v>1300</v>
      </c>
      <c r="B479" t="s">
        <v>1301</v>
      </c>
      <c r="C479">
        <v>5</v>
      </c>
      <c r="D479" s="260">
        <v>46303</v>
      </c>
      <c r="E479" s="260">
        <v>46310</v>
      </c>
      <c r="F479">
        <v>52</v>
      </c>
      <c r="G479" t="s">
        <v>356</v>
      </c>
    </row>
    <row r="480" spans="1:7">
      <c r="A480" t="s">
        <v>1302</v>
      </c>
      <c r="B480" t="s">
        <v>1303</v>
      </c>
      <c r="C480">
        <v>15</v>
      </c>
      <c r="D480" s="260">
        <v>46199</v>
      </c>
      <c r="E480" s="260">
        <v>46219</v>
      </c>
      <c r="F480">
        <v>61</v>
      </c>
      <c r="G480" t="s">
        <v>356</v>
      </c>
    </row>
    <row r="481" spans="1:7">
      <c r="A481" t="s">
        <v>1304</v>
      </c>
      <c r="B481" t="s">
        <v>1305</v>
      </c>
      <c r="C481">
        <v>5</v>
      </c>
      <c r="D481" s="260">
        <v>46303</v>
      </c>
      <c r="E481" s="260">
        <v>46310</v>
      </c>
      <c r="F481">
        <v>61</v>
      </c>
      <c r="G481" t="s">
        <v>356</v>
      </c>
    </row>
    <row r="482" spans="1:7">
      <c r="A482" t="s">
        <v>1306</v>
      </c>
      <c r="C482">
        <v>64</v>
      </c>
      <c r="D482" s="260">
        <v>46195</v>
      </c>
      <c r="E482" s="260">
        <v>46288</v>
      </c>
      <c r="F482">
        <v>61</v>
      </c>
      <c r="G482" t="s">
        <v>356</v>
      </c>
    </row>
    <row r="483" spans="1:7">
      <c r="A483" t="s">
        <v>1307</v>
      </c>
      <c r="B483" t="s">
        <v>1308</v>
      </c>
      <c r="C483">
        <v>11</v>
      </c>
      <c r="D483" s="260">
        <v>46220</v>
      </c>
      <c r="E483" s="260">
        <v>46239</v>
      </c>
      <c r="F483">
        <v>71</v>
      </c>
      <c r="G483" t="s">
        <v>356</v>
      </c>
    </row>
    <row r="484" spans="1:7">
      <c r="A484" t="s">
        <v>1309</v>
      </c>
      <c r="B484" t="s">
        <v>1310</v>
      </c>
      <c r="C484">
        <v>5</v>
      </c>
      <c r="D484" s="260">
        <v>46255</v>
      </c>
      <c r="E484" s="260">
        <v>46261</v>
      </c>
      <c r="F484">
        <v>71</v>
      </c>
      <c r="G484" t="s">
        <v>356</v>
      </c>
    </row>
    <row r="485" spans="1:7">
      <c r="A485" t="s">
        <v>1311</v>
      </c>
      <c r="B485" t="s">
        <v>1312</v>
      </c>
      <c r="C485">
        <v>11</v>
      </c>
      <c r="D485" s="260">
        <v>46220</v>
      </c>
      <c r="E485" s="260">
        <v>46239</v>
      </c>
      <c r="F485">
        <v>71</v>
      </c>
      <c r="G485" t="s">
        <v>356</v>
      </c>
    </row>
    <row r="486" spans="1:7">
      <c r="A486" t="s">
        <v>1313</v>
      </c>
      <c r="B486" t="s">
        <v>1314</v>
      </c>
      <c r="C486">
        <v>5</v>
      </c>
      <c r="D486" s="260">
        <v>46255</v>
      </c>
      <c r="E486" s="260">
        <v>46261</v>
      </c>
      <c r="F486">
        <v>71</v>
      </c>
      <c r="G486" t="s">
        <v>356</v>
      </c>
    </row>
    <row r="487" spans="1:7">
      <c r="A487" t="s">
        <v>1315</v>
      </c>
      <c r="B487" t="s">
        <v>1316</v>
      </c>
      <c r="C487">
        <v>16</v>
      </c>
      <c r="D487" s="260">
        <v>46223</v>
      </c>
      <c r="E487" s="260">
        <v>46248</v>
      </c>
      <c r="F487">
        <v>65</v>
      </c>
      <c r="G487" t="s">
        <v>356</v>
      </c>
    </row>
    <row r="488" spans="1:7">
      <c r="A488" t="s">
        <v>1317</v>
      </c>
      <c r="B488" t="s">
        <v>1318</v>
      </c>
      <c r="C488">
        <v>5</v>
      </c>
      <c r="D488" s="260">
        <v>46265</v>
      </c>
      <c r="E488" s="260">
        <v>46269</v>
      </c>
      <c r="F488">
        <v>65</v>
      </c>
      <c r="G488" t="s">
        <v>356</v>
      </c>
    </row>
    <row r="489" spans="1:7">
      <c r="A489" t="s">
        <v>1319</v>
      </c>
      <c r="B489" t="s">
        <v>1320</v>
      </c>
      <c r="C489">
        <v>16</v>
      </c>
      <c r="D489" s="260">
        <v>46223</v>
      </c>
      <c r="E489" s="260">
        <v>46248</v>
      </c>
      <c r="F489">
        <v>65</v>
      </c>
      <c r="G489" t="s">
        <v>356</v>
      </c>
    </row>
    <row r="490" spans="1:7">
      <c r="A490" t="s">
        <v>1321</v>
      </c>
      <c r="B490" t="s">
        <v>1322</v>
      </c>
      <c r="C490">
        <v>5</v>
      </c>
      <c r="D490" s="260">
        <v>46265</v>
      </c>
      <c r="E490" s="260">
        <v>46269</v>
      </c>
      <c r="F490">
        <v>65</v>
      </c>
      <c r="G490" t="s">
        <v>356</v>
      </c>
    </row>
    <row r="491" spans="1:7">
      <c r="A491" t="s">
        <v>1323</v>
      </c>
      <c r="B491" t="s">
        <v>1324</v>
      </c>
      <c r="C491">
        <v>16</v>
      </c>
      <c r="D491" s="260">
        <v>46223</v>
      </c>
      <c r="E491" s="260">
        <v>46248</v>
      </c>
      <c r="F491">
        <v>65</v>
      </c>
      <c r="G491" t="s">
        <v>356</v>
      </c>
    </row>
    <row r="492" spans="1:7">
      <c r="A492" t="s">
        <v>1325</v>
      </c>
      <c r="B492" t="s">
        <v>1326</v>
      </c>
      <c r="C492">
        <v>5</v>
      </c>
      <c r="D492" s="260">
        <v>46265</v>
      </c>
      <c r="E492" s="260">
        <v>46269</v>
      </c>
      <c r="F492">
        <v>65</v>
      </c>
      <c r="G492" t="s">
        <v>356</v>
      </c>
    </row>
    <row r="493" spans="1:7">
      <c r="A493" t="s">
        <v>1327</v>
      </c>
      <c r="B493" t="s">
        <v>1328</v>
      </c>
      <c r="C493">
        <v>16</v>
      </c>
      <c r="D493" s="260">
        <v>46223</v>
      </c>
      <c r="E493" s="260">
        <v>46248</v>
      </c>
      <c r="F493">
        <v>65</v>
      </c>
      <c r="G493" t="s">
        <v>356</v>
      </c>
    </row>
    <row r="494" spans="1:7">
      <c r="A494" t="s">
        <v>1329</v>
      </c>
      <c r="B494" t="s">
        <v>1330</v>
      </c>
      <c r="C494">
        <v>5</v>
      </c>
      <c r="D494" s="260">
        <v>46265</v>
      </c>
      <c r="E494" s="260">
        <v>46269</v>
      </c>
      <c r="F494">
        <v>65</v>
      </c>
      <c r="G494" t="s">
        <v>356</v>
      </c>
    </row>
    <row r="495" spans="1:7">
      <c r="A495" t="s">
        <v>1331</v>
      </c>
      <c r="B495" t="s">
        <v>1332</v>
      </c>
      <c r="C495">
        <v>20</v>
      </c>
      <c r="D495" s="260">
        <v>46195</v>
      </c>
      <c r="E495" s="260">
        <v>46220</v>
      </c>
      <c r="F495">
        <v>81</v>
      </c>
      <c r="G495" t="s">
        <v>356</v>
      </c>
    </row>
    <row r="496" spans="1:7">
      <c r="A496" t="s">
        <v>1333</v>
      </c>
      <c r="B496" t="s">
        <v>1334</v>
      </c>
      <c r="C496">
        <v>5</v>
      </c>
      <c r="D496" s="260">
        <v>46240</v>
      </c>
      <c r="E496" s="260">
        <v>46247</v>
      </c>
      <c r="F496">
        <v>81</v>
      </c>
      <c r="G496" t="s">
        <v>356</v>
      </c>
    </row>
    <row r="497" spans="1:7">
      <c r="A497" t="s">
        <v>1335</v>
      </c>
      <c r="B497" t="s">
        <v>1336</v>
      </c>
      <c r="C497">
        <v>8</v>
      </c>
      <c r="D497" s="260">
        <v>46216</v>
      </c>
      <c r="E497" s="260">
        <v>46225</v>
      </c>
      <c r="F497">
        <v>78</v>
      </c>
      <c r="G497" t="s">
        <v>356</v>
      </c>
    </row>
    <row r="498" spans="1:7">
      <c r="A498" t="s">
        <v>1337</v>
      </c>
      <c r="B498" t="s">
        <v>1338</v>
      </c>
      <c r="C498">
        <v>5</v>
      </c>
      <c r="D498" s="260">
        <v>46245</v>
      </c>
      <c r="E498" s="260">
        <v>46252</v>
      </c>
      <c r="F498">
        <v>78</v>
      </c>
      <c r="G498" t="s">
        <v>356</v>
      </c>
    </row>
    <row r="499" spans="1:7">
      <c r="A499" t="s">
        <v>1339</v>
      </c>
      <c r="B499" t="s">
        <v>1340</v>
      </c>
      <c r="C499">
        <v>8</v>
      </c>
      <c r="D499" s="260">
        <v>46216</v>
      </c>
      <c r="E499" s="260">
        <v>46225</v>
      </c>
      <c r="F499">
        <v>78</v>
      </c>
      <c r="G499" t="s">
        <v>356</v>
      </c>
    </row>
    <row r="500" spans="1:7">
      <c r="A500" t="s">
        <v>1341</v>
      </c>
      <c r="B500" t="s">
        <v>1342</v>
      </c>
      <c r="C500">
        <v>5</v>
      </c>
      <c r="D500" s="260">
        <v>46245</v>
      </c>
      <c r="E500" s="260">
        <v>46252</v>
      </c>
      <c r="F500">
        <v>78</v>
      </c>
      <c r="G500" t="s">
        <v>356</v>
      </c>
    </row>
    <row r="501" spans="1:7">
      <c r="A501" t="s">
        <v>1343</v>
      </c>
      <c r="B501" t="s">
        <v>1344</v>
      </c>
      <c r="C501">
        <v>8</v>
      </c>
      <c r="D501" s="260">
        <v>46216</v>
      </c>
      <c r="E501" s="260">
        <v>46225</v>
      </c>
      <c r="F501">
        <v>78</v>
      </c>
      <c r="G501" t="s">
        <v>356</v>
      </c>
    </row>
    <row r="502" spans="1:7">
      <c r="A502" t="s">
        <v>1345</v>
      </c>
      <c r="B502" t="s">
        <v>1346</v>
      </c>
      <c r="C502">
        <v>5</v>
      </c>
      <c r="D502" s="260">
        <v>46245</v>
      </c>
      <c r="E502" s="260">
        <v>46252</v>
      </c>
      <c r="F502">
        <v>78</v>
      </c>
      <c r="G502" t="s">
        <v>356</v>
      </c>
    </row>
    <row r="503" spans="1:7">
      <c r="A503" t="s">
        <v>1347</v>
      </c>
      <c r="B503" t="s">
        <v>1348</v>
      </c>
      <c r="C503">
        <v>8</v>
      </c>
      <c r="D503" s="260">
        <v>46216</v>
      </c>
      <c r="E503" s="260">
        <v>46225</v>
      </c>
      <c r="F503">
        <v>78</v>
      </c>
      <c r="G503" t="s">
        <v>356</v>
      </c>
    </row>
    <row r="504" spans="1:7">
      <c r="A504" t="s">
        <v>1349</v>
      </c>
      <c r="B504" t="s">
        <v>1350</v>
      </c>
      <c r="C504">
        <v>5</v>
      </c>
      <c r="D504" s="260">
        <v>46245</v>
      </c>
      <c r="E504" s="260">
        <v>46252</v>
      </c>
      <c r="F504">
        <v>78</v>
      </c>
      <c r="G504" t="s">
        <v>356</v>
      </c>
    </row>
    <row r="505" spans="1:7">
      <c r="A505" t="s">
        <v>1351</v>
      </c>
      <c r="B505" t="s">
        <v>1352</v>
      </c>
      <c r="C505">
        <v>8</v>
      </c>
      <c r="D505" s="260">
        <v>46216</v>
      </c>
      <c r="E505" s="260">
        <v>46225</v>
      </c>
      <c r="F505">
        <v>78</v>
      </c>
      <c r="G505" t="s">
        <v>356</v>
      </c>
    </row>
    <row r="506" spans="1:7">
      <c r="A506" t="s">
        <v>1353</v>
      </c>
      <c r="B506" t="s">
        <v>1354</v>
      </c>
      <c r="C506">
        <v>5</v>
      </c>
      <c r="D506" s="260">
        <v>46245</v>
      </c>
      <c r="E506" s="260">
        <v>46252</v>
      </c>
      <c r="F506">
        <v>78</v>
      </c>
      <c r="G506" t="s">
        <v>356</v>
      </c>
    </row>
    <row r="507" spans="1:7">
      <c r="A507" t="s">
        <v>1355</v>
      </c>
      <c r="B507" t="s">
        <v>1356</v>
      </c>
      <c r="C507">
        <v>8</v>
      </c>
      <c r="D507" s="260">
        <v>46216</v>
      </c>
      <c r="E507" s="260">
        <v>46225</v>
      </c>
      <c r="F507">
        <v>78</v>
      </c>
      <c r="G507" t="s">
        <v>356</v>
      </c>
    </row>
    <row r="508" spans="1:7">
      <c r="A508" t="s">
        <v>1357</v>
      </c>
      <c r="B508" t="s">
        <v>1358</v>
      </c>
      <c r="C508">
        <v>5</v>
      </c>
      <c r="D508" s="260">
        <v>46245</v>
      </c>
      <c r="E508" s="260">
        <v>46252</v>
      </c>
      <c r="F508">
        <v>78</v>
      </c>
      <c r="G508" t="s">
        <v>356</v>
      </c>
    </row>
    <row r="509" spans="1:7">
      <c r="A509" t="s">
        <v>1359</v>
      </c>
      <c r="B509" t="s">
        <v>1360</v>
      </c>
      <c r="C509">
        <v>8</v>
      </c>
      <c r="D509" s="260">
        <v>46216</v>
      </c>
      <c r="E509" s="260">
        <v>46225</v>
      </c>
      <c r="F509">
        <v>78</v>
      </c>
      <c r="G509" t="s">
        <v>356</v>
      </c>
    </row>
    <row r="510" spans="1:7">
      <c r="A510" t="s">
        <v>1361</v>
      </c>
      <c r="B510" t="s">
        <v>1362</v>
      </c>
      <c r="C510">
        <v>5</v>
      </c>
      <c r="D510" s="260">
        <v>46245</v>
      </c>
      <c r="E510" s="260">
        <v>46252</v>
      </c>
      <c r="F510">
        <v>78</v>
      </c>
      <c r="G510" t="s">
        <v>356</v>
      </c>
    </row>
    <row r="511" spans="1:7">
      <c r="A511" t="s">
        <v>1363</v>
      </c>
      <c r="B511" t="s">
        <v>1364</v>
      </c>
      <c r="C511">
        <v>8</v>
      </c>
      <c r="D511" s="260">
        <v>46216</v>
      </c>
      <c r="E511" s="260">
        <v>46225</v>
      </c>
      <c r="F511">
        <v>80</v>
      </c>
      <c r="G511" t="s">
        <v>356</v>
      </c>
    </row>
    <row r="512" spans="1:7">
      <c r="A512" t="s">
        <v>1365</v>
      </c>
      <c r="B512" t="s">
        <v>1366</v>
      </c>
      <c r="C512">
        <v>3</v>
      </c>
      <c r="D512" s="260">
        <v>46245</v>
      </c>
      <c r="E512" s="260">
        <v>46248</v>
      </c>
      <c r="F512">
        <v>80</v>
      </c>
      <c r="G512" t="s">
        <v>356</v>
      </c>
    </row>
    <row r="513" spans="1:7">
      <c r="A513" t="s">
        <v>1367</v>
      </c>
      <c r="B513" t="s">
        <v>1368</v>
      </c>
      <c r="C513">
        <v>15</v>
      </c>
      <c r="D513" s="260">
        <v>46247</v>
      </c>
      <c r="E513" s="260">
        <v>46267</v>
      </c>
      <c r="F513">
        <v>52</v>
      </c>
      <c r="G513" t="s">
        <v>356</v>
      </c>
    </row>
    <row r="514" spans="1:7">
      <c r="A514" t="s">
        <v>1369</v>
      </c>
      <c r="B514" t="s">
        <v>1370</v>
      </c>
      <c r="C514">
        <v>5</v>
      </c>
      <c r="D514" s="260">
        <v>46282</v>
      </c>
      <c r="E514" s="260">
        <v>46288</v>
      </c>
      <c r="F514">
        <v>52</v>
      </c>
      <c r="G514" t="s">
        <v>356</v>
      </c>
    </row>
    <row r="515" spans="1:7">
      <c r="A515" t="s">
        <v>1371</v>
      </c>
      <c r="B515" t="s">
        <v>1372</v>
      </c>
      <c r="C515">
        <v>15</v>
      </c>
      <c r="D515" s="260">
        <v>46247</v>
      </c>
      <c r="E515" s="260">
        <v>46267</v>
      </c>
      <c r="F515">
        <v>52</v>
      </c>
      <c r="G515" t="s">
        <v>356</v>
      </c>
    </row>
    <row r="516" spans="1:7">
      <c r="A516" t="s">
        <v>1373</v>
      </c>
      <c r="B516" t="s">
        <v>1374</v>
      </c>
      <c r="C516">
        <v>5</v>
      </c>
      <c r="D516" s="260">
        <v>46282</v>
      </c>
      <c r="E516" s="260">
        <v>46288</v>
      </c>
      <c r="F516">
        <v>52</v>
      </c>
      <c r="G516" t="s">
        <v>356</v>
      </c>
    </row>
    <row r="517" spans="1:7">
      <c r="A517" t="s">
        <v>1375</v>
      </c>
      <c r="B517" t="s">
        <v>1376</v>
      </c>
      <c r="C517">
        <v>15</v>
      </c>
      <c r="D517" s="260">
        <v>46247</v>
      </c>
      <c r="E517" s="260">
        <v>46267</v>
      </c>
      <c r="F517">
        <v>52</v>
      </c>
      <c r="G517" t="s">
        <v>356</v>
      </c>
    </row>
    <row r="518" spans="1:7">
      <c r="A518" t="s">
        <v>1377</v>
      </c>
      <c r="B518" t="s">
        <v>1378</v>
      </c>
      <c r="C518">
        <v>5</v>
      </c>
      <c r="D518" s="260">
        <v>46282</v>
      </c>
      <c r="E518" s="260">
        <v>46288</v>
      </c>
      <c r="F518">
        <v>52</v>
      </c>
      <c r="G518" t="s">
        <v>356</v>
      </c>
    </row>
    <row r="519" spans="1:7">
      <c r="A519" t="s">
        <v>1379</v>
      </c>
      <c r="B519" t="s">
        <v>1380</v>
      </c>
      <c r="C519">
        <v>15</v>
      </c>
      <c r="D519" s="260">
        <v>46247</v>
      </c>
      <c r="E519" s="260">
        <v>46267</v>
      </c>
      <c r="F519">
        <v>52</v>
      </c>
      <c r="G519" t="s">
        <v>356</v>
      </c>
    </row>
    <row r="520" spans="1:7">
      <c r="A520" t="s">
        <v>1381</v>
      </c>
      <c r="B520" t="s">
        <v>1382</v>
      </c>
      <c r="C520">
        <v>5</v>
      </c>
      <c r="D520" s="260">
        <v>46282</v>
      </c>
      <c r="E520" s="260">
        <v>46288</v>
      </c>
      <c r="F520">
        <v>52</v>
      </c>
      <c r="G520" t="s">
        <v>356</v>
      </c>
    </row>
    <row r="521" spans="1:7">
      <c r="A521" t="s">
        <v>1383</v>
      </c>
      <c r="B521" t="s">
        <v>1384</v>
      </c>
      <c r="C521">
        <v>15</v>
      </c>
      <c r="D521" s="260">
        <v>46247</v>
      </c>
      <c r="E521" s="260">
        <v>46267</v>
      </c>
      <c r="F521">
        <v>52</v>
      </c>
      <c r="G521" t="s">
        <v>356</v>
      </c>
    </row>
    <row r="522" spans="1:7">
      <c r="A522" t="s">
        <v>1385</v>
      </c>
      <c r="B522" t="s">
        <v>1386</v>
      </c>
      <c r="C522">
        <v>5</v>
      </c>
      <c r="D522" s="260">
        <v>46282</v>
      </c>
      <c r="E522" s="260">
        <v>46288</v>
      </c>
      <c r="F522">
        <v>52</v>
      </c>
      <c r="G522" t="s">
        <v>356</v>
      </c>
    </row>
    <row r="523" spans="1:7">
      <c r="A523" t="s">
        <v>1387</v>
      </c>
      <c r="B523" t="s">
        <v>1388</v>
      </c>
      <c r="C523">
        <v>15</v>
      </c>
      <c r="D523" s="260">
        <v>46247</v>
      </c>
      <c r="E523" s="260">
        <v>46267</v>
      </c>
      <c r="F523">
        <v>52</v>
      </c>
      <c r="G523" t="s">
        <v>356</v>
      </c>
    </row>
    <row r="524" spans="1:7">
      <c r="A524" t="s">
        <v>1389</v>
      </c>
      <c r="B524" t="s">
        <v>1390</v>
      </c>
      <c r="C524">
        <v>5</v>
      </c>
      <c r="D524" s="260">
        <v>46282</v>
      </c>
      <c r="E524" s="260">
        <v>46288</v>
      </c>
      <c r="F524">
        <v>52</v>
      </c>
      <c r="G524" t="s">
        <v>356</v>
      </c>
    </row>
    <row r="525" spans="1:7">
      <c r="A525" t="s">
        <v>1391</v>
      </c>
      <c r="B525" t="s">
        <v>1392</v>
      </c>
      <c r="C525">
        <v>15</v>
      </c>
      <c r="D525" s="260">
        <v>46247</v>
      </c>
      <c r="E525" s="260">
        <v>46267</v>
      </c>
      <c r="F525">
        <v>52</v>
      </c>
      <c r="G525" t="s">
        <v>356</v>
      </c>
    </row>
    <row r="526" spans="1:7">
      <c r="A526" t="s">
        <v>1393</v>
      </c>
      <c r="B526" t="s">
        <v>1394</v>
      </c>
      <c r="C526">
        <v>5</v>
      </c>
      <c r="D526" s="260">
        <v>46282</v>
      </c>
      <c r="E526" s="260">
        <v>46288</v>
      </c>
      <c r="F526">
        <v>52</v>
      </c>
      <c r="G526" t="s">
        <v>356</v>
      </c>
    </row>
    <row r="527" spans="1:7">
      <c r="A527" t="s">
        <v>1395</v>
      </c>
      <c r="B527" t="s">
        <v>1396</v>
      </c>
      <c r="C527">
        <v>15</v>
      </c>
      <c r="D527" s="260">
        <v>46247</v>
      </c>
      <c r="E527" s="260">
        <v>46267</v>
      </c>
      <c r="F527">
        <v>52</v>
      </c>
      <c r="G527" t="s">
        <v>356</v>
      </c>
    </row>
    <row r="528" spans="1:7">
      <c r="A528" t="s">
        <v>1397</v>
      </c>
      <c r="B528" t="s">
        <v>1398</v>
      </c>
      <c r="C528">
        <v>5</v>
      </c>
      <c r="D528" s="260">
        <v>46282</v>
      </c>
      <c r="E528" s="260">
        <v>46288</v>
      </c>
      <c r="F528">
        <v>52</v>
      </c>
      <c r="G528" t="s">
        <v>356</v>
      </c>
    </row>
    <row r="529" spans="1:7">
      <c r="A529" t="s">
        <v>1399</v>
      </c>
      <c r="B529" t="s">
        <v>1400</v>
      </c>
      <c r="C529">
        <v>15</v>
      </c>
      <c r="D529" s="260">
        <v>46247</v>
      </c>
      <c r="E529" s="260">
        <v>46267</v>
      </c>
      <c r="F529">
        <v>61</v>
      </c>
      <c r="G529" t="s">
        <v>356</v>
      </c>
    </row>
    <row r="530" spans="1:7">
      <c r="A530" t="s">
        <v>1401</v>
      </c>
      <c r="B530" t="s">
        <v>1402</v>
      </c>
      <c r="C530">
        <v>5</v>
      </c>
      <c r="D530" s="260">
        <v>46282</v>
      </c>
      <c r="E530" s="260">
        <v>46288</v>
      </c>
      <c r="F530">
        <v>61</v>
      </c>
      <c r="G530" t="s">
        <v>356</v>
      </c>
    </row>
    <row r="531" spans="1:7">
      <c r="A531" t="s">
        <v>1403</v>
      </c>
      <c r="C531">
        <v>175</v>
      </c>
      <c r="D531" s="260">
        <v>46085</v>
      </c>
      <c r="E531" s="260">
        <v>46346</v>
      </c>
      <c r="F531">
        <v>36</v>
      </c>
      <c r="G531" t="s">
        <v>356</v>
      </c>
    </row>
    <row r="532" spans="1:7">
      <c r="A532" t="s">
        <v>1404</v>
      </c>
      <c r="B532" t="s">
        <v>1405</v>
      </c>
      <c r="C532">
        <v>10</v>
      </c>
      <c r="D532" s="260">
        <v>46220</v>
      </c>
      <c r="E532" s="260">
        <v>46238</v>
      </c>
      <c r="F532">
        <v>76</v>
      </c>
      <c r="G532" t="s">
        <v>356</v>
      </c>
    </row>
    <row r="533" spans="1:7">
      <c r="A533" t="s">
        <v>1406</v>
      </c>
      <c r="B533" t="s">
        <v>1407</v>
      </c>
      <c r="C533">
        <v>10</v>
      </c>
      <c r="D533" s="260">
        <v>46254</v>
      </c>
      <c r="E533" s="260">
        <v>46267</v>
      </c>
      <c r="F533">
        <v>76</v>
      </c>
      <c r="G533" t="s">
        <v>356</v>
      </c>
    </row>
    <row r="534" spans="1:7">
      <c r="A534" t="s">
        <v>1408</v>
      </c>
      <c r="B534" t="s">
        <v>1409</v>
      </c>
      <c r="C534">
        <v>5</v>
      </c>
      <c r="D534" s="260">
        <v>46282</v>
      </c>
      <c r="E534" s="260">
        <v>46288</v>
      </c>
      <c r="F534">
        <v>76</v>
      </c>
      <c r="G534" t="s">
        <v>356</v>
      </c>
    </row>
    <row r="535" spans="1:7">
      <c r="A535" t="s">
        <v>1410</v>
      </c>
      <c r="B535" t="s">
        <v>1411</v>
      </c>
      <c r="C535">
        <v>10</v>
      </c>
      <c r="D535" s="260">
        <v>46156</v>
      </c>
      <c r="E535" s="260">
        <v>46169</v>
      </c>
      <c r="F535">
        <v>46</v>
      </c>
      <c r="G535" t="s">
        <v>356</v>
      </c>
    </row>
    <row r="536" spans="1:7">
      <c r="A536" t="s">
        <v>1412</v>
      </c>
      <c r="B536" t="s">
        <v>1413</v>
      </c>
      <c r="C536">
        <v>10</v>
      </c>
      <c r="D536" s="260">
        <v>46188</v>
      </c>
      <c r="E536" s="260">
        <v>46199</v>
      </c>
      <c r="F536">
        <v>71</v>
      </c>
      <c r="G536" t="s">
        <v>356</v>
      </c>
    </row>
    <row r="537" spans="1:7">
      <c r="A537" t="s">
        <v>1414</v>
      </c>
      <c r="B537" t="s">
        <v>1415</v>
      </c>
      <c r="C537">
        <v>5</v>
      </c>
      <c r="D537" s="260">
        <v>46216</v>
      </c>
      <c r="E537" s="260">
        <v>46220</v>
      </c>
      <c r="F537">
        <v>81</v>
      </c>
      <c r="G537" t="s">
        <v>356</v>
      </c>
    </row>
    <row r="538" spans="1:7">
      <c r="A538" t="s">
        <v>1416</v>
      </c>
      <c r="B538" t="s">
        <v>1417</v>
      </c>
      <c r="C538">
        <v>10</v>
      </c>
      <c r="D538" s="260">
        <v>46155</v>
      </c>
      <c r="E538" s="260">
        <v>46168</v>
      </c>
      <c r="F538">
        <v>0</v>
      </c>
      <c r="G538" t="s">
        <v>356</v>
      </c>
    </row>
    <row r="539" spans="1:7">
      <c r="A539" t="s">
        <v>1418</v>
      </c>
      <c r="B539" t="s">
        <v>1419</v>
      </c>
      <c r="C539">
        <v>10</v>
      </c>
      <c r="D539" s="260">
        <v>46185</v>
      </c>
      <c r="E539" s="260">
        <v>46198</v>
      </c>
      <c r="F539">
        <v>112</v>
      </c>
      <c r="G539" t="s">
        <v>356</v>
      </c>
    </row>
    <row r="540" spans="1:7">
      <c r="A540" t="s">
        <v>1420</v>
      </c>
      <c r="B540" t="s">
        <v>1421</v>
      </c>
      <c r="C540">
        <v>5</v>
      </c>
      <c r="D540" s="260">
        <v>46213</v>
      </c>
      <c r="E540" s="260">
        <v>46219</v>
      </c>
      <c r="F540">
        <v>112</v>
      </c>
      <c r="G540" t="s">
        <v>356</v>
      </c>
    </row>
    <row r="541" spans="1:7">
      <c r="A541" t="s">
        <v>1422</v>
      </c>
      <c r="B541" t="s">
        <v>1423</v>
      </c>
      <c r="C541">
        <v>10</v>
      </c>
      <c r="D541" s="260">
        <v>46155</v>
      </c>
      <c r="E541" s="260">
        <v>46168</v>
      </c>
      <c r="F541">
        <v>0</v>
      </c>
      <c r="G541" t="s">
        <v>356</v>
      </c>
    </row>
    <row r="542" spans="1:7">
      <c r="A542" t="s">
        <v>1424</v>
      </c>
      <c r="B542" t="s">
        <v>1425</v>
      </c>
      <c r="C542">
        <v>10</v>
      </c>
      <c r="D542" s="260">
        <v>46185</v>
      </c>
      <c r="E542" s="260">
        <v>46198</v>
      </c>
      <c r="F542">
        <v>112</v>
      </c>
      <c r="G542" t="s">
        <v>356</v>
      </c>
    </row>
    <row r="543" spans="1:7">
      <c r="A543" t="s">
        <v>1426</v>
      </c>
      <c r="B543" t="s">
        <v>1427</v>
      </c>
      <c r="C543">
        <v>5</v>
      </c>
      <c r="D543" s="260">
        <v>46213</v>
      </c>
      <c r="E543" s="260">
        <v>46219</v>
      </c>
      <c r="F543">
        <v>112</v>
      </c>
      <c r="G543" t="s">
        <v>356</v>
      </c>
    </row>
    <row r="544" spans="1:7">
      <c r="A544" t="s">
        <v>1428</v>
      </c>
      <c r="B544" t="s">
        <v>1429</v>
      </c>
      <c r="C544">
        <v>10</v>
      </c>
      <c r="D544" s="260">
        <v>46155</v>
      </c>
      <c r="E544" s="260">
        <v>46168</v>
      </c>
      <c r="F544">
        <v>0</v>
      </c>
      <c r="G544" t="s">
        <v>356</v>
      </c>
    </row>
    <row r="545" spans="1:7">
      <c r="A545" t="s">
        <v>1430</v>
      </c>
      <c r="B545" t="s">
        <v>1431</v>
      </c>
      <c r="C545">
        <v>10</v>
      </c>
      <c r="D545" s="260">
        <v>46185</v>
      </c>
      <c r="E545" s="260">
        <v>46198</v>
      </c>
      <c r="F545">
        <v>112</v>
      </c>
      <c r="G545" t="s">
        <v>356</v>
      </c>
    </row>
    <row r="546" spans="1:7">
      <c r="A546" t="s">
        <v>1432</v>
      </c>
      <c r="B546" t="s">
        <v>1433</v>
      </c>
      <c r="C546">
        <v>5</v>
      </c>
      <c r="D546" s="260">
        <v>46213</v>
      </c>
      <c r="E546" s="260">
        <v>46219</v>
      </c>
      <c r="F546">
        <v>112</v>
      </c>
      <c r="G546" t="s">
        <v>356</v>
      </c>
    </row>
    <row r="547" spans="1:7">
      <c r="A547" t="s">
        <v>1434</v>
      </c>
      <c r="B547" t="s">
        <v>1435</v>
      </c>
      <c r="C547">
        <v>10</v>
      </c>
      <c r="D547" s="260">
        <v>46155</v>
      </c>
      <c r="E547" s="260">
        <v>46168</v>
      </c>
      <c r="F547">
        <v>0</v>
      </c>
      <c r="G547" t="s">
        <v>356</v>
      </c>
    </row>
    <row r="548" spans="1:7">
      <c r="A548" t="s">
        <v>1436</v>
      </c>
      <c r="B548" t="s">
        <v>1437</v>
      </c>
      <c r="C548">
        <v>10</v>
      </c>
      <c r="D548" s="260">
        <v>46185</v>
      </c>
      <c r="E548" s="260">
        <v>46198</v>
      </c>
      <c r="F548">
        <v>112</v>
      </c>
      <c r="G548" t="s">
        <v>356</v>
      </c>
    </row>
    <row r="549" spans="1:7">
      <c r="A549" t="s">
        <v>1438</v>
      </c>
      <c r="B549" t="s">
        <v>1439</v>
      </c>
      <c r="C549">
        <v>5</v>
      </c>
      <c r="D549" s="260">
        <v>46213</v>
      </c>
      <c r="E549" s="260">
        <v>46219</v>
      </c>
      <c r="F549">
        <v>112</v>
      </c>
      <c r="G549" t="s">
        <v>356</v>
      </c>
    </row>
    <row r="550" spans="1:7">
      <c r="A550" t="s">
        <v>1440</v>
      </c>
      <c r="B550" t="s">
        <v>1441</v>
      </c>
      <c r="C550">
        <v>10</v>
      </c>
      <c r="D550" s="260">
        <v>46155</v>
      </c>
      <c r="E550" s="260">
        <v>46168</v>
      </c>
      <c r="F550">
        <v>0</v>
      </c>
      <c r="G550" t="s">
        <v>356</v>
      </c>
    </row>
    <row r="551" spans="1:7">
      <c r="A551" t="s">
        <v>1442</v>
      </c>
      <c r="B551" t="s">
        <v>1443</v>
      </c>
      <c r="C551">
        <v>10</v>
      </c>
      <c r="D551" s="260">
        <v>46185</v>
      </c>
      <c r="E551" s="260">
        <v>46198</v>
      </c>
      <c r="F551">
        <v>112</v>
      </c>
      <c r="G551" t="s">
        <v>356</v>
      </c>
    </row>
    <row r="552" spans="1:7">
      <c r="A552" t="s">
        <v>1444</v>
      </c>
      <c r="B552" t="s">
        <v>1445</v>
      </c>
      <c r="C552">
        <v>5</v>
      </c>
      <c r="D552" s="260">
        <v>46213</v>
      </c>
      <c r="E552" s="260">
        <v>46219</v>
      </c>
      <c r="F552">
        <v>112</v>
      </c>
      <c r="G552" t="s">
        <v>356</v>
      </c>
    </row>
    <row r="553" spans="1:7">
      <c r="A553" t="s">
        <v>1446</v>
      </c>
      <c r="B553" t="s">
        <v>1447</v>
      </c>
      <c r="C553">
        <v>25</v>
      </c>
      <c r="D553" s="260">
        <v>46169</v>
      </c>
      <c r="E553" s="260">
        <v>46205</v>
      </c>
      <c r="F553">
        <v>27</v>
      </c>
      <c r="G553" t="s">
        <v>356</v>
      </c>
    </row>
    <row r="554" spans="1:7">
      <c r="A554" t="s">
        <v>1448</v>
      </c>
      <c r="B554" t="s">
        <v>1449</v>
      </c>
      <c r="C554">
        <v>15</v>
      </c>
      <c r="D554" s="260">
        <v>46220</v>
      </c>
      <c r="E554" s="260">
        <v>46245</v>
      </c>
      <c r="F554">
        <v>72</v>
      </c>
      <c r="G554" t="s">
        <v>356</v>
      </c>
    </row>
    <row r="555" spans="1:7">
      <c r="A555" t="s">
        <v>1450</v>
      </c>
      <c r="B555" t="s">
        <v>1451</v>
      </c>
      <c r="C555">
        <v>15</v>
      </c>
      <c r="D555" s="260">
        <v>46261</v>
      </c>
      <c r="E555" s="260">
        <v>46281</v>
      </c>
      <c r="F555">
        <v>72</v>
      </c>
      <c r="G555" t="s">
        <v>356</v>
      </c>
    </row>
    <row r="556" spans="1:7">
      <c r="A556" t="s">
        <v>1452</v>
      </c>
      <c r="B556" t="s">
        <v>1453</v>
      </c>
      <c r="C556">
        <v>25</v>
      </c>
      <c r="D556" s="260">
        <v>46169</v>
      </c>
      <c r="E556" s="260">
        <v>46205</v>
      </c>
      <c r="F556">
        <v>47</v>
      </c>
      <c r="G556" t="s">
        <v>356</v>
      </c>
    </row>
    <row r="557" spans="1:7">
      <c r="A557" t="s">
        <v>1454</v>
      </c>
      <c r="B557" t="s">
        <v>1455</v>
      </c>
      <c r="C557">
        <v>15</v>
      </c>
      <c r="D557" s="260">
        <v>46220</v>
      </c>
      <c r="E557" s="260">
        <v>46245</v>
      </c>
      <c r="F557">
        <v>72</v>
      </c>
      <c r="G557" t="s">
        <v>356</v>
      </c>
    </row>
    <row r="558" spans="1:7">
      <c r="A558" t="s">
        <v>1456</v>
      </c>
      <c r="B558" t="s">
        <v>1457</v>
      </c>
      <c r="C558">
        <v>15</v>
      </c>
      <c r="D558" s="260">
        <v>46261</v>
      </c>
      <c r="E558" s="260">
        <v>46281</v>
      </c>
      <c r="F558">
        <v>72</v>
      </c>
      <c r="G558" t="s">
        <v>356</v>
      </c>
    </row>
    <row r="559" spans="1:7">
      <c r="A559" t="s">
        <v>1458</v>
      </c>
      <c r="B559" t="s">
        <v>1459</v>
      </c>
      <c r="C559">
        <v>25</v>
      </c>
      <c r="D559" s="260">
        <v>46169</v>
      </c>
      <c r="E559" s="260">
        <v>46205</v>
      </c>
      <c r="F559">
        <v>42</v>
      </c>
      <c r="G559" t="s">
        <v>356</v>
      </c>
    </row>
    <row r="560" spans="1:7">
      <c r="A560" t="s">
        <v>1460</v>
      </c>
      <c r="B560" t="s">
        <v>1461</v>
      </c>
      <c r="C560">
        <v>15</v>
      </c>
      <c r="D560" s="260">
        <v>46220</v>
      </c>
      <c r="E560" s="260">
        <v>46245</v>
      </c>
      <c r="F560">
        <v>72</v>
      </c>
      <c r="G560" t="s">
        <v>356</v>
      </c>
    </row>
    <row r="561" spans="1:7">
      <c r="A561" t="s">
        <v>1462</v>
      </c>
      <c r="B561" t="s">
        <v>1463</v>
      </c>
      <c r="C561">
        <v>15</v>
      </c>
      <c r="D561" s="260">
        <v>46261</v>
      </c>
      <c r="E561" s="260">
        <v>46281</v>
      </c>
      <c r="F561">
        <v>72</v>
      </c>
      <c r="G561" t="s">
        <v>356</v>
      </c>
    </row>
    <row r="562" spans="1:7">
      <c r="A562" t="s">
        <v>1464</v>
      </c>
      <c r="B562" t="s">
        <v>1465</v>
      </c>
      <c r="C562">
        <v>25</v>
      </c>
      <c r="D562" s="260">
        <v>46178</v>
      </c>
      <c r="E562" s="260">
        <v>46212</v>
      </c>
      <c r="F562">
        <v>42</v>
      </c>
      <c r="G562" t="s">
        <v>356</v>
      </c>
    </row>
    <row r="563" spans="1:7">
      <c r="A563" t="s">
        <v>1466</v>
      </c>
      <c r="B563" t="s">
        <v>1467</v>
      </c>
      <c r="C563">
        <v>15</v>
      </c>
      <c r="D563" s="260">
        <v>46227</v>
      </c>
      <c r="E563" s="260">
        <v>46253</v>
      </c>
      <c r="F563">
        <v>67</v>
      </c>
      <c r="G563" t="s">
        <v>356</v>
      </c>
    </row>
    <row r="564" spans="1:7">
      <c r="A564" t="s">
        <v>1468</v>
      </c>
      <c r="B564" t="s">
        <v>1469</v>
      </c>
      <c r="C564">
        <v>15</v>
      </c>
      <c r="D564" s="260">
        <v>46268</v>
      </c>
      <c r="E564" s="260">
        <v>46288</v>
      </c>
      <c r="F564">
        <v>67</v>
      </c>
      <c r="G564" t="s">
        <v>356</v>
      </c>
    </row>
    <row r="565" spans="1:7">
      <c r="A565" t="s">
        <v>1470</v>
      </c>
      <c r="B565" t="s">
        <v>1471</v>
      </c>
      <c r="C565">
        <v>25</v>
      </c>
      <c r="D565" s="260">
        <v>46169</v>
      </c>
      <c r="E565" s="260">
        <v>46205</v>
      </c>
      <c r="F565">
        <v>42</v>
      </c>
      <c r="G565" t="s">
        <v>356</v>
      </c>
    </row>
    <row r="566" spans="1:7">
      <c r="A566" t="s">
        <v>1472</v>
      </c>
      <c r="B566" t="s">
        <v>1473</v>
      </c>
      <c r="C566">
        <v>15</v>
      </c>
      <c r="D566" s="260">
        <v>46220</v>
      </c>
      <c r="E566" s="260">
        <v>46245</v>
      </c>
      <c r="F566">
        <v>72</v>
      </c>
      <c r="G566" t="s">
        <v>356</v>
      </c>
    </row>
    <row r="567" spans="1:7">
      <c r="A567" t="s">
        <v>1474</v>
      </c>
      <c r="B567" t="s">
        <v>1475</v>
      </c>
      <c r="C567">
        <v>15</v>
      </c>
      <c r="D567" s="260">
        <v>46261</v>
      </c>
      <c r="E567" s="260">
        <v>46281</v>
      </c>
      <c r="F567">
        <v>72</v>
      </c>
      <c r="G567" t="s">
        <v>356</v>
      </c>
    </row>
    <row r="568" spans="1:7">
      <c r="A568" t="s">
        <v>1476</v>
      </c>
      <c r="B568" t="s">
        <v>1477</v>
      </c>
      <c r="C568">
        <v>25</v>
      </c>
      <c r="D568" s="260">
        <v>46178</v>
      </c>
      <c r="E568" s="260">
        <v>46212</v>
      </c>
      <c r="F568">
        <v>42</v>
      </c>
      <c r="G568" t="s">
        <v>356</v>
      </c>
    </row>
    <row r="569" spans="1:7">
      <c r="A569" t="s">
        <v>1478</v>
      </c>
      <c r="B569" t="s">
        <v>1479</v>
      </c>
      <c r="C569">
        <v>15</v>
      </c>
      <c r="D569" s="260">
        <v>46227</v>
      </c>
      <c r="E569" s="260">
        <v>46253</v>
      </c>
      <c r="F569">
        <v>67</v>
      </c>
      <c r="G569" t="s">
        <v>356</v>
      </c>
    </row>
    <row r="570" spans="1:7">
      <c r="A570" t="s">
        <v>1480</v>
      </c>
      <c r="B570" t="s">
        <v>1481</v>
      </c>
      <c r="C570">
        <v>15</v>
      </c>
      <c r="D570" s="260">
        <v>46268</v>
      </c>
      <c r="E570" s="260">
        <v>46288</v>
      </c>
      <c r="F570">
        <v>67</v>
      </c>
      <c r="G570" t="s">
        <v>356</v>
      </c>
    </row>
    <row r="571" spans="1:7">
      <c r="A571" t="s">
        <v>1482</v>
      </c>
      <c r="B571" t="s">
        <v>1483</v>
      </c>
      <c r="C571">
        <v>25</v>
      </c>
      <c r="D571" s="260">
        <v>46178</v>
      </c>
      <c r="E571" s="260">
        <v>46212</v>
      </c>
      <c r="F571">
        <v>42</v>
      </c>
      <c r="G571" t="s">
        <v>356</v>
      </c>
    </row>
    <row r="572" spans="1:7">
      <c r="A572" t="s">
        <v>1484</v>
      </c>
      <c r="B572" t="s">
        <v>1485</v>
      </c>
      <c r="C572">
        <v>15</v>
      </c>
      <c r="D572" s="260">
        <v>46227</v>
      </c>
      <c r="E572" s="260">
        <v>46253</v>
      </c>
      <c r="F572">
        <v>67</v>
      </c>
      <c r="G572" t="s">
        <v>356</v>
      </c>
    </row>
    <row r="573" spans="1:7">
      <c r="A573" t="s">
        <v>1486</v>
      </c>
      <c r="B573" t="s">
        <v>1487</v>
      </c>
      <c r="C573">
        <v>15</v>
      </c>
      <c r="D573" s="260">
        <v>46268</v>
      </c>
      <c r="E573" s="260">
        <v>46288</v>
      </c>
      <c r="F573">
        <v>67</v>
      </c>
      <c r="G573" t="s">
        <v>356</v>
      </c>
    </row>
    <row r="574" spans="1:7">
      <c r="A574" t="s">
        <v>1488</v>
      </c>
      <c r="B574" t="s">
        <v>1489</v>
      </c>
      <c r="C574">
        <v>25</v>
      </c>
      <c r="D574" s="260">
        <v>46169</v>
      </c>
      <c r="E574" s="260">
        <v>46205</v>
      </c>
      <c r="F574">
        <v>27</v>
      </c>
      <c r="G574" t="s">
        <v>356</v>
      </c>
    </row>
    <row r="575" spans="1:7">
      <c r="A575" t="s">
        <v>1490</v>
      </c>
      <c r="B575" t="s">
        <v>1491</v>
      </c>
      <c r="C575">
        <v>15</v>
      </c>
      <c r="D575" s="260">
        <v>46220</v>
      </c>
      <c r="E575" s="260">
        <v>46245</v>
      </c>
      <c r="F575">
        <v>72</v>
      </c>
      <c r="G575" t="s">
        <v>356</v>
      </c>
    </row>
    <row r="576" spans="1:7">
      <c r="A576" t="s">
        <v>1492</v>
      </c>
      <c r="B576" t="s">
        <v>1493</v>
      </c>
      <c r="C576">
        <v>15</v>
      </c>
      <c r="D576" s="260">
        <v>46261</v>
      </c>
      <c r="E576" s="260">
        <v>46281</v>
      </c>
      <c r="F576">
        <v>72</v>
      </c>
      <c r="G576" t="s">
        <v>356</v>
      </c>
    </row>
    <row r="577" spans="1:7">
      <c r="A577" t="s">
        <v>1494</v>
      </c>
      <c r="B577" t="s">
        <v>1495</v>
      </c>
      <c r="C577">
        <v>25</v>
      </c>
      <c r="D577" s="260">
        <v>46178</v>
      </c>
      <c r="E577" s="260">
        <v>46212</v>
      </c>
      <c r="F577">
        <v>27</v>
      </c>
      <c r="G577" t="s">
        <v>356</v>
      </c>
    </row>
    <row r="578" spans="1:7">
      <c r="A578" t="s">
        <v>1496</v>
      </c>
      <c r="B578" t="s">
        <v>1497</v>
      </c>
      <c r="C578">
        <v>15</v>
      </c>
      <c r="D578" s="260">
        <v>46227</v>
      </c>
      <c r="E578" s="260">
        <v>46253</v>
      </c>
      <c r="F578">
        <v>67</v>
      </c>
      <c r="G578" t="s">
        <v>356</v>
      </c>
    </row>
    <row r="579" spans="1:7">
      <c r="A579" t="s">
        <v>1498</v>
      </c>
      <c r="B579" t="s">
        <v>1499</v>
      </c>
      <c r="C579">
        <v>15</v>
      </c>
      <c r="D579" s="260">
        <v>46268</v>
      </c>
      <c r="E579" s="260">
        <v>46288</v>
      </c>
      <c r="F579">
        <v>67</v>
      </c>
      <c r="G579" t="s">
        <v>356</v>
      </c>
    </row>
    <row r="580" spans="1:7">
      <c r="A580" t="s">
        <v>1500</v>
      </c>
      <c r="B580" t="s">
        <v>1501</v>
      </c>
      <c r="C580">
        <v>25</v>
      </c>
      <c r="D580" s="260">
        <v>46178</v>
      </c>
      <c r="E580" s="260">
        <v>46212</v>
      </c>
      <c r="F580">
        <v>27</v>
      </c>
      <c r="G580" t="s">
        <v>356</v>
      </c>
    </row>
    <row r="581" spans="1:7">
      <c r="A581" t="s">
        <v>1502</v>
      </c>
      <c r="B581" t="s">
        <v>1503</v>
      </c>
      <c r="C581">
        <v>15</v>
      </c>
      <c r="D581" s="260">
        <v>46227</v>
      </c>
      <c r="E581" s="260">
        <v>46253</v>
      </c>
      <c r="F581">
        <v>67</v>
      </c>
      <c r="G581" t="s">
        <v>356</v>
      </c>
    </row>
    <row r="582" spans="1:7">
      <c r="A582" t="s">
        <v>1504</v>
      </c>
      <c r="B582" t="s">
        <v>1505</v>
      </c>
      <c r="C582">
        <v>15</v>
      </c>
      <c r="D582" s="260">
        <v>46268</v>
      </c>
      <c r="E582" s="260">
        <v>46288</v>
      </c>
      <c r="F582">
        <v>67</v>
      </c>
      <c r="G582" t="s">
        <v>356</v>
      </c>
    </row>
    <row r="583" spans="1:7">
      <c r="A583" t="s">
        <v>1506</v>
      </c>
      <c r="B583" t="s">
        <v>1507</v>
      </c>
      <c r="C583">
        <v>25</v>
      </c>
      <c r="D583" s="260">
        <v>46185</v>
      </c>
      <c r="E583" s="260">
        <v>46219</v>
      </c>
      <c r="F583">
        <v>37</v>
      </c>
      <c r="G583" t="s">
        <v>356</v>
      </c>
    </row>
    <row r="584" spans="1:7">
      <c r="A584" t="s">
        <v>1508</v>
      </c>
      <c r="B584" t="s">
        <v>1509</v>
      </c>
      <c r="C584">
        <v>15</v>
      </c>
      <c r="D584" s="260">
        <v>46239</v>
      </c>
      <c r="E584" s="260">
        <v>46260</v>
      </c>
      <c r="F584">
        <v>62</v>
      </c>
      <c r="G584" t="s">
        <v>356</v>
      </c>
    </row>
    <row r="585" spans="1:7">
      <c r="A585" t="s">
        <v>1510</v>
      </c>
      <c r="B585" t="s">
        <v>1511</v>
      </c>
      <c r="C585">
        <v>15</v>
      </c>
      <c r="D585" s="260">
        <v>46275</v>
      </c>
      <c r="E585" s="260">
        <v>46295</v>
      </c>
      <c r="F585">
        <v>62</v>
      </c>
      <c r="G585" t="s">
        <v>356</v>
      </c>
    </row>
    <row r="586" spans="1:7">
      <c r="A586" t="s">
        <v>1512</v>
      </c>
      <c r="B586" t="s">
        <v>1513</v>
      </c>
      <c r="C586">
        <v>25</v>
      </c>
      <c r="D586" s="260">
        <v>46185</v>
      </c>
      <c r="E586" s="260">
        <v>46219</v>
      </c>
      <c r="F586">
        <v>37</v>
      </c>
      <c r="G586" t="s">
        <v>356</v>
      </c>
    </row>
    <row r="587" spans="1:7">
      <c r="A587" t="s">
        <v>1514</v>
      </c>
      <c r="B587" t="s">
        <v>1515</v>
      </c>
      <c r="C587">
        <v>15</v>
      </c>
      <c r="D587" s="260">
        <v>46239</v>
      </c>
      <c r="E587" s="260">
        <v>46260</v>
      </c>
      <c r="F587">
        <v>62</v>
      </c>
      <c r="G587" t="s">
        <v>356</v>
      </c>
    </row>
    <row r="588" spans="1:7">
      <c r="A588" t="s">
        <v>1516</v>
      </c>
      <c r="B588" t="s">
        <v>1517</v>
      </c>
      <c r="C588">
        <v>15</v>
      </c>
      <c r="D588" s="260">
        <v>46275</v>
      </c>
      <c r="E588" s="260">
        <v>46295</v>
      </c>
      <c r="F588">
        <v>62</v>
      </c>
      <c r="G588" t="s">
        <v>356</v>
      </c>
    </row>
    <row r="589" spans="1:7">
      <c r="A589" t="s">
        <v>1518</v>
      </c>
      <c r="B589" t="s">
        <v>1519</v>
      </c>
      <c r="C589">
        <v>25</v>
      </c>
      <c r="D589" s="260">
        <v>46178</v>
      </c>
      <c r="E589" s="260">
        <v>46212</v>
      </c>
      <c r="F589">
        <v>27</v>
      </c>
      <c r="G589" t="s">
        <v>356</v>
      </c>
    </row>
    <row r="590" spans="1:7">
      <c r="A590" t="s">
        <v>1520</v>
      </c>
      <c r="B590" t="s">
        <v>1521</v>
      </c>
      <c r="C590">
        <v>15</v>
      </c>
      <c r="D590" s="260">
        <v>46227</v>
      </c>
      <c r="E590" s="260">
        <v>46253</v>
      </c>
      <c r="F590">
        <v>67</v>
      </c>
      <c r="G590" t="s">
        <v>356</v>
      </c>
    </row>
    <row r="591" spans="1:7">
      <c r="A591" t="s">
        <v>1522</v>
      </c>
      <c r="B591" t="s">
        <v>1523</v>
      </c>
      <c r="C591">
        <v>15</v>
      </c>
      <c r="D591" s="260">
        <v>46268</v>
      </c>
      <c r="E591" s="260">
        <v>46288</v>
      </c>
      <c r="F591">
        <v>67</v>
      </c>
      <c r="G591" t="s">
        <v>356</v>
      </c>
    </row>
    <row r="592" spans="1:7">
      <c r="A592" t="s">
        <v>1524</v>
      </c>
      <c r="B592" t="s">
        <v>1525</v>
      </c>
      <c r="C592">
        <v>25</v>
      </c>
      <c r="D592" s="260">
        <v>46178</v>
      </c>
      <c r="E592" s="260">
        <v>46212</v>
      </c>
      <c r="F592">
        <v>42</v>
      </c>
      <c r="G592" t="s">
        <v>356</v>
      </c>
    </row>
    <row r="593" spans="1:7">
      <c r="A593" t="s">
        <v>1526</v>
      </c>
      <c r="B593" t="s">
        <v>1527</v>
      </c>
      <c r="C593">
        <v>15</v>
      </c>
      <c r="D593" s="260">
        <v>46227</v>
      </c>
      <c r="E593" s="260">
        <v>46253</v>
      </c>
      <c r="F593">
        <v>67</v>
      </c>
      <c r="G593" t="s">
        <v>356</v>
      </c>
    </row>
    <row r="594" spans="1:7">
      <c r="A594" t="s">
        <v>1528</v>
      </c>
      <c r="B594" t="s">
        <v>1529</v>
      </c>
      <c r="C594">
        <v>15</v>
      </c>
      <c r="D594" s="260">
        <v>46268</v>
      </c>
      <c r="E594" s="260">
        <v>46288</v>
      </c>
      <c r="F594">
        <v>67</v>
      </c>
      <c r="G594" t="s">
        <v>356</v>
      </c>
    </row>
    <row r="595" spans="1:7">
      <c r="A595" t="s">
        <v>1530</v>
      </c>
      <c r="B595" t="s">
        <v>1531</v>
      </c>
      <c r="C595">
        <v>25</v>
      </c>
      <c r="D595" s="260">
        <v>46178</v>
      </c>
      <c r="E595" s="260">
        <v>46212</v>
      </c>
      <c r="F595">
        <v>42</v>
      </c>
      <c r="G595" t="s">
        <v>356</v>
      </c>
    </row>
    <row r="596" spans="1:7">
      <c r="A596" t="s">
        <v>1532</v>
      </c>
      <c r="B596" t="s">
        <v>1533</v>
      </c>
      <c r="C596">
        <v>15</v>
      </c>
      <c r="D596" s="260">
        <v>46227</v>
      </c>
      <c r="E596" s="260">
        <v>46253</v>
      </c>
      <c r="F596">
        <v>67</v>
      </c>
      <c r="G596" t="s">
        <v>356</v>
      </c>
    </row>
    <row r="597" spans="1:7">
      <c r="A597" t="s">
        <v>1534</v>
      </c>
      <c r="B597" t="s">
        <v>1535</v>
      </c>
      <c r="C597">
        <v>15</v>
      </c>
      <c r="D597" s="260">
        <v>46268</v>
      </c>
      <c r="E597" s="260">
        <v>46288</v>
      </c>
      <c r="F597">
        <v>67</v>
      </c>
      <c r="G597" t="s">
        <v>356</v>
      </c>
    </row>
    <row r="598" spans="1:7">
      <c r="A598" t="s">
        <v>1536</v>
      </c>
      <c r="B598" t="s">
        <v>1537</v>
      </c>
      <c r="C598">
        <v>25</v>
      </c>
      <c r="D598" s="260">
        <v>46178</v>
      </c>
      <c r="E598" s="260">
        <v>46212</v>
      </c>
      <c r="F598">
        <v>42</v>
      </c>
      <c r="G598" t="s">
        <v>356</v>
      </c>
    </row>
    <row r="599" spans="1:7">
      <c r="A599" t="s">
        <v>1538</v>
      </c>
      <c r="B599" t="s">
        <v>1539</v>
      </c>
      <c r="C599">
        <v>15</v>
      </c>
      <c r="D599" s="260">
        <v>46227</v>
      </c>
      <c r="E599" s="260">
        <v>46253</v>
      </c>
      <c r="F599">
        <v>67</v>
      </c>
      <c r="G599" t="s">
        <v>356</v>
      </c>
    </row>
    <row r="600" spans="1:7">
      <c r="A600" t="s">
        <v>1540</v>
      </c>
      <c r="B600" t="s">
        <v>1541</v>
      </c>
      <c r="C600">
        <v>15</v>
      </c>
      <c r="D600" s="260">
        <v>46268</v>
      </c>
      <c r="E600" s="260">
        <v>46288</v>
      </c>
      <c r="F600">
        <v>67</v>
      </c>
      <c r="G600" t="s">
        <v>356</v>
      </c>
    </row>
    <row r="601" spans="1:7">
      <c r="A601" t="s">
        <v>1542</v>
      </c>
      <c r="B601" t="s">
        <v>1543</v>
      </c>
      <c r="C601">
        <v>25</v>
      </c>
      <c r="D601" s="260">
        <v>46178</v>
      </c>
      <c r="E601" s="260">
        <v>46212</v>
      </c>
      <c r="F601">
        <v>42</v>
      </c>
      <c r="G601" t="s">
        <v>356</v>
      </c>
    </row>
    <row r="602" spans="1:7">
      <c r="A602" t="s">
        <v>1544</v>
      </c>
      <c r="B602" t="s">
        <v>1545</v>
      </c>
      <c r="C602">
        <v>15</v>
      </c>
      <c r="D602" s="260">
        <v>46227</v>
      </c>
      <c r="E602" s="260">
        <v>46253</v>
      </c>
      <c r="F602">
        <v>67</v>
      </c>
      <c r="G602" t="s">
        <v>356</v>
      </c>
    </row>
    <row r="603" spans="1:7">
      <c r="A603" t="s">
        <v>1546</v>
      </c>
      <c r="B603" t="s">
        <v>1547</v>
      </c>
      <c r="C603">
        <v>15</v>
      </c>
      <c r="D603" s="260">
        <v>46268</v>
      </c>
      <c r="E603" s="260">
        <v>46288</v>
      </c>
      <c r="F603">
        <v>67</v>
      </c>
      <c r="G603" t="s">
        <v>356</v>
      </c>
    </row>
    <row r="604" spans="1:7">
      <c r="A604" t="s">
        <v>1548</v>
      </c>
      <c r="B604" t="s">
        <v>1549</v>
      </c>
      <c r="C604">
        <v>25</v>
      </c>
      <c r="D604" s="260">
        <v>46178</v>
      </c>
      <c r="E604" s="260">
        <v>46212</v>
      </c>
      <c r="F604">
        <v>42</v>
      </c>
      <c r="G604" t="s">
        <v>356</v>
      </c>
    </row>
    <row r="605" spans="1:7">
      <c r="A605" t="s">
        <v>1550</v>
      </c>
      <c r="B605" t="s">
        <v>1551</v>
      </c>
      <c r="C605">
        <v>15</v>
      </c>
      <c r="D605" s="260">
        <v>46227</v>
      </c>
      <c r="E605" s="260">
        <v>46253</v>
      </c>
      <c r="F605">
        <v>67</v>
      </c>
      <c r="G605" t="s">
        <v>356</v>
      </c>
    </row>
    <row r="606" spans="1:7">
      <c r="A606" t="s">
        <v>1552</v>
      </c>
      <c r="B606" t="s">
        <v>1553</v>
      </c>
      <c r="C606">
        <v>15</v>
      </c>
      <c r="D606" s="260">
        <v>46268</v>
      </c>
      <c r="E606" s="260">
        <v>46288</v>
      </c>
      <c r="F606">
        <v>67</v>
      </c>
      <c r="G606" t="s">
        <v>356</v>
      </c>
    </row>
    <row r="607" spans="1:7">
      <c r="A607" t="s">
        <v>1554</v>
      </c>
      <c r="B607" t="s">
        <v>1555</v>
      </c>
      <c r="C607">
        <v>25</v>
      </c>
      <c r="D607" s="260">
        <v>46192</v>
      </c>
      <c r="E607" s="260">
        <v>46226</v>
      </c>
      <c r="F607">
        <v>27</v>
      </c>
      <c r="G607" t="s">
        <v>356</v>
      </c>
    </row>
    <row r="608" spans="1:7">
      <c r="A608" t="s">
        <v>1556</v>
      </c>
      <c r="B608" t="s">
        <v>1557</v>
      </c>
      <c r="C608">
        <v>15</v>
      </c>
      <c r="D608" s="260">
        <v>46247</v>
      </c>
      <c r="E608" s="260">
        <v>46267</v>
      </c>
      <c r="F608">
        <v>57</v>
      </c>
      <c r="G608" t="s">
        <v>356</v>
      </c>
    </row>
    <row r="609" spans="1:7">
      <c r="A609" t="s">
        <v>1558</v>
      </c>
      <c r="B609" t="s">
        <v>1559</v>
      </c>
      <c r="C609">
        <v>15</v>
      </c>
      <c r="D609" s="260">
        <v>46282</v>
      </c>
      <c r="E609" s="260">
        <v>46302</v>
      </c>
      <c r="F609">
        <v>57</v>
      </c>
      <c r="G609" t="s">
        <v>356</v>
      </c>
    </row>
    <row r="610" spans="1:7">
      <c r="A610" t="s">
        <v>1560</v>
      </c>
      <c r="B610" t="s">
        <v>1561</v>
      </c>
      <c r="C610">
        <v>25</v>
      </c>
      <c r="D610" s="260">
        <v>46192</v>
      </c>
      <c r="E610" s="260">
        <v>46226</v>
      </c>
      <c r="F610">
        <v>32</v>
      </c>
      <c r="G610" t="s">
        <v>356</v>
      </c>
    </row>
    <row r="611" spans="1:7">
      <c r="A611" t="s">
        <v>1562</v>
      </c>
      <c r="B611" t="s">
        <v>1563</v>
      </c>
      <c r="C611">
        <v>15</v>
      </c>
      <c r="D611" s="260">
        <v>46247</v>
      </c>
      <c r="E611" s="260">
        <v>46267</v>
      </c>
      <c r="F611">
        <v>57</v>
      </c>
      <c r="G611" t="s">
        <v>356</v>
      </c>
    </row>
    <row r="612" spans="1:7">
      <c r="A612" t="s">
        <v>1564</v>
      </c>
      <c r="B612" t="s">
        <v>1565</v>
      </c>
      <c r="C612">
        <v>15</v>
      </c>
      <c r="D612" s="260">
        <v>46282</v>
      </c>
      <c r="E612" s="260">
        <v>46302</v>
      </c>
      <c r="F612">
        <v>57</v>
      </c>
      <c r="G612" t="s">
        <v>356</v>
      </c>
    </row>
    <row r="613" spans="1:7">
      <c r="A613" t="s">
        <v>1566</v>
      </c>
      <c r="B613" t="s">
        <v>1567</v>
      </c>
      <c r="C613">
        <v>25</v>
      </c>
      <c r="D613" s="260">
        <v>46192</v>
      </c>
      <c r="E613" s="260">
        <v>46226</v>
      </c>
      <c r="F613">
        <v>32</v>
      </c>
      <c r="G613" t="s">
        <v>356</v>
      </c>
    </row>
    <row r="614" spans="1:7">
      <c r="A614" t="s">
        <v>1568</v>
      </c>
      <c r="B614" t="s">
        <v>1569</v>
      </c>
      <c r="C614">
        <v>15</v>
      </c>
      <c r="D614" s="260">
        <v>46247</v>
      </c>
      <c r="E614" s="260">
        <v>46267</v>
      </c>
      <c r="F614">
        <v>57</v>
      </c>
      <c r="G614" t="s">
        <v>356</v>
      </c>
    </row>
    <row r="615" spans="1:7">
      <c r="A615" t="s">
        <v>1570</v>
      </c>
      <c r="B615" t="s">
        <v>1571</v>
      </c>
      <c r="C615">
        <v>15</v>
      </c>
      <c r="D615" s="260">
        <v>46282</v>
      </c>
      <c r="E615" s="260">
        <v>46302</v>
      </c>
      <c r="F615">
        <v>57</v>
      </c>
      <c r="G615" t="s">
        <v>356</v>
      </c>
    </row>
    <row r="616" spans="1:7">
      <c r="A616" t="s">
        <v>1572</v>
      </c>
      <c r="B616" t="s">
        <v>1573</v>
      </c>
      <c r="C616">
        <v>25</v>
      </c>
      <c r="D616" s="260">
        <v>46192</v>
      </c>
      <c r="E616" s="260">
        <v>46226</v>
      </c>
      <c r="F616">
        <v>27</v>
      </c>
      <c r="G616" t="s">
        <v>356</v>
      </c>
    </row>
    <row r="617" spans="1:7">
      <c r="A617" t="s">
        <v>1574</v>
      </c>
      <c r="B617" t="s">
        <v>1575</v>
      </c>
      <c r="C617">
        <v>15</v>
      </c>
      <c r="D617" s="260">
        <v>46247</v>
      </c>
      <c r="E617" s="260">
        <v>46267</v>
      </c>
      <c r="F617">
        <v>57</v>
      </c>
      <c r="G617" t="s">
        <v>356</v>
      </c>
    </row>
    <row r="618" spans="1:7">
      <c r="A618" t="s">
        <v>1576</v>
      </c>
      <c r="B618" t="s">
        <v>1577</v>
      </c>
      <c r="C618">
        <v>15</v>
      </c>
      <c r="D618" s="260">
        <v>46282</v>
      </c>
      <c r="E618" s="260">
        <v>46302</v>
      </c>
      <c r="F618">
        <v>57</v>
      </c>
      <c r="G618" t="s">
        <v>356</v>
      </c>
    </row>
    <row r="619" spans="1:7">
      <c r="A619" t="s">
        <v>1578</v>
      </c>
      <c r="B619" t="s">
        <v>1579</v>
      </c>
      <c r="C619">
        <v>25</v>
      </c>
      <c r="D619" s="260">
        <v>46192</v>
      </c>
      <c r="E619" s="260">
        <v>46226</v>
      </c>
      <c r="F619">
        <v>32</v>
      </c>
      <c r="G619" t="s">
        <v>356</v>
      </c>
    </row>
    <row r="620" spans="1:7">
      <c r="A620" t="s">
        <v>1580</v>
      </c>
      <c r="B620" t="s">
        <v>1581</v>
      </c>
      <c r="C620">
        <v>15</v>
      </c>
      <c r="D620" s="260">
        <v>46247</v>
      </c>
      <c r="E620" s="260">
        <v>46267</v>
      </c>
      <c r="F620">
        <v>57</v>
      </c>
      <c r="G620" t="s">
        <v>356</v>
      </c>
    </row>
    <row r="621" spans="1:7">
      <c r="A621" t="s">
        <v>1582</v>
      </c>
      <c r="B621" t="s">
        <v>1583</v>
      </c>
      <c r="C621">
        <v>15</v>
      </c>
      <c r="D621" s="260">
        <v>46282</v>
      </c>
      <c r="E621" s="260">
        <v>46302</v>
      </c>
      <c r="F621">
        <v>57</v>
      </c>
      <c r="G621" t="s">
        <v>356</v>
      </c>
    </row>
    <row r="622" spans="1:7">
      <c r="A622" t="s">
        <v>1584</v>
      </c>
      <c r="B622" t="s">
        <v>1585</v>
      </c>
      <c r="C622">
        <v>25</v>
      </c>
      <c r="D622" s="260">
        <v>46192</v>
      </c>
      <c r="E622" s="260">
        <v>46226</v>
      </c>
      <c r="F622">
        <v>27</v>
      </c>
      <c r="G622" t="s">
        <v>356</v>
      </c>
    </row>
    <row r="623" spans="1:7">
      <c r="A623" t="s">
        <v>1586</v>
      </c>
      <c r="B623" t="s">
        <v>1587</v>
      </c>
      <c r="C623">
        <v>15</v>
      </c>
      <c r="D623" s="260">
        <v>46247</v>
      </c>
      <c r="E623" s="260">
        <v>46267</v>
      </c>
      <c r="F623">
        <v>57</v>
      </c>
      <c r="G623" t="s">
        <v>356</v>
      </c>
    </row>
    <row r="624" spans="1:7">
      <c r="A624" t="s">
        <v>1588</v>
      </c>
      <c r="B624" t="s">
        <v>1589</v>
      </c>
      <c r="C624">
        <v>15</v>
      </c>
      <c r="D624" s="260">
        <v>46282</v>
      </c>
      <c r="E624" s="260">
        <v>46302</v>
      </c>
      <c r="F624">
        <v>57</v>
      </c>
      <c r="G624" t="s">
        <v>356</v>
      </c>
    </row>
    <row r="625" spans="1:7">
      <c r="A625" t="s">
        <v>1590</v>
      </c>
      <c r="B625" t="s">
        <v>1591</v>
      </c>
      <c r="C625">
        <v>25</v>
      </c>
      <c r="D625" s="260">
        <v>46192</v>
      </c>
      <c r="E625" s="260">
        <v>46226</v>
      </c>
      <c r="F625">
        <v>32</v>
      </c>
      <c r="G625" t="s">
        <v>356</v>
      </c>
    </row>
    <row r="626" spans="1:7">
      <c r="A626" t="s">
        <v>1592</v>
      </c>
      <c r="B626" t="s">
        <v>1593</v>
      </c>
      <c r="C626">
        <v>15</v>
      </c>
      <c r="D626" s="260">
        <v>46247</v>
      </c>
      <c r="E626" s="260">
        <v>46267</v>
      </c>
      <c r="F626">
        <v>57</v>
      </c>
      <c r="G626" t="s">
        <v>356</v>
      </c>
    </row>
    <row r="627" spans="1:7">
      <c r="A627" t="s">
        <v>1594</v>
      </c>
      <c r="B627" t="s">
        <v>1595</v>
      </c>
      <c r="C627">
        <v>15</v>
      </c>
      <c r="D627" s="260">
        <v>46282</v>
      </c>
      <c r="E627" s="260">
        <v>46302</v>
      </c>
      <c r="F627">
        <v>57</v>
      </c>
      <c r="G627" t="s">
        <v>356</v>
      </c>
    </row>
    <row r="628" spans="1:7">
      <c r="A628" t="s">
        <v>1596</v>
      </c>
      <c r="B628" t="s">
        <v>1597</v>
      </c>
      <c r="C628">
        <v>25</v>
      </c>
      <c r="D628" s="260">
        <v>46192</v>
      </c>
      <c r="E628" s="260">
        <v>46226</v>
      </c>
      <c r="F628">
        <v>32</v>
      </c>
      <c r="G628" t="s">
        <v>356</v>
      </c>
    </row>
    <row r="629" spans="1:7">
      <c r="A629" t="s">
        <v>1598</v>
      </c>
      <c r="B629" t="s">
        <v>1599</v>
      </c>
      <c r="C629">
        <v>15</v>
      </c>
      <c r="D629" s="260">
        <v>46247</v>
      </c>
      <c r="E629" s="260">
        <v>46267</v>
      </c>
      <c r="F629">
        <v>57</v>
      </c>
      <c r="G629" t="s">
        <v>356</v>
      </c>
    </row>
    <row r="630" spans="1:7">
      <c r="A630" t="s">
        <v>1600</v>
      </c>
      <c r="B630" t="s">
        <v>1601</v>
      </c>
      <c r="C630">
        <v>15</v>
      </c>
      <c r="D630" s="260">
        <v>46282</v>
      </c>
      <c r="E630" s="260">
        <v>46302</v>
      </c>
      <c r="F630">
        <v>57</v>
      </c>
      <c r="G630" t="s">
        <v>356</v>
      </c>
    </row>
    <row r="631" spans="1:7">
      <c r="A631" t="s">
        <v>1602</v>
      </c>
      <c r="B631" t="s">
        <v>1603</v>
      </c>
      <c r="C631">
        <v>25</v>
      </c>
      <c r="D631" s="260">
        <v>46192</v>
      </c>
      <c r="E631" s="260">
        <v>46226</v>
      </c>
      <c r="F631">
        <v>32</v>
      </c>
      <c r="G631" t="s">
        <v>356</v>
      </c>
    </row>
    <row r="632" spans="1:7">
      <c r="A632" t="s">
        <v>1604</v>
      </c>
      <c r="B632" t="s">
        <v>1605</v>
      </c>
      <c r="C632">
        <v>15</v>
      </c>
      <c r="D632" s="260">
        <v>46247</v>
      </c>
      <c r="E632" s="260">
        <v>46267</v>
      </c>
      <c r="F632">
        <v>57</v>
      </c>
      <c r="G632" t="s">
        <v>356</v>
      </c>
    </row>
    <row r="633" spans="1:7">
      <c r="A633" t="s">
        <v>1606</v>
      </c>
      <c r="B633" t="s">
        <v>1607</v>
      </c>
      <c r="C633">
        <v>15</v>
      </c>
      <c r="D633" s="260">
        <v>46282</v>
      </c>
      <c r="E633" s="260">
        <v>46302</v>
      </c>
      <c r="F633">
        <v>57</v>
      </c>
      <c r="G633" t="s">
        <v>356</v>
      </c>
    </row>
    <row r="634" spans="1:7">
      <c r="A634" t="s">
        <v>1608</v>
      </c>
      <c r="B634" t="s">
        <v>1609</v>
      </c>
      <c r="C634">
        <v>25</v>
      </c>
      <c r="D634" s="260">
        <v>46199</v>
      </c>
      <c r="E634" s="260">
        <v>46238</v>
      </c>
      <c r="F634">
        <v>27</v>
      </c>
      <c r="G634" t="s">
        <v>356</v>
      </c>
    </row>
    <row r="635" spans="1:7">
      <c r="A635" t="s">
        <v>1610</v>
      </c>
      <c r="B635" t="s">
        <v>1611</v>
      </c>
      <c r="C635">
        <v>15</v>
      </c>
      <c r="D635" s="260">
        <v>46254</v>
      </c>
      <c r="E635" s="260">
        <v>46274</v>
      </c>
      <c r="F635">
        <v>52</v>
      </c>
      <c r="G635" t="s">
        <v>356</v>
      </c>
    </row>
    <row r="636" spans="1:7">
      <c r="A636" t="s">
        <v>1612</v>
      </c>
      <c r="B636" t="s">
        <v>1613</v>
      </c>
      <c r="C636">
        <v>15</v>
      </c>
      <c r="D636" s="260">
        <v>46289</v>
      </c>
      <c r="E636" s="260">
        <v>46310</v>
      </c>
      <c r="F636">
        <v>52</v>
      </c>
      <c r="G636" t="s">
        <v>356</v>
      </c>
    </row>
    <row r="637" spans="1:7">
      <c r="A637" t="s">
        <v>1614</v>
      </c>
      <c r="B637" t="s">
        <v>1615</v>
      </c>
      <c r="C637">
        <v>25</v>
      </c>
      <c r="D637" s="260">
        <v>46199</v>
      </c>
      <c r="E637" s="260">
        <v>46238</v>
      </c>
      <c r="F637">
        <v>27</v>
      </c>
      <c r="G637" t="s">
        <v>356</v>
      </c>
    </row>
    <row r="638" spans="1:7">
      <c r="A638" t="s">
        <v>1616</v>
      </c>
      <c r="B638" t="s">
        <v>1617</v>
      </c>
      <c r="C638">
        <v>15</v>
      </c>
      <c r="D638" s="260">
        <v>46254</v>
      </c>
      <c r="E638" s="260">
        <v>46274</v>
      </c>
      <c r="F638">
        <v>52</v>
      </c>
      <c r="G638" t="s">
        <v>356</v>
      </c>
    </row>
    <row r="639" spans="1:7">
      <c r="A639" t="s">
        <v>1618</v>
      </c>
      <c r="B639" t="s">
        <v>1619</v>
      </c>
      <c r="C639">
        <v>15</v>
      </c>
      <c r="D639" s="260">
        <v>46289</v>
      </c>
      <c r="E639" s="260">
        <v>46310</v>
      </c>
      <c r="F639">
        <v>52</v>
      </c>
      <c r="G639" t="s">
        <v>356</v>
      </c>
    </row>
    <row r="640" spans="1:7">
      <c r="A640" t="s">
        <v>1620</v>
      </c>
      <c r="B640" t="s">
        <v>1621</v>
      </c>
      <c r="C640">
        <v>25</v>
      </c>
      <c r="D640" s="260">
        <v>46199</v>
      </c>
      <c r="E640" s="260">
        <v>46238</v>
      </c>
      <c r="F640">
        <v>27</v>
      </c>
      <c r="G640" t="s">
        <v>356</v>
      </c>
    </row>
    <row r="641" spans="1:7">
      <c r="A641" t="s">
        <v>1622</v>
      </c>
      <c r="B641" t="s">
        <v>1623</v>
      </c>
      <c r="C641">
        <v>15</v>
      </c>
      <c r="D641" s="260">
        <v>46254</v>
      </c>
      <c r="E641" s="260">
        <v>46274</v>
      </c>
      <c r="F641">
        <v>52</v>
      </c>
      <c r="G641" t="s">
        <v>356</v>
      </c>
    </row>
    <row r="642" spans="1:7">
      <c r="A642" t="s">
        <v>1624</v>
      </c>
      <c r="B642" t="s">
        <v>1625</v>
      </c>
      <c r="C642">
        <v>15</v>
      </c>
      <c r="D642" s="260">
        <v>46289</v>
      </c>
      <c r="E642" s="260">
        <v>46310</v>
      </c>
      <c r="F642">
        <v>52</v>
      </c>
      <c r="G642" t="s">
        <v>356</v>
      </c>
    </row>
    <row r="643" spans="1:7">
      <c r="A643" t="s">
        <v>1626</v>
      </c>
      <c r="B643" t="s">
        <v>1627</v>
      </c>
      <c r="C643">
        <v>25</v>
      </c>
      <c r="D643" s="260">
        <v>46199</v>
      </c>
      <c r="E643" s="260">
        <v>46238</v>
      </c>
      <c r="F643">
        <v>27</v>
      </c>
      <c r="G643" t="s">
        <v>356</v>
      </c>
    </row>
    <row r="644" spans="1:7">
      <c r="A644" t="s">
        <v>1628</v>
      </c>
      <c r="B644" t="s">
        <v>1629</v>
      </c>
      <c r="C644">
        <v>15</v>
      </c>
      <c r="D644" s="260">
        <v>46254</v>
      </c>
      <c r="E644" s="260">
        <v>46274</v>
      </c>
      <c r="F644">
        <v>52</v>
      </c>
      <c r="G644" t="s">
        <v>356</v>
      </c>
    </row>
    <row r="645" spans="1:7">
      <c r="A645" t="s">
        <v>1630</v>
      </c>
      <c r="B645" t="s">
        <v>1631</v>
      </c>
      <c r="C645">
        <v>15</v>
      </c>
      <c r="D645" s="260">
        <v>46289</v>
      </c>
      <c r="E645" s="260">
        <v>46310</v>
      </c>
      <c r="F645">
        <v>52</v>
      </c>
      <c r="G645" t="s">
        <v>356</v>
      </c>
    </row>
    <row r="646" spans="1:7">
      <c r="A646" t="s">
        <v>1632</v>
      </c>
      <c r="B646" t="s">
        <v>1633</v>
      </c>
      <c r="C646">
        <v>20</v>
      </c>
      <c r="D646" s="260">
        <v>46140</v>
      </c>
      <c r="E646" s="260">
        <v>46168</v>
      </c>
      <c r="F646">
        <v>0</v>
      </c>
      <c r="G646" t="s">
        <v>356</v>
      </c>
    </row>
    <row r="647" spans="1:7">
      <c r="A647" t="s">
        <v>1634</v>
      </c>
      <c r="B647" t="s">
        <v>1635</v>
      </c>
      <c r="C647">
        <v>10</v>
      </c>
      <c r="D647" s="260">
        <v>46185</v>
      </c>
      <c r="E647" s="260">
        <v>46198</v>
      </c>
      <c r="F647">
        <v>112</v>
      </c>
      <c r="G647" t="s">
        <v>356</v>
      </c>
    </row>
    <row r="648" spans="1:7">
      <c r="A648" t="s">
        <v>1636</v>
      </c>
      <c r="B648" t="s">
        <v>1637</v>
      </c>
      <c r="C648">
        <v>5</v>
      </c>
      <c r="D648" s="260">
        <v>46213</v>
      </c>
      <c r="E648" s="260">
        <v>46219</v>
      </c>
      <c r="F648">
        <v>112</v>
      </c>
      <c r="G648" t="s">
        <v>356</v>
      </c>
    </row>
    <row r="649" spans="1:7">
      <c r="A649" t="s">
        <v>1638</v>
      </c>
      <c r="B649" t="s">
        <v>1639</v>
      </c>
      <c r="C649">
        <v>25</v>
      </c>
      <c r="D649" s="260">
        <v>46239</v>
      </c>
      <c r="E649" s="260">
        <v>46274</v>
      </c>
      <c r="F649">
        <v>27</v>
      </c>
      <c r="G649" t="s">
        <v>356</v>
      </c>
    </row>
    <row r="650" spans="1:7">
      <c r="A650" t="s">
        <v>1640</v>
      </c>
      <c r="B650" t="s">
        <v>1641</v>
      </c>
      <c r="C650">
        <v>15</v>
      </c>
      <c r="D650" s="260">
        <v>46289</v>
      </c>
      <c r="E650" s="260">
        <v>46310</v>
      </c>
      <c r="F650">
        <v>27</v>
      </c>
      <c r="G650" t="s">
        <v>356</v>
      </c>
    </row>
    <row r="651" spans="1:7">
      <c r="A651" t="s">
        <v>1642</v>
      </c>
      <c r="B651" t="s">
        <v>1643</v>
      </c>
      <c r="C651">
        <v>15</v>
      </c>
      <c r="D651" s="260">
        <v>46328</v>
      </c>
      <c r="E651" s="260">
        <v>46346</v>
      </c>
      <c r="F651">
        <v>27</v>
      </c>
      <c r="G651" t="s">
        <v>356</v>
      </c>
    </row>
    <row r="652" spans="1:7">
      <c r="A652" t="s">
        <v>1644</v>
      </c>
      <c r="B652" t="s">
        <v>1645</v>
      </c>
      <c r="C652">
        <v>25</v>
      </c>
      <c r="D652" s="260">
        <v>46170</v>
      </c>
      <c r="E652" s="260">
        <v>46206</v>
      </c>
      <c r="F652">
        <v>46</v>
      </c>
      <c r="G652" t="s">
        <v>356</v>
      </c>
    </row>
    <row r="653" spans="1:7">
      <c r="A653" t="s">
        <v>1646</v>
      </c>
      <c r="B653" t="s">
        <v>1647</v>
      </c>
      <c r="C653">
        <v>15</v>
      </c>
      <c r="D653" s="260">
        <v>46223</v>
      </c>
      <c r="E653" s="260">
        <v>46247</v>
      </c>
      <c r="F653">
        <v>56</v>
      </c>
      <c r="G653" t="s">
        <v>356</v>
      </c>
    </row>
    <row r="654" spans="1:7">
      <c r="A654" t="s">
        <v>1648</v>
      </c>
      <c r="B654" t="s">
        <v>1649</v>
      </c>
      <c r="C654">
        <v>15</v>
      </c>
      <c r="D654" s="260">
        <v>46262</v>
      </c>
      <c r="E654" s="260">
        <v>46282</v>
      </c>
      <c r="F654">
        <v>56</v>
      </c>
      <c r="G654" t="s">
        <v>356</v>
      </c>
    </row>
    <row r="655" spans="1:7">
      <c r="A655" t="s">
        <v>1650</v>
      </c>
      <c r="B655" t="s">
        <v>1651</v>
      </c>
      <c r="C655">
        <v>25</v>
      </c>
      <c r="D655" s="260">
        <v>46170</v>
      </c>
      <c r="E655" s="260">
        <v>46206</v>
      </c>
      <c r="F655">
        <v>46</v>
      </c>
      <c r="G655" t="s">
        <v>356</v>
      </c>
    </row>
    <row r="656" spans="1:7">
      <c r="A656" t="s">
        <v>1652</v>
      </c>
      <c r="B656" t="s">
        <v>1653</v>
      </c>
      <c r="C656">
        <v>15</v>
      </c>
      <c r="D656" s="260">
        <v>46223</v>
      </c>
      <c r="E656" s="260">
        <v>46247</v>
      </c>
      <c r="F656">
        <v>56</v>
      </c>
      <c r="G656" t="s">
        <v>356</v>
      </c>
    </row>
    <row r="657" spans="1:7">
      <c r="A657" t="s">
        <v>1654</v>
      </c>
      <c r="B657" t="s">
        <v>1655</v>
      </c>
      <c r="C657">
        <v>15</v>
      </c>
      <c r="D657" s="260">
        <v>46262</v>
      </c>
      <c r="E657" s="260">
        <v>46282</v>
      </c>
      <c r="F657">
        <v>56</v>
      </c>
      <c r="G657" t="s">
        <v>356</v>
      </c>
    </row>
    <row r="658" spans="1:7">
      <c r="A658" t="s">
        <v>1656</v>
      </c>
      <c r="B658" t="s">
        <v>1657</v>
      </c>
      <c r="C658">
        <v>25</v>
      </c>
      <c r="D658" s="260">
        <v>46170</v>
      </c>
      <c r="E658" s="260">
        <v>46206</v>
      </c>
      <c r="F658">
        <v>71</v>
      </c>
      <c r="G658" t="s">
        <v>356</v>
      </c>
    </row>
    <row r="659" spans="1:7">
      <c r="A659" t="s">
        <v>1658</v>
      </c>
      <c r="B659" t="s">
        <v>1659</v>
      </c>
      <c r="C659">
        <v>15</v>
      </c>
      <c r="D659" s="260">
        <v>46223</v>
      </c>
      <c r="E659" s="260">
        <v>46247</v>
      </c>
      <c r="F659">
        <v>71</v>
      </c>
      <c r="G659" t="s">
        <v>356</v>
      </c>
    </row>
    <row r="660" spans="1:7">
      <c r="A660" t="s">
        <v>1660</v>
      </c>
      <c r="B660" t="s">
        <v>1661</v>
      </c>
      <c r="C660">
        <v>15</v>
      </c>
      <c r="D660" s="260">
        <v>46262</v>
      </c>
      <c r="E660" s="260">
        <v>46282</v>
      </c>
      <c r="F660">
        <v>71</v>
      </c>
      <c r="G660" t="s">
        <v>356</v>
      </c>
    </row>
    <row r="661" spans="1:7">
      <c r="A661" t="s">
        <v>1662</v>
      </c>
      <c r="B661" t="s">
        <v>1663</v>
      </c>
      <c r="C661">
        <v>25</v>
      </c>
      <c r="D661" s="260">
        <v>46170</v>
      </c>
      <c r="E661" s="260">
        <v>46206</v>
      </c>
      <c r="F661">
        <v>46</v>
      </c>
      <c r="G661" t="s">
        <v>356</v>
      </c>
    </row>
    <row r="662" spans="1:7">
      <c r="A662" t="s">
        <v>1664</v>
      </c>
      <c r="B662" t="s">
        <v>1665</v>
      </c>
      <c r="C662">
        <v>15</v>
      </c>
      <c r="D662" s="260">
        <v>46223</v>
      </c>
      <c r="E662" s="260">
        <v>46247</v>
      </c>
      <c r="F662">
        <v>56</v>
      </c>
      <c r="G662" t="s">
        <v>356</v>
      </c>
    </row>
    <row r="663" spans="1:7">
      <c r="A663" t="s">
        <v>1666</v>
      </c>
      <c r="B663" t="s">
        <v>1667</v>
      </c>
      <c r="C663">
        <v>15</v>
      </c>
      <c r="D663" s="260">
        <v>46262</v>
      </c>
      <c r="E663" s="260">
        <v>46282</v>
      </c>
      <c r="F663">
        <v>56</v>
      </c>
      <c r="G663" t="s">
        <v>356</v>
      </c>
    </row>
    <row r="664" spans="1:7">
      <c r="A664" t="s">
        <v>1668</v>
      </c>
      <c r="B664" t="s">
        <v>1669</v>
      </c>
      <c r="C664">
        <v>25</v>
      </c>
      <c r="D664" s="260">
        <v>46209</v>
      </c>
      <c r="E664" s="260">
        <v>46247</v>
      </c>
      <c r="F664">
        <v>46</v>
      </c>
      <c r="G664" t="s">
        <v>356</v>
      </c>
    </row>
    <row r="665" spans="1:7">
      <c r="A665" t="s">
        <v>1670</v>
      </c>
      <c r="B665" t="s">
        <v>1671</v>
      </c>
      <c r="C665">
        <v>15</v>
      </c>
      <c r="D665" s="260">
        <v>46262</v>
      </c>
      <c r="E665" s="260">
        <v>46282</v>
      </c>
      <c r="F665">
        <v>46</v>
      </c>
      <c r="G665" t="s">
        <v>356</v>
      </c>
    </row>
    <row r="666" spans="1:7">
      <c r="A666" t="s">
        <v>1672</v>
      </c>
      <c r="B666" t="s">
        <v>1673</v>
      </c>
      <c r="C666">
        <v>15</v>
      </c>
      <c r="D666" s="260">
        <v>46297</v>
      </c>
      <c r="E666" s="260">
        <v>46321</v>
      </c>
      <c r="F666">
        <v>46</v>
      </c>
      <c r="G666" t="s">
        <v>356</v>
      </c>
    </row>
    <row r="667" spans="1:7">
      <c r="A667" t="s">
        <v>1674</v>
      </c>
      <c r="B667" t="s">
        <v>1675</v>
      </c>
      <c r="C667">
        <v>25</v>
      </c>
      <c r="D667" s="260">
        <v>46209</v>
      </c>
      <c r="E667" s="260">
        <v>46247</v>
      </c>
      <c r="F667">
        <v>46</v>
      </c>
      <c r="G667" t="s">
        <v>356</v>
      </c>
    </row>
    <row r="668" spans="1:7">
      <c r="A668" t="s">
        <v>1676</v>
      </c>
      <c r="B668" t="s">
        <v>1677</v>
      </c>
      <c r="C668">
        <v>15</v>
      </c>
      <c r="D668" s="260">
        <v>46262</v>
      </c>
      <c r="E668" s="260">
        <v>46282</v>
      </c>
      <c r="F668">
        <v>46</v>
      </c>
      <c r="G668" t="s">
        <v>356</v>
      </c>
    </row>
    <row r="669" spans="1:7">
      <c r="A669" t="s">
        <v>1678</v>
      </c>
      <c r="B669" t="s">
        <v>1679</v>
      </c>
      <c r="C669">
        <v>15</v>
      </c>
      <c r="D669" s="260">
        <v>46297</v>
      </c>
      <c r="E669" s="260">
        <v>46321</v>
      </c>
      <c r="F669">
        <v>46</v>
      </c>
      <c r="G669" t="s">
        <v>356</v>
      </c>
    </row>
    <row r="670" spans="1:7">
      <c r="A670" t="s">
        <v>1680</v>
      </c>
      <c r="B670" t="s">
        <v>1681</v>
      </c>
      <c r="C670">
        <v>25</v>
      </c>
      <c r="D670" s="260">
        <v>46209</v>
      </c>
      <c r="E670" s="260">
        <v>46247</v>
      </c>
      <c r="F670">
        <v>46</v>
      </c>
      <c r="G670" t="s">
        <v>356</v>
      </c>
    </row>
    <row r="671" spans="1:7">
      <c r="A671" t="s">
        <v>1682</v>
      </c>
      <c r="B671" t="s">
        <v>1683</v>
      </c>
      <c r="C671">
        <v>15</v>
      </c>
      <c r="D671" s="260">
        <v>46262</v>
      </c>
      <c r="E671" s="260">
        <v>46282</v>
      </c>
      <c r="F671">
        <v>46</v>
      </c>
      <c r="G671" t="s">
        <v>356</v>
      </c>
    </row>
    <row r="672" spans="1:7">
      <c r="A672" t="s">
        <v>1684</v>
      </c>
      <c r="B672" t="s">
        <v>1685</v>
      </c>
      <c r="C672">
        <v>15</v>
      </c>
      <c r="D672" s="260">
        <v>46297</v>
      </c>
      <c r="E672" s="260">
        <v>46321</v>
      </c>
      <c r="F672">
        <v>46</v>
      </c>
      <c r="G672" t="s">
        <v>356</v>
      </c>
    </row>
    <row r="673" spans="1:7">
      <c r="A673" t="s">
        <v>1686</v>
      </c>
      <c r="B673" t="s">
        <v>1687</v>
      </c>
      <c r="C673">
        <v>25</v>
      </c>
      <c r="D673" s="260">
        <v>46209</v>
      </c>
      <c r="E673" s="260">
        <v>46247</v>
      </c>
      <c r="F673">
        <v>46</v>
      </c>
      <c r="G673" t="s">
        <v>356</v>
      </c>
    </row>
    <row r="674" spans="1:7">
      <c r="A674" t="s">
        <v>1688</v>
      </c>
      <c r="B674" t="s">
        <v>1689</v>
      </c>
      <c r="C674">
        <v>15</v>
      </c>
      <c r="D674" s="260">
        <v>46262</v>
      </c>
      <c r="E674" s="260">
        <v>46282</v>
      </c>
      <c r="F674">
        <v>46</v>
      </c>
      <c r="G674" t="s">
        <v>356</v>
      </c>
    </row>
    <row r="675" spans="1:7">
      <c r="A675" t="s">
        <v>1690</v>
      </c>
      <c r="B675" t="s">
        <v>1691</v>
      </c>
      <c r="C675">
        <v>15</v>
      </c>
      <c r="D675" s="260">
        <v>46297</v>
      </c>
      <c r="E675" s="260">
        <v>46321</v>
      </c>
      <c r="F675">
        <v>46</v>
      </c>
      <c r="G675" t="s">
        <v>356</v>
      </c>
    </row>
    <row r="676" spans="1:7">
      <c r="A676" t="s">
        <v>1692</v>
      </c>
      <c r="B676" t="s">
        <v>1693</v>
      </c>
      <c r="C676">
        <v>25</v>
      </c>
      <c r="D676" s="260">
        <v>46209</v>
      </c>
      <c r="E676" s="260">
        <v>46247</v>
      </c>
      <c r="F676">
        <v>46</v>
      </c>
      <c r="G676" t="s">
        <v>356</v>
      </c>
    </row>
    <row r="677" spans="1:7">
      <c r="A677" t="s">
        <v>1694</v>
      </c>
      <c r="B677" t="s">
        <v>1695</v>
      </c>
      <c r="C677">
        <v>15</v>
      </c>
      <c r="D677" s="260">
        <v>46262</v>
      </c>
      <c r="E677" s="260">
        <v>46282</v>
      </c>
      <c r="F677">
        <v>46</v>
      </c>
      <c r="G677" t="s">
        <v>356</v>
      </c>
    </row>
    <row r="678" spans="1:7">
      <c r="A678" t="s">
        <v>1696</v>
      </c>
      <c r="B678" t="s">
        <v>1697</v>
      </c>
      <c r="C678">
        <v>15</v>
      </c>
      <c r="D678" s="260">
        <v>46297</v>
      </c>
      <c r="E678" s="260">
        <v>46321</v>
      </c>
      <c r="F678">
        <v>46</v>
      </c>
      <c r="G678" t="s">
        <v>356</v>
      </c>
    </row>
    <row r="679" spans="1:7">
      <c r="A679" t="s">
        <v>1698</v>
      </c>
      <c r="B679" t="s">
        <v>1699</v>
      </c>
      <c r="C679">
        <v>25</v>
      </c>
      <c r="D679" s="260">
        <v>46209</v>
      </c>
      <c r="E679" s="260">
        <v>46247</v>
      </c>
      <c r="F679">
        <v>46</v>
      </c>
      <c r="G679" t="s">
        <v>356</v>
      </c>
    </row>
    <row r="680" spans="1:7">
      <c r="A680" t="s">
        <v>1700</v>
      </c>
      <c r="B680" t="s">
        <v>1701</v>
      </c>
      <c r="C680">
        <v>15</v>
      </c>
      <c r="D680" s="260">
        <v>46262</v>
      </c>
      <c r="E680" s="260">
        <v>46282</v>
      </c>
      <c r="F680">
        <v>46</v>
      </c>
      <c r="G680" t="s">
        <v>356</v>
      </c>
    </row>
    <row r="681" spans="1:7">
      <c r="A681" t="s">
        <v>1702</v>
      </c>
      <c r="B681" t="s">
        <v>1703</v>
      </c>
      <c r="C681">
        <v>15</v>
      </c>
      <c r="D681" s="260">
        <v>46297</v>
      </c>
      <c r="E681" s="260">
        <v>46321</v>
      </c>
      <c r="F681">
        <v>46</v>
      </c>
      <c r="G681" t="s">
        <v>356</v>
      </c>
    </row>
    <row r="682" spans="1:7">
      <c r="A682" t="s">
        <v>1704</v>
      </c>
      <c r="B682" t="s">
        <v>1705</v>
      </c>
      <c r="C682">
        <v>25</v>
      </c>
      <c r="D682" s="260">
        <v>46209</v>
      </c>
      <c r="E682" s="260">
        <v>46247</v>
      </c>
      <c r="F682">
        <v>46</v>
      </c>
      <c r="G682" t="s">
        <v>356</v>
      </c>
    </row>
    <row r="683" spans="1:7">
      <c r="A683" t="s">
        <v>1706</v>
      </c>
      <c r="B683" t="s">
        <v>1707</v>
      </c>
      <c r="C683">
        <v>15</v>
      </c>
      <c r="D683" s="260">
        <v>46262</v>
      </c>
      <c r="E683" s="260">
        <v>46282</v>
      </c>
      <c r="F683">
        <v>46</v>
      </c>
      <c r="G683" t="s">
        <v>356</v>
      </c>
    </row>
    <row r="684" spans="1:7">
      <c r="A684" t="s">
        <v>1708</v>
      </c>
      <c r="B684" t="s">
        <v>1709</v>
      </c>
      <c r="C684">
        <v>15</v>
      </c>
      <c r="D684" s="260">
        <v>46297</v>
      </c>
      <c r="E684" s="260">
        <v>46321</v>
      </c>
      <c r="F684">
        <v>46</v>
      </c>
      <c r="G684" t="s">
        <v>356</v>
      </c>
    </row>
    <row r="685" spans="1:7">
      <c r="A685" t="s">
        <v>1710</v>
      </c>
      <c r="B685" t="s">
        <v>1711</v>
      </c>
      <c r="C685">
        <v>10</v>
      </c>
      <c r="D685" s="260">
        <v>46254</v>
      </c>
      <c r="E685" s="260">
        <v>46267</v>
      </c>
      <c r="F685">
        <v>47</v>
      </c>
      <c r="G685" t="s">
        <v>356</v>
      </c>
    </row>
    <row r="686" spans="1:7">
      <c r="A686" t="s">
        <v>1712</v>
      </c>
      <c r="B686" t="s">
        <v>1713</v>
      </c>
      <c r="C686">
        <v>10</v>
      </c>
      <c r="D686" s="260">
        <v>46282</v>
      </c>
      <c r="E686" s="260">
        <v>46295</v>
      </c>
      <c r="F686">
        <v>47</v>
      </c>
      <c r="G686" t="s">
        <v>356</v>
      </c>
    </row>
    <row r="687" spans="1:7">
      <c r="A687" t="s">
        <v>1714</v>
      </c>
      <c r="B687" t="s">
        <v>1715</v>
      </c>
      <c r="C687">
        <v>5</v>
      </c>
      <c r="D687" s="260">
        <v>46311</v>
      </c>
      <c r="E687" s="260">
        <v>46317</v>
      </c>
      <c r="F687">
        <v>47</v>
      </c>
      <c r="G687" t="s">
        <v>356</v>
      </c>
    </row>
    <row r="688" spans="1:7">
      <c r="A688" t="s">
        <v>1716</v>
      </c>
      <c r="B688" t="s">
        <v>1717</v>
      </c>
      <c r="C688">
        <v>10</v>
      </c>
      <c r="D688" s="260">
        <v>46156</v>
      </c>
      <c r="E688" s="260">
        <v>46169</v>
      </c>
      <c r="F688">
        <v>111</v>
      </c>
      <c r="G688" t="s">
        <v>356</v>
      </c>
    </row>
    <row r="689" spans="1:7">
      <c r="A689" t="s">
        <v>1718</v>
      </c>
      <c r="B689" t="s">
        <v>1719</v>
      </c>
      <c r="C689">
        <v>10</v>
      </c>
      <c r="D689" s="260">
        <v>46188</v>
      </c>
      <c r="E689" s="260">
        <v>46199</v>
      </c>
      <c r="F689">
        <v>111</v>
      </c>
      <c r="G689" t="s">
        <v>356</v>
      </c>
    </row>
    <row r="690" spans="1:7">
      <c r="A690" t="s">
        <v>1720</v>
      </c>
      <c r="B690" t="s">
        <v>1721</v>
      </c>
      <c r="C690">
        <v>5</v>
      </c>
      <c r="D690" s="260">
        <v>46216</v>
      </c>
      <c r="E690" s="260">
        <v>46220</v>
      </c>
      <c r="F690">
        <v>111</v>
      </c>
      <c r="G690" t="s">
        <v>356</v>
      </c>
    </row>
    <row r="691" spans="1:7">
      <c r="A691" t="s">
        <v>1722</v>
      </c>
      <c r="B691" t="s">
        <v>1723</v>
      </c>
      <c r="C691">
        <v>10</v>
      </c>
      <c r="D691" s="260">
        <v>46155</v>
      </c>
      <c r="E691" s="260">
        <v>46168</v>
      </c>
      <c r="F691">
        <v>112</v>
      </c>
      <c r="G691" t="s">
        <v>356</v>
      </c>
    </row>
    <row r="692" spans="1:7">
      <c r="A692" t="s">
        <v>1724</v>
      </c>
      <c r="B692" t="s">
        <v>1725</v>
      </c>
      <c r="C692">
        <v>10</v>
      </c>
      <c r="D692" s="260">
        <v>46185</v>
      </c>
      <c r="E692" s="260">
        <v>46198</v>
      </c>
      <c r="F692">
        <v>112</v>
      </c>
      <c r="G692" t="s">
        <v>356</v>
      </c>
    </row>
    <row r="693" spans="1:7">
      <c r="A693" t="s">
        <v>1726</v>
      </c>
      <c r="B693" t="s">
        <v>1727</v>
      </c>
      <c r="C693">
        <v>5</v>
      </c>
      <c r="D693" s="260">
        <v>46213</v>
      </c>
      <c r="E693" s="260">
        <v>46219</v>
      </c>
      <c r="F693">
        <v>112</v>
      </c>
      <c r="G693" t="s">
        <v>356</v>
      </c>
    </row>
    <row r="694" spans="1:7">
      <c r="A694" t="s">
        <v>1728</v>
      </c>
      <c r="B694" t="s">
        <v>1423</v>
      </c>
      <c r="C694">
        <v>10</v>
      </c>
      <c r="D694" s="260">
        <v>46155</v>
      </c>
      <c r="E694" s="260">
        <v>46168</v>
      </c>
      <c r="F694">
        <v>112</v>
      </c>
      <c r="G694" t="s">
        <v>356</v>
      </c>
    </row>
    <row r="695" spans="1:7">
      <c r="A695" t="s">
        <v>1729</v>
      </c>
      <c r="B695" t="s">
        <v>1425</v>
      </c>
      <c r="C695">
        <v>10</v>
      </c>
      <c r="D695" s="260">
        <v>46185</v>
      </c>
      <c r="E695" s="260">
        <v>46198</v>
      </c>
      <c r="F695">
        <v>112</v>
      </c>
      <c r="G695" t="s">
        <v>356</v>
      </c>
    </row>
    <row r="696" spans="1:7">
      <c r="A696" t="s">
        <v>1730</v>
      </c>
      <c r="B696" t="s">
        <v>1427</v>
      </c>
      <c r="C696">
        <v>5</v>
      </c>
      <c r="D696" s="260">
        <v>46213</v>
      </c>
      <c r="E696" s="260">
        <v>46219</v>
      </c>
      <c r="F696">
        <v>112</v>
      </c>
      <c r="G696" t="s">
        <v>356</v>
      </c>
    </row>
    <row r="697" spans="1:7">
      <c r="A697" t="s">
        <v>1731</v>
      </c>
      <c r="B697" t="s">
        <v>1732</v>
      </c>
      <c r="C697">
        <v>10</v>
      </c>
      <c r="D697" s="260">
        <v>46155</v>
      </c>
      <c r="E697" s="260">
        <v>46168</v>
      </c>
      <c r="F697">
        <v>112</v>
      </c>
      <c r="G697" t="s">
        <v>356</v>
      </c>
    </row>
    <row r="698" spans="1:7">
      <c r="A698" t="s">
        <v>1733</v>
      </c>
      <c r="B698" t="s">
        <v>1734</v>
      </c>
      <c r="C698">
        <v>10</v>
      </c>
      <c r="D698" s="260">
        <v>46185</v>
      </c>
      <c r="E698" s="260">
        <v>46198</v>
      </c>
      <c r="F698">
        <v>112</v>
      </c>
      <c r="G698" t="s">
        <v>356</v>
      </c>
    </row>
    <row r="699" spans="1:7">
      <c r="A699" t="s">
        <v>1735</v>
      </c>
      <c r="B699" t="s">
        <v>1736</v>
      </c>
      <c r="C699">
        <v>5</v>
      </c>
      <c r="D699" s="260">
        <v>46213</v>
      </c>
      <c r="E699" s="260">
        <v>46219</v>
      </c>
      <c r="F699">
        <v>112</v>
      </c>
      <c r="G699" t="s">
        <v>356</v>
      </c>
    </row>
    <row r="700" spans="1:7">
      <c r="A700" t="s">
        <v>1737</v>
      </c>
      <c r="B700" t="s">
        <v>1738</v>
      </c>
      <c r="C700">
        <v>10</v>
      </c>
      <c r="D700" s="260">
        <v>46155</v>
      </c>
      <c r="E700" s="260">
        <v>46168</v>
      </c>
      <c r="F700">
        <v>112</v>
      </c>
      <c r="G700" t="s">
        <v>356</v>
      </c>
    </row>
    <row r="701" spans="1:7">
      <c r="A701" t="s">
        <v>1739</v>
      </c>
      <c r="B701" t="s">
        <v>1740</v>
      </c>
      <c r="C701">
        <v>10</v>
      </c>
      <c r="D701" s="260">
        <v>46185</v>
      </c>
      <c r="E701" s="260">
        <v>46198</v>
      </c>
      <c r="F701">
        <v>112</v>
      </c>
      <c r="G701" t="s">
        <v>356</v>
      </c>
    </row>
    <row r="702" spans="1:7">
      <c r="A702" t="s">
        <v>1741</v>
      </c>
      <c r="B702" t="s">
        <v>1742</v>
      </c>
      <c r="C702">
        <v>5</v>
      </c>
      <c r="D702" s="260">
        <v>46213</v>
      </c>
      <c r="E702" s="260">
        <v>46219</v>
      </c>
      <c r="F702">
        <v>112</v>
      </c>
      <c r="G702" t="s">
        <v>356</v>
      </c>
    </row>
    <row r="703" spans="1:7">
      <c r="A703" t="s">
        <v>1743</v>
      </c>
      <c r="B703" t="s">
        <v>1744</v>
      </c>
      <c r="C703">
        <v>10</v>
      </c>
      <c r="D703" s="260">
        <v>46155</v>
      </c>
      <c r="E703" s="260">
        <v>46168</v>
      </c>
      <c r="F703">
        <v>112</v>
      </c>
      <c r="G703" t="s">
        <v>356</v>
      </c>
    </row>
    <row r="704" spans="1:7">
      <c r="A704" t="s">
        <v>1745</v>
      </c>
      <c r="B704" t="s">
        <v>1746</v>
      </c>
      <c r="C704">
        <v>10</v>
      </c>
      <c r="D704" s="260">
        <v>46185</v>
      </c>
      <c r="E704" s="260">
        <v>46198</v>
      </c>
      <c r="F704">
        <v>112</v>
      </c>
      <c r="G704" t="s">
        <v>356</v>
      </c>
    </row>
    <row r="705" spans="1:7">
      <c r="A705" t="s">
        <v>1747</v>
      </c>
      <c r="B705" t="s">
        <v>1748</v>
      </c>
      <c r="C705">
        <v>5</v>
      </c>
      <c r="D705" s="260">
        <v>46213</v>
      </c>
      <c r="E705" s="260">
        <v>46219</v>
      </c>
      <c r="F705">
        <v>112</v>
      </c>
      <c r="G705" t="s">
        <v>356</v>
      </c>
    </row>
    <row r="706" spans="1:7">
      <c r="A706" t="s">
        <v>1749</v>
      </c>
      <c r="B706" t="s">
        <v>1750</v>
      </c>
      <c r="C706">
        <v>25</v>
      </c>
      <c r="D706" s="260">
        <v>46169</v>
      </c>
      <c r="E706" s="260">
        <v>46205</v>
      </c>
      <c r="F706">
        <v>72</v>
      </c>
      <c r="G706" t="s">
        <v>356</v>
      </c>
    </row>
    <row r="707" spans="1:7">
      <c r="A707" t="s">
        <v>1751</v>
      </c>
      <c r="B707" t="s">
        <v>1752</v>
      </c>
      <c r="C707">
        <v>15</v>
      </c>
      <c r="D707" s="260">
        <v>46220</v>
      </c>
      <c r="E707" s="260">
        <v>46245</v>
      </c>
      <c r="F707">
        <v>72</v>
      </c>
      <c r="G707" t="s">
        <v>356</v>
      </c>
    </row>
    <row r="708" spans="1:7">
      <c r="A708" t="s">
        <v>1753</v>
      </c>
      <c r="B708" t="s">
        <v>1754</v>
      </c>
      <c r="C708">
        <v>15</v>
      </c>
      <c r="D708" s="260">
        <v>46261</v>
      </c>
      <c r="E708" s="260">
        <v>46281</v>
      </c>
      <c r="F708">
        <v>72</v>
      </c>
      <c r="G708" t="s">
        <v>356</v>
      </c>
    </row>
    <row r="709" spans="1:7">
      <c r="A709" t="s">
        <v>1755</v>
      </c>
      <c r="B709" t="s">
        <v>1756</v>
      </c>
      <c r="C709">
        <v>25</v>
      </c>
      <c r="D709" s="260">
        <v>46169</v>
      </c>
      <c r="E709" s="260">
        <v>46205</v>
      </c>
      <c r="F709">
        <v>72</v>
      </c>
      <c r="G709" t="s">
        <v>356</v>
      </c>
    </row>
    <row r="710" spans="1:7">
      <c r="A710" t="s">
        <v>1757</v>
      </c>
      <c r="B710" t="s">
        <v>1758</v>
      </c>
      <c r="C710">
        <v>15</v>
      </c>
      <c r="D710" s="260">
        <v>46220</v>
      </c>
      <c r="E710" s="260">
        <v>46245</v>
      </c>
      <c r="F710">
        <v>72</v>
      </c>
      <c r="G710" t="s">
        <v>356</v>
      </c>
    </row>
    <row r="711" spans="1:7">
      <c r="A711" t="s">
        <v>1759</v>
      </c>
      <c r="B711" t="s">
        <v>1760</v>
      </c>
      <c r="C711">
        <v>15</v>
      </c>
      <c r="D711" s="260">
        <v>46261</v>
      </c>
      <c r="E711" s="260">
        <v>46281</v>
      </c>
      <c r="F711">
        <v>72</v>
      </c>
      <c r="G711" t="s">
        <v>356</v>
      </c>
    </row>
    <row r="712" spans="1:7">
      <c r="A712" t="s">
        <v>1761</v>
      </c>
      <c r="B712" t="s">
        <v>1762</v>
      </c>
      <c r="C712">
        <v>25</v>
      </c>
      <c r="D712" s="260">
        <v>46169</v>
      </c>
      <c r="E712" s="260">
        <v>46205</v>
      </c>
      <c r="F712">
        <v>72</v>
      </c>
      <c r="G712" t="s">
        <v>356</v>
      </c>
    </row>
    <row r="713" spans="1:7">
      <c r="A713" t="s">
        <v>1763</v>
      </c>
      <c r="B713" t="s">
        <v>1764</v>
      </c>
      <c r="C713">
        <v>15</v>
      </c>
      <c r="D713" s="260">
        <v>46220</v>
      </c>
      <c r="E713" s="260">
        <v>46245</v>
      </c>
      <c r="F713">
        <v>72</v>
      </c>
      <c r="G713" t="s">
        <v>356</v>
      </c>
    </row>
    <row r="714" spans="1:7">
      <c r="A714" t="s">
        <v>1765</v>
      </c>
      <c r="B714" t="s">
        <v>1766</v>
      </c>
      <c r="C714">
        <v>15</v>
      </c>
      <c r="D714" s="260">
        <v>46261</v>
      </c>
      <c r="E714" s="260">
        <v>46281</v>
      </c>
      <c r="F714">
        <v>72</v>
      </c>
      <c r="G714" t="s">
        <v>356</v>
      </c>
    </row>
    <row r="715" spans="1:7">
      <c r="A715" t="s">
        <v>1767</v>
      </c>
      <c r="B715" t="s">
        <v>1768</v>
      </c>
      <c r="C715">
        <v>25</v>
      </c>
      <c r="D715" s="260">
        <v>46178</v>
      </c>
      <c r="E715" s="260">
        <v>46212</v>
      </c>
      <c r="F715">
        <v>67</v>
      </c>
      <c r="G715" t="s">
        <v>356</v>
      </c>
    </row>
    <row r="716" spans="1:7">
      <c r="A716" t="s">
        <v>1769</v>
      </c>
      <c r="B716" t="s">
        <v>1770</v>
      </c>
      <c r="C716">
        <v>15</v>
      </c>
      <c r="D716" s="260">
        <v>46227</v>
      </c>
      <c r="E716" s="260">
        <v>46253</v>
      </c>
      <c r="F716">
        <v>67</v>
      </c>
      <c r="G716" t="s">
        <v>356</v>
      </c>
    </row>
    <row r="717" spans="1:7">
      <c r="A717" t="s">
        <v>1771</v>
      </c>
      <c r="B717" t="s">
        <v>1772</v>
      </c>
      <c r="C717">
        <v>15</v>
      </c>
      <c r="D717" s="260">
        <v>46268</v>
      </c>
      <c r="E717" s="260">
        <v>46288</v>
      </c>
      <c r="F717">
        <v>67</v>
      </c>
      <c r="G717" t="s">
        <v>356</v>
      </c>
    </row>
    <row r="718" spans="1:7">
      <c r="A718" t="s">
        <v>1773</v>
      </c>
      <c r="B718" t="s">
        <v>1774</v>
      </c>
      <c r="C718">
        <v>25</v>
      </c>
      <c r="D718" s="260">
        <v>46169</v>
      </c>
      <c r="E718" s="260">
        <v>46205</v>
      </c>
      <c r="F718">
        <v>72</v>
      </c>
      <c r="G718" t="s">
        <v>356</v>
      </c>
    </row>
    <row r="719" spans="1:7">
      <c r="A719" t="s">
        <v>1775</v>
      </c>
      <c r="B719" t="s">
        <v>1776</v>
      </c>
      <c r="C719">
        <v>15</v>
      </c>
      <c r="D719" s="260">
        <v>46220</v>
      </c>
      <c r="E719" s="260">
        <v>46245</v>
      </c>
      <c r="F719">
        <v>72</v>
      </c>
      <c r="G719" t="s">
        <v>356</v>
      </c>
    </row>
    <row r="720" spans="1:7">
      <c r="A720" t="s">
        <v>1777</v>
      </c>
      <c r="B720" t="s">
        <v>1778</v>
      </c>
      <c r="C720">
        <v>15</v>
      </c>
      <c r="D720" s="260">
        <v>46261</v>
      </c>
      <c r="E720" s="260">
        <v>46281</v>
      </c>
      <c r="F720">
        <v>72</v>
      </c>
      <c r="G720" t="s">
        <v>356</v>
      </c>
    </row>
    <row r="721" spans="1:7">
      <c r="A721" t="s">
        <v>1779</v>
      </c>
      <c r="B721" t="s">
        <v>1780</v>
      </c>
      <c r="C721">
        <v>25</v>
      </c>
      <c r="D721" s="260">
        <v>46178</v>
      </c>
      <c r="E721" s="260">
        <v>46212</v>
      </c>
      <c r="F721">
        <v>67</v>
      </c>
      <c r="G721" t="s">
        <v>356</v>
      </c>
    </row>
    <row r="722" spans="1:7">
      <c r="A722" t="s">
        <v>1781</v>
      </c>
      <c r="B722" t="s">
        <v>1782</v>
      </c>
      <c r="C722">
        <v>15</v>
      </c>
      <c r="D722" s="260">
        <v>46227</v>
      </c>
      <c r="E722" s="260">
        <v>46253</v>
      </c>
      <c r="F722">
        <v>67</v>
      </c>
      <c r="G722" t="s">
        <v>356</v>
      </c>
    </row>
    <row r="723" spans="1:7">
      <c r="A723" t="s">
        <v>1783</v>
      </c>
      <c r="B723" t="s">
        <v>1784</v>
      </c>
      <c r="C723">
        <v>15</v>
      </c>
      <c r="D723" s="260">
        <v>46268</v>
      </c>
      <c r="E723" s="260">
        <v>46288</v>
      </c>
      <c r="F723">
        <v>67</v>
      </c>
      <c r="G723" t="s">
        <v>356</v>
      </c>
    </row>
    <row r="724" spans="1:7">
      <c r="A724" t="s">
        <v>1785</v>
      </c>
      <c r="B724" t="s">
        <v>1786</v>
      </c>
      <c r="C724">
        <v>25</v>
      </c>
      <c r="D724" s="260">
        <v>46178</v>
      </c>
      <c r="E724" s="260">
        <v>46212</v>
      </c>
      <c r="F724">
        <v>67</v>
      </c>
      <c r="G724" t="s">
        <v>356</v>
      </c>
    </row>
    <row r="725" spans="1:7">
      <c r="A725" t="s">
        <v>1787</v>
      </c>
      <c r="B725" t="s">
        <v>1788</v>
      </c>
      <c r="C725">
        <v>15</v>
      </c>
      <c r="D725" s="260">
        <v>46227</v>
      </c>
      <c r="E725" s="260">
        <v>46253</v>
      </c>
      <c r="F725">
        <v>67</v>
      </c>
      <c r="G725" t="s">
        <v>356</v>
      </c>
    </row>
    <row r="726" spans="1:7">
      <c r="A726" t="s">
        <v>1789</v>
      </c>
      <c r="B726" t="s">
        <v>1790</v>
      </c>
      <c r="C726">
        <v>15</v>
      </c>
      <c r="D726" s="260">
        <v>46268</v>
      </c>
      <c r="E726" s="260">
        <v>46288</v>
      </c>
      <c r="F726">
        <v>67</v>
      </c>
      <c r="G726" t="s">
        <v>356</v>
      </c>
    </row>
    <row r="727" spans="1:7">
      <c r="A727" t="s">
        <v>1791</v>
      </c>
      <c r="B727" t="s">
        <v>1792</v>
      </c>
      <c r="C727">
        <v>25</v>
      </c>
      <c r="D727" s="260">
        <v>46169</v>
      </c>
      <c r="E727" s="260">
        <v>46205</v>
      </c>
      <c r="F727">
        <v>72</v>
      </c>
      <c r="G727" t="s">
        <v>356</v>
      </c>
    </row>
    <row r="728" spans="1:7">
      <c r="A728" t="s">
        <v>1793</v>
      </c>
      <c r="B728" t="s">
        <v>1794</v>
      </c>
      <c r="C728">
        <v>15</v>
      </c>
      <c r="D728" s="260">
        <v>46220</v>
      </c>
      <c r="E728" s="260">
        <v>46245</v>
      </c>
      <c r="F728">
        <v>72</v>
      </c>
      <c r="G728" t="s">
        <v>356</v>
      </c>
    </row>
    <row r="729" spans="1:7">
      <c r="A729" t="s">
        <v>1795</v>
      </c>
      <c r="B729" t="s">
        <v>1796</v>
      </c>
      <c r="C729">
        <v>15</v>
      </c>
      <c r="D729" s="260">
        <v>46261</v>
      </c>
      <c r="E729" s="260">
        <v>46281</v>
      </c>
      <c r="F729">
        <v>72</v>
      </c>
      <c r="G729" t="s">
        <v>356</v>
      </c>
    </row>
    <row r="730" spans="1:7">
      <c r="A730" t="s">
        <v>1797</v>
      </c>
      <c r="B730" t="s">
        <v>1798</v>
      </c>
      <c r="C730">
        <v>25</v>
      </c>
      <c r="D730" s="260">
        <v>46178</v>
      </c>
      <c r="E730" s="260">
        <v>46212</v>
      </c>
      <c r="F730">
        <v>67</v>
      </c>
      <c r="G730" t="s">
        <v>356</v>
      </c>
    </row>
    <row r="731" spans="1:7">
      <c r="A731" t="s">
        <v>1799</v>
      </c>
      <c r="B731" t="s">
        <v>1800</v>
      </c>
      <c r="C731">
        <v>15</v>
      </c>
      <c r="D731" s="260">
        <v>46227</v>
      </c>
      <c r="E731" s="260">
        <v>46253</v>
      </c>
      <c r="F731">
        <v>67</v>
      </c>
      <c r="G731" t="s">
        <v>356</v>
      </c>
    </row>
    <row r="732" spans="1:7">
      <c r="A732" t="s">
        <v>1801</v>
      </c>
      <c r="B732" t="s">
        <v>1802</v>
      </c>
      <c r="C732">
        <v>15</v>
      </c>
      <c r="D732" s="260">
        <v>46268</v>
      </c>
      <c r="E732" s="260">
        <v>46288</v>
      </c>
      <c r="F732">
        <v>67</v>
      </c>
      <c r="G732" t="s">
        <v>356</v>
      </c>
    </row>
    <row r="733" spans="1:7">
      <c r="A733" t="s">
        <v>1803</v>
      </c>
      <c r="B733" t="s">
        <v>1804</v>
      </c>
      <c r="C733">
        <v>25</v>
      </c>
      <c r="D733" s="260">
        <v>46178</v>
      </c>
      <c r="E733" s="260">
        <v>46212</v>
      </c>
      <c r="F733">
        <v>67</v>
      </c>
      <c r="G733" t="s">
        <v>356</v>
      </c>
    </row>
    <row r="734" spans="1:7">
      <c r="A734" t="s">
        <v>1805</v>
      </c>
      <c r="B734" t="s">
        <v>1806</v>
      </c>
      <c r="C734">
        <v>15</v>
      </c>
      <c r="D734" s="260">
        <v>46227</v>
      </c>
      <c r="E734" s="260">
        <v>46253</v>
      </c>
      <c r="F734">
        <v>67</v>
      </c>
      <c r="G734" t="s">
        <v>356</v>
      </c>
    </row>
    <row r="735" spans="1:7">
      <c r="A735" t="s">
        <v>1807</v>
      </c>
      <c r="B735" t="s">
        <v>1808</v>
      </c>
      <c r="C735">
        <v>15</v>
      </c>
      <c r="D735" s="260">
        <v>46268</v>
      </c>
      <c r="E735" s="260">
        <v>46288</v>
      </c>
      <c r="F735">
        <v>67</v>
      </c>
      <c r="G735" t="s">
        <v>356</v>
      </c>
    </row>
    <row r="736" spans="1:7">
      <c r="A736" t="s">
        <v>1809</v>
      </c>
      <c r="B736" t="s">
        <v>1810</v>
      </c>
      <c r="C736">
        <v>25</v>
      </c>
      <c r="D736" s="260">
        <v>46185</v>
      </c>
      <c r="E736" s="260">
        <v>46219</v>
      </c>
      <c r="F736">
        <v>62</v>
      </c>
      <c r="G736" t="s">
        <v>356</v>
      </c>
    </row>
    <row r="737" spans="1:7">
      <c r="A737" t="s">
        <v>1811</v>
      </c>
      <c r="B737" t="s">
        <v>1812</v>
      </c>
      <c r="C737">
        <v>15</v>
      </c>
      <c r="D737" s="260">
        <v>46239</v>
      </c>
      <c r="E737" s="260">
        <v>46260</v>
      </c>
      <c r="F737">
        <v>62</v>
      </c>
      <c r="G737" t="s">
        <v>356</v>
      </c>
    </row>
    <row r="738" spans="1:7">
      <c r="A738" t="s">
        <v>1813</v>
      </c>
      <c r="B738" t="s">
        <v>1814</v>
      </c>
      <c r="C738">
        <v>15</v>
      </c>
      <c r="D738" s="260">
        <v>46275</v>
      </c>
      <c r="E738" s="260">
        <v>46295</v>
      </c>
      <c r="F738">
        <v>62</v>
      </c>
      <c r="G738" t="s">
        <v>356</v>
      </c>
    </row>
    <row r="739" spans="1:7">
      <c r="A739" t="s">
        <v>1815</v>
      </c>
      <c r="B739" t="s">
        <v>1816</v>
      </c>
      <c r="C739">
        <v>25</v>
      </c>
      <c r="D739" s="260">
        <v>46185</v>
      </c>
      <c r="E739" s="260">
        <v>46219</v>
      </c>
      <c r="F739">
        <v>62</v>
      </c>
      <c r="G739" t="s">
        <v>356</v>
      </c>
    </row>
    <row r="740" spans="1:7">
      <c r="A740" t="s">
        <v>1817</v>
      </c>
      <c r="B740" t="s">
        <v>1818</v>
      </c>
      <c r="C740">
        <v>15</v>
      </c>
      <c r="D740" s="260">
        <v>46239</v>
      </c>
      <c r="E740" s="260">
        <v>46260</v>
      </c>
      <c r="F740">
        <v>62</v>
      </c>
      <c r="G740" t="s">
        <v>356</v>
      </c>
    </row>
    <row r="741" spans="1:7">
      <c r="A741" t="s">
        <v>1819</v>
      </c>
      <c r="B741" t="s">
        <v>1820</v>
      </c>
      <c r="C741">
        <v>15</v>
      </c>
      <c r="D741" s="260">
        <v>46275</v>
      </c>
      <c r="E741" s="260">
        <v>46295</v>
      </c>
      <c r="F741">
        <v>62</v>
      </c>
      <c r="G741" t="s">
        <v>356</v>
      </c>
    </row>
    <row r="742" spans="1:7">
      <c r="A742" t="s">
        <v>1821</v>
      </c>
      <c r="B742" t="s">
        <v>1822</v>
      </c>
      <c r="C742">
        <v>25</v>
      </c>
      <c r="D742" s="260">
        <v>46178</v>
      </c>
      <c r="E742" s="260">
        <v>46212</v>
      </c>
      <c r="F742">
        <v>67</v>
      </c>
      <c r="G742" t="s">
        <v>356</v>
      </c>
    </row>
    <row r="743" spans="1:7">
      <c r="A743" t="s">
        <v>1823</v>
      </c>
      <c r="B743" t="s">
        <v>1824</v>
      </c>
      <c r="C743">
        <v>15</v>
      </c>
      <c r="D743" s="260">
        <v>46227</v>
      </c>
      <c r="E743" s="260">
        <v>46253</v>
      </c>
      <c r="F743">
        <v>67</v>
      </c>
      <c r="G743" t="s">
        <v>356</v>
      </c>
    </row>
    <row r="744" spans="1:7">
      <c r="A744" t="s">
        <v>1825</v>
      </c>
      <c r="B744" t="s">
        <v>1826</v>
      </c>
      <c r="C744">
        <v>15</v>
      </c>
      <c r="D744" s="260">
        <v>46268</v>
      </c>
      <c r="E744" s="260">
        <v>46288</v>
      </c>
      <c r="F744">
        <v>67</v>
      </c>
      <c r="G744" t="s">
        <v>356</v>
      </c>
    </row>
    <row r="745" spans="1:7">
      <c r="A745" t="s">
        <v>1827</v>
      </c>
      <c r="B745" t="s">
        <v>1828</v>
      </c>
      <c r="C745">
        <v>25</v>
      </c>
      <c r="D745" s="260">
        <v>46178</v>
      </c>
      <c r="E745" s="260">
        <v>46212</v>
      </c>
      <c r="F745">
        <v>67</v>
      </c>
      <c r="G745" t="s">
        <v>356</v>
      </c>
    </row>
    <row r="746" spans="1:7">
      <c r="A746" t="s">
        <v>1829</v>
      </c>
      <c r="B746" t="s">
        <v>1830</v>
      </c>
      <c r="C746">
        <v>15</v>
      </c>
      <c r="D746" s="260">
        <v>46227</v>
      </c>
      <c r="E746" s="260">
        <v>46253</v>
      </c>
      <c r="F746">
        <v>67</v>
      </c>
      <c r="G746" t="s">
        <v>356</v>
      </c>
    </row>
    <row r="747" spans="1:7">
      <c r="A747" t="s">
        <v>1831</v>
      </c>
      <c r="B747" t="s">
        <v>1832</v>
      </c>
      <c r="C747">
        <v>15</v>
      </c>
      <c r="D747" s="260">
        <v>46268</v>
      </c>
      <c r="E747" s="260">
        <v>46288</v>
      </c>
      <c r="F747">
        <v>67</v>
      </c>
      <c r="G747" t="s">
        <v>356</v>
      </c>
    </row>
    <row r="748" spans="1:7">
      <c r="A748" t="s">
        <v>1833</v>
      </c>
      <c r="B748" t="s">
        <v>1834</v>
      </c>
      <c r="C748">
        <v>25</v>
      </c>
      <c r="D748" s="260">
        <v>46178</v>
      </c>
      <c r="E748" s="260">
        <v>46212</v>
      </c>
      <c r="F748">
        <v>67</v>
      </c>
      <c r="G748" t="s">
        <v>356</v>
      </c>
    </row>
    <row r="749" spans="1:7">
      <c r="A749" t="s">
        <v>1835</v>
      </c>
      <c r="B749" t="s">
        <v>1836</v>
      </c>
      <c r="C749">
        <v>15</v>
      </c>
      <c r="D749" s="260">
        <v>46227</v>
      </c>
      <c r="E749" s="260">
        <v>46253</v>
      </c>
      <c r="F749">
        <v>67</v>
      </c>
      <c r="G749" t="s">
        <v>356</v>
      </c>
    </row>
    <row r="750" spans="1:7">
      <c r="A750" t="s">
        <v>1837</v>
      </c>
      <c r="B750" t="s">
        <v>1838</v>
      </c>
      <c r="C750">
        <v>15</v>
      </c>
      <c r="D750" s="260">
        <v>46268</v>
      </c>
      <c r="E750" s="260">
        <v>46288</v>
      </c>
      <c r="F750">
        <v>67</v>
      </c>
      <c r="G750" t="s">
        <v>356</v>
      </c>
    </row>
    <row r="751" spans="1:7">
      <c r="A751" t="s">
        <v>1839</v>
      </c>
      <c r="B751" t="s">
        <v>1840</v>
      </c>
      <c r="C751">
        <v>25</v>
      </c>
      <c r="D751" s="260">
        <v>46178</v>
      </c>
      <c r="E751" s="260">
        <v>46212</v>
      </c>
      <c r="F751">
        <v>67</v>
      </c>
      <c r="G751" t="s">
        <v>356</v>
      </c>
    </row>
    <row r="752" spans="1:7">
      <c r="A752" t="s">
        <v>1841</v>
      </c>
      <c r="B752" t="s">
        <v>1842</v>
      </c>
      <c r="C752">
        <v>15</v>
      </c>
      <c r="D752" s="260">
        <v>46227</v>
      </c>
      <c r="E752" s="260">
        <v>46253</v>
      </c>
      <c r="F752">
        <v>67</v>
      </c>
      <c r="G752" t="s">
        <v>356</v>
      </c>
    </row>
    <row r="753" spans="1:7">
      <c r="A753" t="s">
        <v>1843</v>
      </c>
      <c r="B753" t="s">
        <v>1844</v>
      </c>
      <c r="C753">
        <v>15</v>
      </c>
      <c r="D753" s="260">
        <v>46268</v>
      </c>
      <c r="E753" s="260">
        <v>46288</v>
      </c>
      <c r="F753">
        <v>67</v>
      </c>
      <c r="G753" t="s">
        <v>356</v>
      </c>
    </row>
    <row r="754" spans="1:7">
      <c r="A754" t="s">
        <v>1845</v>
      </c>
      <c r="B754" t="s">
        <v>1846</v>
      </c>
      <c r="C754">
        <v>25</v>
      </c>
      <c r="D754" s="260">
        <v>46178</v>
      </c>
      <c r="E754" s="260">
        <v>46212</v>
      </c>
      <c r="F754">
        <v>67</v>
      </c>
      <c r="G754" t="s">
        <v>356</v>
      </c>
    </row>
    <row r="755" spans="1:7">
      <c r="A755" t="s">
        <v>1847</v>
      </c>
      <c r="B755" t="s">
        <v>1848</v>
      </c>
      <c r="C755">
        <v>15</v>
      </c>
      <c r="D755" s="260">
        <v>46227</v>
      </c>
      <c r="E755" s="260">
        <v>46253</v>
      </c>
      <c r="F755">
        <v>67</v>
      </c>
      <c r="G755" t="s">
        <v>356</v>
      </c>
    </row>
    <row r="756" spans="1:7">
      <c r="A756" t="s">
        <v>1849</v>
      </c>
      <c r="B756" t="s">
        <v>1850</v>
      </c>
      <c r="C756">
        <v>15</v>
      </c>
      <c r="D756" s="260">
        <v>46268</v>
      </c>
      <c r="E756" s="260">
        <v>46288</v>
      </c>
      <c r="F756">
        <v>67</v>
      </c>
      <c r="G756" t="s">
        <v>356</v>
      </c>
    </row>
    <row r="757" spans="1:7">
      <c r="A757" t="s">
        <v>1851</v>
      </c>
      <c r="B757" t="s">
        <v>1852</v>
      </c>
      <c r="C757">
        <v>25</v>
      </c>
      <c r="D757" s="260">
        <v>46178</v>
      </c>
      <c r="E757" s="260">
        <v>46212</v>
      </c>
      <c r="F757">
        <v>67</v>
      </c>
      <c r="G757" t="s">
        <v>356</v>
      </c>
    </row>
    <row r="758" spans="1:7">
      <c r="A758" t="s">
        <v>1853</v>
      </c>
      <c r="B758" t="s">
        <v>1854</v>
      </c>
      <c r="C758">
        <v>15</v>
      </c>
      <c r="D758" s="260">
        <v>46227</v>
      </c>
      <c r="E758" s="260">
        <v>46253</v>
      </c>
      <c r="F758">
        <v>67</v>
      </c>
      <c r="G758" t="s">
        <v>356</v>
      </c>
    </row>
    <row r="759" spans="1:7">
      <c r="A759" t="s">
        <v>1855</v>
      </c>
      <c r="B759" t="s">
        <v>1856</v>
      </c>
      <c r="C759">
        <v>15</v>
      </c>
      <c r="D759" s="260">
        <v>46268</v>
      </c>
      <c r="E759" s="260">
        <v>46288</v>
      </c>
      <c r="F759">
        <v>67</v>
      </c>
      <c r="G759" t="s">
        <v>356</v>
      </c>
    </row>
    <row r="760" spans="1:7">
      <c r="A760" t="s">
        <v>1857</v>
      </c>
      <c r="B760" t="s">
        <v>1858</v>
      </c>
      <c r="C760">
        <v>25</v>
      </c>
      <c r="D760" s="260">
        <v>46227</v>
      </c>
      <c r="E760" s="260">
        <v>46267</v>
      </c>
      <c r="F760">
        <v>32</v>
      </c>
      <c r="G760" t="s">
        <v>356</v>
      </c>
    </row>
    <row r="761" spans="1:7">
      <c r="A761" t="s">
        <v>1859</v>
      </c>
      <c r="B761" t="s">
        <v>1860</v>
      </c>
      <c r="C761">
        <v>15</v>
      </c>
      <c r="D761" s="260">
        <v>46282</v>
      </c>
      <c r="E761" s="260">
        <v>46302</v>
      </c>
      <c r="F761">
        <v>32</v>
      </c>
      <c r="G761" t="s">
        <v>356</v>
      </c>
    </row>
    <row r="762" spans="1:7">
      <c r="A762" t="s">
        <v>1861</v>
      </c>
      <c r="B762" t="s">
        <v>1862</v>
      </c>
      <c r="C762">
        <v>15</v>
      </c>
      <c r="D762" s="260">
        <v>46321</v>
      </c>
      <c r="E762" s="260">
        <v>46339</v>
      </c>
      <c r="F762">
        <v>32</v>
      </c>
      <c r="G762" t="s">
        <v>356</v>
      </c>
    </row>
    <row r="763" spans="1:7">
      <c r="A763" t="s">
        <v>1863</v>
      </c>
      <c r="B763" t="s">
        <v>1864</v>
      </c>
      <c r="C763">
        <v>25</v>
      </c>
      <c r="D763" s="260">
        <v>46192</v>
      </c>
      <c r="E763" s="260">
        <v>46226</v>
      </c>
      <c r="F763">
        <v>57</v>
      </c>
      <c r="G763" t="s">
        <v>356</v>
      </c>
    </row>
    <row r="764" spans="1:7">
      <c r="A764" t="s">
        <v>1865</v>
      </c>
      <c r="B764" t="s">
        <v>1866</v>
      </c>
      <c r="C764">
        <v>15</v>
      </c>
      <c r="D764" s="260">
        <v>46247</v>
      </c>
      <c r="E764" s="260">
        <v>46267</v>
      </c>
      <c r="F764">
        <v>57</v>
      </c>
      <c r="G764" t="s">
        <v>356</v>
      </c>
    </row>
    <row r="765" spans="1:7">
      <c r="A765" t="s">
        <v>1867</v>
      </c>
      <c r="B765" t="s">
        <v>1868</v>
      </c>
      <c r="C765">
        <v>15</v>
      </c>
      <c r="D765" s="260">
        <v>46282</v>
      </c>
      <c r="E765" s="260">
        <v>46302</v>
      </c>
      <c r="F765">
        <v>57</v>
      </c>
      <c r="G765" t="s">
        <v>356</v>
      </c>
    </row>
    <row r="766" spans="1:7">
      <c r="A766" t="s">
        <v>1869</v>
      </c>
      <c r="B766" t="s">
        <v>1870</v>
      </c>
      <c r="C766">
        <v>25</v>
      </c>
      <c r="D766" s="260">
        <v>46192</v>
      </c>
      <c r="E766" s="260">
        <v>46226</v>
      </c>
      <c r="F766">
        <v>57</v>
      </c>
      <c r="G766" t="s">
        <v>356</v>
      </c>
    </row>
    <row r="767" spans="1:7">
      <c r="A767" t="s">
        <v>1871</v>
      </c>
      <c r="B767" t="s">
        <v>1872</v>
      </c>
      <c r="C767">
        <v>15</v>
      </c>
      <c r="D767" s="260">
        <v>46247</v>
      </c>
      <c r="E767" s="260">
        <v>46267</v>
      </c>
      <c r="F767">
        <v>57</v>
      </c>
      <c r="G767" t="s">
        <v>356</v>
      </c>
    </row>
    <row r="768" spans="1:7">
      <c r="A768" t="s">
        <v>1873</v>
      </c>
      <c r="B768" t="s">
        <v>1874</v>
      </c>
      <c r="C768">
        <v>15</v>
      </c>
      <c r="D768" s="260">
        <v>46282</v>
      </c>
      <c r="E768" s="260">
        <v>46302</v>
      </c>
      <c r="F768">
        <v>57</v>
      </c>
      <c r="G768" t="s">
        <v>356</v>
      </c>
    </row>
    <row r="769" spans="1:7">
      <c r="A769" t="s">
        <v>1875</v>
      </c>
      <c r="B769" t="s">
        <v>1876</v>
      </c>
      <c r="C769">
        <v>25</v>
      </c>
      <c r="D769" s="260">
        <v>46192</v>
      </c>
      <c r="E769" s="260">
        <v>46226</v>
      </c>
      <c r="F769">
        <v>57</v>
      </c>
      <c r="G769" t="s">
        <v>356</v>
      </c>
    </row>
    <row r="770" spans="1:7">
      <c r="A770" t="s">
        <v>1877</v>
      </c>
      <c r="B770" t="s">
        <v>1878</v>
      </c>
      <c r="C770">
        <v>15</v>
      </c>
      <c r="D770" s="260">
        <v>46247</v>
      </c>
      <c r="E770" s="260">
        <v>46267</v>
      </c>
      <c r="F770">
        <v>57</v>
      </c>
      <c r="G770" t="s">
        <v>356</v>
      </c>
    </row>
    <row r="771" spans="1:7">
      <c r="A771" t="s">
        <v>1879</v>
      </c>
      <c r="B771" t="s">
        <v>1880</v>
      </c>
      <c r="C771">
        <v>15</v>
      </c>
      <c r="D771" s="260">
        <v>46282</v>
      </c>
      <c r="E771" s="260">
        <v>46302</v>
      </c>
      <c r="F771">
        <v>57</v>
      </c>
      <c r="G771" t="s">
        <v>356</v>
      </c>
    </row>
    <row r="772" spans="1:7">
      <c r="A772" t="s">
        <v>1881</v>
      </c>
      <c r="B772" t="s">
        <v>1882</v>
      </c>
      <c r="C772">
        <v>25</v>
      </c>
      <c r="D772" s="260">
        <v>46192</v>
      </c>
      <c r="E772" s="260">
        <v>46226</v>
      </c>
      <c r="F772">
        <v>57</v>
      </c>
      <c r="G772" t="s">
        <v>356</v>
      </c>
    </row>
    <row r="773" spans="1:7">
      <c r="A773" t="s">
        <v>1883</v>
      </c>
      <c r="B773" t="s">
        <v>1884</v>
      </c>
      <c r="C773">
        <v>15</v>
      </c>
      <c r="D773" s="260">
        <v>46247</v>
      </c>
      <c r="E773" s="260">
        <v>46267</v>
      </c>
      <c r="F773">
        <v>57</v>
      </c>
      <c r="G773" t="s">
        <v>356</v>
      </c>
    </row>
    <row r="774" spans="1:7">
      <c r="A774" t="s">
        <v>1885</v>
      </c>
      <c r="B774" t="s">
        <v>1886</v>
      </c>
      <c r="C774">
        <v>15</v>
      </c>
      <c r="D774" s="260">
        <v>46282</v>
      </c>
      <c r="E774" s="260">
        <v>46302</v>
      </c>
      <c r="F774">
        <v>57</v>
      </c>
      <c r="G774" t="s">
        <v>356</v>
      </c>
    </row>
    <row r="775" spans="1:7">
      <c r="A775" t="s">
        <v>1887</v>
      </c>
      <c r="B775" t="s">
        <v>1888</v>
      </c>
      <c r="C775">
        <v>25</v>
      </c>
      <c r="D775" s="260">
        <v>46192</v>
      </c>
      <c r="E775" s="260">
        <v>46226</v>
      </c>
      <c r="F775">
        <v>57</v>
      </c>
      <c r="G775" t="s">
        <v>356</v>
      </c>
    </row>
    <row r="776" spans="1:7">
      <c r="A776" t="s">
        <v>1889</v>
      </c>
      <c r="B776" t="s">
        <v>1890</v>
      </c>
      <c r="C776">
        <v>15</v>
      </c>
      <c r="D776" s="260">
        <v>46247</v>
      </c>
      <c r="E776" s="260">
        <v>46267</v>
      </c>
      <c r="F776">
        <v>57</v>
      </c>
      <c r="G776" t="s">
        <v>356</v>
      </c>
    </row>
    <row r="777" spans="1:7">
      <c r="A777" t="s">
        <v>1891</v>
      </c>
      <c r="B777" t="s">
        <v>1892</v>
      </c>
      <c r="C777">
        <v>15</v>
      </c>
      <c r="D777" s="260">
        <v>46282</v>
      </c>
      <c r="E777" s="260">
        <v>46302</v>
      </c>
      <c r="F777">
        <v>57</v>
      </c>
      <c r="G777" t="s">
        <v>356</v>
      </c>
    </row>
    <row r="778" spans="1:7">
      <c r="A778" t="s">
        <v>1893</v>
      </c>
      <c r="B778" t="s">
        <v>1894</v>
      </c>
      <c r="C778">
        <v>25</v>
      </c>
      <c r="D778" s="260">
        <v>46192</v>
      </c>
      <c r="E778" s="260">
        <v>46226</v>
      </c>
      <c r="F778">
        <v>57</v>
      </c>
      <c r="G778" t="s">
        <v>356</v>
      </c>
    </row>
    <row r="779" spans="1:7">
      <c r="A779" t="s">
        <v>1895</v>
      </c>
      <c r="B779" t="s">
        <v>1896</v>
      </c>
      <c r="C779">
        <v>15</v>
      </c>
      <c r="D779" s="260">
        <v>46247</v>
      </c>
      <c r="E779" s="260">
        <v>46267</v>
      </c>
      <c r="F779">
        <v>57</v>
      </c>
      <c r="G779" t="s">
        <v>356</v>
      </c>
    </row>
    <row r="780" spans="1:7">
      <c r="A780" t="s">
        <v>1897</v>
      </c>
      <c r="B780" t="s">
        <v>1898</v>
      </c>
      <c r="C780">
        <v>15</v>
      </c>
      <c r="D780" s="260">
        <v>46282</v>
      </c>
      <c r="E780" s="260">
        <v>46302</v>
      </c>
      <c r="F780">
        <v>57</v>
      </c>
      <c r="G780" t="s">
        <v>356</v>
      </c>
    </row>
    <row r="781" spans="1:7">
      <c r="A781" t="s">
        <v>1899</v>
      </c>
      <c r="B781" t="s">
        <v>1900</v>
      </c>
      <c r="C781">
        <v>25</v>
      </c>
      <c r="D781" s="260">
        <v>46192</v>
      </c>
      <c r="E781" s="260">
        <v>46226</v>
      </c>
      <c r="F781">
        <v>57</v>
      </c>
      <c r="G781" t="s">
        <v>356</v>
      </c>
    </row>
    <row r="782" spans="1:7">
      <c r="A782" t="s">
        <v>1901</v>
      </c>
      <c r="B782" t="s">
        <v>1902</v>
      </c>
      <c r="C782">
        <v>15</v>
      </c>
      <c r="D782" s="260">
        <v>46247</v>
      </c>
      <c r="E782" s="260">
        <v>46267</v>
      </c>
      <c r="F782">
        <v>57</v>
      </c>
      <c r="G782" t="s">
        <v>356</v>
      </c>
    </row>
    <row r="783" spans="1:7">
      <c r="A783" t="s">
        <v>1903</v>
      </c>
      <c r="B783" t="s">
        <v>1904</v>
      </c>
      <c r="C783">
        <v>15</v>
      </c>
      <c r="D783" s="260">
        <v>46282</v>
      </c>
      <c r="E783" s="260">
        <v>46302</v>
      </c>
      <c r="F783">
        <v>57</v>
      </c>
      <c r="G783" t="s">
        <v>356</v>
      </c>
    </row>
    <row r="784" spans="1:7">
      <c r="A784" t="s">
        <v>1905</v>
      </c>
      <c r="B784" t="s">
        <v>1906</v>
      </c>
      <c r="C784">
        <v>25</v>
      </c>
      <c r="D784" s="260">
        <v>46192</v>
      </c>
      <c r="E784" s="260">
        <v>46226</v>
      </c>
      <c r="F784">
        <v>57</v>
      </c>
      <c r="G784" t="s">
        <v>356</v>
      </c>
    </row>
    <row r="785" spans="1:7">
      <c r="A785" t="s">
        <v>1907</v>
      </c>
      <c r="B785" t="s">
        <v>1908</v>
      </c>
      <c r="C785">
        <v>15</v>
      </c>
      <c r="D785" s="260">
        <v>46247</v>
      </c>
      <c r="E785" s="260">
        <v>46267</v>
      </c>
      <c r="F785">
        <v>57</v>
      </c>
      <c r="G785" t="s">
        <v>356</v>
      </c>
    </row>
    <row r="786" spans="1:7">
      <c r="A786" t="s">
        <v>1909</v>
      </c>
      <c r="B786" t="s">
        <v>1910</v>
      </c>
      <c r="C786">
        <v>15</v>
      </c>
      <c r="D786" s="260">
        <v>46282</v>
      </c>
      <c r="E786" s="260">
        <v>46302</v>
      </c>
      <c r="F786">
        <v>57</v>
      </c>
      <c r="G786" t="s">
        <v>356</v>
      </c>
    </row>
    <row r="787" spans="1:7">
      <c r="A787" t="s">
        <v>1911</v>
      </c>
      <c r="B787" t="s">
        <v>1912</v>
      </c>
      <c r="C787">
        <v>25</v>
      </c>
      <c r="D787" s="260">
        <v>46199</v>
      </c>
      <c r="E787" s="260">
        <v>46238</v>
      </c>
      <c r="F787">
        <v>52</v>
      </c>
      <c r="G787" t="s">
        <v>356</v>
      </c>
    </row>
    <row r="788" spans="1:7">
      <c r="A788" t="s">
        <v>1913</v>
      </c>
      <c r="B788" t="s">
        <v>1914</v>
      </c>
      <c r="C788">
        <v>15</v>
      </c>
      <c r="D788" s="260">
        <v>46254</v>
      </c>
      <c r="E788" s="260">
        <v>46274</v>
      </c>
      <c r="F788">
        <v>52</v>
      </c>
      <c r="G788" t="s">
        <v>356</v>
      </c>
    </row>
    <row r="789" spans="1:7">
      <c r="A789" t="s">
        <v>1915</v>
      </c>
      <c r="B789" t="s">
        <v>1916</v>
      </c>
      <c r="C789">
        <v>15</v>
      </c>
      <c r="D789" s="260">
        <v>46289</v>
      </c>
      <c r="E789" s="260">
        <v>46310</v>
      </c>
      <c r="F789">
        <v>52</v>
      </c>
      <c r="G789" t="s">
        <v>356</v>
      </c>
    </row>
    <row r="790" spans="1:7">
      <c r="A790" t="s">
        <v>1917</v>
      </c>
      <c r="B790" t="s">
        <v>1918</v>
      </c>
      <c r="C790">
        <v>25</v>
      </c>
      <c r="D790" s="260">
        <v>46199</v>
      </c>
      <c r="E790" s="260">
        <v>46238</v>
      </c>
      <c r="F790">
        <v>52</v>
      </c>
      <c r="G790" t="s">
        <v>356</v>
      </c>
    </row>
    <row r="791" spans="1:7">
      <c r="A791" t="s">
        <v>1919</v>
      </c>
      <c r="B791" t="s">
        <v>1920</v>
      </c>
      <c r="C791">
        <v>15</v>
      </c>
      <c r="D791" s="260">
        <v>46254</v>
      </c>
      <c r="E791" s="260">
        <v>46274</v>
      </c>
      <c r="F791">
        <v>52</v>
      </c>
      <c r="G791" t="s">
        <v>356</v>
      </c>
    </row>
    <row r="792" spans="1:7">
      <c r="A792" t="s">
        <v>1921</v>
      </c>
      <c r="B792" t="s">
        <v>1922</v>
      </c>
      <c r="C792">
        <v>15</v>
      </c>
      <c r="D792" s="260">
        <v>46289</v>
      </c>
      <c r="E792" s="260">
        <v>46310</v>
      </c>
      <c r="F792">
        <v>52</v>
      </c>
      <c r="G792" t="s">
        <v>356</v>
      </c>
    </row>
    <row r="793" spans="1:7">
      <c r="A793" t="s">
        <v>1923</v>
      </c>
      <c r="B793" t="s">
        <v>1924</v>
      </c>
      <c r="C793">
        <v>25</v>
      </c>
      <c r="D793" s="260">
        <v>46199</v>
      </c>
      <c r="E793" s="260">
        <v>46238</v>
      </c>
      <c r="F793">
        <v>52</v>
      </c>
      <c r="G793" t="s">
        <v>356</v>
      </c>
    </row>
    <row r="794" spans="1:7">
      <c r="A794" t="s">
        <v>1925</v>
      </c>
      <c r="B794" t="s">
        <v>1926</v>
      </c>
      <c r="C794">
        <v>15</v>
      </c>
      <c r="D794" s="260">
        <v>46254</v>
      </c>
      <c r="E794" s="260">
        <v>46274</v>
      </c>
      <c r="F794">
        <v>52</v>
      </c>
      <c r="G794" t="s">
        <v>356</v>
      </c>
    </row>
    <row r="795" spans="1:7">
      <c r="A795" t="s">
        <v>1927</v>
      </c>
      <c r="B795" t="s">
        <v>1928</v>
      </c>
      <c r="C795">
        <v>15</v>
      </c>
      <c r="D795" s="260">
        <v>46289</v>
      </c>
      <c r="E795" s="260">
        <v>46310</v>
      </c>
      <c r="F795">
        <v>52</v>
      </c>
      <c r="G795" t="s">
        <v>356</v>
      </c>
    </row>
    <row r="796" spans="1:7">
      <c r="A796" t="s">
        <v>1929</v>
      </c>
      <c r="B796" t="s">
        <v>1930</v>
      </c>
      <c r="C796">
        <v>25</v>
      </c>
      <c r="D796" s="260">
        <v>46199</v>
      </c>
      <c r="E796" s="260">
        <v>46238</v>
      </c>
      <c r="F796">
        <v>52</v>
      </c>
      <c r="G796" t="s">
        <v>356</v>
      </c>
    </row>
    <row r="797" spans="1:7">
      <c r="A797" t="s">
        <v>1931</v>
      </c>
      <c r="B797" t="s">
        <v>1932</v>
      </c>
      <c r="C797">
        <v>15</v>
      </c>
      <c r="D797" s="260">
        <v>46254</v>
      </c>
      <c r="E797" s="260">
        <v>46274</v>
      </c>
      <c r="F797">
        <v>52</v>
      </c>
      <c r="G797" t="s">
        <v>356</v>
      </c>
    </row>
    <row r="798" spans="1:7">
      <c r="A798" t="s">
        <v>1933</v>
      </c>
      <c r="B798" t="s">
        <v>1934</v>
      </c>
      <c r="C798">
        <v>15</v>
      </c>
      <c r="D798" s="260">
        <v>46289</v>
      </c>
      <c r="E798" s="260">
        <v>46310</v>
      </c>
      <c r="F798">
        <v>52</v>
      </c>
      <c r="G798" t="s">
        <v>356</v>
      </c>
    </row>
    <row r="799" spans="1:7">
      <c r="A799" t="s">
        <v>1935</v>
      </c>
      <c r="B799" t="s">
        <v>1936</v>
      </c>
      <c r="C799">
        <v>20</v>
      </c>
      <c r="D799" s="260">
        <v>46140</v>
      </c>
      <c r="E799" s="260">
        <v>46168</v>
      </c>
      <c r="F799">
        <v>0</v>
      </c>
      <c r="G799" t="s">
        <v>356</v>
      </c>
    </row>
    <row r="800" spans="1:7">
      <c r="A800" t="s">
        <v>1937</v>
      </c>
      <c r="B800" t="s">
        <v>1938</v>
      </c>
      <c r="C800">
        <v>10</v>
      </c>
      <c r="D800" s="260">
        <v>46185</v>
      </c>
      <c r="E800" s="260">
        <v>46198</v>
      </c>
      <c r="F800">
        <v>112</v>
      </c>
      <c r="G800" t="s">
        <v>356</v>
      </c>
    </row>
    <row r="801" spans="1:7">
      <c r="A801" t="s">
        <v>1939</v>
      </c>
      <c r="B801" t="s">
        <v>1940</v>
      </c>
      <c r="C801">
        <v>5</v>
      </c>
      <c r="D801" s="260">
        <v>46213</v>
      </c>
      <c r="E801" s="260">
        <v>46219</v>
      </c>
      <c r="F801">
        <v>112</v>
      </c>
      <c r="G801" t="s">
        <v>356</v>
      </c>
    </row>
    <row r="802" spans="1:7">
      <c r="A802" t="s">
        <v>1941</v>
      </c>
      <c r="B802" t="s">
        <v>1942</v>
      </c>
      <c r="C802">
        <v>25</v>
      </c>
      <c r="D802" s="260">
        <v>46239</v>
      </c>
      <c r="E802" s="260">
        <v>46274</v>
      </c>
      <c r="F802">
        <v>27</v>
      </c>
      <c r="G802" t="s">
        <v>356</v>
      </c>
    </row>
    <row r="803" spans="1:7">
      <c r="A803" t="s">
        <v>1943</v>
      </c>
      <c r="B803" t="s">
        <v>1944</v>
      </c>
      <c r="C803">
        <v>15</v>
      </c>
      <c r="D803" s="260">
        <v>46289</v>
      </c>
      <c r="E803" s="260">
        <v>46310</v>
      </c>
      <c r="F803">
        <v>27</v>
      </c>
      <c r="G803" t="s">
        <v>356</v>
      </c>
    </row>
    <row r="804" spans="1:7">
      <c r="A804" t="s">
        <v>1945</v>
      </c>
      <c r="B804" t="s">
        <v>1946</v>
      </c>
      <c r="C804">
        <v>15</v>
      </c>
      <c r="D804" s="260">
        <v>46328</v>
      </c>
      <c r="E804" s="260">
        <v>46346</v>
      </c>
      <c r="F804">
        <v>27</v>
      </c>
      <c r="G804" t="s">
        <v>356</v>
      </c>
    </row>
    <row r="805" spans="1:7">
      <c r="A805" t="s">
        <v>1947</v>
      </c>
      <c r="B805" t="s">
        <v>1948</v>
      </c>
      <c r="C805">
        <v>25</v>
      </c>
      <c r="D805" s="260">
        <v>46170</v>
      </c>
      <c r="E805" s="260">
        <v>46206</v>
      </c>
      <c r="F805">
        <v>71</v>
      </c>
      <c r="G805" t="s">
        <v>356</v>
      </c>
    </row>
    <row r="806" spans="1:7">
      <c r="A806" t="s">
        <v>1949</v>
      </c>
      <c r="B806" t="s">
        <v>1950</v>
      </c>
      <c r="C806">
        <v>15</v>
      </c>
      <c r="D806" s="260">
        <v>46223</v>
      </c>
      <c r="E806" s="260">
        <v>46247</v>
      </c>
      <c r="F806">
        <v>71</v>
      </c>
      <c r="G806" t="s">
        <v>356</v>
      </c>
    </row>
    <row r="807" spans="1:7">
      <c r="A807" t="s">
        <v>1951</v>
      </c>
      <c r="B807" t="s">
        <v>1952</v>
      </c>
      <c r="C807">
        <v>15</v>
      </c>
      <c r="D807" s="260">
        <v>46262</v>
      </c>
      <c r="E807" s="260">
        <v>46282</v>
      </c>
      <c r="F807">
        <v>71</v>
      </c>
      <c r="G807" t="s">
        <v>356</v>
      </c>
    </row>
    <row r="808" spans="1:7">
      <c r="A808" t="s">
        <v>1953</v>
      </c>
      <c r="B808" t="s">
        <v>1954</v>
      </c>
      <c r="C808">
        <v>25</v>
      </c>
      <c r="D808" s="260">
        <v>46170</v>
      </c>
      <c r="E808" s="260">
        <v>46206</v>
      </c>
      <c r="F808">
        <v>71</v>
      </c>
      <c r="G808" t="s">
        <v>356</v>
      </c>
    </row>
    <row r="809" spans="1:7">
      <c r="A809" t="s">
        <v>1955</v>
      </c>
      <c r="B809" t="s">
        <v>1956</v>
      </c>
      <c r="C809">
        <v>15</v>
      </c>
      <c r="D809" s="260">
        <v>46223</v>
      </c>
      <c r="E809" s="260">
        <v>46247</v>
      </c>
      <c r="F809">
        <v>71</v>
      </c>
      <c r="G809" t="s">
        <v>356</v>
      </c>
    </row>
    <row r="810" spans="1:7">
      <c r="A810" t="s">
        <v>1957</v>
      </c>
      <c r="B810" t="s">
        <v>1958</v>
      </c>
      <c r="C810">
        <v>15</v>
      </c>
      <c r="D810" s="260">
        <v>46262</v>
      </c>
      <c r="E810" s="260">
        <v>46282</v>
      </c>
      <c r="F810">
        <v>71</v>
      </c>
      <c r="G810" t="s">
        <v>356</v>
      </c>
    </row>
    <row r="811" spans="1:7">
      <c r="A811" t="s">
        <v>1959</v>
      </c>
      <c r="B811" t="s">
        <v>1960</v>
      </c>
      <c r="C811">
        <v>25</v>
      </c>
      <c r="D811" s="260">
        <v>46170</v>
      </c>
      <c r="E811" s="260">
        <v>46206</v>
      </c>
      <c r="F811">
        <v>71</v>
      </c>
      <c r="G811" t="s">
        <v>356</v>
      </c>
    </row>
    <row r="812" spans="1:7">
      <c r="A812" t="s">
        <v>1961</v>
      </c>
      <c r="B812" t="s">
        <v>1962</v>
      </c>
      <c r="C812">
        <v>15</v>
      </c>
      <c r="D812" s="260">
        <v>46223</v>
      </c>
      <c r="E812" s="260">
        <v>46247</v>
      </c>
      <c r="F812">
        <v>71</v>
      </c>
      <c r="G812" t="s">
        <v>356</v>
      </c>
    </row>
    <row r="813" spans="1:7">
      <c r="A813" t="s">
        <v>1963</v>
      </c>
      <c r="B813" t="s">
        <v>1964</v>
      </c>
      <c r="C813">
        <v>15</v>
      </c>
      <c r="D813" s="260">
        <v>46262</v>
      </c>
      <c r="E813" s="260">
        <v>46282</v>
      </c>
      <c r="F813">
        <v>71</v>
      </c>
      <c r="G813" t="s">
        <v>356</v>
      </c>
    </row>
    <row r="814" spans="1:7">
      <c r="A814" t="s">
        <v>1965</v>
      </c>
      <c r="B814" t="s">
        <v>1966</v>
      </c>
      <c r="C814">
        <v>25</v>
      </c>
      <c r="D814" s="260">
        <v>46209</v>
      </c>
      <c r="E814" s="260">
        <v>46247</v>
      </c>
      <c r="F814">
        <v>46</v>
      </c>
      <c r="G814" t="s">
        <v>356</v>
      </c>
    </row>
    <row r="815" spans="1:7">
      <c r="A815" t="s">
        <v>1967</v>
      </c>
      <c r="B815" t="s">
        <v>1968</v>
      </c>
      <c r="C815">
        <v>15</v>
      </c>
      <c r="D815" s="260">
        <v>46262</v>
      </c>
      <c r="E815" s="260">
        <v>46282</v>
      </c>
      <c r="F815">
        <v>46</v>
      </c>
      <c r="G815" t="s">
        <v>356</v>
      </c>
    </row>
    <row r="816" spans="1:7">
      <c r="A816" t="s">
        <v>1969</v>
      </c>
      <c r="B816" t="s">
        <v>1970</v>
      </c>
      <c r="C816">
        <v>15</v>
      </c>
      <c r="D816" s="260">
        <v>46297</v>
      </c>
      <c r="E816" s="260">
        <v>46321</v>
      </c>
      <c r="F816">
        <v>46</v>
      </c>
      <c r="G816" t="s">
        <v>356</v>
      </c>
    </row>
    <row r="817" spans="1:7">
      <c r="A817" t="s">
        <v>1971</v>
      </c>
      <c r="B817" t="s">
        <v>1972</v>
      </c>
      <c r="C817">
        <v>25</v>
      </c>
      <c r="D817" s="260">
        <v>46209</v>
      </c>
      <c r="E817" s="260">
        <v>46247</v>
      </c>
      <c r="F817">
        <v>46</v>
      </c>
      <c r="G817" t="s">
        <v>356</v>
      </c>
    </row>
    <row r="818" spans="1:7">
      <c r="A818" t="s">
        <v>1973</v>
      </c>
      <c r="B818" t="s">
        <v>1974</v>
      </c>
      <c r="C818">
        <v>15</v>
      </c>
      <c r="D818" s="260">
        <v>46262</v>
      </c>
      <c r="E818" s="260">
        <v>46282</v>
      </c>
      <c r="F818">
        <v>46</v>
      </c>
      <c r="G818" t="s">
        <v>356</v>
      </c>
    </row>
    <row r="819" spans="1:7">
      <c r="A819" t="s">
        <v>1975</v>
      </c>
      <c r="B819" t="s">
        <v>1976</v>
      </c>
      <c r="C819">
        <v>15</v>
      </c>
      <c r="D819" s="260">
        <v>46297</v>
      </c>
      <c r="E819" s="260">
        <v>46321</v>
      </c>
      <c r="F819">
        <v>46</v>
      </c>
      <c r="G819" t="s">
        <v>356</v>
      </c>
    </row>
    <row r="820" spans="1:7">
      <c r="A820" t="s">
        <v>1977</v>
      </c>
      <c r="B820" t="s">
        <v>1978</v>
      </c>
      <c r="C820">
        <v>25</v>
      </c>
      <c r="D820" s="260">
        <v>46209</v>
      </c>
      <c r="E820" s="260">
        <v>46247</v>
      </c>
      <c r="F820">
        <v>46</v>
      </c>
      <c r="G820" t="s">
        <v>356</v>
      </c>
    </row>
    <row r="821" spans="1:7">
      <c r="A821" t="s">
        <v>1979</v>
      </c>
      <c r="B821" t="s">
        <v>1980</v>
      </c>
      <c r="C821">
        <v>15</v>
      </c>
      <c r="D821" s="260">
        <v>46262</v>
      </c>
      <c r="E821" s="260">
        <v>46282</v>
      </c>
      <c r="F821">
        <v>46</v>
      </c>
      <c r="G821" t="s">
        <v>356</v>
      </c>
    </row>
    <row r="822" spans="1:7">
      <c r="A822" t="s">
        <v>1981</v>
      </c>
      <c r="B822" t="s">
        <v>1982</v>
      </c>
      <c r="C822">
        <v>15</v>
      </c>
      <c r="D822" s="260">
        <v>46297</v>
      </c>
      <c r="E822" s="260">
        <v>46321</v>
      </c>
      <c r="F822">
        <v>46</v>
      </c>
      <c r="G822" t="s">
        <v>356</v>
      </c>
    </row>
    <row r="823" spans="1:7">
      <c r="A823" t="s">
        <v>1983</v>
      </c>
      <c r="B823" t="s">
        <v>1984</v>
      </c>
      <c r="C823">
        <v>25</v>
      </c>
      <c r="D823" s="260">
        <v>46209</v>
      </c>
      <c r="E823" s="260">
        <v>46247</v>
      </c>
      <c r="F823">
        <v>46</v>
      </c>
      <c r="G823" t="s">
        <v>356</v>
      </c>
    </row>
    <row r="824" spans="1:7">
      <c r="A824" t="s">
        <v>1985</v>
      </c>
      <c r="B824" t="s">
        <v>1986</v>
      </c>
      <c r="C824">
        <v>15</v>
      </c>
      <c r="D824" s="260">
        <v>46262</v>
      </c>
      <c r="E824" s="260">
        <v>46282</v>
      </c>
      <c r="F824">
        <v>46</v>
      </c>
      <c r="G824" t="s">
        <v>356</v>
      </c>
    </row>
    <row r="825" spans="1:7">
      <c r="A825" t="s">
        <v>1987</v>
      </c>
      <c r="B825" t="s">
        <v>1988</v>
      </c>
      <c r="C825">
        <v>15</v>
      </c>
      <c r="D825" s="260">
        <v>46297</v>
      </c>
      <c r="E825" s="260">
        <v>46321</v>
      </c>
      <c r="F825">
        <v>46</v>
      </c>
      <c r="G825" t="s">
        <v>356</v>
      </c>
    </row>
    <row r="826" spans="1:7">
      <c r="A826" t="s">
        <v>1989</v>
      </c>
      <c r="B826" t="s">
        <v>1990</v>
      </c>
      <c r="C826">
        <v>25</v>
      </c>
      <c r="D826" s="260">
        <v>46209</v>
      </c>
      <c r="E826" s="260">
        <v>46247</v>
      </c>
      <c r="F826">
        <v>46</v>
      </c>
      <c r="G826" t="s">
        <v>356</v>
      </c>
    </row>
    <row r="827" spans="1:7">
      <c r="A827" t="s">
        <v>1991</v>
      </c>
      <c r="B827" t="s">
        <v>1992</v>
      </c>
      <c r="C827">
        <v>15</v>
      </c>
      <c r="D827" s="260">
        <v>46262</v>
      </c>
      <c r="E827" s="260">
        <v>46282</v>
      </c>
      <c r="F827">
        <v>46</v>
      </c>
      <c r="G827" t="s">
        <v>356</v>
      </c>
    </row>
    <row r="828" spans="1:7">
      <c r="A828" t="s">
        <v>1993</v>
      </c>
      <c r="B828" t="s">
        <v>1994</v>
      </c>
      <c r="C828">
        <v>15</v>
      </c>
      <c r="D828" s="260">
        <v>46297</v>
      </c>
      <c r="E828" s="260">
        <v>46321</v>
      </c>
      <c r="F828">
        <v>46</v>
      </c>
      <c r="G828" t="s">
        <v>356</v>
      </c>
    </row>
    <row r="829" spans="1:7">
      <c r="A829" t="s">
        <v>1995</v>
      </c>
      <c r="B829" t="s">
        <v>1996</v>
      </c>
      <c r="C829">
        <v>25</v>
      </c>
      <c r="D829" s="260">
        <v>46209</v>
      </c>
      <c r="E829" s="260">
        <v>46247</v>
      </c>
      <c r="F829">
        <v>46</v>
      </c>
      <c r="G829" t="s">
        <v>356</v>
      </c>
    </row>
    <row r="830" spans="1:7">
      <c r="A830" t="s">
        <v>1997</v>
      </c>
      <c r="B830" t="s">
        <v>1998</v>
      </c>
      <c r="C830">
        <v>15</v>
      </c>
      <c r="D830" s="260">
        <v>46262</v>
      </c>
      <c r="E830" s="260">
        <v>46282</v>
      </c>
      <c r="F830">
        <v>46</v>
      </c>
      <c r="G830" t="s">
        <v>356</v>
      </c>
    </row>
    <row r="831" spans="1:7">
      <c r="A831" t="s">
        <v>1999</v>
      </c>
      <c r="B831" t="s">
        <v>2000</v>
      </c>
      <c r="C831">
        <v>15</v>
      </c>
      <c r="D831" s="260">
        <v>46297</v>
      </c>
      <c r="E831" s="260">
        <v>46321</v>
      </c>
      <c r="F831">
        <v>46</v>
      </c>
      <c r="G831" t="s">
        <v>356</v>
      </c>
    </row>
    <row r="832" spans="1:7">
      <c r="A832" t="s">
        <v>2001</v>
      </c>
      <c r="B832" t="s">
        <v>2002</v>
      </c>
      <c r="C832">
        <v>25</v>
      </c>
      <c r="D832" s="260">
        <v>46209</v>
      </c>
      <c r="E832" s="260">
        <v>46247</v>
      </c>
      <c r="F832">
        <v>46</v>
      </c>
      <c r="G832" t="s">
        <v>356</v>
      </c>
    </row>
    <row r="833" spans="1:7">
      <c r="A833" t="s">
        <v>2003</v>
      </c>
      <c r="B833" t="s">
        <v>2004</v>
      </c>
      <c r="C833">
        <v>15</v>
      </c>
      <c r="D833" s="260">
        <v>46262</v>
      </c>
      <c r="E833" s="260">
        <v>46282</v>
      </c>
      <c r="F833">
        <v>46</v>
      </c>
      <c r="G833" t="s">
        <v>356</v>
      </c>
    </row>
    <row r="834" spans="1:7">
      <c r="A834" t="s">
        <v>2005</v>
      </c>
      <c r="B834" t="s">
        <v>2006</v>
      </c>
      <c r="C834">
        <v>15</v>
      </c>
      <c r="D834" s="260">
        <v>46297</v>
      </c>
      <c r="E834" s="260">
        <v>46321</v>
      </c>
      <c r="F834">
        <v>46</v>
      </c>
      <c r="G834" t="s">
        <v>356</v>
      </c>
    </row>
    <row r="835" spans="1:7">
      <c r="A835" t="s">
        <v>2007</v>
      </c>
      <c r="B835" t="s">
        <v>2008</v>
      </c>
      <c r="C835">
        <v>25</v>
      </c>
      <c r="D835" s="260">
        <v>46085</v>
      </c>
      <c r="E835" s="260">
        <v>46120</v>
      </c>
      <c r="F835">
        <v>127</v>
      </c>
      <c r="G835" t="s">
        <v>356</v>
      </c>
    </row>
    <row r="836" spans="1:7">
      <c r="A836" t="s">
        <v>2009</v>
      </c>
      <c r="B836" t="s">
        <v>2010</v>
      </c>
      <c r="C836">
        <v>15</v>
      </c>
      <c r="D836" s="260">
        <v>46140</v>
      </c>
      <c r="E836" s="260">
        <v>46161</v>
      </c>
      <c r="F836">
        <v>127</v>
      </c>
      <c r="G836" t="s">
        <v>356</v>
      </c>
    </row>
    <row r="837" spans="1:7">
      <c r="A837" t="s">
        <v>2011</v>
      </c>
      <c r="B837" t="s">
        <v>2012</v>
      </c>
      <c r="C837">
        <v>15</v>
      </c>
      <c r="D837" s="260">
        <v>46178</v>
      </c>
      <c r="E837" s="260">
        <v>46198</v>
      </c>
      <c r="F837">
        <v>127</v>
      </c>
      <c r="G837" t="s">
        <v>356</v>
      </c>
    </row>
    <row r="838" spans="1:7">
      <c r="A838" t="s">
        <v>2013</v>
      </c>
      <c r="B838" t="s">
        <v>2014</v>
      </c>
      <c r="C838">
        <v>25</v>
      </c>
      <c r="D838" s="260">
        <v>46085</v>
      </c>
      <c r="E838" s="260">
        <v>46120</v>
      </c>
      <c r="F838">
        <v>127</v>
      </c>
      <c r="G838" t="s">
        <v>356</v>
      </c>
    </row>
    <row r="839" spans="1:7">
      <c r="A839" t="s">
        <v>2015</v>
      </c>
      <c r="B839" t="s">
        <v>2016</v>
      </c>
      <c r="C839">
        <v>15</v>
      </c>
      <c r="D839" s="260">
        <v>46140</v>
      </c>
      <c r="E839" s="260">
        <v>46161</v>
      </c>
      <c r="F839">
        <v>127</v>
      </c>
      <c r="G839" t="s">
        <v>356</v>
      </c>
    </row>
    <row r="840" spans="1:7">
      <c r="A840" t="s">
        <v>2017</v>
      </c>
      <c r="B840" t="s">
        <v>2018</v>
      </c>
      <c r="C840">
        <v>15</v>
      </c>
      <c r="D840" s="260">
        <v>46178</v>
      </c>
      <c r="E840" s="260">
        <v>46198</v>
      </c>
      <c r="F840">
        <v>127</v>
      </c>
      <c r="G840" t="s">
        <v>356</v>
      </c>
    </row>
    <row r="841" spans="1:7">
      <c r="A841" t="s">
        <v>2019</v>
      </c>
      <c r="B841" t="s">
        <v>2020</v>
      </c>
      <c r="C841">
        <v>25</v>
      </c>
      <c r="D841" s="260">
        <v>46085</v>
      </c>
      <c r="E841" s="260">
        <v>46120</v>
      </c>
      <c r="F841">
        <v>127</v>
      </c>
      <c r="G841" t="s">
        <v>356</v>
      </c>
    </row>
    <row r="842" spans="1:7">
      <c r="A842" t="s">
        <v>2021</v>
      </c>
      <c r="B842" t="s">
        <v>2022</v>
      </c>
      <c r="C842">
        <v>15</v>
      </c>
      <c r="D842" s="260">
        <v>46140</v>
      </c>
      <c r="E842" s="260">
        <v>46161</v>
      </c>
      <c r="F842">
        <v>127</v>
      </c>
      <c r="G842" t="s">
        <v>356</v>
      </c>
    </row>
    <row r="843" spans="1:7">
      <c r="A843" t="s">
        <v>2023</v>
      </c>
      <c r="B843" t="s">
        <v>2024</v>
      </c>
      <c r="C843">
        <v>15</v>
      </c>
      <c r="D843" s="260">
        <v>46178</v>
      </c>
      <c r="E843" s="260">
        <v>46198</v>
      </c>
      <c r="F843">
        <v>127</v>
      </c>
      <c r="G843" t="s">
        <v>356</v>
      </c>
    </row>
    <row r="844" spans="1:7">
      <c r="A844" t="s">
        <v>2025</v>
      </c>
      <c r="B844" t="s">
        <v>2026</v>
      </c>
      <c r="C844">
        <v>25</v>
      </c>
      <c r="D844" s="260">
        <v>46085</v>
      </c>
      <c r="E844" s="260">
        <v>46120</v>
      </c>
      <c r="F844">
        <v>127</v>
      </c>
      <c r="G844" t="s">
        <v>356</v>
      </c>
    </row>
    <row r="845" spans="1:7">
      <c r="A845" t="s">
        <v>2027</v>
      </c>
      <c r="B845" t="s">
        <v>2028</v>
      </c>
      <c r="C845">
        <v>15</v>
      </c>
      <c r="D845" s="260">
        <v>46140</v>
      </c>
      <c r="E845" s="260">
        <v>46161</v>
      </c>
      <c r="F845">
        <v>127</v>
      </c>
      <c r="G845" t="s">
        <v>356</v>
      </c>
    </row>
    <row r="846" spans="1:7">
      <c r="A846" t="s">
        <v>2029</v>
      </c>
      <c r="B846" t="s">
        <v>2030</v>
      </c>
      <c r="C846">
        <v>15</v>
      </c>
      <c r="D846" s="260">
        <v>46178</v>
      </c>
      <c r="E846" s="260">
        <v>46198</v>
      </c>
      <c r="F846">
        <v>127</v>
      </c>
      <c r="G846" t="s">
        <v>356</v>
      </c>
    </row>
    <row r="847" spans="1:7">
      <c r="A847" t="s">
        <v>2031</v>
      </c>
      <c r="B847" t="s">
        <v>2032</v>
      </c>
      <c r="C847">
        <v>25</v>
      </c>
      <c r="D847" s="260">
        <v>46085</v>
      </c>
      <c r="E847" s="260">
        <v>46120</v>
      </c>
      <c r="F847">
        <v>127</v>
      </c>
      <c r="G847" t="s">
        <v>356</v>
      </c>
    </row>
    <row r="848" spans="1:7">
      <c r="A848" t="s">
        <v>2033</v>
      </c>
      <c r="B848" t="s">
        <v>2034</v>
      </c>
      <c r="C848">
        <v>15</v>
      </c>
      <c r="D848" s="260">
        <v>46140</v>
      </c>
      <c r="E848" s="260">
        <v>46161</v>
      </c>
      <c r="F848">
        <v>127</v>
      </c>
      <c r="G848" t="s">
        <v>356</v>
      </c>
    </row>
    <row r="849" spans="1:7">
      <c r="A849" t="s">
        <v>2035</v>
      </c>
      <c r="B849" t="s">
        <v>2036</v>
      </c>
      <c r="C849">
        <v>15</v>
      </c>
      <c r="D849" s="260">
        <v>46178</v>
      </c>
      <c r="E849" s="260">
        <v>46198</v>
      </c>
      <c r="F849">
        <v>127</v>
      </c>
      <c r="G849" t="s">
        <v>356</v>
      </c>
    </row>
    <row r="850" spans="1:7">
      <c r="A850" t="s">
        <v>2037</v>
      </c>
      <c r="B850" t="s">
        <v>2038</v>
      </c>
      <c r="C850">
        <v>25</v>
      </c>
      <c r="D850" s="260">
        <v>46085</v>
      </c>
      <c r="E850" s="260">
        <v>46120</v>
      </c>
      <c r="F850">
        <v>127</v>
      </c>
      <c r="G850" t="s">
        <v>356</v>
      </c>
    </row>
    <row r="851" spans="1:7">
      <c r="A851" t="s">
        <v>2039</v>
      </c>
      <c r="B851" t="s">
        <v>2040</v>
      </c>
      <c r="C851">
        <v>15</v>
      </c>
      <c r="D851" s="260">
        <v>46140</v>
      </c>
      <c r="E851" s="260">
        <v>46161</v>
      </c>
      <c r="F851">
        <v>127</v>
      </c>
      <c r="G851" t="s">
        <v>356</v>
      </c>
    </row>
    <row r="852" spans="1:7">
      <c r="A852" t="s">
        <v>2041</v>
      </c>
      <c r="B852" t="s">
        <v>2042</v>
      </c>
      <c r="C852">
        <v>15</v>
      </c>
      <c r="D852" s="260">
        <v>46178</v>
      </c>
      <c r="E852" s="260">
        <v>46198</v>
      </c>
      <c r="F852">
        <v>127</v>
      </c>
      <c r="G852" t="s">
        <v>356</v>
      </c>
    </row>
    <row r="853" spans="1:7">
      <c r="A853" t="s">
        <v>2043</v>
      </c>
      <c r="B853" t="s">
        <v>2044</v>
      </c>
      <c r="C853">
        <v>25</v>
      </c>
      <c r="D853" s="260">
        <v>46085</v>
      </c>
      <c r="E853" s="260">
        <v>46120</v>
      </c>
      <c r="F853">
        <v>127</v>
      </c>
      <c r="G853" t="s">
        <v>356</v>
      </c>
    </row>
    <row r="854" spans="1:7">
      <c r="A854" t="s">
        <v>2045</v>
      </c>
      <c r="B854" t="s">
        <v>2046</v>
      </c>
      <c r="C854">
        <v>15</v>
      </c>
      <c r="D854" s="260">
        <v>46140</v>
      </c>
      <c r="E854" s="260">
        <v>46161</v>
      </c>
      <c r="F854">
        <v>127</v>
      </c>
      <c r="G854" t="s">
        <v>356</v>
      </c>
    </row>
    <row r="855" spans="1:7">
      <c r="A855" t="s">
        <v>2047</v>
      </c>
      <c r="B855" t="s">
        <v>2048</v>
      </c>
      <c r="C855">
        <v>15</v>
      </c>
      <c r="D855" s="260">
        <v>46178</v>
      </c>
      <c r="E855" s="260">
        <v>46198</v>
      </c>
      <c r="F855">
        <v>127</v>
      </c>
      <c r="G855" t="s">
        <v>356</v>
      </c>
    </row>
    <row r="856" spans="1:7">
      <c r="A856" t="s">
        <v>2049</v>
      </c>
      <c r="B856" t="s">
        <v>2050</v>
      </c>
      <c r="C856">
        <v>25</v>
      </c>
      <c r="D856" s="260">
        <v>46085</v>
      </c>
      <c r="E856" s="260">
        <v>46120</v>
      </c>
      <c r="F856">
        <v>127</v>
      </c>
      <c r="G856" t="s">
        <v>356</v>
      </c>
    </row>
    <row r="857" spans="1:7">
      <c r="A857" t="s">
        <v>2051</v>
      </c>
      <c r="B857" t="s">
        <v>2052</v>
      </c>
      <c r="C857">
        <v>15</v>
      </c>
      <c r="D857" s="260">
        <v>46140</v>
      </c>
      <c r="E857" s="260">
        <v>46161</v>
      </c>
      <c r="F857">
        <v>127</v>
      </c>
      <c r="G857" t="s">
        <v>356</v>
      </c>
    </row>
    <row r="858" spans="1:7">
      <c r="A858" t="s">
        <v>2053</v>
      </c>
      <c r="B858" t="s">
        <v>2054</v>
      </c>
      <c r="C858">
        <v>15</v>
      </c>
      <c r="D858" s="260">
        <v>46178</v>
      </c>
      <c r="E858" s="260">
        <v>46198</v>
      </c>
      <c r="F858">
        <v>127</v>
      </c>
      <c r="G858" t="s">
        <v>356</v>
      </c>
    </row>
    <row r="859" spans="1:7">
      <c r="A859" t="s">
        <v>2055</v>
      </c>
      <c r="B859" t="s">
        <v>2056</v>
      </c>
      <c r="C859">
        <v>25</v>
      </c>
      <c r="D859" s="260">
        <v>46085</v>
      </c>
      <c r="E859" s="260">
        <v>46120</v>
      </c>
      <c r="F859">
        <v>127</v>
      </c>
      <c r="G859" t="s">
        <v>356</v>
      </c>
    </row>
    <row r="860" spans="1:7">
      <c r="A860" t="s">
        <v>2057</v>
      </c>
      <c r="B860" t="s">
        <v>2058</v>
      </c>
      <c r="C860">
        <v>15</v>
      </c>
      <c r="D860" s="260">
        <v>46140</v>
      </c>
      <c r="E860" s="260">
        <v>46161</v>
      </c>
      <c r="F860">
        <v>127</v>
      </c>
      <c r="G860" t="s">
        <v>356</v>
      </c>
    </row>
    <row r="861" spans="1:7">
      <c r="A861" t="s">
        <v>2059</v>
      </c>
      <c r="B861" t="s">
        <v>2060</v>
      </c>
      <c r="C861">
        <v>15</v>
      </c>
      <c r="D861" s="260">
        <v>46178</v>
      </c>
      <c r="E861" s="260">
        <v>46198</v>
      </c>
      <c r="F861">
        <v>127</v>
      </c>
      <c r="G861" t="s">
        <v>356</v>
      </c>
    </row>
    <row r="862" spans="1:7">
      <c r="A862" t="s">
        <v>2061</v>
      </c>
      <c r="B862" t="s">
        <v>2062</v>
      </c>
      <c r="C862">
        <v>25</v>
      </c>
      <c r="D862" s="260">
        <v>46085</v>
      </c>
      <c r="E862" s="260">
        <v>46120</v>
      </c>
      <c r="F862">
        <v>127</v>
      </c>
      <c r="G862" t="s">
        <v>356</v>
      </c>
    </row>
    <row r="863" spans="1:7">
      <c r="A863" t="s">
        <v>2063</v>
      </c>
      <c r="B863" t="s">
        <v>2064</v>
      </c>
      <c r="C863">
        <v>15</v>
      </c>
      <c r="D863" s="260">
        <v>46140</v>
      </c>
      <c r="E863" s="260">
        <v>46161</v>
      </c>
      <c r="F863">
        <v>127</v>
      </c>
      <c r="G863" t="s">
        <v>356</v>
      </c>
    </row>
    <row r="864" spans="1:7">
      <c r="A864" t="s">
        <v>2065</v>
      </c>
      <c r="B864" t="s">
        <v>2066</v>
      </c>
      <c r="C864">
        <v>15</v>
      </c>
      <c r="D864" s="260">
        <v>46178</v>
      </c>
      <c r="E864" s="260">
        <v>46198</v>
      </c>
      <c r="F864">
        <v>127</v>
      </c>
      <c r="G864" t="s">
        <v>356</v>
      </c>
    </row>
    <row r="865" spans="1:7">
      <c r="A865" t="s">
        <v>2067</v>
      </c>
      <c r="B865" t="s">
        <v>2068</v>
      </c>
      <c r="C865">
        <v>25</v>
      </c>
      <c r="D865" s="260">
        <v>46169</v>
      </c>
      <c r="E865" s="260">
        <v>46205</v>
      </c>
      <c r="F865">
        <v>72</v>
      </c>
      <c r="G865" t="s">
        <v>356</v>
      </c>
    </row>
    <row r="866" spans="1:7">
      <c r="A866" t="s">
        <v>2069</v>
      </c>
      <c r="B866" t="s">
        <v>2070</v>
      </c>
      <c r="C866">
        <v>15</v>
      </c>
      <c r="D866" s="260">
        <v>46220</v>
      </c>
      <c r="E866" s="260">
        <v>46245</v>
      </c>
      <c r="F866">
        <v>72</v>
      </c>
      <c r="G866" t="s">
        <v>356</v>
      </c>
    </row>
    <row r="867" spans="1:7">
      <c r="A867" t="s">
        <v>2071</v>
      </c>
      <c r="B867" t="s">
        <v>2072</v>
      </c>
      <c r="C867">
        <v>15</v>
      </c>
      <c r="D867" s="260">
        <v>46261</v>
      </c>
      <c r="E867" s="260">
        <v>46281</v>
      </c>
      <c r="F867">
        <v>72</v>
      </c>
      <c r="G867" t="s">
        <v>356</v>
      </c>
    </row>
    <row r="868" spans="1:7">
      <c r="A868" t="s">
        <v>2073</v>
      </c>
      <c r="B868" t="s">
        <v>2074</v>
      </c>
      <c r="C868">
        <v>25</v>
      </c>
      <c r="D868" s="260">
        <v>46169</v>
      </c>
      <c r="E868" s="260">
        <v>46205</v>
      </c>
      <c r="F868">
        <v>72</v>
      </c>
      <c r="G868" t="s">
        <v>356</v>
      </c>
    </row>
    <row r="869" spans="1:7">
      <c r="A869" t="s">
        <v>2075</v>
      </c>
      <c r="B869" t="s">
        <v>2076</v>
      </c>
      <c r="C869">
        <v>15</v>
      </c>
      <c r="D869" s="260">
        <v>46220</v>
      </c>
      <c r="E869" s="260">
        <v>46245</v>
      </c>
      <c r="F869">
        <v>72</v>
      </c>
      <c r="G869" t="s">
        <v>356</v>
      </c>
    </row>
    <row r="870" spans="1:7">
      <c r="A870" t="s">
        <v>2077</v>
      </c>
      <c r="B870" t="s">
        <v>2078</v>
      </c>
      <c r="C870">
        <v>15</v>
      </c>
      <c r="D870" s="260">
        <v>46261</v>
      </c>
      <c r="E870" s="260">
        <v>46281</v>
      </c>
      <c r="F870">
        <v>72</v>
      </c>
      <c r="G870" t="s">
        <v>356</v>
      </c>
    </row>
    <row r="871" spans="1:7">
      <c r="A871" t="s">
        <v>2079</v>
      </c>
      <c r="B871" t="s">
        <v>2080</v>
      </c>
      <c r="C871">
        <v>25</v>
      </c>
      <c r="D871" s="260">
        <v>46169</v>
      </c>
      <c r="E871" s="260">
        <v>46205</v>
      </c>
      <c r="F871">
        <v>72</v>
      </c>
      <c r="G871" t="s">
        <v>356</v>
      </c>
    </row>
    <row r="872" spans="1:7">
      <c r="A872" t="s">
        <v>2081</v>
      </c>
      <c r="B872" t="s">
        <v>2082</v>
      </c>
      <c r="C872">
        <v>15</v>
      </c>
      <c r="D872" s="260">
        <v>46220</v>
      </c>
      <c r="E872" s="260">
        <v>46245</v>
      </c>
      <c r="F872">
        <v>72</v>
      </c>
      <c r="G872" t="s">
        <v>356</v>
      </c>
    </row>
    <row r="873" spans="1:7">
      <c r="A873" t="s">
        <v>2083</v>
      </c>
      <c r="B873" t="s">
        <v>2084</v>
      </c>
      <c r="C873">
        <v>15</v>
      </c>
      <c r="D873" s="260">
        <v>46261</v>
      </c>
      <c r="E873" s="260">
        <v>46281</v>
      </c>
      <c r="F873">
        <v>72</v>
      </c>
      <c r="G873" t="s">
        <v>356</v>
      </c>
    </row>
    <row r="874" spans="1:7">
      <c r="A874" t="s">
        <v>2085</v>
      </c>
      <c r="B874" t="s">
        <v>2086</v>
      </c>
      <c r="C874">
        <v>25</v>
      </c>
      <c r="D874" s="260">
        <v>46169</v>
      </c>
      <c r="E874" s="260">
        <v>46205</v>
      </c>
      <c r="F874">
        <v>72</v>
      </c>
      <c r="G874" t="s">
        <v>356</v>
      </c>
    </row>
    <row r="875" spans="1:7">
      <c r="A875" t="s">
        <v>2087</v>
      </c>
      <c r="B875" t="s">
        <v>2088</v>
      </c>
      <c r="C875">
        <v>15</v>
      </c>
      <c r="D875" s="260">
        <v>46220</v>
      </c>
      <c r="E875" s="260">
        <v>46245</v>
      </c>
      <c r="F875">
        <v>72</v>
      </c>
      <c r="G875" t="s">
        <v>356</v>
      </c>
    </row>
    <row r="876" spans="1:7">
      <c r="A876" t="s">
        <v>2089</v>
      </c>
      <c r="B876" t="s">
        <v>2090</v>
      </c>
      <c r="C876">
        <v>15</v>
      </c>
      <c r="D876" s="260">
        <v>46261</v>
      </c>
      <c r="E876" s="260">
        <v>46281</v>
      </c>
      <c r="F876">
        <v>72</v>
      </c>
      <c r="G876" t="s">
        <v>356</v>
      </c>
    </row>
    <row r="877" spans="1:7">
      <c r="A877" t="s">
        <v>2091</v>
      </c>
      <c r="B877" t="s">
        <v>2092</v>
      </c>
      <c r="C877">
        <v>25</v>
      </c>
      <c r="D877" s="260">
        <v>46169</v>
      </c>
      <c r="E877" s="260">
        <v>46205</v>
      </c>
      <c r="F877">
        <v>72</v>
      </c>
      <c r="G877" t="s">
        <v>356</v>
      </c>
    </row>
    <row r="878" spans="1:7">
      <c r="A878" t="s">
        <v>2093</v>
      </c>
      <c r="B878" t="s">
        <v>2094</v>
      </c>
      <c r="C878">
        <v>15</v>
      </c>
      <c r="D878" s="260">
        <v>46220</v>
      </c>
      <c r="E878" s="260">
        <v>46245</v>
      </c>
      <c r="F878">
        <v>72</v>
      </c>
      <c r="G878" t="s">
        <v>356</v>
      </c>
    </row>
    <row r="879" spans="1:7">
      <c r="A879" t="s">
        <v>2095</v>
      </c>
      <c r="B879" t="s">
        <v>2096</v>
      </c>
      <c r="C879">
        <v>15</v>
      </c>
      <c r="D879" s="260">
        <v>46261</v>
      </c>
      <c r="E879" s="260">
        <v>46281</v>
      </c>
      <c r="F879">
        <v>72</v>
      </c>
      <c r="G879" t="s">
        <v>356</v>
      </c>
    </row>
    <row r="880" spans="1:7">
      <c r="A880" t="s">
        <v>2097</v>
      </c>
      <c r="B880" t="s">
        <v>2098</v>
      </c>
      <c r="C880">
        <v>25</v>
      </c>
      <c r="D880" s="260">
        <v>46169</v>
      </c>
      <c r="E880" s="260">
        <v>46205</v>
      </c>
      <c r="F880">
        <v>72</v>
      </c>
      <c r="G880" t="s">
        <v>356</v>
      </c>
    </row>
    <row r="881" spans="1:7">
      <c r="A881" t="s">
        <v>2099</v>
      </c>
      <c r="B881" t="s">
        <v>2100</v>
      </c>
      <c r="C881">
        <v>15</v>
      </c>
      <c r="D881" s="260">
        <v>46220</v>
      </c>
      <c r="E881" s="260">
        <v>46245</v>
      </c>
      <c r="F881">
        <v>72</v>
      </c>
      <c r="G881" t="s">
        <v>356</v>
      </c>
    </row>
    <row r="882" spans="1:7">
      <c r="A882" t="s">
        <v>2101</v>
      </c>
      <c r="B882" t="s">
        <v>2102</v>
      </c>
      <c r="C882">
        <v>15</v>
      </c>
      <c r="D882" s="260">
        <v>46261</v>
      </c>
      <c r="E882" s="260">
        <v>46281</v>
      </c>
      <c r="F882">
        <v>72</v>
      </c>
      <c r="G882" t="s">
        <v>356</v>
      </c>
    </row>
    <row r="883" spans="1:7">
      <c r="A883" t="s">
        <v>2103</v>
      </c>
      <c r="B883" t="s">
        <v>2104</v>
      </c>
      <c r="C883">
        <v>25</v>
      </c>
      <c r="D883" s="260">
        <v>46169</v>
      </c>
      <c r="E883" s="260">
        <v>46205</v>
      </c>
      <c r="F883">
        <v>72</v>
      </c>
      <c r="G883" t="s">
        <v>356</v>
      </c>
    </row>
    <row r="884" spans="1:7">
      <c r="A884" t="s">
        <v>2105</v>
      </c>
      <c r="B884" t="s">
        <v>2106</v>
      </c>
      <c r="C884">
        <v>15</v>
      </c>
      <c r="D884" s="260">
        <v>46220</v>
      </c>
      <c r="E884" s="260">
        <v>46245</v>
      </c>
      <c r="F884">
        <v>72</v>
      </c>
      <c r="G884" t="s">
        <v>356</v>
      </c>
    </row>
    <row r="885" spans="1:7">
      <c r="A885" t="s">
        <v>2107</v>
      </c>
      <c r="B885" t="s">
        <v>2108</v>
      </c>
      <c r="C885">
        <v>15</v>
      </c>
      <c r="D885" s="260">
        <v>46261</v>
      </c>
      <c r="E885" s="260">
        <v>46281</v>
      </c>
      <c r="F885">
        <v>72</v>
      </c>
      <c r="G885" t="s">
        <v>356</v>
      </c>
    </row>
    <row r="886" spans="1:7">
      <c r="A886" t="s">
        <v>2109</v>
      </c>
      <c r="B886" t="s">
        <v>2110</v>
      </c>
      <c r="C886">
        <v>25</v>
      </c>
      <c r="D886" s="260">
        <v>46169</v>
      </c>
      <c r="E886" s="260">
        <v>46205</v>
      </c>
      <c r="F886">
        <v>72</v>
      </c>
      <c r="G886" t="s">
        <v>356</v>
      </c>
    </row>
    <row r="887" spans="1:7">
      <c r="A887" t="s">
        <v>2111</v>
      </c>
      <c r="B887" t="s">
        <v>2112</v>
      </c>
      <c r="C887">
        <v>15</v>
      </c>
      <c r="D887" s="260">
        <v>46220</v>
      </c>
      <c r="E887" s="260">
        <v>46245</v>
      </c>
      <c r="F887">
        <v>72</v>
      </c>
      <c r="G887" t="s">
        <v>356</v>
      </c>
    </row>
    <row r="888" spans="1:7">
      <c r="A888" t="s">
        <v>2113</v>
      </c>
      <c r="B888" t="s">
        <v>2114</v>
      </c>
      <c r="C888">
        <v>15</v>
      </c>
      <c r="D888" s="260">
        <v>46261</v>
      </c>
      <c r="E888" s="260">
        <v>46281</v>
      </c>
      <c r="F888">
        <v>72</v>
      </c>
      <c r="G888" t="s">
        <v>356</v>
      </c>
    </row>
    <row r="889" spans="1:7">
      <c r="A889" t="s">
        <v>2115</v>
      </c>
      <c r="B889" t="s">
        <v>2116</v>
      </c>
      <c r="C889">
        <v>25</v>
      </c>
      <c r="D889" s="260">
        <v>46169</v>
      </c>
      <c r="E889" s="260">
        <v>46205</v>
      </c>
      <c r="F889">
        <v>72</v>
      </c>
      <c r="G889" t="s">
        <v>356</v>
      </c>
    </row>
    <row r="890" spans="1:7">
      <c r="A890" t="s">
        <v>2117</v>
      </c>
      <c r="B890" t="s">
        <v>2118</v>
      </c>
      <c r="C890">
        <v>15</v>
      </c>
      <c r="D890" s="260">
        <v>46220</v>
      </c>
      <c r="E890" s="260">
        <v>46245</v>
      </c>
      <c r="F890">
        <v>72</v>
      </c>
      <c r="G890" t="s">
        <v>356</v>
      </c>
    </row>
    <row r="891" spans="1:7">
      <c r="A891" t="s">
        <v>2119</v>
      </c>
      <c r="B891" t="s">
        <v>2120</v>
      </c>
      <c r="C891">
        <v>15</v>
      </c>
      <c r="D891" s="260">
        <v>46261</v>
      </c>
      <c r="E891" s="260">
        <v>46281</v>
      </c>
      <c r="F891">
        <v>72</v>
      </c>
      <c r="G891" t="s">
        <v>356</v>
      </c>
    </row>
    <row r="892" spans="1:7">
      <c r="A892" t="s">
        <v>2121</v>
      </c>
      <c r="B892" t="s">
        <v>2122</v>
      </c>
      <c r="C892">
        <v>25</v>
      </c>
      <c r="D892" s="260">
        <v>46085</v>
      </c>
      <c r="E892" s="260">
        <v>46120</v>
      </c>
      <c r="F892">
        <v>127</v>
      </c>
      <c r="G892" t="s">
        <v>356</v>
      </c>
    </row>
    <row r="893" spans="1:7">
      <c r="A893" t="s">
        <v>2123</v>
      </c>
      <c r="B893" t="s">
        <v>2124</v>
      </c>
      <c r="C893">
        <v>15</v>
      </c>
      <c r="D893" s="260">
        <v>46140</v>
      </c>
      <c r="E893" s="260">
        <v>46161</v>
      </c>
      <c r="F893">
        <v>127</v>
      </c>
      <c r="G893" t="s">
        <v>356</v>
      </c>
    </row>
    <row r="894" spans="1:7">
      <c r="A894" t="s">
        <v>2125</v>
      </c>
      <c r="B894" t="s">
        <v>2126</v>
      </c>
      <c r="C894">
        <v>15</v>
      </c>
      <c r="D894" s="260">
        <v>46178</v>
      </c>
      <c r="E894" s="260">
        <v>46198</v>
      </c>
      <c r="F894">
        <v>127</v>
      </c>
      <c r="G894" t="s">
        <v>356</v>
      </c>
    </row>
    <row r="895" spans="1:7">
      <c r="A895" t="s">
        <v>2127</v>
      </c>
      <c r="C895">
        <v>177</v>
      </c>
      <c r="D895" s="260">
        <v>46113</v>
      </c>
      <c r="E895" s="260">
        <v>46380</v>
      </c>
      <c r="F895">
        <v>14</v>
      </c>
      <c r="G895" t="s">
        <v>356</v>
      </c>
    </row>
    <row r="896" spans="1:7">
      <c r="A896" t="s">
        <v>2128</v>
      </c>
      <c r="B896" t="s">
        <v>2129</v>
      </c>
      <c r="C896">
        <v>11</v>
      </c>
      <c r="D896" s="260">
        <v>46219</v>
      </c>
      <c r="E896" s="260">
        <v>46238</v>
      </c>
      <c r="F896">
        <v>60</v>
      </c>
      <c r="G896" t="s">
        <v>356</v>
      </c>
    </row>
    <row r="897" spans="1:7">
      <c r="A897" t="s">
        <v>2130</v>
      </c>
      <c r="B897" t="s">
        <v>2131</v>
      </c>
      <c r="C897">
        <v>10</v>
      </c>
      <c r="D897" s="260">
        <v>46254</v>
      </c>
      <c r="E897" s="260">
        <v>46267</v>
      </c>
      <c r="F897">
        <v>71</v>
      </c>
      <c r="G897" t="s">
        <v>356</v>
      </c>
    </row>
    <row r="898" spans="1:7">
      <c r="A898" t="s">
        <v>2132</v>
      </c>
      <c r="B898" t="s">
        <v>2133</v>
      </c>
      <c r="C898">
        <v>10</v>
      </c>
      <c r="D898" s="260">
        <v>46282</v>
      </c>
      <c r="E898" s="260">
        <v>46295</v>
      </c>
      <c r="F898">
        <v>71</v>
      </c>
      <c r="G898" t="s">
        <v>356</v>
      </c>
    </row>
    <row r="899" spans="1:7">
      <c r="A899" t="s">
        <v>2134</v>
      </c>
      <c r="B899" t="s">
        <v>2135</v>
      </c>
      <c r="C899">
        <v>15</v>
      </c>
      <c r="D899" s="260">
        <v>46219</v>
      </c>
      <c r="E899" s="260">
        <v>46244</v>
      </c>
      <c r="F899">
        <v>67</v>
      </c>
      <c r="G899" t="s">
        <v>356</v>
      </c>
    </row>
    <row r="900" spans="1:7">
      <c r="A900" t="s">
        <v>2136</v>
      </c>
      <c r="B900" t="s">
        <v>2137</v>
      </c>
      <c r="C900">
        <v>10</v>
      </c>
      <c r="D900" s="260">
        <v>46260</v>
      </c>
      <c r="E900" s="260">
        <v>46273</v>
      </c>
      <c r="F900">
        <v>67</v>
      </c>
      <c r="G900" t="s">
        <v>356</v>
      </c>
    </row>
    <row r="901" spans="1:7">
      <c r="A901" t="s">
        <v>2138</v>
      </c>
      <c r="B901" t="s">
        <v>2139</v>
      </c>
      <c r="C901">
        <v>10</v>
      </c>
      <c r="D901" s="260">
        <v>46288</v>
      </c>
      <c r="E901" s="260">
        <v>46301</v>
      </c>
      <c r="F901">
        <v>67</v>
      </c>
      <c r="G901" t="s">
        <v>356</v>
      </c>
    </row>
    <row r="902" spans="1:7">
      <c r="A902" t="s">
        <v>2140</v>
      </c>
      <c r="B902" t="s">
        <v>2141</v>
      </c>
      <c r="C902">
        <v>17</v>
      </c>
      <c r="D902" s="260">
        <v>46226</v>
      </c>
      <c r="E902" s="260">
        <v>46254</v>
      </c>
      <c r="F902">
        <v>60</v>
      </c>
      <c r="G902" t="s">
        <v>356</v>
      </c>
    </row>
    <row r="903" spans="1:7">
      <c r="A903" t="s">
        <v>2142</v>
      </c>
      <c r="B903" t="s">
        <v>2143</v>
      </c>
      <c r="C903">
        <v>10</v>
      </c>
      <c r="D903" s="260">
        <v>46269</v>
      </c>
      <c r="E903" s="260">
        <v>46282</v>
      </c>
      <c r="F903">
        <v>60</v>
      </c>
      <c r="G903" t="s">
        <v>356</v>
      </c>
    </row>
    <row r="904" spans="1:7">
      <c r="A904" t="s">
        <v>2144</v>
      </c>
      <c r="B904" t="s">
        <v>2145</v>
      </c>
      <c r="C904">
        <v>10</v>
      </c>
      <c r="D904" s="260">
        <v>46297</v>
      </c>
      <c r="E904" s="260">
        <v>46311</v>
      </c>
      <c r="F904">
        <v>60</v>
      </c>
      <c r="G904" t="s">
        <v>356</v>
      </c>
    </row>
    <row r="905" spans="1:7">
      <c r="A905" t="s">
        <v>2146</v>
      </c>
      <c r="B905" t="s">
        <v>2147</v>
      </c>
      <c r="C905">
        <v>17</v>
      </c>
      <c r="D905" s="260">
        <v>46226</v>
      </c>
      <c r="E905" s="260">
        <v>46254</v>
      </c>
      <c r="F905">
        <v>60</v>
      </c>
      <c r="G905" t="s">
        <v>356</v>
      </c>
    </row>
    <row r="906" spans="1:7">
      <c r="A906" t="s">
        <v>2148</v>
      </c>
      <c r="B906" t="s">
        <v>2149</v>
      </c>
      <c r="C906">
        <v>10</v>
      </c>
      <c r="D906" s="260">
        <v>46269</v>
      </c>
      <c r="E906" s="260">
        <v>46282</v>
      </c>
      <c r="F906">
        <v>60</v>
      </c>
      <c r="G906" t="s">
        <v>356</v>
      </c>
    </row>
    <row r="907" spans="1:7">
      <c r="A907" t="s">
        <v>2150</v>
      </c>
      <c r="B907" t="s">
        <v>2151</v>
      </c>
      <c r="C907">
        <v>10</v>
      </c>
      <c r="D907" s="260">
        <v>46297</v>
      </c>
      <c r="E907" s="260">
        <v>46311</v>
      </c>
      <c r="F907">
        <v>60</v>
      </c>
      <c r="G907" t="s">
        <v>356</v>
      </c>
    </row>
    <row r="908" spans="1:7">
      <c r="A908" t="s">
        <v>2152</v>
      </c>
      <c r="B908" t="s">
        <v>2153</v>
      </c>
      <c r="C908">
        <v>19</v>
      </c>
      <c r="D908" s="260">
        <v>46147</v>
      </c>
      <c r="E908" s="260">
        <v>46171</v>
      </c>
      <c r="F908">
        <v>91</v>
      </c>
      <c r="G908" t="s">
        <v>356</v>
      </c>
    </row>
    <row r="909" spans="1:7">
      <c r="A909" t="s">
        <v>2154</v>
      </c>
      <c r="B909" t="s">
        <v>2155</v>
      </c>
      <c r="C909">
        <v>10</v>
      </c>
      <c r="D909" s="260">
        <v>46190</v>
      </c>
      <c r="E909" s="260">
        <v>46203</v>
      </c>
      <c r="F909">
        <v>113</v>
      </c>
      <c r="G909" t="s">
        <v>356</v>
      </c>
    </row>
    <row r="910" spans="1:7">
      <c r="A910" t="s">
        <v>2156</v>
      </c>
      <c r="B910" t="s">
        <v>2157</v>
      </c>
      <c r="C910">
        <v>10</v>
      </c>
      <c r="D910" s="260">
        <v>46218</v>
      </c>
      <c r="E910" s="260">
        <v>46234</v>
      </c>
      <c r="F910">
        <v>113</v>
      </c>
      <c r="G910" t="s">
        <v>356</v>
      </c>
    </row>
    <row r="911" spans="1:7">
      <c r="A911" t="s">
        <v>2158</v>
      </c>
      <c r="B911" t="s">
        <v>2159</v>
      </c>
      <c r="C911">
        <v>19</v>
      </c>
      <c r="D911" s="260">
        <v>46147</v>
      </c>
      <c r="E911" s="260">
        <v>46171</v>
      </c>
      <c r="F911">
        <v>113</v>
      </c>
      <c r="G911" t="s">
        <v>356</v>
      </c>
    </row>
    <row r="912" spans="1:7">
      <c r="A912" t="s">
        <v>2160</v>
      </c>
      <c r="B912" t="s">
        <v>2161</v>
      </c>
      <c r="C912">
        <v>10</v>
      </c>
      <c r="D912" s="260">
        <v>46190</v>
      </c>
      <c r="E912" s="260">
        <v>46203</v>
      </c>
      <c r="F912">
        <v>113</v>
      </c>
      <c r="G912" t="s">
        <v>356</v>
      </c>
    </row>
    <row r="913" spans="1:7">
      <c r="A913" t="s">
        <v>2162</v>
      </c>
      <c r="B913" t="s">
        <v>2163</v>
      </c>
      <c r="C913">
        <v>10</v>
      </c>
      <c r="D913" s="260">
        <v>46218</v>
      </c>
      <c r="E913" s="260">
        <v>46234</v>
      </c>
      <c r="F913">
        <v>113</v>
      </c>
      <c r="G913" t="s">
        <v>356</v>
      </c>
    </row>
    <row r="914" spans="1:7">
      <c r="A914" t="s">
        <v>2164</v>
      </c>
      <c r="B914" t="s">
        <v>2165</v>
      </c>
      <c r="C914">
        <v>22</v>
      </c>
      <c r="D914" s="260">
        <v>46154</v>
      </c>
      <c r="E914" s="260">
        <v>46185</v>
      </c>
      <c r="F914">
        <v>91</v>
      </c>
      <c r="G914" t="s">
        <v>356</v>
      </c>
    </row>
    <row r="915" spans="1:7">
      <c r="A915" t="s">
        <v>2166</v>
      </c>
      <c r="B915" t="s">
        <v>2167</v>
      </c>
      <c r="C915">
        <v>10</v>
      </c>
      <c r="D915" s="260">
        <v>46202</v>
      </c>
      <c r="E915" s="260">
        <v>46213</v>
      </c>
      <c r="F915">
        <v>91</v>
      </c>
      <c r="G915" t="s">
        <v>356</v>
      </c>
    </row>
    <row r="916" spans="1:7">
      <c r="A916" t="s">
        <v>2168</v>
      </c>
      <c r="B916" t="s">
        <v>2169</v>
      </c>
      <c r="C916">
        <v>10</v>
      </c>
      <c r="D916" s="260">
        <v>46230</v>
      </c>
      <c r="E916" s="260">
        <v>46247</v>
      </c>
      <c r="F916">
        <v>91</v>
      </c>
      <c r="G916" t="s">
        <v>356</v>
      </c>
    </row>
    <row r="917" spans="1:7">
      <c r="A917" t="s">
        <v>2170</v>
      </c>
      <c r="B917" t="s">
        <v>2171</v>
      </c>
      <c r="C917">
        <v>22</v>
      </c>
      <c r="D917" s="260">
        <v>46154</v>
      </c>
      <c r="E917" s="260">
        <v>46185</v>
      </c>
      <c r="F917">
        <v>105</v>
      </c>
      <c r="G917" t="s">
        <v>356</v>
      </c>
    </row>
    <row r="918" spans="1:7">
      <c r="A918" t="s">
        <v>2172</v>
      </c>
      <c r="B918" t="s">
        <v>2173</v>
      </c>
      <c r="C918">
        <v>10</v>
      </c>
      <c r="D918" s="260">
        <v>46202</v>
      </c>
      <c r="E918" s="260">
        <v>46213</v>
      </c>
      <c r="F918">
        <v>105</v>
      </c>
      <c r="G918" t="s">
        <v>356</v>
      </c>
    </row>
    <row r="919" spans="1:7">
      <c r="A919" t="s">
        <v>2174</v>
      </c>
      <c r="B919" t="s">
        <v>2175</v>
      </c>
      <c r="C919">
        <v>10</v>
      </c>
      <c r="D919" s="260">
        <v>46230</v>
      </c>
      <c r="E919" s="260">
        <v>46247</v>
      </c>
      <c r="F919">
        <v>105</v>
      </c>
      <c r="G919" t="s">
        <v>356</v>
      </c>
    </row>
    <row r="920" spans="1:7">
      <c r="A920" t="s">
        <v>2176</v>
      </c>
      <c r="B920" t="s">
        <v>2177</v>
      </c>
      <c r="C920">
        <v>11</v>
      </c>
      <c r="D920" s="260">
        <v>46168</v>
      </c>
      <c r="E920" s="260">
        <v>46184</v>
      </c>
      <c r="F920">
        <v>5</v>
      </c>
      <c r="G920" t="s">
        <v>356</v>
      </c>
    </row>
    <row r="921" spans="1:7">
      <c r="A921" t="s">
        <v>2178</v>
      </c>
      <c r="B921" t="s">
        <v>2179</v>
      </c>
      <c r="C921">
        <v>5</v>
      </c>
      <c r="D921" s="260">
        <v>46199</v>
      </c>
      <c r="E921" s="260">
        <v>46205</v>
      </c>
      <c r="F921">
        <v>107</v>
      </c>
      <c r="G921" t="s">
        <v>356</v>
      </c>
    </row>
    <row r="922" spans="1:7">
      <c r="A922" t="s">
        <v>2180</v>
      </c>
      <c r="B922" t="s">
        <v>2181</v>
      </c>
      <c r="C922">
        <v>5</v>
      </c>
      <c r="D922" s="260">
        <v>46220</v>
      </c>
      <c r="E922" s="260">
        <v>46226</v>
      </c>
      <c r="F922">
        <v>107</v>
      </c>
      <c r="G922" t="s">
        <v>356</v>
      </c>
    </row>
    <row r="923" spans="1:7">
      <c r="A923" t="s">
        <v>2182</v>
      </c>
      <c r="B923" t="s">
        <v>2183</v>
      </c>
      <c r="C923">
        <v>11</v>
      </c>
      <c r="D923" s="260">
        <v>46169</v>
      </c>
      <c r="E923" s="260">
        <v>46185</v>
      </c>
      <c r="F923">
        <v>5</v>
      </c>
      <c r="G923" t="s">
        <v>356</v>
      </c>
    </row>
    <row r="924" spans="1:7">
      <c r="A924" t="s">
        <v>2184</v>
      </c>
      <c r="B924" t="s">
        <v>2185</v>
      </c>
      <c r="C924">
        <v>5</v>
      </c>
      <c r="D924" s="260">
        <v>46202</v>
      </c>
      <c r="E924" s="260">
        <v>46206</v>
      </c>
      <c r="F924">
        <v>106</v>
      </c>
      <c r="G924" t="s">
        <v>356</v>
      </c>
    </row>
    <row r="925" spans="1:7">
      <c r="A925" t="s">
        <v>2186</v>
      </c>
      <c r="B925" t="s">
        <v>2187</v>
      </c>
      <c r="C925">
        <v>5</v>
      </c>
      <c r="D925" s="260">
        <v>46223</v>
      </c>
      <c r="E925" s="260">
        <v>46227</v>
      </c>
      <c r="F925">
        <v>106</v>
      </c>
      <c r="G925" t="s">
        <v>356</v>
      </c>
    </row>
    <row r="926" spans="1:7">
      <c r="A926" t="s">
        <v>2188</v>
      </c>
      <c r="B926" t="s">
        <v>2189</v>
      </c>
      <c r="C926">
        <v>11</v>
      </c>
      <c r="D926" s="260">
        <v>46169</v>
      </c>
      <c r="E926" s="260">
        <v>46185</v>
      </c>
      <c r="F926">
        <v>106</v>
      </c>
      <c r="G926" t="s">
        <v>356</v>
      </c>
    </row>
    <row r="927" spans="1:7">
      <c r="A927" t="s">
        <v>2190</v>
      </c>
      <c r="B927" t="s">
        <v>2191</v>
      </c>
      <c r="C927">
        <v>5</v>
      </c>
      <c r="D927" s="260">
        <v>46202</v>
      </c>
      <c r="E927" s="260">
        <v>46206</v>
      </c>
      <c r="F927">
        <v>106</v>
      </c>
      <c r="G927" t="s">
        <v>356</v>
      </c>
    </row>
    <row r="928" spans="1:7">
      <c r="A928" t="s">
        <v>2192</v>
      </c>
      <c r="B928" t="s">
        <v>2193</v>
      </c>
      <c r="C928">
        <v>5</v>
      </c>
      <c r="D928" s="260">
        <v>46223</v>
      </c>
      <c r="E928" s="260">
        <v>46227</v>
      </c>
      <c r="F928">
        <v>106</v>
      </c>
      <c r="G928" t="s">
        <v>356</v>
      </c>
    </row>
    <row r="929" spans="1:7">
      <c r="A929" t="s">
        <v>2194</v>
      </c>
      <c r="B929" t="s">
        <v>2195</v>
      </c>
      <c r="C929">
        <v>10</v>
      </c>
      <c r="D929" s="260">
        <v>46178</v>
      </c>
      <c r="E929" s="260">
        <v>46191</v>
      </c>
      <c r="F929">
        <v>5</v>
      </c>
      <c r="G929" t="s">
        <v>356</v>
      </c>
    </row>
    <row r="930" spans="1:7">
      <c r="A930" t="s">
        <v>2196</v>
      </c>
      <c r="B930" t="s">
        <v>2197</v>
      </c>
      <c r="C930">
        <v>5</v>
      </c>
      <c r="D930" s="260">
        <v>46206</v>
      </c>
      <c r="E930" s="260">
        <v>46212</v>
      </c>
      <c r="F930">
        <v>102</v>
      </c>
      <c r="G930" t="s">
        <v>356</v>
      </c>
    </row>
    <row r="931" spans="1:7">
      <c r="A931" t="s">
        <v>2198</v>
      </c>
      <c r="B931" t="s">
        <v>2199</v>
      </c>
      <c r="C931">
        <v>5</v>
      </c>
      <c r="D931" s="260">
        <v>46227</v>
      </c>
      <c r="E931" s="260">
        <v>46238</v>
      </c>
      <c r="F931">
        <v>102</v>
      </c>
      <c r="G931" t="s">
        <v>356</v>
      </c>
    </row>
    <row r="932" spans="1:7">
      <c r="A932" t="s">
        <v>2200</v>
      </c>
      <c r="B932" t="s">
        <v>2201</v>
      </c>
      <c r="C932">
        <v>10</v>
      </c>
      <c r="D932" s="260">
        <v>46183</v>
      </c>
      <c r="E932" s="260">
        <v>46196</v>
      </c>
      <c r="F932">
        <v>5</v>
      </c>
      <c r="G932" t="s">
        <v>356</v>
      </c>
    </row>
    <row r="933" spans="1:7">
      <c r="A933" t="s">
        <v>2202</v>
      </c>
      <c r="B933" t="s">
        <v>2203</v>
      </c>
      <c r="C933">
        <v>5</v>
      </c>
      <c r="D933" s="260">
        <v>46216</v>
      </c>
      <c r="E933" s="260">
        <v>46220</v>
      </c>
      <c r="F933">
        <v>96</v>
      </c>
      <c r="G933" t="s">
        <v>356</v>
      </c>
    </row>
    <row r="934" spans="1:7">
      <c r="A934" t="s">
        <v>2204</v>
      </c>
      <c r="B934" t="s">
        <v>2205</v>
      </c>
      <c r="C934">
        <v>5</v>
      </c>
      <c r="D934" s="260">
        <v>46248</v>
      </c>
      <c r="E934" s="260">
        <v>46254</v>
      </c>
      <c r="F934">
        <v>91</v>
      </c>
      <c r="G934" t="s">
        <v>356</v>
      </c>
    </row>
    <row r="935" spans="1:7">
      <c r="A935" t="s">
        <v>2206</v>
      </c>
      <c r="B935" t="s">
        <v>2207</v>
      </c>
      <c r="C935">
        <v>10</v>
      </c>
      <c r="D935" s="260">
        <v>46183</v>
      </c>
      <c r="E935" s="260">
        <v>46196</v>
      </c>
      <c r="F935">
        <v>5</v>
      </c>
      <c r="G935" t="s">
        <v>356</v>
      </c>
    </row>
    <row r="936" spans="1:7">
      <c r="A936" t="s">
        <v>2208</v>
      </c>
      <c r="B936" t="s">
        <v>2209</v>
      </c>
      <c r="C936">
        <v>5</v>
      </c>
      <c r="D936" s="260">
        <v>46216</v>
      </c>
      <c r="E936" s="260">
        <v>46220</v>
      </c>
      <c r="F936">
        <v>96</v>
      </c>
      <c r="G936" t="s">
        <v>356</v>
      </c>
    </row>
    <row r="937" spans="1:7">
      <c r="A937" t="s">
        <v>2210</v>
      </c>
      <c r="B937" t="s">
        <v>2211</v>
      </c>
      <c r="C937">
        <v>5</v>
      </c>
      <c r="D937" s="260">
        <v>46248</v>
      </c>
      <c r="E937" s="260">
        <v>46254</v>
      </c>
      <c r="F937">
        <v>91</v>
      </c>
      <c r="G937" t="s">
        <v>356</v>
      </c>
    </row>
    <row r="938" spans="1:7">
      <c r="A938" t="s">
        <v>2212</v>
      </c>
      <c r="B938" t="s">
        <v>2213</v>
      </c>
      <c r="C938">
        <v>12</v>
      </c>
      <c r="D938" s="260">
        <v>46195</v>
      </c>
      <c r="E938" s="260">
        <v>46210</v>
      </c>
      <c r="F938">
        <v>5</v>
      </c>
      <c r="G938" t="s">
        <v>356</v>
      </c>
    </row>
    <row r="939" spans="1:7">
      <c r="A939" t="s">
        <v>2214</v>
      </c>
      <c r="B939" t="s">
        <v>2215</v>
      </c>
      <c r="C939">
        <v>5</v>
      </c>
      <c r="D939" s="260">
        <v>46225</v>
      </c>
      <c r="E939" s="260">
        <v>46234</v>
      </c>
      <c r="F939">
        <v>89</v>
      </c>
      <c r="G939" t="s">
        <v>356</v>
      </c>
    </row>
    <row r="940" spans="1:7">
      <c r="A940" t="s">
        <v>2216</v>
      </c>
      <c r="B940" t="s">
        <v>2217</v>
      </c>
      <c r="C940">
        <v>5</v>
      </c>
      <c r="D940" s="260">
        <v>46252</v>
      </c>
      <c r="E940" s="260">
        <v>46258</v>
      </c>
      <c r="F940">
        <v>89</v>
      </c>
      <c r="G940" t="s">
        <v>356</v>
      </c>
    </row>
    <row r="941" spans="1:7">
      <c r="A941" t="s">
        <v>2218</v>
      </c>
      <c r="B941" t="s">
        <v>2219</v>
      </c>
      <c r="C941">
        <v>12</v>
      </c>
      <c r="D941" s="260">
        <v>46196</v>
      </c>
      <c r="E941" s="260">
        <v>46211</v>
      </c>
      <c r="F941">
        <v>5</v>
      </c>
      <c r="G941" t="s">
        <v>356</v>
      </c>
    </row>
    <row r="942" spans="1:7">
      <c r="A942" t="s">
        <v>2220</v>
      </c>
      <c r="B942" t="s">
        <v>2221</v>
      </c>
      <c r="C942">
        <v>5</v>
      </c>
      <c r="D942" s="260">
        <v>46226</v>
      </c>
      <c r="E942" s="260">
        <v>46237</v>
      </c>
      <c r="F942">
        <v>88</v>
      </c>
      <c r="G942" t="s">
        <v>356</v>
      </c>
    </row>
    <row r="943" spans="1:7">
      <c r="A943" t="s">
        <v>2222</v>
      </c>
      <c r="B943" t="s">
        <v>2223</v>
      </c>
      <c r="C943">
        <v>5</v>
      </c>
      <c r="D943" s="260">
        <v>46253</v>
      </c>
      <c r="E943" s="260">
        <v>46259</v>
      </c>
      <c r="F943">
        <v>88</v>
      </c>
      <c r="G943" t="s">
        <v>356</v>
      </c>
    </row>
    <row r="944" spans="1:7">
      <c r="A944" t="s">
        <v>2224</v>
      </c>
      <c r="B944" t="s">
        <v>2225</v>
      </c>
      <c r="C944">
        <v>10</v>
      </c>
      <c r="D944" s="260">
        <v>46113</v>
      </c>
      <c r="E944" s="260">
        <v>46132</v>
      </c>
      <c r="F944">
        <v>43</v>
      </c>
      <c r="G944" t="s">
        <v>356</v>
      </c>
    </row>
    <row r="945" spans="1:7">
      <c r="A945" t="s">
        <v>2226</v>
      </c>
      <c r="B945" t="s">
        <v>2227</v>
      </c>
      <c r="C945">
        <v>5</v>
      </c>
      <c r="D945" s="260">
        <v>46148</v>
      </c>
      <c r="E945" s="260">
        <v>46154</v>
      </c>
      <c r="F945">
        <v>87</v>
      </c>
      <c r="G945" t="s">
        <v>356</v>
      </c>
    </row>
    <row r="946" spans="1:7">
      <c r="A946" t="s">
        <v>2228</v>
      </c>
      <c r="B946" t="s">
        <v>2229</v>
      </c>
      <c r="C946">
        <v>5</v>
      </c>
      <c r="D946" s="260">
        <v>46169</v>
      </c>
      <c r="E946" s="260">
        <v>46177</v>
      </c>
      <c r="F946">
        <v>97</v>
      </c>
      <c r="G946" t="s">
        <v>356</v>
      </c>
    </row>
    <row r="947" spans="1:7">
      <c r="A947" t="s">
        <v>2230</v>
      </c>
      <c r="B947" t="s">
        <v>2231</v>
      </c>
      <c r="C947">
        <v>12</v>
      </c>
      <c r="D947" s="260">
        <v>46128</v>
      </c>
      <c r="E947" s="260">
        <v>46146</v>
      </c>
      <c r="F947">
        <v>43</v>
      </c>
      <c r="G947" t="s">
        <v>356</v>
      </c>
    </row>
    <row r="948" spans="1:7">
      <c r="A948" t="s">
        <v>2232</v>
      </c>
      <c r="B948" t="s">
        <v>2233</v>
      </c>
      <c r="C948">
        <v>5</v>
      </c>
      <c r="D948" s="260">
        <v>46161</v>
      </c>
      <c r="E948" s="260">
        <v>46167</v>
      </c>
      <c r="F948">
        <v>83</v>
      </c>
      <c r="G948" t="s">
        <v>356</v>
      </c>
    </row>
    <row r="949" spans="1:7">
      <c r="A949" t="s">
        <v>2234</v>
      </c>
      <c r="B949" t="s">
        <v>2235</v>
      </c>
      <c r="C949">
        <v>5</v>
      </c>
      <c r="D949" s="260">
        <v>46184</v>
      </c>
      <c r="E949" s="260">
        <v>46190</v>
      </c>
      <c r="F949">
        <v>93</v>
      </c>
      <c r="G949" t="s">
        <v>356</v>
      </c>
    </row>
    <row r="950" spans="1:7">
      <c r="A950" t="s">
        <v>2236</v>
      </c>
      <c r="B950" t="s">
        <v>2237</v>
      </c>
      <c r="C950">
        <v>15</v>
      </c>
      <c r="D950" s="260">
        <v>46132</v>
      </c>
      <c r="E950" s="260">
        <v>46153</v>
      </c>
      <c r="F950">
        <v>95</v>
      </c>
      <c r="G950" t="s">
        <v>356</v>
      </c>
    </row>
    <row r="951" spans="1:7">
      <c r="A951" t="s">
        <v>2238</v>
      </c>
      <c r="B951" t="s">
        <v>2239</v>
      </c>
      <c r="C951">
        <v>5</v>
      </c>
      <c r="D951" s="260">
        <v>46168</v>
      </c>
      <c r="E951" s="260">
        <v>46175</v>
      </c>
      <c r="F951">
        <v>113</v>
      </c>
      <c r="G951" t="s">
        <v>356</v>
      </c>
    </row>
    <row r="952" spans="1:7">
      <c r="A952" t="s">
        <v>2240</v>
      </c>
      <c r="B952" t="s">
        <v>2241</v>
      </c>
      <c r="C952">
        <v>5</v>
      </c>
      <c r="D952" s="260">
        <v>46191</v>
      </c>
      <c r="E952" s="260">
        <v>46197</v>
      </c>
      <c r="F952">
        <v>118</v>
      </c>
      <c r="G952" t="s">
        <v>356</v>
      </c>
    </row>
    <row r="953" spans="1:7">
      <c r="A953" t="s">
        <v>2242</v>
      </c>
      <c r="B953" t="s">
        <v>2243</v>
      </c>
      <c r="C953">
        <v>19</v>
      </c>
      <c r="D953" s="260">
        <v>46160</v>
      </c>
      <c r="E953" s="260">
        <v>46188</v>
      </c>
      <c r="F953">
        <v>95</v>
      </c>
      <c r="G953" t="s">
        <v>356</v>
      </c>
    </row>
    <row r="954" spans="1:7">
      <c r="A954" t="s">
        <v>2244</v>
      </c>
      <c r="B954" t="s">
        <v>2245</v>
      </c>
      <c r="C954">
        <v>10</v>
      </c>
      <c r="D954" s="260">
        <v>46203</v>
      </c>
      <c r="E954" s="260">
        <v>46216</v>
      </c>
      <c r="F954">
        <v>95</v>
      </c>
      <c r="G954" t="s">
        <v>356</v>
      </c>
    </row>
    <row r="955" spans="1:7">
      <c r="A955" t="s">
        <v>2246</v>
      </c>
      <c r="B955" t="s">
        <v>2247</v>
      </c>
      <c r="C955">
        <v>10</v>
      </c>
      <c r="D955" s="260">
        <v>46234</v>
      </c>
      <c r="E955" s="260">
        <v>46248</v>
      </c>
      <c r="F955">
        <v>95</v>
      </c>
      <c r="G955" t="s">
        <v>356</v>
      </c>
    </row>
    <row r="956" spans="1:7">
      <c r="A956" t="s">
        <v>2248</v>
      </c>
      <c r="B956" t="s">
        <v>2249</v>
      </c>
      <c r="C956">
        <v>20</v>
      </c>
      <c r="D956" s="260">
        <v>46147</v>
      </c>
      <c r="E956" s="260">
        <v>46175</v>
      </c>
      <c r="F956">
        <v>43</v>
      </c>
      <c r="G956" t="s">
        <v>356</v>
      </c>
    </row>
    <row r="957" spans="1:7">
      <c r="A957" t="s">
        <v>2250</v>
      </c>
      <c r="B957" t="s">
        <v>2251</v>
      </c>
      <c r="C957">
        <v>10</v>
      </c>
      <c r="D957" s="260">
        <v>46191</v>
      </c>
      <c r="E957" s="260">
        <v>46204</v>
      </c>
      <c r="F957">
        <v>73</v>
      </c>
      <c r="G957" t="s">
        <v>356</v>
      </c>
    </row>
    <row r="958" spans="1:7">
      <c r="A958" t="s">
        <v>2252</v>
      </c>
      <c r="B958" t="s">
        <v>2253</v>
      </c>
      <c r="C958">
        <v>10</v>
      </c>
      <c r="D958" s="260">
        <v>46219</v>
      </c>
      <c r="E958" s="260">
        <v>46237</v>
      </c>
      <c r="F958">
        <v>73</v>
      </c>
      <c r="G958" t="s">
        <v>356</v>
      </c>
    </row>
    <row r="959" spans="1:7">
      <c r="A959" t="s">
        <v>2254</v>
      </c>
      <c r="B959" t="s">
        <v>2255</v>
      </c>
      <c r="C959">
        <v>16</v>
      </c>
      <c r="D959" s="260">
        <v>46245</v>
      </c>
      <c r="E959" s="260">
        <v>46267</v>
      </c>
      <c r="F959">
        <v>42</v>
      </c>
      <c r="G959" t="s">
        <v>356</v>
      </c>
    </row>
    <row r="960" spans="1:7">
      <c r="A960" t="s">
        <v>2256</v>
      </c>
      <c r="B960" t="s">
        <v>2257</v>
      </c>
      <c r="C960">
        <v>10</v>
      </c>
      <c r="D960" s="260">
        <v>46282</v>
      </c>
      <c r="E960" s="260">
        <v>46295</v>
      </c>
      <c r="F960">
        <v>42</v>
      </c>
      <c r="G960" t="s">
        <v>356</v>
      </c>
    </row>
    <row r="961" spans="1:7">
      <c r="A961" t="s">
        <v>2258</v>
      </c>
      <c r="B961" t="s">
        <v>2259</v>
      </c>
      <c r="C961">
        <v>10</v>
      </c>
      <c r="D961" s="260">
        <v>46311</v>
      </c>
      <c r="E961" s="260">
        <v>46325</v>
      </c>
      <c r="F961">
        <v>42</v>
      </c>
      <c r="G961" t="s">
        <v>356</v>
      </c>
    </row>
    <row r="962" spans="1:7">
      <c r="A962" t="s">
        <v>2260</v>
      </c>
      <c r="B962" t="s">
        <v>2261</v>
      </c>
      <c r="C962">
        <v>19</v>
      </c>
      <c r="D962" s="260">
        <v>46167</v>
      </c>
      <c r="E962" s="260">
        <v>46195</v>
      </c>
      <c r="F962">
        <v>49</v>
      </c>
      <c r="G962" t="s">
        <v>356</v>
      </c>
    </row>
    <row r="963" spans="1:7">
      <c r="A963" t="s">
        <v>2262</v>
      </c>
      <c r="B963" t="s">
        <v>2263</v>
      </c>
      <c r="C963">
        <v>10</v>
      </c>
      <c r="D963" s="260">
        <v>46210</v>
      </c>
      <c r="E963" s="260">
        <v>46223</v>
      </c>
      <c r="F963">
        <v>90</v>
      </c>
      <c r="G963" t="s">
        <v>356</v>
      </c>
    </row>
    <row r="964" spans="1:7">
      <c r="A964" t="s">
        <v>2264</v>
      </c>
      <c r="B964" t="s">
        <v>2265</v>
      </c>
      <c r="C964">
        <v>10</v>
      </c>
      <c r="D964" s="260">
        <v>46241</v>
      </c>
      <c r="E964" s="260">
        <v>46255</v>
      </c>
      <c r="F964">
        <v>90</v>
      </c>
      <c r="G964" t="s">
        <v>356</v>
      </c>
    </row>
    <row r="965" spans="1:7">
      <c r="A965" t="s">
        <v>2266</v>
      </c>
      <c r="B965" t="s">
        <v>2267</v>
      </c>
      <c r="C965">
        <v>19</v>
      </c>
      <c r="D965" s="260">
        <v>46175</v>
      </c>
      <c r="E965" s="260">
        <v>46202</v>
      </c>
      <c r="F965">
        <v>85</v>
      </c>
      <c r="G965" t="s">
        <v>356</v>
      </c>
    </row>
    <row r="966" spans="1:7">
      <c r="A966" t="s">
        <v>2268</v>
      </c>
      <c r="B966" t="s">
        <v>2269</v>
      </c>
      <c r="C966">
        <v>10</v>
      </c>
      <c r="D966" s="260">
        <v>46217</v>
      </c>
      <c r="E966" s="260">
        <v>46230</v>
      </c>
      <c r="F966">
        <v>85</v>
      </c>
      <c r="G966" t="s">
        <v>356</v>
      </c>
    </row>
    <row r="967" spans="1:7">
      <c r="A967" t="s">
        <v>2270</v>
      </c>
      <c r="B967" t="s">
        <v>2271</v>
      </c>
      <c r="C967">
        <v>10</v>
      </c>
      <c r="D967" s="260">
        <v>46251</v>
      </c>
      <c r="E967" s="260">
        <v>46262</v>
      </c>
      <c r="F967">
        <v>85</v>
      </c>
      <c r="G967" t="s">
        <v>356</v>
      </c>
    </row>
    <row r="968" spans="1:7">
      <c r="A968" t="s">
        <v>2272</v>
      </c>
      <c r="B968" t="s">
        <v>2273</v>
      </c>
      <c r="C968">
        <v>21</v>
      </c>
      <c r="D968" s="260">
        <v>46188</v>
      </c>
      <c r="E968" s="260">
        <v>46216</v>
      </c>
      <c r="F968">
        <v>49</v>
      </c>
      <c r="G968" t="s">
        <v>356</v>
      </c>
    </row>
    <row r="969" spans="1:7">
      <c r="A969" t="s">
        <v>2274</v>
      </c>
      <c r="B969" t="s">
        <v>2275</v>
      </c>
      <c r="C969">
        <v>10</v>
      </c>
      <c r="D969" s="260">
        <v>46234</v>
      </c>
      <c r="E969" s="260">
        <v>46248</v>
      </c>
      <c r="F969">
        <v>75</v>
      </c>
      <c r="G969" t="s">
        <v>356</v>
      </c>
    </row>
    <row r="970" spans="1:7">
      <c r="A970" t="s">
        <v>2276</v>
      </c>
      <c r="B970" t="s">
        <v>2277</v>
      </c>
      <c r="C970">
        <v>10</v>
      </c>
      <c r="D970" s="260">
        <v>46265</v>
      </c>
      <c r="E970" s="260">
        <v>46276</v>
      </c>
      <c r="F970">
        <v>75</v>
      </c>
      <c r="G970" t="s">
        <v>356</v>
      </c>
    </row>
    <row r="971" spans="1:7">
      <c r="A971" t="s">
        <v>2278</v>
      </c>
      <c r="B971" t="s">
        <v>2279</v>
      </c>
      <c r="C971">
        <v>21</v>
      </c>
      <c r="D971" s="260">
        <v>46195</v>
      </c>
      <c r="E971" s="260">
        <v>46223</v>
      </c>
      <c r="F971">
        <v>54</v>
      </c>
      <c r="G971" t="s">
        <v>356</v>
      </c>
    </row>
    <row r="972" spans="1:7">
      <c r="A972" t="s">
        <v>2280</v>
      </c>
      <c r="B972" t="s">
        <v>2281</v>
      </c>
      <c r="C972">
        <v>10</v>
      </c>
      <c r="D972" s="260">
        <v>46241</v>
      </c>
      <c r="E972" s="260">
        <v>46255</v>
      </c>
      <c r="F972">
        <v>70</v>
      </c>
      <c r="G972" t="s">
        <v>356</v>
      </c>
    </row>
    <row r="973" spans="1:7">
      <c r="A973" t="s">
        <v>2282</v>
      </c>
      <c r="B973" t="s">
        <v>2283</v>
      </c>
      <c r="C973">
        <v>10</v>
      </c>
      <c r="D973" s="260">
        <v>46272</v>
      </c>
      <c r="E973" s="260">
        <v>46283</v>
      </c>
      <c r="F973">
        <v>70</v>
      </c>
      <c r="G973" t="s">
        <v>356</v>
      </c>
    </row>
    <row r="974" spans="1:7">
      <c r="A974" t="s">
        <v>2284</v>
      </c>
      <c r="B974" t="s">
        <v>2285</v>
      </c>
      <c r="C974">
        <v>17</v>
      </c>
      <c r="D974" s="260">
        <v>46223</v>
      </c>
      <c r="E974" s="260">
        <v>46251</v>
      </c>
      <c r="F974">
        <v>54</v>
      </c>
      <c r="G974" t="s">
        <v>356</v>
      </c>
    </row>
    <row r="975" spans="1:7">
      <c r="A975" t="s">
        <v>2286</v>
      </c>
      <c r="B975" t="s">
        <v>2287</v>
      </c>
      <c r="C975">
        <v>10</v>
      </c>
      <c r="D975" s="260">
        <v>46266</v>
      </c>
      <c r="E975" s="260">
        <v>46279</v>
      </c>
      <c r="F975">
        <v>54</v>
      </c>
      <c r="G975" t="s">
        <v>356</v>
      </c>
    </row>
    <row r="976" spans="1:7">
      <c r="A976" t="s">
        <v>2288</v>
      </c>
      <c r="B976" t="s">
        <v>2289</v>
      </c>
      <c r="C976">
        <v>10</v>
      </c>
      <c r="D976" s="260">
        <v>46294</v>
      </c>
      <c r="E976" s="260">
        <v>46307</v>
      </c>
      <c r="F976">
        <v>54</v>
      </c>
      <c r="G976" t="s">
        <v>356</v>
      </c>
    </row>
    <row r="977" spans="1:7">
      <c r="A977" t="s">
        <v>2290</v>
      </c>
      <c r="B977" t="s">
        <v>2291</v>
      </c>
      <c r="C977">
        <v>12</v>
      </c>
      <c r="D977" s="260">
        <v>46230</v>
      </c>
      <c r="E977" s="260">
        <v>46251</v>
      </c>
      <c r="F977">
        <v>54</v>
      </c>
      <c r="G977" t="s">
        <v>356</v>
      </c>
    </row>
    <row r="978" spans="1:7">
      <c r="A978" t="s">
        <v>2292</v>
      </c>
      <c r="B978" t="s">
        <v>2293</v>
      </c>
      <c r="C978">
        <v>10</v>
      </c>
      <c r="D978" s="260">
        <v>46266</v>
      </c>
      <c r="E978" s="260">
        <v>46279</v>
      </c>
      <c r="F978">
        <v>54</v>
      </c>
      <c r="G978" t="s">
        <v>356</v>
      </c>
    </row>
    <row r="979" spans="1:7">
      <c r="A979" t="s">
        <v>2294</v>
      </c>
      <c r="B979" t="s">
        <v>2295</v>
      </c>
      <c r="C979">
        <v>10</v>
      </c>
      <c r="D979" s="260">
        <v>46294</v>
      </c>
      <c r="E979" s="260">
        <v>46307</v>
      </c>
      <c r="F979">
        <v>54</v>
      </c>
      <c r="G979" t="s">
        <v>356</v>
      </c>
    </row>
    <row r="980" spans="1:7">
      <c r="A980" t="s">
        <v>2296</v>
      </c>
      <c r="B980" t="s">
        <v>2297</v>
      </c>
      <c r="C980">
        <v>17</v>
      </c>
      <c r="D980" s="260">
        <v>46128</v>
      </c>
      <c r="E980" s="260">
        <v>46153</v>
      </c>
      <c r="F980">
        <v>118</v>
      </c>
      <c r="G980" t="s">
        <v>356</v>
      </c>
    </row>
    <row r="981" spans="1:7">
      <c r="A981" t="s">
        <v>2298</v>
      </c>
      <c r="B981" t="s">
        <v>2299</v>
      </c>
      <c r="C981">
        <v>10</v>
      </c>
      <c r="D981" s="260">
        <v>46168</v>
      </c>
      <c r="E981" s="260">
        <v>46183</v>
      </c>
      <c r="F981">
        <v>118</v>
      </c>
      <c r="G981" t="s">
        <v>356</v>
      </c>
    </row>
    <row r="982" spans="1:7">
      <c r="A982" t="s">
        <v>2300</v>
      </c>
      <c r="B982" t="s">
        <v>2301</v>
      </c>
      <c r="C982">
        <v>10</v>
      </c>
      <c r="D982" s="260">
        <v>46198</v>
      </c>
      <c r="E982" s="260">
        <v>46211</v>
      </c>
      <c r="F982">
        <v>118</v>
      </c>
      <c r="G982" t="s">
        <v>356</v>
      </c>
    </row>
    <row r="983" spans="1:7">
      <c r="A983" t="s">
        <v>2302</v>
      </c>
      <c r="B983" t="s">
        <v>2303</v>
      </c>
      <c r="C983">
        <v>17</v>
      </c>
      <c r="D983" s="260">
        <v>46199</v>
      </c>
      <c r="E983" s="260">
        <v>46223</v>
      </c>
      <c r="F983">
        <v>5</v>
      </c>
      <c r="G983" t="s">
        <v>356</v>
      </c>
    </row>
    <row r="984" spans="1:7">
      <c r="A984" t="s">
        <v>2304</v>
      </c>
      <c r="B984" t="s">
        <v>2305</v>
      </c>
      <c r="C984">
        <v>10</v>
      </c>
      <c r="D984" s="260">
        <v>46241</v>
      </c>
      <c r="E984" s="260">
        <v>46255</v>
      </c>
      <c r="F984">
        <v>35</v>
      </c>
      <c r="G984" t="s">
        <v>356</v>
      </c>
    </row>
    <row r="985" spans="1:7">
      <c r="A985" t="s">
        <v>2306</v>
      </c>
      <c r="B985" t="s">
        <v>2307</v>
      </c>
      <c r="C985">
        <v>10</v>
      </c>
      <c r="D985" s="260">
        <v>46272</v>
      </c>
      <c r="E985" s="260">
        <v>46283</v>
      </c>
      <c r="F985">
        <v>40</v>
      </c>
      <c r="G985" t="s">
        <v>356</v>
      </c>
    </row>
    <row r="986" spans="1:7">
      <c r="A986" t="s">
        <v>2308</v>
      </c>
      <c r="B986" t="s">
        <v>2309</v>
      </c>
      <c r="C986">
        <v>17</v>
      </c>
      <c r="D986" s="260">
        <v>46199</v>
      </c>
      <c r="E986" s="260">
        <v>46223</v>
      </c>
      <c r="F986">
        <v>39</v>
      </c>
      <c r="G986" t="s">
        <v>356</v>
      </c>
    </row>
    <row r="987" spans="1:7">
      <c r="A987" t="s">
        <v>2310</v>
      </c>
      <c r="B987" t="s">
        <v>2311</v>
      </c>
      <c r="C987">
        <v>10</v>
      </c>
      <c r="D987" s="260">
        <v>46241</v>
      </c>
      <c r="E987" s="260">
        <v>46255</v>
      </c>
      <c r="F987">
        <v>50</v>
      </c>
      <c r="G987" t="s">
        <v>356</v>
      </c>
    </row>
    <row r="988" spans="1:7">
      <c r="A988" t="s">
        <v>2312</v>
      </c>
      <c r="B988" t="s">
        <v>2313</v>
      </c>
      <c r="C988">
        <v>10</v>
      </c>
      <c r="D988" s="260">
        <v>46272</v>
      </c>
      <c r="E988" s="260">
        <v>46283</v>
      </c>
      <c r="F988">
        <v>50</v>
      </c>
      <c r="G988" t="s">
        <v>356</v>
      </c>
    </row>
    <row r="989" spans="1:7">
      <c r="A989" t="s">
        <v>2314</v>
      </c>
      <c r="B989" t="s">
        <v>2315</v>
      </c>
      <c r="C989">
        <v>16</v>
      </c>
      <c r="D989" s="260">
        <v>46209</v>
      </c>
      <c r="E989" s="260">
        <v>46230</v>
      </c>
      <c r="F989">
        <v>39</v>
      </c>
      <c r="G989" t="s">
        <v>356</v>
      </c>
    </row>
    <row r="990" spans="1:7">
      <c r="A990" t="s">
        <v>2316</v>
      </c>
      <c r="B990" t="s">
        <v>2317</v>
      </c>
      <c r="C990">
        <v>10</v>
      </c>
      <c r="D990" s="260">
        <v>46251</v>
      </c>
      <c r="E990" s="260">
        <v>46262</v>
      </c>
      <c r="F990">
        <v>45</v>
      </c>
      <c r="G990" t="s">
        <v>356</v>
      </c>
    </row>
    <row r="991" spans="1:7">
      <c r="A991" t="s">
        <v>2318</v>
      </c>
      <c r="B991" t="s">
        <v>2319</v>
      </c>
      <c r="C991">
        <v>10</v>
      </c>
      <c r="D991" s="260">
        <v>46279</v>
      </c>
      <c r="E991" s="260">
        <v>46290</v>
      </c>
      <c r="F991">
        <v>45</v>
      </c>
      <c r="G991" t="s">
        <v>356</v>
      </c>
    </row>
    <row r="992" spans="1:7">
      <c r="A992" t="s">
        <v>2320</v>
      </c>
      <c r="B992" t="s">
        <v>2321</v>
      </c>
      <c r="C992">
        <v>15</v>
      </c>
      <c r="D992" s="260">
        <v>46218</v>
      </c>
      <c r="E992" s="260">
        <v>46241</v>
      </c>
      <c r="F992">
        <v>39</v>
      </c>
      <c r="G992" t="s">
        <v>356</v>
      </c>
    </row>
    <row r="993" spans="1:7">
      <c r="A993" t="s">
        <v>2322</v>
      </c>
      <c r="B993" t="s">
        <v>2323</v>
      </c>
      <c r="C993">
        <v>10</v>
      </c>
      <c r="D993" s="260">
        <v>46259</v>
      </c>
      <c r="E993" s="260">
        <v>46272</v>
      </c>
      <c r="F993">
        <v>39</v>
      </c>
      <c r="G993" t="s">
        <v>356</v>
      </c>
    </row>
    <row r="994" spans="1:7">
      <c r="A994" t="s">
        <v>2324</v>
      </c>
      <c r="B994" t="s">
        <v>2325</v>
      </c>
      <c r="C994">
        <v>10</v>
      </c>
      <c r="D994" s="260">
        <v>46287</v>
      </c>
      <c r="E994" s="260">
        <v>46300</v>
      </c>
      <c r="F994">
        <v>39</v>
      </c>
      <c r="G994" t="s">
        <v>356</v>
      </c>
    </row>
    <row r="995" spans="1:7">
      <c r="A995" t="s">
        <v>2326</v>
      </c>
      <c r="B995" t="s">
        <v>2327</v>
      </c>
      <c r="C995">
        <v>15</v>
      </c>
      <c r="D995" s="260">
        <v>46218</v>
      </c>
      <c r="E995" s="260">
        <v>46241</v>
      </c>
      <c r="F995">
        <v>39</v>
      </c>
      <c r="G995" t="s">
        <v>356</v>
      </c>
    </row>
    <row r="996" spans="1:7">
      <c r="A996" t="s">
        <v>2328</v>
      </c>
      <c r="B996" t="s">
        <v>2329</v>
      </c>
      <c r="C996">
        <v>10</v>
      </c>
      <c r="D996" s="260">
        <v>46259</v>
      </c>
      <c r="E996" s="260">
        <v>46272</v>
      </c>
      <c r="F996">
        <v>39</v>
      </c>
      <c r="G996" t="s">
        <v>356</v>
      </c>
    </row>
    <row r="997" spans="1:7">
      <c r="A997" t="s">
        <v>2330</v>
      </c>
      <c r="B997" t="s">
        <v>2331</v>
      </c>
      <c r="C997">
        <v>10</v>
      </c>
      <c r="D997" s="260">
        <v>46287</v>
      </c>
      <c r="E997" s="260">
        <v>46300</v>
      </c>
      <c r="F997">
        <v>39</v>
      </c>
      <c r="G997" t="s">
        <v>356</v>
      </c>
    </row>
    <row r="998" spans="1:7">
      <c r="A998" t="s">
        <v>2332</v>
      </c>
      <c r="B998" t="s">
        <v>2333</v>
      </c>
      <c r="C998">
        <v>15</v>
      </c>
      <c r="D998" s="260">
        <v>46218</v>
      </c>
      <c r="E998" s="260">
        <v>46241</v>
      </c>
      <c r="F998">
        <v>39</v>
      </c>
      <c r="G998" t="s">
        <v>356</v>
      </c>
    </row>
    <row r="999" spans="1:7">
      <c r="A999" t="s">
        <v>2334</v>
      </c>
      <c r="B999" t="s">
        <v>2335</v>
      </c>
      <c r="C999">
        <v>10</v>
      </c>
      <c r="D999" s="260">
        <v>46259</v>
      </c>
      <c r="E999" s="260">
        <v>46272</v>
      </c>
      <c r="F999">
        <v>39</v>
      </c>
      <c r="G999" t="s">
        <v>356</v>
      </c>
    </row>
    <row r="1000" spans="1:7">
      <c r="A1000" t="s">
        <v>2336</v>
      </c>
      <c r="B1000" t="s">
        <v>2337</v>
      </c>
      <c r="C1000">
        <v>10</v>
      </c>
      <c r="D1000" s="260">
        <v>46287</v>
      </c>
      <c r="E1000" s="260">
        <v>46300</v>
      </c>
      <c r="F1000">
        <v>39</v>
      </c>
      <c r="G1000" t="s">
        <v>356</v>
      </c>
    </row>
    <row r="1001" spans="1:7">
      <c r="A1001" t="s">
        <v>2338</v>
      </c>
      <c r="B1001" t="s">
        <v>2339</v>
      </c>
      <c r="C1001">
        <v>12</v>
      </c>
      <c r="D1001" s="260">
        <v>46225</v>
      </c>
      <c r="E1001" s="260">
        <v>46245</v>
      </c>
      <c r="F1001">
        <v>33</v>
      </c>
      <c r="G1001" t="s">
        <v>356</v>
      </c>
    </row>
    <row r="1002" spans="1:7">
      <c r="A1002" t="s">
        <v>2340</v>
      </c>
      <c r="B1002" t="s">
        <v>2341</v>
      </c>
      <c r="C1002">
        <v>10</v>
      </c>
      <c r="D1002" s="260">
        <v>46261</v>
      </c>
      <c r="E1002" s="260">
        <v>46274</v>
      </c>
      <c r="F1002">
        <v>37</v>
      </c>
      <c r="G1002" t="s">
        <v>356</v>
      </c>
    </row>
    <row r="1003" spans="1:7">
      <c r="A1003" t="s">
        <v>2342</v>
      </c>
      <c r="B1003" t="s">
        <v>2343</v>
      </c>
      <c r="C1003">
        <v>10</v>
      </c>
      <c r="D1003" s="260">
        <v>46289</v>
      </c>
      <c r="E1003" s="260">
        <v>46302</v>
      </c>
      <c r="F1003">
        <v>37</v>
      </c>
      <c r="G1003" t="s">
        <v>356</v>
      </c>
    </row>
    <row r="1004" spans="1:7">
      <c r="A1004" t="s">
        <v>2344</v>
      </c>
      <c r="B1004" t="s">
        <v>2345</v>
      </c>
      <c r="C1004">
        <v>12</v>
      </c>
      <c r="D1004" s="260">
        <v>46234</v>
      </c>
      <c r="E1004" s="260">
        <v>46252</v>
      </c>
      <c r="F1004">
        <v>33</v>
      </c>
      <c r="G1004" t="s">
        <v>356</v>
      </c>
    </row>
    <row r="1005" spans="1:7">
      <c r="A1005" t="s">
        <v>2346</v>
      </c>
      <c r="B1005" t="s">
        <v>2347</v>
      </c>
      <c r="C1005">
        <v>10</v>
      </c>
      <c r="D1005" s="260">
        <v>46267</v>
      </c>
      <c r="E1005" s="260">
        <v>46280</v>
      </c>
      <c r="F1005">
        <v>33</v>
      </c>
      <c r="G1005" t="s">
        <v>356</v>
      </c>
    </row>
    <row r="1006" spans="1:7">
      <c r="A1006" t="s">
        <v>2348</v>
      </c>
      <c r="B1006" t="s">
        <v>2349</v>
      </c>
      <c r="C1006">
        <v>10</v>
      </c>
      <c r="D1006" s="260">
        <v>46295</v>
      </c>
      <c r="E1006" s="260">
        <v>46309</v>
      </c>
      <c r="F1006">
        <v>33</v>
      </c>
      <c r="G1006" t="s">
        <v>356</v>
      </c>
    </row>
    <row r="1007" spans="1:7">
      <c r="A1007" t="s">
        <v>2350</v>
      </c>
      <c r="B1007" t="s">
        <v>2351</v>
      </c>
      <c r="C1007">
        <v>12</v>
      </c>
      <c r="D1007" s="260">
        <v>46234</v>
      </c>
      <c r="E1007" s="260">
        <v>46252</v>
      </c>
      <c r="F1007">
        <v>5</v>
      </c>
      <c r="G1007" t="s">
        <v>356</v>
      </c>
    </row>
    <row r="1008" spans="1:7">
      <c r="A1008" t="s">
        <v>2352</v>
      </c>
      <c r="B1008" t="s">
        <v>2353</v>
      </c>
      <c r="C1008">
        <v>10</v>
      </c>
      <c r="D1008" s="260">
        <v>46267</v>
      </c>
      <c r="E1008" s="260">
        <v>46280</v>
      </c>
      <c r="F1008">
        <v>33</v>
      </c>
      <c r="G1008" t="s">
        <v>356</v>
      </c>
    </row>
    <row r="1009" spans="1:7">
      <c r="A1009" t="s">
        <v>2354</v>
      </c>
      <c r="B1009" t="s">
        <v>2355</v>
      </c>
      <c r="C1009">
        <v>10</v>
      </c>
      <c r="D1009" s="260">
        <v>46295</v>
      </c>
      <c r="E1009" s="260">
        <v>46309</v>
      </c>
      <c r="F1009">
        <v>33</v>
      </c>
      <c r="G1009" t="s">
        <v>356</v>
      </c>
    </row>
    <row r="1010" spans="1:7">
      <c r="A1010" t="s">
        <v>2356</v>
      </c>
      <c r="B1010" t="s">
        <v>2357</v>
      </c>
      <c r="C1010">
        <v>12</v>
      </c>
      <c r="D1010" s="260">
        <v>46238</v>
      </c>
      <c r="E1010" s="260">
        <v>46254</v>
      </c>
      <c r="F1010">
        <v>5</v>
      </c>
      <c r="G1010" t="s">
        <v>356</v>
      </c>
    </row>
    <row r="1011" spans="1:7">
      <c r="A1011" t="s">
        <v>2358</v>
      </c>
      <c r="B1011" t="s">
        <v>2359</v>
      </c>
      <c r="C1011">
        <v>10</v>
      </c>
      <c r="D1011" s="260">
        <v>46269</v>
      </c>
      <c r="E1011" s="260">
        <v>46282</v>
      </c>
      <c r="F1011">
        <v>31</v>
      </c>
      <c r="G1011" t="s">
        <v>356</v>
      </c>
    </row>
    <row r="1012" spans="1:7">
      <c r="A1012" t="s">
        <v>2360</v>
      </c>
      <c r="B1012" t="s">
        <v>2361</v>
      </c>
      <c r="C1012">
        <v>10</v>
      </c>
      <c r="D1012" s="260">
        <v>46297</v>
      </c>
      <c r="E1012" s="260">
        <v>46311</v>
      </c>
      <c r="F1012">
        <v>31</v>
      </c>
      <c r="G1012" t="s">
        <v>356</v>
      </c>
    </row>
    <row r="1013" spans="1:7">
      <c r="A1013" t="s">
        <v>2362</v>
      </c>
      <c r="B1013" t="s">
        <v>2363</v>
      </c>
      <c r="C1013">
        <v>12</v>
      </c>
      <c r="D1013" s="260">
        <v>46238</v>
      </c>
      <c r="E1013" s="260">
        <v>46254</v>
      </c>
      <c r="F1013">
        <v>9</v>
      </c>
      <c r="G1013" t="s">
        <v>356</v>
      </c>
    </row>
    <row r="1014" spans="1:7">
      <c r="A1014" t="s">
        <v>2364</v>
      </c>
      <c r="B1014" t="s">
        <v>2365</v>
      </c>
      <c r="C1014">
        <v>10</v>
      </c>
      <c r="D1014" s="260">
        <v>46269</v>
      </c>
      <c r="E1014" s="260">
        <v>46282</v>
      </c>
      <c r="F1014">
        <v>31</v>
      </c>
      <c r="G1014" t="s">
        <v>356</v>
      </c>
    </row>
    <row r="1015" spans="1:7">
      <c r="A1015" t="s">
        <v>2366</v>
      </c>
      <c r="B1015" t="s">
        <v>2367</v>
      </c>
      <c r="C1015">
        <v>10</v>
      </c>
      <c r="D1015" s="260">
        <v>46297</v>
      </c>
      <c r="E1015" s="260">
        <v>46311</v>
      </c>
      <c r="F1015">
        <v>31</v>
      </c>
      <c r="G1015" t="s">
        <v>356</v>
      </c>
    </row>
    <row r="1016" spans="1:7">
      <c r="A1016" t="s">
        <v>2368</v>
      </c>
      <c r="B1016" t="s">
        <v>2369</v>
      </c>
      <c r="C1016">
        <v>12</v>
      </c>
      <c r="D1016" s="260">
        <v>46238</v>
      </c>
      <c r="E1016" s="260">
        <v>46254</v>
      </c>
      <c r="F1016">
        <v>9</v>
      </c>
      <c r="G1016" t="s">
        <v>356</v>
      </c>
    </row>
    <row r="1017" spans="1:7">
      <c r="A1017" t="s">
        <v>2370</v>
      </c>
      <c r="B1017" t="s">
        <v>2371</v>
      </c>
      <c r="C1017">
        <v>10</v>
      </c>
      <c r="D1017" s="260">
        <v>46269</v>
      </c>
      <c r="E1017" s="260">
        <v>46282</v>
      </c>
      <c r="F1017">
        <v>31</v>
      </c>
      <c r="G1017" t="s">
        <v>356</v>
      </c>
    </row>
    <row r="1018" spans="1:7">
      <c r="A1018" t="s">
        <v>2372</v>
      </c>
      <c r="B1018" t="s">
        <v>2373</v>
      </c>
      <c r="C1018">
        <v>10</v>
      </c>
      <c r="D1018" s="260">
        <v>46297</v>
      </c>
      <c r="E1018" s="260">
        <v>46311</v>
      </c>
      <c r="F1018">
        <v>31</v>
      </c>
      <c r="G1018" t="s">
        <v>356</v>
      </c>
    </row>
    <row r="1019" spans="1:7">
      <c r="A1019" t="s">
        <v>2374</v>
      </c>
      <c r="B1019" t="s">
        <v>2375</v>
      </c>
      <c r="C1019">
        <v>9</v>
      </c>
      <c r="D1019" s="260">
        <v>46244</v>
      </c>
      <c r="E1019" s="260">
        <v>46255</v>
      </c>
      <c r="F1019">
        <v>6</v>
      </c>
      <c r="G1019" t="s">
        <v>356</v>
      </c>
    </row>
    <row r="1020" spans="1:7">
      <c r="A1020" t="s">
        <v>2376</v>
      </c>
      <c r="B1020" t="s">
        <v>2377</v>
      </c>
      <c r="C1020">
        <v>5</v>
      </c>
      <c r="D1020" s="260">
        <v>46272</v>
      </c>
      <c r="E1020" s="260">
        <v>46276</v>
      </c>
      <c r="F1020">
        <v>35</v>
      </c>
      <c r="G1020" t="s">
        <v>356</v>
      </c>
    </row>
    <row r="1021" spans="1:7">
      <c r="A1021" t="s">
        <v>2378</v>
      </c>
      <c r="B1021" t="s">
        <v>2379</v>
      </c>
      <c r="C1021">
        <v>5</v>
      </c>
      <c r="D1021" s="260">
        <v>46293</v>
      </c>
      <c r="E1021" s="260">
        <v>46297</v>
      </c>
      <c r="F1021">
        <v>40</v>
      </c>
      <c r="G1021" t="s">
        <v>356</v>
      </c>
    </row>
    <row r="1022" spans="1:7">
      <c r="A1022" t="s">
        <v>2380</v>
      </c>
      <c r="B1022" t="s">
        <v>2381</v>
      </c>
      <c r="C1022">
        <v>10</v>
      </c>
      <c r="D1022" s="260">
        <v>46113</v>
      </c>
      <c r="E1022" s="260">
        <v>46132</v>
      </c>
      <c r="F1022">
        <v>142</v>
      </c>
      <c r="G1022" t="s">
        <v>356</v>
      </c>
    </row>
    <row r="1023" spans="1:7">
      <c r="A1023" t="s">
        <v>2382</v>
      </c>
      <c r="B1023" t="s">
        <v>2383</v>
      </c>
      <c r="C1023">
        <v>5</v>
      </c>
      <c r="D1023" s="260">
        <v>46148</v>
      </c>
      <c r="E1023" s="260">
        <v>46154</v>
      </c>
      <c r="F1023">
        <v>142</v>
      </c>
      <c r="G1023" t="s">
        <v>356</v>
      </c>
    </row>
    <row r="1024" spans="1:7">
      <c r="A1024" t="s">
        <v>2384</v>
      </c>
      <c r="B1024" t="s">
        <v>2385</v>
      </c>
      <c r="C1024">
        <v>5</v>
      </c>
      <c r="D1024" s="260">
        <v>46169</v>
      </c>
      <c r="E1024" s="260">
        <v>46177</v>
      </c>
      <c r="F1024">
        <v>142</v>
      </c>
      <c r="G1024" t="s">
        <v>356</v>
      </c>
    </row>
    <row r="1025" spans="1:7">
      <c r="A1025" t="s">
        <v>2386</v>
      </c>
      <c r="B1025" t="s">
        <v>2387</v>
      </c>
      <c r="C1025">
        <v>12</v>
      </c>
      <c r="D1025" s="260">
        <v>46128</v>
      </c>
      <c r="E1025" s="260">
        <v>46146</v>
      </c>
      <c r="F1025">
        <v>70</v>
      </c>
      <c r="G1025" t="s">
        <v>356</v>
      </c>
    </row>
    <row r="1026" spans="1:7">
      <c r="A1026" t="s">
        <v>2388</v>
      </c>
      <c r="B1026" t="s">
        <v>2389</v>
      </c>
      <c r="C1026">
        <v>5</v>
      </c>
      <c r="D1026" s="260">
        <v>46161</v>
      </c>
      <c r="E1026" s="260">
        <v>46167</v>
      </c>
      <c r="F1026">
        <v>103</v>
      </c>
      <c r="G1026" t="s">
        <v>356</v>
      </c>
    </row>
    <row r="1027" spans="1:7">
      <c r="A1027" t="s">
        <v>2390</v>
      </c>
      <c r="B1027" t="s">
        <v>2391</v>
      </c>
      <c r="C1027">
        <v>5</v>
      </c>
      <c r="D1027" s="260">
        <v>46184</v>
      </c>
      <c r="E1027" s="260">
        <v>46190</v>
      </c>
      <c r="F1027">
        <v>108</v>
      </c>
      <c r="G1027" t="s">
        <v>356</v>
      </c>
    </row>
    <row r="1028" spans="1:7">
      <c r="A1028" t="s">
        <v>2392</v>
      </c>
      <c r="B1028" t="s">
        <v>2393</v>
      </c>
      <c r="C1028">
        <v>15</v>
      </c>
      <c r="D1028" s="260">
        <v>46132</v>
      </c>
      <c r="E1028" s="260">
        <v>46153</v>
      </c>
      <c r="F1028">
        <v>128</v>
      </c>
      <c r="G1028" t="s">
        <v>356</v>
      </c>
    </row>
    <row r="1029" spans="1:7">
      <c r="A1029" t="s">
        <v>2394</v>
      </c>
      <c r="B1029" t="s">
        <v>2395</v>
      </c>
      <c r="C1029">
        <v>5</v>
      </c>
      <c r="D1029" s="260">
        <v>46168</v>
      </c>
      <c r="E1029" s="260">
        <v>46175</v>
      </c>
      <c r="F1029">
        <v>128</v>
      </c>
      <c r="G1029" t="s">
        <v>356</v>
      </c>
    </row>
    <row r="1030" spans="1:7">
      <c r="A1030" t="s">
        <v>2396</v>
      </c>
      <c r="B1030" t="s">
        <v>2397</v>
      </c>
      <c r="C1030">
        <v>5</v>
      </c>
      <c r="D1030" s="260">
        <v>46191</v>
      </c>
      <c r="E1030" s="260">
        <v>46197</v>
      </c>
      <c r="F1030">
        <v>128</v>
      </c>
      <c r="G1030" t="s">
        <v>356</v>
      </c>
    </row>
    <row r="1031" spans="1:7">
      <c r="A1031" t="s">
        <v>2398</v>
      </c>
      <c r="B1031" t="s">
        <v>2399</v>
      </c>
      <c r="C1031">
        <v>19</v>
      </c>
      <c r="D1031" s="260">
        <v>46160</v>
      </c>
      <c r="E1031" s="260">
        <v>46188</v>
      </c>
      <c r="F1031">
        <v>95</v>
      </c>
      <c r="G1031" t="s">
        <v>356</v>
      </c>
    </row>
    <row r="1032" spans="1:7">
      <c r="A1032" t="s">
        <v>2400</v>
      </c>
      <c r="B1032" t="s">
        <v>2401</v>
      </c>
      <c r="C1032">
        <v>10</v>
      </c>
      <c r="D1032" s="260">
        <v>46203</v>
      </c>
      <c r="E1032" s="260">
        <v>46216</v>
      </c>
      <c r="F1032">
        <v>95</v>
      </c>
      <c r="G1032" t="s">
        <v>356</v>
      </c>
    </row>
    <row r="1033" spans="1:7">
      <c r="A1033" t="s">
        <v>2402</v>
      </c>
      <c r="B1033" t="s">
        <v>2403</v>
      </c>
      <c r="C1033">
        <v>10</v>
      </c>
      <c r="D1033" s="260">
        <v>46234</v>
      </c>
      <c r="E1033" s="260">
        <v>46248</v>
      </c>
      <c r="F1033">
        <v>95</v>
      </c>
      <c r="G1033" t="s">
        <v>356</v>
      </c>
    </row>
    <row r="1034" spans="1:7">
      <c r="A1034" t="s">
        <v>2404</v>
      </c>
      <c r="B1034" t="s">
        <v>2405</v>
      </c>
      <c r="C1034">
        <v>20</v>
      </c>
      <c r="D1034" s="260">
        <v>46147</v>
      </c>
      <c r="E1034" s="260">
        <v>46175</v>
      </c>
      <c r="F1034">
        <v>103</v>
      </c>
      <c r="G1034" t="s">
        <v>356</v>
      </c>
    </row>
    <row r="1035" spans="1:7">
      <c r="A1035" t="s">
        <v>2406</v>
      </c>
      <c r="B1035" t="s">
        <v>2407</v>
      </c>
      <c r="C1035">
        <v>10</v>
      </c>
      <c r="D1035" s="260">
        <v>46191</v>
      </c>
      <c r="E1035" s="260">
        <v>46204</v>
      </c>
      <c r="F1035">
        <v>103</v>
      </c>
      <c r="G1035" t="s">
        <v>356</v>
      </c>
    </row>
    <row r="1036" spans="1:7">
      <c r="A1036" t="s">
        <v>2408</v>
      </c>
      <c r="B1036" t="s">
        <v>2409</v>
      </c>
      <c r="C1036">
        <v>10</v>
      </c>
      <c r="D1036" s="260">
        <v>46219</v>
      </c>
      <c r="E1036" s="260">
        <v>46237</v>
      </c>
      <c r="F1036">
        <v>103</v>
      </c>
      <c r="G1036" t="s">
        <v>356</v>
      </c>
    </row>
    <row r="1037" spans="1:7">
      <c r="A1037" t="s">
        <v>2410</v>
      </c>
      <c r="B1037" t="s">
        <v>2411</v>
      </c>
      <c r="C1037">
        <v>19</v>
      </c>
      <c r="D1037" s="260">
        <v>46167</v>
      </c>
      <c r="E1037" s="260">
        <v>46195</v>
      </c>
      <c r="F1037">
        <v>90</v>
      </c>
      <c r="G1037" t="s">
        <v>356</v>
      </c>
    </row>
    <row r="1038" spans="1:7">
      <c r="A1038" t="s">
        <v>2412</v>
      </c>
      <c r="B1038" t="s">
        <v>2413</v>
      </c>
      <c r="C1038">
        <v>10</v>
      </c>
      <c r="D1038" s="260">
        <v>46210</v>
      </c>
      <c r="E1038" s="260">
        <v>46223</v>
      </c>
      <c r="F1038">
        <v>90</v>
      </c>
      <c r="G1038" t="s">
        <v>356</v>
      </c>
    </row>
    <row r="1039" spans="1:7">
      <c r="A1039" t="s">
        <v>2414</v>
      </c>
      <c r="B1039" t="s">
        <v>2415</v>
      </c>
      <c r="C1039">
        <v>10</v>
      </c>
      <c r="D1039" s="260">
        <v>46241</v>
      </c>
      <c r="E1039" s="260">
        <v>46255</v>
      </c>
      <c r="F1039">
        <v>90</v>
      </c>
      <c r="G1039" t="s">
        <v>356</v>
      </c>
    </row>
    <row r="1040" spans="1:7">
      <c r="A1040" t="s">
        <v>2416</v>
      </c>
      <c r="B1040" t="s">
        <v>2417</v>
      </c>
      <c r="C1040">
        <v>19</v>
      </c>
      <c r="D1040" s="260">
        <v>46175</v>
      </c>
      <c r="E1040" s="260">
        <v>46202</v>
      </c>
      <c r="F1040">
        <v>85</v>
      </c>
      <c r="G1040" t="s">
        <v>356</v>
      </c>
    </row>
    <row r="1041" spans="1:7">
      <c r="A1041" t="s">
        <v>2418</v>
      </c>
      <c r="B1041" t="s">
        <v>2419</v>
      </c>
      <c r="C1041">
        <v>10</v>
      </c>
      <c r="D1041" s="260">
        <v>46217</v>
      </c>
      <c r="E1041" s="260">
        <v>46230</v>
      </c>
      <c r="F1041">
        <v>85</v>
      </c>
      <c r="G1041" t="s">
        <v>356</v>
      </c>
    </row>
    <row r="1042" spans="1:7">
      <c r="A1042" t="s">
        <v>2420</v>
      </c>
      <c r="B1042" t="s">
        <v>2421</v>
      </c>
      <c r="C1042">
        <v>10</v>
      </c>
      <c r="D1042" s="260">
        <v>46251</v>
      </c>
      <c r="E1042" s="260">
        <v>46262</v>
      </c>
      <c r="F1042">
        <v>85</v>
      </c>
      <c r="G1042" t="s">
        <v>356</v>
      </c>
    </row>
    <row r="1043" spans="1:7">
      <c r="A1043" t="s">
        <v>2422</v>
      </c>
      <c r="B1043" t="s">
        <v>2423</v>
      </c>
      <c r="C1043">
        <v>21</v>
      </c>
      <c r="D1043" s="260">
        <v>46188</v>
      </c>
      <c r="E1043" s="260">
        <v>46216</v>
      </c>
      <c r="F1043">
        <v>49</v>
      </c>
      <c r="G1043" t="s">
        <v>356</v>
      </c>
    </row>
    <row r="1044" spans="1:7">
      <c r="A1044" t="s">
        <v>2424</v>
      </c>
      <c r="B1044" t="s">
        <v>2425</v>
      </c>
      <c r="C1044">
        <v>10</v>
      </c>
      <c r="D1044" s="260">
        <v>46234</v>
      </c>
      <c r="E1044" s="260">
        <v>46248</v>
      </c>
      <c r="F1044">
        <v>75</v>
      </c>
      <c r="G1044" t="s">
        <v>356</v>
      </c>
    </row>
    <row r="1045" spans="1:7">
      <c r="A1045" t="s">
        <v>2426</v>
      </c>
      <c r="B1045" t="s">
        <v>2427</v>
      </c>
      <c r="C1045">
        <v>10</v>
      </c>
      <c r="D1045" s="260">
        <v>46265</v>
      </c>
      <c r="E1045" s="260">
        <v>46276</v>
      </c>
      <c r="F1045">
        <v>75</v>
      </c>
      <c r="G1045" t="s">
        <v>356</v>
      </c>
    </row>
    <row r="1046" spans="1:7">
      <c r="A1046" t="s">
        <v>2428</v>
      </c>
      <c r="B1046" t="s">
        <v>2429</v>
      </c>
      <c r="C1046">
        <v>21</v>
      </c>
      <c r="D1046" s="260">
        <v>46195</v>
      </c>
      <c r="E1046" s="260">
        <v>46223</v>
      </c>
      <c r="F1046">
        <v>49</v>
      </c>
      <c r="G1046" t="s">
        <v>356</v>
      </c>
    </row>
    <row r="1047" spans="1:7">
      <c r="A1047" t="s">
        <v>2430</v>
      </c>
      <c r="B1047" t="s">
        <v>2431</v>
      </c>
      <c r="C1047">
        <v>10</v>
      </c>
      <c r="D1047" s="260">
        <v>46241</v>
      </c>
      <c r="E1047" s="260">
        <v>46255</v>
      </c>
      <c r="F1047">
        <v>70</v>
      </c>
      <c r="G1047" t="s">
        <v>356</v>
      </c>
    </row>
    <row r="1048" spans="1:7">
      <c r="A1048" t="s">
        <v>2432</v>
      </c>
      <c r="B1048" t="s">
        <v>2433</v>
      </c>
      <c r="C1048">
        <v>10</v>
      </c>
      <c r="D1048" s="260">
        <v>46272</v>
      </c>
      <c r="E1048" s="260">
        <v>46283</v>
      </c>
      <c r="F1048">
        <v>70</v>
      </c>
      <c r="G1048" t="s">
        <v>356</v>
      </c>
    </row>
    <row r="1049" spans="1:7">
      <c r="A1049" t="s">
        <v>2434</v>
      </c>
      <c r="B1049" t="s">
        <v>2435</v>
      </c>
      <c r="C1049">
        <v>13</v>
      </c>
      <c r="D1049" s="260">
        <v>46223</v>
      </c>
      <c r="E1049" s="260">
        <v>46244</v>
      </c>
      <c r="F1049">
        <v>49</v>
      </c>
      <c r="G1049" t="s">
        <v>356</v>
      </c>
    </row>
    <row r="1050" spans="1:7">
      <c r="A1050" t="s">
        <v>2436</v>
      </c>
      <c r="B1050" t="s">
        <v>2437</v>
      </c>
      <c r="C1050">
        <v>10</v>
      </c>
      <c r="D1050" s="260">
        <v>46260</v>
      </c>
      <c r="E1050" s="260">
        <v>46273</v>
      </c>
      <c r="F1050">
        <v>58</v>
      </c>
      <c r="G1050" t="s">
        <v>356</v>
      </c>
    </row>
    <row r="1051" spans="1:7">
      <c r="A1051" t="s">
        <v>2438</v>
      </c>
      <c r="B1051" t="s">
        <v>2439</v>
      </c>
      <c r="C1051">
        <v>10</v>
      </c>
      <c r="D1051" s="260">
        <v>46288</v>
      </c>
      <c r="E1051" s="260">
        <v>46301</v>
      </c>
      <c r="F1051">
        <v>58</v>
      </c>
      <c r="G1051" t="s">
        <v>356</v>
      </c>
    </row>
    <row r="1052" spans="1:7">
      <c r="A1052" t="s">
        <v>2440</v>
      </c>
      <c r="B1052" t="s">
        <v>2441</v>
      </c>
      <c r="C1052">
        <v>12</v>
      </c>
      <c r="D1052" s="260">
        <v>46230</v>
      </c>
      <c r="E1052" s="260">
        <v>46251</v>
      </c>
      <c r="F1052">
        <v>49</v>
      </c>
      <c r="G1052" t="s">
        <v>356</v>
      </c>
    </row>
    <row r="1053" spans="1:7">
      <c r="A1053" t="s">
        <v>2442</v>
      </c>
      <c r="B1053" t="s">
        <v>2443</v>
      </c>
      <c r="C1053">
        <v>15</v>
      </c>
      <c r="D1053" s="260">
        <v>46266</v>
      </c>
      <c r="E1053" s="260">
        <v>46286</v>
      </c>
      <c r="F1053">
        <v>49</v>
      </c>
      <c r="G1053" t="s">
        <v>356</v>
      </c>
    </row>
    <row r="1054" spans="1:7">
      <c r="A1054" t="s">
        <v>2444</v>
      </c>
      <c r="B1054" t="s">
        <v>2445</v>
      </c>
      <c r="C1054">
        <v>10</v>
      </c>
      <c r="D1054" s="260">
        <v>46301</v>
      </c>
      <c r="E1054" s="260">
        <v>46315</v>
      </c>
      <c r="F1054">
        <v>49</v>
      </c>
      <c r="G1054" t="s">
        <v>356</v>
      </c>
    </row>
    <row r="1055" spans="1:7">
      <c r="A1055" t="s">
        <v>2446</v>
      </c>
      <c r="B1055" t="s">
        <v>2447</v>
      </c>
      <c r="C1055">
        <v>17</v>
      </c>
      <c r="D1055" s="260">
        <v>46128</v>
      </c>
      <c r="E1055" s="260">
        <v>46153</v>
      </c>
      <c r="F1055">
        <v>118</v>
      </c>
      <c r="G1055" t="s">
        <v>356</v>
      </c>
    </row>
    <row r="1056" spans="1:7">
      <c r="A1056" t="s">
        <v>2448</v>
      </c>
      <c r="B1056" t="s">
        <v>2449</v>
      </c>
      <c r="C1056">
        <v>10</v>
      </c>
      <c r="D1056" s="260">
        <v>46168</v>
      </c>
      <c r="E1056" s="260">
        <v>46183</v>
      </c>
      <c r="F1056">
        <v>118</v>
      </c>
      <c r="G1056" t="s">
        <v>356</v>
      </c>
    </row>
    <row r="1057" spans="1:7">
      <c r="A1057" t="s">
        <v>2450</v>
      </c>
      <c r="B1057" t="s">
        <v>2451</v>
      </c>
      <c r="C1057">
        <v>10</v>
      </c>
      <c r="D1057" s="260">
        <v>46198</v>
      </c>
      <c r="E1057" s="260">
        <v>46211</v>
      </c>
      <c r="F1057">
        <v>118</v>
      </c>
      <c r="G1057" t="s">
        <v>356</v>
      </c>
    </row>
    <row r="1058" spans="1:7">
      <c r="A1058" t="s">
        <v>2452</v>
      </c>
      <c r="B1058" t="s">
        <v>2453</v>
      </c>
      <c r="C1058">
        <v>16</v>
      </c>
      <c r="D1058" s="260">
        <v>46245</v>
      </c>
      <c r="E1058" s="260">
        <v>46267</v>
      </c>
      <c r="F1058">
        <v>42</v>
      </c>
      <c r="G1058" t="s">
        <v>356</v>
      </c>
    </row>
    <row r="1059" spans="1:7">
      <c r="A1059" t="s">
        <v>2454</v>
      </c>
      <c r="B1059" t="s">
        <v>2455</v>
      </c>
      <c r="C1059">
        <v>10</v>
      </c>
      <c r="D1059" s="260">
        <v>46282</v>
      </c>
      <c r="E1059" s="260">
        <v>46295</v>
      </c>
      <c r="F1059">
        <v>42</v>
      </c>
      <c r="G1059" t="s">
        <v>356</v>
      </c>
    </row>
    <row r="1060" spans="1:7">
      <c r="A1060" t="s">
        <v>2456</v>
      </c>
      <c r="B1060" t="s">
        <v>2457</v>
      </c>
      <c r="C1060">
        <v>10</v>
      </c>
      <c r="D1060" s="260">
        <v>46311</v>
      </c>
      <c r="E1060" s="260">
        <v>46325</v>
      </c>
      <c r="F1060">
        <v>42</v>
      </c>
      <c r="G1060" t="s">
        <v>356</v>
      </c>
    </row>
    <row r="1061" spans="1:7">
      <c r="A1061" t="s">
        <v>2458</v>
      </c>
      <c r="B1061" t="s">
        <v>2459</v>
      </c>
      <c r="C1061">
        <v>17</v>
      </c>
      <c r="D1061" s="260">
        <v>46199</v>
      </c>
      <c r="E1061" s="260">
        <v>46223</v>
      </c>
      <c r="F1061">
        <v>59</v>
      </c>
      <c r="G1061" t="s">
        <v>356</v>
      </c>
    </row>
    <row r="1062" spans="1:7">
      <c r="A1062" t="s">
        <v>2460</v>
      </c>
      <c r="B1062" t="s">
        <v>2461</v>
      </c>
      <c r="C1062">
        <v>10</v>
      </c>
      <c r="D1062" s="260">
        <v>46241</v>
      </c>
      <c r="E1062" s="260">
        <v>46255</v>
      </c>
      <c r="F1062">
        <v>60</v>
      </c>
      <c r="G1062" t="s">
        <v>356</v>
      </c>
    </row>
    <row r="1063" spans="1:7">
      <c r="A1063" t="s">
        <v>2462</v>
      </c>
      <c r="B1063" t="s">
        <v>2463</v>
      </c>
      <c r="C1063">
        <v>10</v>
      </c>
      <c r="D1063" s="260">
        <v>46272</v>
      </c>
      <c r="E1063" s="260">
        <v>46283</v>
      </c>
      <c r="F1063">
        <v>60</v>
      </c>
      <c r="G1063" t="s">
        <v>356</v>
      </c>
    </row>
    <row r="1064" spans="1:7">
      <c r="A1064" t="s">
        <v>2464</v>
      </c>
      <c r="B1064" t="s">
        <v>2465</v>
      </c>
      <c r="C1064">
        <v>17</v>
      </c>
      <c r="D1064" s="260">
        <v>46199</v>
      </c>
      <c r="E1064" s="260">
        <v>46223</v>
      </c>
      <c r="F1064">
        <v>70</v>
      </c>
      <c r="G1064" t="s">
        <v>356</v>
      </c>
    </row>
    <row r="1065" spans="1:7">
      <c r="A1065" t="s">
        <v>2466</v>
      </c>
      <c r="B1065" t="s">
        <v>2467</v>
      </c>
      <c r="C1065">
        <v>10</v>
      </c>
      <c r="D1065" s="260">
        <v>46241</v>
      </c>
      <c r="E1065" s="260">
        <v>46255</v>
      </c>
      <c r="F1065">
        <v>70</v>
      </c>
      <c r="G1065" t="s">
        <v>356</v>
      </c>
    </row>
    <row r="1066" spans="1:7">
      <c r="A1066" t="s">
        <v>2468</v>
      </c>
      <c r="B1066" t="s">
        <v>2469</v>
      </c>
      <c r="C1066">
        <v>10</v>
      </c>
      <c r="D1066" s="260">
        <v>46272</v>
      </c>
      <c r="E1066" s="260">
        <v>46283</v>
      </c>
      <c r="F1066">
        <v>70</v>
      </c>
      <c r="G1066" t="s">
        <v>356</v>
      </c>
    </row>
    <row r="1067" spans="1:7">
      <c r="A1067" t="s">
        <v>2470</v>
      </c>
      <c r="B1067" t="s">
        <v>2471</v>
      </c>
      <c r="C1067">
        <v>16</v>
      </c>
      <c r="D1067" s="260">
        <v>46209</v>
      </c>
      <c r="E1067" s="260">
        <v>46230</v>
      </c>
      <c r="F1067">
        <v>65</v>
      </c>
      <c r="G1067" t="s">
        <v>356</v>
      </c>
    </row>
    <row r="1068" spans="1:7">
      <c r="A1068" t="s">
        <v>2472</v>
      </c>
      <c r="B1068" t="s">
        <v>2473</v>
      </c>
      <c r="C1068">
        <v>10</v>
      </c>
      <c r="D1068" s="260">
        <v>46251</v>
      </c>
      <c r="E1068" s="260">
        <v>46262</v>
      </c>
      <c r="F1068">
        <v>65</v>
      </c>
      <c r="G1068" t="s">
        <v>356</v>
      </c>
    </row>
    <row r="1069" spans="1:7">
      <c r="A1069" t="s">
        <v>2474</v>
      </c>
      <c r="B1069" t="s">
        <v>2475</v>
      </c>
      <c r="C1069">
        <v>10</v>
      </c>
      <c r="D1069" s="260">
        <v>46279</v>
      </c>
      <c r="E1069" s="260">
        <v>46290</v>
      </c>
      <c r="F1069">
        <v>65</v>
      </c>
      <c r="G1069" t="s">
        <v>356</v>
      </c>
    </row>
    <row r="1070" spans="1:7">
      <c r="A1070" t="s">
        <v>2476</v>
      </c>
      <c r="B1070" t="s">
        <v>2477</v>
      </c>
      <c r="C1070">
        <v>15</v>
      </c>
      <c r="D1070" s="260">
        <v>46218</v>
      </c>
      <c r="E1070" s="260">
        <v>46241</v>
      </c>
      <c r="F1070">
        <v>59</v>
      </c>
      <c r="G1070" t="s">
        <v>356</v>
      </c>
    </row>
    <row r="1071" spans="1:7">
      <c r="A1071" t="s">
        <v>2478</v>
      </c>
      <c r="B1071" t="s">
        <v>2479</v>
      </c>
      <c r="C1071">
        <v>10</v>
      </c>
      <c r="D1071" s="260">
        <v>46259</v>
      </c>
      <c r="E1071" s="260">
        <v>46272</v>
      </c>
      <c r="F1071">
        <v>59</v>
      </c>
      <c r="G1071" t="s">
        <v>356</v>
      </c>
    </row>
    <row r="1072" spans="1:7">
      <c r="A1072" t="s">
        <v>2480</v>
      </c>
      <c r="B1072" t="s">
        <v>2481</v>
      </c>
      <c r="C1072">
        <v>10</v>
      </c>
      <c r="D1072" s="260">
        <v>46287</v>
      </c>
      <c r="E1072" s="260">
        <v>46300</v>
      </c>
      <c r="F1072">
        <v>59</v>
      </c>
      <c r="G1072" t="s">
        <v>356</v>
      </c>
    </row>
    <row r="1073" spans="1:7">
      <c r="A1073" t="s">
        <v>2482</v>
      </c>
      <c r="B1073" t="s">
        <v>2483</v>
      </c>
      <c r="C1073">
        <v>15</v>
      </c>
      <c r="D1073" s="260">
        <v>46218</v>
      </c>
      <c r="E1073" s="260">
        <v>46241</v>
      </c>
      <c r="F1073">
        <v>59</v>
      </c>
      <c r="G1073" t="s">
        <v>356</v>
      </c>
    </row>
    <row r="1074" spans="1:7">
      <c r="A1074" t="s">
        <v>2484</v>
      </c>
      <c r="B1074" t="s">
        <v>2485</v>
      </c>
      <c r="C1074">
        <v>10</v>
      </c>
      <c r="D1074" s="260">
        <v>46259</v>
      </c>
      <c r="E1074" s="260">
        <v>46272</v>
      </c>
      <c r="F1074">
        <v>59</v>
      </c>
      <c r="G1074" t="s">
        <v>356</v>
      </c>
    </row>
    <row r="1075" spans="1:7">
      <c r="A1075" t="s">
        <v>2486</v>
      </c>
      <c r="B1075" t="s">
        <v>2487</v>
      </c>
      <c r="C1075">
        <v>10</v>
      </c>
      <c r="D1075" s="260">
        <v>46287</v>
      </c>
      <c r="E1075" s="260">
        <v>46300</v>
      </c>
      <c r="F1075">
        <v>59</v>
      </c>
      <c r="G1075" t="s">
        <v>356</v>
      </c>
    </row>
    <row r="1076" spans="1:7">
      <c r="A1076" t="s">
        <v>2488</v>
      </c>
      <c r="B1076" t="s">
        <v>2489</v>
      </c>
      <c r="C1076">
        <v>15</v>
      </c>
      <c r="D1076" s="260">
        <v>46218</v>
      </c>
      <c r="E1076" s="260">
        <v>46241</v>
      </c>
      <c r="F1076">
        <v>59</v>
      </c>
      <c r="G1076" t="s">
        <v>356</v>
      </c>
    </row>
    <row r="1077" spans="1:7">
      <c r="A1077" t="s">
        <v>2490</v>
      </c>
      <c r="B1077" t="s">
        <v>2491</v>
      </c>
      <c r="C1077">
        <v>10</v>
      </c>
      <c r="D1077" s="260">
        <v>46259</v>
      </c>
      <c r="E1077" s="260">
        <v>46272</v>
      </c>
      <c r="F1077">
        <v>59</v>
      </c>
      <c r="G1077" t="s">
        <v>356</v>
      </c>
    </row>
    <row r="1078" spans="1:7">
      <c r="A1078" t="s">
        <v>2492</v>
      </c>
      <c r="B1078" t="s">
        <v>2493</v>
      </c>
      <c r="C1078">
        <v>10</v>
      </c>
      <c r="D1078" s="260">
        <v>46287</v>
      </c>
      <c r="E1078" s="260">
        <v>46300</v>
      </c>
      <c r="F1078">
        <v>59</v>
      </c>
      <c r="G1078" t="s">
        <v>356</v>
      </c>
    </row>
    <row r="1079" spans="1:7">
      <c r="A1079" t="s">
        <v>2494</v>
      </c>
      <c r="B1079" t="s">
        <v>2495</v>
      </c>
      <c r="C1079">
        <v>12</v>
      </c>
      <c r="D1079" s="260">
        <v>46225</v>
      </c>
      <c r="E1079" s="260">
        <v>46245</v>
      </c>
      <c r="F1079">
        <v>57</v>
      </c>
      <c r="G1079" t="s">
        <v>356</v>
      </c>
    </row>
    <row r="1080" spans="1:7">
      <c r="A1080" t="s">
        <v>2496</v>
      </c>
      <c r="B1080" t="s">
        <v>2497</v>
      </c>
      <c r="C1080">
        <v>10</v>
      </c>
      <c r="D1080" s="260">
        <v>46261</v>
      </c>
      <c r="E1080" s="260">
        <v>46274</v>
      </c>
      <c r="F1080">
        <v>57</v>
      </c>
      <c r="G1080" t="s">
        <v>356</v>
      </c>
    </row>
    <row r="1081" spans="1:7">
      <c r="A1081" t="s">
        <v>2498</v>
      </c>
      <c r="B1081" t="s">
        <v>2499</v>
      </c>
      <c r="C1081">
        <v>10</v>
      </c>
      <c r="D1081" s="260">
        <v>46289</v>
      </c>
      <c r="E1081" s="260">
        <v>46302</v>
      </c>
      <c r="F1081">
        <v>57</v>
      </c>
      <c r="G1081" t="s">
        <v>356</v>
      </c>
    </row>
    <row r="1082" spans="1:7">
      <c r="A1082" t="s">
        <v>2500</v>
      </c>
      <c r="B1082" t="s">
        <v>2501</v>
      </c>
      <c r="C1082">
        <v>12</v>
      </c>
      <c r="D1082" s="260">
        <v>46234</v>
      </c>
      <c r="E1082" s="260">
        <v>46252</v>
      </c>
      <c r="F1082">
        <v>53</v>
      </c>
      <c r="G1082" t="s">
        <v>356</v>
      </c>
    </row>
    <row r="1083" spans="1:7">
      <c r="A1083" t="s">
        <v>2502</v>
      </c>
      <c r="B1083" t="s">
        <v>2503</v>
      </c>
      <c r="C1083">
        <v>10</v>
      </c>
      <c r="D1083" s="260">
        <v>46267</v>
      </c>
      <c r="E1083" s="260">
        <v>46280</v>
      </c>
      <c r="F1083">
        <v>53</v>
      </c>
      <c r="G1083" t="s">
        <v>356</v>
      </c>
    </row>
    <row r="1084" spans="1:7">
      <c r="A1084" t="s">
        <v>2504</v>
      </c>
      <c r="B1084" t="s">
        <v>2505</v>
      </c>
      <c r="C1084">
        <v>10</v>
      </c>
      <c r="D1084" s="260">
        <v>46295</v>
      </c>
      <c r="E1084" s="260">
        <v>46309</v>
      </c>
      <c r="F1084">
        <v>53</v>
      </c>
      <c r="G1084" t="s">
        <v>356</v>
      </c>
    </row>
    <row r="1085" spans="1:7">
      <c r="A1085" t="s">
        <v>2506</v>
      </c>
      <c r="B1085" t="s">
        <v>2507</v>
      </c>
      <c r="C1085">
        <v>12</v>
      </c>
      <c r="D1085" s="260">
        <v>46234</v>
      </c>
      <c r="E1085" s="260">
        <v>46252</v>
      </c>
      <c r="F1085">
        <v>53</v>
      </c>
      <c r="G1085" t="s">
        <v>356</v>
      </c>
    </row>
    <row r="1086" spans="1:7">
      <c r="A1086" t="s">
        <v>2508</v>
      </c>
      <c r="B1086" t="s">
        <v>2509</v>
      </c>
      <c r="C1086">
        <v>10</v>
      </c>
      <c r="D1086" s="260">
        <v>46267</v>
      </c>
      <c r="E1086" s="260">
        <v>46280</v>
      </c>
      <c r="F1086">
        <v>53</v>
      </c>
      <c r="G1086" t="s">
        <v>356</v>
      </c>
    </row>
    <row r="1087" spans="1:7">
      <c r="A1087" t="s">
        <v>2510</v>
      </c>
      <c r="B1087" t="s">
        <v>2511</v>
      </c>
      <c r="C1087">
        <v>10</v>
      </c>
      <c r="D1087" s="260">
        <v>46295</v>
      </c>
      <c r="E1087" s="260">
        <v>46309</v>
      </c>
      <c r="F1087">
        <v>53</v>
      </c>
      <c r="G1087" t="s">
        <v>356</v>
      </c>
    </row>
    <row r="1088" spans="1:7">
      <c r="A1088" t="s">
        <v>2512</v>
      </c>
      <c r="B1088" t="s">
        <v>2513</v>
      </c>
      <c r="C1088">
        <v>11</v>
      </c>
      <c r="D1088" s="260">
        <v>46244</v>
      </c>
      <c r="E1088" s="260">
        <v>46259</v>
      </c>
      <c r="F1088">
        <v>48</v>
      </c>
      <c r="G1088" t="s">
        <v>356</v>
      </c>
    </row>
    <row r="1089" spans="1:7">
      <c r="A1089" t="s">
        <v>2514</v>
      </c>
      <c r="B1089" t="s">
        <v>2515</v>
      </c>
      <c r="C1089">
        <v>10</v>
      </c>
      <c r="D1089" s="260">
        <v>46274</v>
      </c>
      <c r="E1089" s="260">
        <v>46287</v>
      </c>
      <c r="F1089">
        <v>48</v>
      </c>
      <c r="G1089" t="s">
        <v>356</v>
      </c>
    </row>
    <row r="1090" spans="1:7">
      <c r="A1090" t="s">
        <v>2516</v>
      </c>
      <c r="B1090" t="s">
        <v>2517</v>
      </c>
      <c r="C1090">
        <v>10</v>
      </c>
      <c r="D1090" s="260">
        <v>46302</v>
      </c>
      <c r="E1090" s="260">
        <v>46316</v>
      </c>
      <c r="F1090">
        <v>48</v>
      </c>
      <c r="G1090" t="s">
        <v>356</v>
      </c>
    </row>
    <row r="1091" spans="1:7">
      <c r="A1091" t="s">
        <v>2518</v>
      </c>
      <c r="B1091" t="s">
        <v>2519</v>
      </c>
      <c r="C1091">
        <v>11</v>
      </c>
      <c r="D1091" s="260">
        <v>46244</v>
      </c>
      <c r="E1091" s="260">
        <v>46259</v>
      </c>
      <c r="F1091">
        <v>48</v>
      </c>
      <c r="G1091" t="s">
        <v>356</v>
      </c>
    </row>
    <row r="1092" spans="1:7">
      <c r="A1092" t="s">
        <v>2520</v>
      </c>
      <c r="B1092" t="s">
        <v>2521</v>
      </c>
      <c r="C1092">
        <v>10</v>
      </c>
      <c r="D1092" s="260">
        <v>46274</v>
      </c>
      <c r="E1092" s="260">
        <v>46287</v>
      </c>
      <c r="F1092">
        <v>48</v>
      </c>
      <c r="G1092" t="s">
        <v>356</v>
      </c>
    </row>
    <row r="1093" spans="1:7">
      <c r="A1093" t="s">
        <v>2522</v>
      </c>
      <c r="B1093" t="s">
        <v>2523</v>
      </c>
      <c r="C1093">
        <v>10</v>
      </c>
      <c r="D1093" s="260">
        <v>46302</v>
      </c>
      <c r="E1093" s="260">
        <v>46316</v>
      </c>
      <c r="F1093">
        <v>48</v>
      </c>
      <c r="G1093" t="s">
        <v>356</v>
      </c>
    </row>
    <row r="1094" spans="1:7">
      <c r="A1094" t="s">
        <v>2524</v>
      </c>
      <c r="B1094" t="s">
        <v>2525</v>
      </c>
      <c r="C1094">
        <v>11</v>
      </c>
      <c r="D1094" s="260">
        <v>46244</v>
      </c>
      <c r="E1094" s="260">
        <v>46259</v>
      </c>
      <c r="F1094">
        <v>5</v>
      </c>
      <c r="G1094" t="s">
        <v>356</v>
      </c>
    </row>
    <row r="1095" spans="1:7">
      <c r="A1095" t="s">
        <v>2526</v>
      </c>
      <c r="B1095" t="s">
        <v>2527</v>
      </c>
      <c r="C1095">
        <v>10</v>
      </c>
      <c r="D1095" s="260">
        <v>46274</v>
      </c>
      <c r="E1095" s="260">
        <v>46287</v>
      </c>
      <c r="F1095">
        <v>48</v>
      </c>
      <c r="G1095" t="s">
        <v>356</v>
      </c>
    </row>
    <row r="1096" spans="1:7">
      <c r="A1096" t="s">
        <v>2528</v>
      </c>
      <c r="B1096" t="s">
        <v>2529</v>
      </c>
      <c r="C1096">
        <v>10</v>
      </c>
      <c r="D1096" s="260">
        <v>46302</v>
      </c>
      <c r="E1096" s="260">
        <v>46316</v>
      </c>
      <c r="F1096">
        <v>48</v>
      </c>
      <c r="G1096" t="s">
        <v>356</v>
      </c>
    </row>
    <row r="1097" spans="1:7">
      <c r="A1097" t="s">
        <v>2530</v>
      </c>
      <c r="B1097" t="s">
        <v>2531</v>
      </c>
      <c r="C1097">
        <v>11</v>
      </c>
      <c r="D1097" s="260">
        <v>46244</v>
      </c>
      <c r="E1097" s="260">
        <v>46259</v>
      </c>
      <c r="F1097">
        <v>5</v>
      </c>
      <c r="G1097" t="s">
        <v>356</v>
      </c>
    </row>
    <row r="1098" spans="1:7">
      <c r="A1098" t="s">
        <v>2532</v>
      </c>
      <c r="B1098" t="s">
        <v>2533</v>
      </c>
      <c r="C1098">
        <v>10</v>
      </c>
      <c r="D1098" s="260">
        <v>46274</v>
      </c>
      <c r="E1098" s="260">
        <v>46287</v>
      </c>
      <c r="F1098">
        <v>48</v>
      </c>
      <c r="G1098" t="s">
        <v>356</v>
      </c>
    </row>
    <row r="1099" spans="1:7">
      <c r="A1099" t="s">
        <v>2534</v>
      </c>
      <c r="B1099" t="s">
        <v>2535</v>
      </c>
      <c r="C1099">
        <v>10</v>
      </c>
      <c r="D1099" s="260">
        <v>46302</v>
      </c>
      <c r="E1099" s="260">
        <v>46316</v>
      </c>
      <c r="F1099">
        <v>48</v>
      </c>
      <c r="G1099" t="s">
        <v>356</v>
      </c>
    </row>
    <row r="1100" spans="1:7">
      <c r="A1100" t="s">
        <v>2536</v>
      </c>
      <c r="B1100" t="s">
        <v>2537</v>
      </c>
      <c r="C1100">
        <v>11</v>
      </c>
      <c r="D1100" s="260">
        <v>46244</v>
      </c>
      <c r="E1100" s="260">
        <v>46259</v>
      </c>
      <c r="F1100">
        <v>5</v>
      </c>
      <c r="G1100" t="s">
        <v>356</v>
      </c>
    </row>
    <row r="1101" spans="1:7">
      <c r="A1101" t="s">
        <v>2538</v>
      </c>
      <c r="B1101" t="s">
        <v>2539</v>
      </c>
      <c r="C1101">
        <v>10</v>
      </c>
      <c r="D1101" s="260">
        <v>46274</v>
      </c>
      <c r="E1101" s="260">
        <v>46287</v>
      </c>
      <c r="F1101">
        <v>48</v>
      </c>
      <c r="G1101" t="s">
        <v>356</v>
      </c>
    </row>
    <row r="1102" spans="1:7">
      <c r="A1102" t="s">
        <v>2540</v>
      </c>
      <c r="B1102" t="s">
        <v>2541</v>
      </c>
      <c r="C1102">
        <v>10</v>
      </c>
      <c r="D1102" s="260">
        <v>46302</v>
      </c>
      <c r="E1102" s="260">
        <v>46316</v>
      </c>
      <c r="F1102">
        <v>48</v>
      </c>
      <c r="G1102" t="s">
        <v>356</v>
      </c>
    </row>
    <row r="1103" spans="1:7">
      <c r="A1103" t="s">
        <v>2542</v>
      </c>
      <c r="B1103" t="s">
        <v>2543</v>
      </c>
      <c r="C1103">
        <v>12</v>
      </c>
      <c r="D1103" s="260">
        <v>46245</v>
      </c>
      <c r="E1103" s="260">
        <v>46261</v>
      </c>
      <c r="F1103">
        <v>5</v>
      </c>
      <c r="G1103" t="s">
        <v>356</v>
      </c>
    </row>
    <row r="1104" spans="1:7">
      <c r="A1104" t="s">
        <v>2544</v>
      </c>
      <c r="B1104" t="s">
        <v>2545</v>
      </c>
      <c r="C1104">
        <v>10</v>
      </c>
      <c r="D1104" s="260">
        <v>46276</v>
      </c>
      <c r="E1104" s="260">
        <v>46289</v>
      </c>
      <c r="F1104">
        <v>46</v>
      </c>
      <c r="G1104" t="s">
        <v>356</v>
      </c>
    </row>
    <row r="1105" spans="1:7">
      <c r="A1105" t="s">
        <v>2546</v>
      </c>
      <c r="B1105" t="s">
        <v>2547</v>
      </c>
      <c r="C1105">
        <v>10</v>
      </c>
      <c r="D1105" s="260">
        <v>46304</v>
      </c>
      <c r="E1105" s="260">
        <v>46321</v>
      </c>
      <c r="F1105">
        <v>46</v>
      </c>
      <c r="G1105" t="s">
        <v>356</v>
      </c>
    </row>
    <row r="1106" spans="1:7">
      <c r="A1106" t="s">
        <v>2548</v>
      </c>
      <c r="B1106" t="s">
        <v>2549</v>
      </c>
      <c r="C1106">
        <v>15</v>
      </c>
      <c r="D1106" s="260">
        <v>46258</v>
      </c>
      <c r="E1106" s="260">
        <v>46276</v>
      </c>
      <c r="F1106">
        <v>5</v>
      </c>
      <c r="G1106" t="s">
        <v>356</v>
      </c>
    </row>
    <row r="1107" spans="1:7">
      <c r="A1107" t="s">
        <v>2550</v>
      </c>
      <c r="B1107" t="s">
        <v>2551</v>
      </c>
      <c r="C1107">
        <v>10</v>
      </c>
      <c r="D1107" s="260">
        <v>46293</v>
      </c>
      <c r="E1107" s="260">
        <v>46304</v>
      </c>
      <c r="F1107">
        <v>25</v>
      </c>
      <c r="G1107" t="s">
        <v>356</v>
      </c>
    </row>
    <row r="1108" spans="1:7">
      <c r="A1108" t="s">
        <v>2552</v>
      </c>
      <c r="B1108" t="s">
        <v>2553</v>
      </c>
      <c r="C1108">
        <v>10</v>
      </c>
      <c r="D1108" s="260">
        <v>46323</v>
      </c>
      <c r="E1108" s="260">
        <v>46336</v>
      </c>
      <c r="F1108">
        <v>25</v>
      </c>
      <c r="G1108" t="s">
        <v>356</v>
      </c>
    </row>
    <row r="1109" spans="1:7">
      <c r="A1109" t="s">
        <v>2554</v>
      </c>
      <c r="B1109" t="s">
        <v>2555</v>
      </c>
      <c r="C1109">
        <v>7</v>
      </c>
      <c r="D1109" s="260">
        <v>46175</v>
      </c>
      <c r="E1109" s="260">
        <v>46184</v>
      </c>
      <c r="F1109">
        <v>77</v>
      </c>
      <c r="G1109" t="s">
        <v>356</v>
      </c>
    </row>
    <row r="1110" spans="1:7">
      <c r="A1110" t="s">
        <v>2556</v>
      </c>
      <c r="B1110" t="s">
        <v>2557</v>
      </c>
      <c r="C1110">
        <v>5</v>
      </c>
      <c r="D1110" s="260">
        <v>46199</v>
      </c>
      <c r="E1110" s="260">
        <v>46205</v>
      </c>
      <c r="F1110">
        <v>92</v>
      </c>
      <c r="G1110" t="s">
        <v>356</v>
      </c>
    </row>
    <row r="1111" spans="1:7">
      <c r="A1111" t="s">
        <v>2558</v>
      </c>
      <c r="B1111" t="s">
        <v>2559</v>
      </c>
      <c r="C1111">
        <v>5</v>
      </c>
      <c r="D1111" s="260">
        <v>46220</v>
      </c>
      <c r="E1111" s="260">
        <v>46226</v>
      </c>
      <c r="F1111">
        <v>97</v>
      </c>
      <c r="G1111" t="s">
        <v>356</v>
      </c>
    </row>
    <row r="1112" spans="1:7">
      <c r="A1112" t="s">
        <v>2560</v>
      </c>
      <c r="B1112" t="s">
        <v>2561</v>
      </c>
      <c r="C1112">
        <v>15</v>
      </c>
      <c r="D1112" s="260">
        <v>46300</v>
      </c>
      <c r="E1112" s="260">
        <v>46322</v>
      </c>
      <c r="F1112">
        <v>5</v>
      </c>
      <c r="G1112" t="s">
        <v>356</v>
      </c>
    </row>
    <row r="1113" spans="1:7">
      <c r="A1113" t="s">
        <v>2562</v>
      </c>
      <c r="B1113" t="s">
        <v>2563</v>
      </c>
      <c r="C1113">
        <v>10</v>
      </c>
      <c r="D1113" s="260">
        <v>46337</v>
      </c>
      <c r="E1113" s="260">
        <v>46350</v>
      </c>
      <c r="F1113">
        <v>5</v>
      </c>
      <c r="G1113" t="s">
        <v>356</v>
      </c>
    </row>
    <row r="1114" spans="1:7">
      <c r="A1114" t="s">
        <v>2564</v>
      </c>
      <c r="B1114" t="s">
        <v>2565</v>
      </c>
      <c r="C1114">
        <v>10</v>
      </c>
      <c r="D1114" s="260">
        <v>46367</v>
      </c>
      <c r="E1114" s="260">
        <v>46380</v>
      </c>
      <c r="F1114">
        <v>5</v>
      </c>
      <c r="G1114" t="s">
        <v>356</v>
      </c>
    </row>
    <row r="1115" spans="1:7">
      <c r="A1115" t="s">
        <v>2566</v>
      </c>
      <c r="B1115" t="s">
        <v>2567</v>
      </c>
      <c r="C1115">
        <v>15</v>
      </c>
      <c r="D1115" s="260">
        <v>46258</v>
      </c>
      <c r="E1115" s="260">
        <v>46276</v>
      </c>
      <c r="F1115">
        <v>35</v>
      </c>
      <c r="G1115" t="s">
        <v>356</v>
      </c>
    </row>
    <row r="1116" spans="1:7">
      <c r="A1116" t="s">
        <v>2568</v>
      </c>
      <c r="B1116" t="s">
        <v>2569</v>
      </c>
      <c r="C1116">
        <v>10</v>
      </c>
      <c r="D1116" s="260">
        <v>46293</v>
      </c>
      <c r="E1116" s="260">
        <v>46304</v>
      </c>
      <c r="F1116">
        <v>35</v>
      </c>
      <c r="G1116" t="s">
        <v>356</v>
      </c>
    </row>
    <row r="1117" spans="1:7">
      <c r="A1117" t="s">
        <v>2570</v>
      </c>
      <c r="B1117" t="s">
        <v>2571</v>
      </c>
      <c r="C1117">
        <v>10</v>
      </c>
      <c r="D1117" s="260">
        <v>46323</v>
      </c>
      <c r="E1117" s="260">
        <v>46336</v>
      </c>
      <c r="F1117">
        <v>35</v>
      </c>
      <c r="G1117" t="s">
        <v>356</v>
      </c>
    </row>
    <row r="1118" spans="1:7">
      <c r="A1118" t="s">
        <v>2572</v>
      </c>
      <c r="B1118" t="s">
        <v>2573</v>
      </c>
      <c r="C1118">
        <v>7</v>
      </c>
      <c r="D1118" s="260">
        <v>46175</v>
      </c>
      <c r="E1118" s="260">
        <v>46184</v>
      </c>
      <c r="F1118">
        <v>107</v>
      </c>
      <c r="G1118" t="s">
        <v>356</v>
      </c>
    </row>
    <row r="1119" spans="1:7">
      <c r="A1119" t="s">
        <v>2574</v>
      </c>
      <c r="B1119" t="s">
        <v>2575</v>
      </c>
      <c r="C1119">
        <v>5</v>
      </c>
      <c r="D1119" s="260">
        <v>46199</v>
      </c>
      <c r="E1119" s="260">
        <v>46205</v>
      </c>
      <c r="F1119">
        <v>107</v>
      </c>
      <c r="G1119" t="s">
        <v>356</v>
      </c>
    </row>
    <row r="1120" spans="1:7">
      <c r="A1120" t="s">
        <v>2576</v>
      </c>
      <c r="B1120" t="s">
        <v>2577</v>
      </c>
      <c r="C1120">
        <v>5</v>
      </c>
      <c r="D1120" s="260">
        <v>46220</v>
      </c>
      <c r="E1120" s="260">
        <v>46226</v>
      </c>
      <c r="F1120">
        <v>107</v>
      </c>
      <c r="G1120" t="s">
        <v>356</v>
      </c>
    </row>
    <row r="1121" spans="1:7">
      <c r="A1121" t="s">
        <v>2578</v>
      </c>
      <c r="B1121" t="s">
        <v>2579</v>
      </c>
      <c r="C1121">
        <v>15</v>
      </c>
      <c r="D1121" s="260">
        <v>46300</v>
      </c>
      <c r="E1121" s="260">
        <v>46322</v>
      </c>
      <c r="F1121">
        <v>5</v>
      </c>
      <c r="G1121" t="s">
        <v>356</v>
      </c>
    </row>
    <row r="1122" spans="1:7">
      <c r="A1122" t="s">
        <v>2580</v>
      </c>
      <c r="B1122" t="s">
        <v>2581</v>
      </c>
      <c r="C1122">
        <v>10</v>
      </c>
      <c r="D1122" s="260">
        <v>46337</v>
      </c>
      <c r="E1122" s="260">
        <v>46350</v>
      </c>
      <c r="F1122">
        <v>5</v>
      </c>
      <c r="G1122" t="s">
        <v>356</v>
      </c>
    </row>
    <row r="1123" spans="1:7">
      <c r="A1123" t="s">
        <v>2582</v>
      </c>
      <c r="B1123" t="s">
        <v>2583</v>
      </c>
      <c r="C1123">
        <v>10</v>
      </c>
      <c r="D1123" s="260">
        <v>46367</v>
      </c>
      <c r="E1123" s="260">
        <v>46380</v>
      </c>
      <c r="F1123">
        <v>5</v>
      </c>
      <c r="G1123" t="s">
        <v>356</v>
      </c>
    </row>
    <row r="1124" spans="1:7">
      <c r="A1124" t="s">
        <v>2584</v>
      </c>
      <c r="B1124" t="s">
        <v>2585</v>
      </c>
      <c r="C1124">
        <v>19</v>
      </c>
      <c r="D1124" s="260">
        <v>46148</v>
      </c>
      <c r="E1124" s="260">
        <v>46175</v>
      </c>
      <c r="F1124">
        <v>112</v>
      </c>
      <c r="G1124" t="s">
        <v>356</v>
      </c>
    </row>
    <row r="1125" spans="1:7">
      <c r="A1125" t="s">
        <v>2586</v>
      </c>
      <c r="B1125" t="s">
        <v>2587</v>
      </c>
      <c r="C1125">
        <v>10</v>
      </c>
      <c r="D1125" s="260">
        <v>46191</v>
      </c>
      <c r="E1125" s="260">
        <v>46204</v>
      </c>
      <c r="F1125">
        <v>112</v>
      </c>
      <c r="G1125" t="s">
        <v>356</v>
      </c>
    </row>
    <row r="1126" spans="1:7">
      <c r="A1126" t="s">
        <v>2588</v>
      </c>
      <c r="B1126" t="s">
        <v>2589</v>
      </c>
      <c r="C1126">
        <v>10</v>
      </c>
      <c r="D1126" s="260">
        <v>46219</v>
      </c>
      <c r="E1126" s="260">
        <v>46237</v>
      </c>
      <c r="F1126">
        <v>112</v>
      </c>
      <c r="G1126" t="s">
        <v>356</v>
      </c>
    </row>
    <row r="1127" spans="1:7">
      <c r="A1127" t="s">
        <v>2590</v>
      </c>
      <c r="C1127">
        <v>128</v>
      </c>
      <c r="D1127" s="260">
        <v>46128</v>
      </c>
      <c r="E1127" s="260">
        <v>46317</v>
      </c>
      <c r="F1127">
        <v>56</v>
      </c>
      <c r="G1127" t="s">
        <v>356</v>
      </c>
    </row>
    <row r="1128" spans="1:7">
      <c r="A1128" t="s">
        <v>2591</v>
      </c>
      <c r="B1128" t="s">
        <v>2592</v>
      </c>
      <c r="C1128">
        <v>17</v>
      </c>
      <c r="D1128" s="260">
        <v>46128</v>
      </c>
      <c r="E1128" s="260">
        <v>46153</v>
      </c>
      <c r="F1128">
        <v>47</v>
      </c>
      <c r="G1128" t="s">
        <v>356</v>
      </c>
    </row>
    <row r="1129" spans="1:7">
      <c r="A1129" t="s">
        <v>2593</v>
      </c>
      <c r="B1129" t="s">
        <v>2594</v>
      </c>
      <c r="C1129">
        <v>10</v>
      </c>
      <c r="D1129" s="260">
        <v>46168</v>
      </c>
      <c r="E1129" s="260">
        <v>46183</v>
      </c>
      <c r="F1129">
        <v>118</v>
      </c>
      <c r="G1129" t="s">
        <v>356</v>
      </c>
    </row>
    <row r="1130" spans="1:7">
      <c r="A1130" t="s">
        <v>2595</v>
      </c>
      <c r="B1130" t="s">
        <v>2596</v>
      </c>
      <c r="C1130">
        <v>10</v>
      </c>
      <c r="D1130" s="260">
        <v>46198</v>
      </c>
      <c r="E1130" s="260">
        <v>46211</v>
      </c>
      <c r="F1130">
        <v>118</v>
      </c>
      <c r="G1130" t="s">
        <v>356</v>
      </c>
    </row>
    <row r="1131" spans="1:7">
      <c r="A1131" t="s">
        <v>2597</v>
      </c>
      <c r="B1131" t="s">
        <v>2598</v>
      </c>
      <c r="C1131">
        <v>15</v>
      </c>
      <c r="D1131" s="260">
        <v>46148</v>
      </c>
      <c r="E1131" s="260">
        <v>46168</v>
      </c>
      <c r="F1131">
        <v>47</v>
      </c>
      <c r="G1131" t="s">
        <v>356</v>
      </c>
    </row>
    <row r="1132" spans="1:7">
      <c r="A1132" t="s">
        <v>2599</v>
      </c>
      <c r="B1132" t="s">
        <v>2600</v>
      </c>
      <c r="C1132">
        <v>10</v>
      </c>
      <c r="D1132" s="260">
        <v>46185</v>
      </c>
      <c r="E1132" s="260">
        <v>46198</v>
      </c>
      <c r="F1132">
        <v>102</v>
      </c>
      <c r="G1132" t="s">
        <v>356</v>
      </c>
    </row>
    <row r="1133" spans="1:7">
      <c r="A1133" t="s">
        <v>2601</v>
      </c>
      <c r="B1133" t="s">
        <v>2602</v>
      </c>
      <c r="C1133">
        <v>10</v>
      </c>
      <c r="D1133" s="260">
        <v>46213</v>
      </c>
      <c r="E1133" s="260">
        <v>46226</v>
      </c>
      <c r="F1133">
        <v>102</v>
      </c>
      <c r="G1133" t="s">
        <v>356</v>
      </c>
    </row>
    <row r="1134" spans="1:7">
      <c r="A1134" t="s">
        <v>2603</v>
      </c>
      <c r="B1134" t="s">
        <v>2604</v>
      </c>
      <c r="C1134">
        <v>15</v>
      </c>
      <c r="D1134" s="260">
        <v>46148</v>
      </c>
      <c r="E1134" s="260">
        <v>46168</v>
      </c>
      <c r="F1134">
        <v>107</v>
      </c>
      <c r="G1134" t="s">
        <v>356</v>
      </c>
    </row>
    <row r="1135" spans="1:7">
      <c r="A1135" t="s">
        <v>2605</v>
      </c>
      <c r="B1135" t="s">
        <v>2606</v>
      </c>
      <c r="C1135">
        <v>10</v>
      </c>
      <c r="D1135" s="260">
        <v>46185</v>
      </c>
      <c r="E1135" s="260">
        <v>46198</v>
      </c>
      <c r="F1135">
        <v>107</v>
      </c>
      <c r="G1135" t="s">
        <v>356</v>
      </c>
    </row>
    <row r="1136" spans="1:7">
      <c r="A1136" t="s">
        <v>2607</v>
      </c>
      <c r="B1136" t="s">
        <v>2608</v>
      </c>
      <c r="C1136">
        <v>10</v>
      </c>
      <c r="D1136" s="260">
        <v>46213</v>
      </c>
      <c r="E1136" s="260">
        <v>46226</v>
      </c>
      <c r="F1136">
        <v>107</v>
      </c>
      <c r="G1136" t="s">
        <v>356</v>
      </c>
    </row>
    <row r="1137" spans="1:7">
      <c r="A1137" t="s">
        <v>2609</v>
      </c>
      <c r="B1137" t="s">
        <v>2610</v>
      </c>
      <c r="C1137">
        <v>15</v>
      </c>
      <c r="D1137" s="260">
        <v>46148</v>
      </c>
      <c r="E1137" s="260">
        <v>46168</v>
      </c>
      <c r="F1137">
        <v>107</v>
      </c>
      <c r="G1137" t="s">
        <v>356</v>
      </c>
    </row>
    <row r="1138" spans="1:7">
      <c r="A1138" t="s">
        <v>2611</v>
      </c>
      <c r="B1138" t="s">
        <v>2612</v>
      </c>
      <c r="C1138">
        <v>10</v>
      </c>
      <c r="D1138" s="260">
        <v>46185</v>
      </c>
      <c r="E1138" s="260">
        <v>46198</v>
      </c>
      <c r="F1138">
        <v>107</v>
      </c>
      <c r="G1138" t="s">
        <v>356</v>
      </c>
    </row>
    <row r="1139" spans="1:7">
      <c r="A1139" t="s">
        <v>2613</v>
      </c>
      <c r="B1139" t="s">
        <v>2614</v>
      </c>
      <c r="C1139">
        <v>10</v>
      </c>
      <c r="D1139" s="260">
        <v>46213</v>
      </c>
      <c r="E1139" s="260">
        <v>46226</v>
      </c>
      <c r="F1139">
        <v>107</v>
      </c>
      <c r="G1139" t="s">
        <v>356</v>
      </c>
    </row>
    <row r="1140" spans="1:7">
      <c r="A1140" t="s">
        <v>2615</v>
      </c>
      <c r="B1140" t="s">
        <v>2616</v>
      </c>
      <c r="C1140">
        <v>15</v>
      </c>
      <c r="D1140" s="260">
        <v>46148</v>
      </c>
      <c r="E1140" s="260">
        <v>46168</v>
      </c>
      <c r="F1140">
        <v>82</v>
      </c>
      <c r="G1140" t="s">
        <v>356</v>
      </c>
    </row>
    <row r="1141" spans="1:7">
      <c r="A1141" t="s">
        <v>2617</v>
      </c>
      <c r="B1141" t="s">
        <v>2618</v>
      </c>
      <c r="C1141">
        <v>10</v>
      </c>
      <c r="D1141" s="260">
        <v>46185</v>
      </c>
      <c r="E1141" s="260">
        <v>46198</v>
      </c>
      <c r="F1141">
        <v>107</v>
      </c>
      <c r="G1141" t="s">
        <v>356</v>
      </c>
    </row>
    <row r="1142" spans="1:7">
      <c r="A1142" t="s">
        <v>2619</v>
      </c>
      <c r="B1142" t="s">
        <v>2620</v>
      </c>
      <c r="C1142">
        <v>10</v>
      </c>
      <c r="D1142" s="260">
        <v>46213</v>
      </c>
      <c r="E1142" s="260">
        <v>46226</v>
      </c>
      <c r="F1142">
        <v>107</v>
      </c>
      <c r="G1142" t="s">
        <v>356</v>
      </c>
    </row>
    <row r="1143" spans="1:7">
      <c r="A1143" t="s">
        <v>2621</v>
      </c>
      <c r="B1143" t="s">
        <v>2622</v>
      </c>
      <c r="C1143">
        <v>16</v>
      </c>
      <c r="D1143" s="260">
        <v>46154</v>
      </c>
      <c r="E1143" s="260">
        <v>46177</v>
      </c>
      <c r="F1143">
        <v>47</v>
      </c>
      <c r="G1143" t="s">
        <v>356</v>
      </c>
    </row>
    <row r="1144" spans="1:7">
      <c r="A1144" t="s">
        <v>2623</v>
      </c>
      <c r="B1144" t="s">
        <v>2624</v>
      </c>
      <c r="C1144">
        <v>10</v>
      </c>
      <c r="D1144" s="260">
        <v>46192</v>
      </c>
      <c r="E1144" s="260">
        <v>46205</v>
      </c>
      <c r="F1144">
        <v>97</v>
      </c>
      <c r="G1144" t="s">
        <v>356</v>
      </c>
    </row>
    <row r="1145" spans="1:7">
      <c r="A1145" t="s">
        <v>2625</v>
      </c>
      <c r="B1145" t="s">
        <v>2626</v>
      </c>
      <c r="C1145">
        <v>10</v>
      </c>
      <c r="D1145" s="260">
        <v>46220</v>
      </c>
      <c r="E1145" s="260">
        <v>46238</v>
      </c>
      <c r="F1145">
        <v>97</v>
      </c>
      <c r="G1145" t="s">
        <v>356</v>
      </c>
    </row>
    <row r="1146" spans="1:7">
      <c r="A1146" t="s">
        <v>2627</v>
      </c>
      <c r="B1146" t="s">
        <v>2628</v>
      </c>
      <c r="C1146">
        <v>16</v>
      </c>
      <c r="D1146" s="260">
        <v>46154</v>
      </c>
      <c r="E1146" s="260">
        <v>46177</v>
      </c>
      <c r="F1146">
        <v>102</v>
      </c>
      <c r="G1146" t="s">
        <v>356</v>
      </c>
    </row>
    <row r="1147" spans="1:7">
      <c r="A1147" t="s">
        <v>2629</v>
      </c>
      <c r="B1147" t="s">
        <v>2630</v>
      </c>
      <c r="C1147">
        <v>10</v>
      </c>
      <c r="D1147" s="260">
        <v>46192</v>
      </c>
      <c r="E1147" s="260">
        <v>46205</v>
      </c>
      <c r="F1147">
        <v>102</v>
      </c>
      <c r="G1147" t="s">
        <v>356</v>
      </c>
    </row>
    <row r="1148" spans="1:7">
      <c r="A1148" t="s">
        <v>2631</v>
      </c>
      <c r="B1148" t="s">
        <v>2632</v>
      </c>
      <c r="C1148">
        <v>10</v>
      </c>
      <c r="D1148" s="260">
        <v>46220</v>
      </c>
      <c r="E1148" s="260">
        <v>46238</v>
      </c>
      <c r="F1148">
        <v>102</v>
      </c>
      <c r="G1148" t="s">
        <v>356</v>
      </c>
    </row>
    <row r="1149" spans="1:7">
      <c r="A1149" t="s">
        <v>2633</v>
      </c>
      <c r="B1149" t="s">
        <v>2634</v>
      </c>
      <c r="C1149">
        <v>16</v>
      </c>
      <c r="D1149" s="260">
        <v>46154</v>
      </c>
      <c r="E1149" s="260">
        <v>46177</v>
      </c>
      <c r="F1149">
        <v>102</v>
      </c>
      <c r="G1149" t="s">
        <v>356</v>
      </c>
    </row>
    <row r="1150" spans="1:7">
      <c r="A1150" t="s">
        <v>2635</v>
      </c>
      <c r="B1150" t="s">
        <v>2636</v>
      </c>
      <c r="C1150">
        <v>10</v>
      </c>
      <c r="D1150" s="260">
        <v>46192</v>
      </c>
      <c r="E1150" s="260">
        <v>46205</v>
      </c>
      <c r="F1150">
        <v>102</v>
      </c>
      <c r="G1150" t="s">
        <v>356</v>
      </c>
    </row>
    <row r="1151" spans="1:7">
      <c r="A1151" t="s">
        <v>2637</v>
      </c>
      <c r="B1151" t="s">
        <v>2638</v>
      </c>
      <c r="C1151">
        <v>10</v>
      </c>
      <c r="D1151" s="260">
        <v>46220</v>
      </c>
      <c r="E1151" s="260">
        <v>46238</v>
      </c>
      <c r="F1151">
        <v>102</v>
      </c>
      <c r="G1151" t="s">
        <v>356</v>
      </c>
    </row>
    <row r="1152" spans="1:7">
      <c r="A1152" t="s">
        <v>2639</v>
      </c>
      <c r="B1152" t="s">
        <v>2640</v>
      </c>
      <c r="C1152">
        <v>16</v>
      </c>
      <c r="D1152" s="260">
        <v>46154</v>
      </c>
      <c r="E1152" s="260">
        <v>46177</v>
      </c>
      <c r="F1152">
        <v>80</v>
      </c>
      <c r="G1152" t="s">
        <v>356</v>
      </c>
    </row>
    <row r="1153" spans="1:7">
      <c r="A1153" t="s">
        <v>2641</v>
      </c>
      <c r="B1153" t="s">
        <v>2642</v>
      </c>
      <c r="C1153">
        <v>10</v>
      </c>
      <c r="D1153" s="260">
        <v>46192</v>
      </c>
      <c r="E1153" s="260">
        <v>46205</v>
      </c>
      <c r="F1153">
        <v>102</v>
      </c>
      <c r="G1153" t="s">
        <v>356</v>
      </c>
    </row>
    <row r="1154" spans="1:7">
      <c r="A1154" t="s">
        <v>2643</v>
      </c>
      <c r="B1154" t="s">
        <v>2644</v>
      </c>
      <c r="C1154">
        <v>10</v>
      </c>
      <c r="D1154" s="260">
        <v>46220</v>
      </c>
      <c r="E1154" s="260">
        <v>46238</v>
      </c>
      <c r="F1154">
        <v>102</v>
      </c>
      <c r="G1154" t="s">
        <v>356</v>
      </c>
    </row>
    <row r="1155" spans="1:7">
      <c r="A1155" t="s">
        <v>2645</v>
      </c>
      <c r="B1155" t="s">
        <v>2646</v>
      </c>
      <c r="C1155">
        <v>20</v>
      </c>
      <c r="D1155" s="260">
        <v>46147</v>
      </c>
      <c r="E1155" s="260">
        <v>46175</v>
      </c>
      <c r="F1155">
        <v>47</v>
      </c>
      <c r="G1155" t="s">
        <v>356</v>
      </c>
    </row>
    <row r="1156" spans="1:7">
      <c r="A1156" t="s">
        <v>2647</v>
      </c>
      <c r="B1156" t="s">
        <v>2648</v>
      </c>
      <c r="C1156">
        <v>10</v>
      </c>
      <c r="D1156" s="260">
        <v>46191</v>
      </c>
      <c r="E1156" s="260">
        <v>46204</v>
      </c>
      <c r="F1156">
        <v>103</v>
      </c>
      <c r="G1156" t="s">
        <v>356</v>
      </c>
    </row>
    <row r="1157" spans="1:7">
      <c r="A1157" t="s">
        <v>2649</v>
      </c>
      <c r="B1157" t="s">
        <v>2650</v>
      </c>
      <c r="C1157">
        <v>10</v>
      </c>
      <c r="D1157" s="260">
        <v>46219</v>
      </c>
      <c r="E1157" s="260">
        <v>46237</v>
      </c>
      <c r="F1157">
        <v>103</v>
      </c>
      <c r="G1157" t="s">
        <v>356</v>
      </c>
    </row>
    <row r="1158" spans="1:7">
      <c r="A1158" t="s">
        <v>2651</v>
      </c>
      <c r="B1158" t="s">
        <v>2652</v>
      </c>
      <c r="C1158">
        <v>11</v>
      </c>
      <c r="D1158" s="260">
        <v>46162</v>
      </c>
      <c r="E1158" s="260">
        <v>46178</v>
      </c>
      <c r="F1158">
        <v>101</v>
      </c>
      <c r="G1158" t="s">
        <v>356</v>
      </c>
    </row>
    <row r="1159" spans="1:7">
      <c r="A1159" t="s">
        <v>2653</v>
      </c>
      <c r="B1159" t="s">
        <v>2654</v>
      </c>
      <c r="C1159">
        <v>10</v>
      </c>
      <c r="D1159" s="260">
        <v>46195</v>
      </c>
      <c r="E1159" s="260">
        <v>46206</v>
      </c>
      <c r="F1159">
        <v>110</v>
      </c>
      <c r="G1159" t="s">
        <v>356</v>
      </c>
    </row>
    <row r="1160" spans="1:7">
      <c r="A1160" t="s">
        <v>2655</v>
      </c>
      <c r="B1160" t="s">
        <v>2656</v>
      </c>
      <c r="C1160">
        <v>10</v>
      </c>
      <c r="D1160" s="260">
        <v>46223</v>
      </c>
      <c r="E1160" s="260">
        <v>46239</v>
      </c>
      <c r="F1160">
        <v>110</v>
      </c>
      <c r="G1160" t="s">
        <v>356</v>
      </c>
    </row>
    <row r="1161" spans="1:7">
      <c r="A1161" t="s">
        <v>2657</v>
      </c>
      <c r="B1161" t="s">
        <v>2658</v>
      </c>
      <c r="C1161">
        <v>11</v>
      </c>
      <c r="D1161" s="260">
        <v>46162</v>
      </c>
      <c r="E1161" s="260">
        <v>46178</v>
      </c>
      <c r="F1161">
        <v>110</v>
      </c>
      <c r="G1161" t="s">
        <v>356</v>
      </c>
    </row>
    <row r="1162" spans="1:7">
      <c r="A1162" t="s">
        <v>2659</v>
      </c>
      <c r="B1162" t="s">
        <v>2660</v>
      </c>
      <c r="C1162">
        <v>10</v>
      </c>
      <c r="D1162" s="260">
        <v>46195</v>
      </c>
      <c r="E1162" s="260">
        <v>46206</v>
      </c>
      <c r="F1162">
        <v>110</v>
      </c>
      <c r="G1162" t="s">
        <v>356</v>
      </c>
    </row>
    <row r="1163" spans="1:7">
      <c r="A1163" t="s">
        <v>2661</v>
      </c>
      <c r="B1163" t="s">
        <v>2662</v>
      </c>
      <c r="C1163">
        <v>10</v>
      </c>
      <c r="D1163" s="260">
        <v>46223</v>
      </c>
      <c r="E1163" s="260">
        <v>46239</v>
      </c>
      <c r="F1163">
        <v>110</v>
      </c>
      <c r="G1163" t="s">
        <v>356</v>
      </c>
    </row>
    <row r="1164" spans="1:7">
      <c r="A1164" t="s">
        <v>2663</v>
      </c>
      <c r="B1164" t="s">
        <v>2664</v>
      </c>
      <c r="C1164">
        <v>11</v>
      </c>
      <c r="D1164" s="260">
        <v>46162</v>
      </c>
      <c r="E1164" s="260">
        <v>46178</v>
      </c>
      <c r="F1164">
        <v>101</v>
      </c>
      <c r="G1164" t="s">
        <v>356</v>
      </c>
    </row>
    <row r="1165" spans="1:7">
      <c r="A1165" t="s">
        <v>2665</v>
      </c>
      <c r="B1165" t="s">
        <v>2666</v>
      </c>
      <c r="C1165">
        <v>10</v>
      </c>
      <c r="D1165" s="260">
        <v>46195</v>
      </c>
      <c r="E1165" s="260">
        <v>46206</v>
      </c>
      <c r="F1165">
        <v>101</v>
      </c>
      <c r="G1165" t="s">
        <v>356</v>
      </c>
    </row>
    <row r="1166" spans="1:7">
      <c r="A1166" t="s">
        <v>2667</v>
      </c>
      <c r="B1166" t="s">
        <v>2668</v>
      </c>
      <c r="C1166">
        <v>10</v>
      </c>
      <c r="D1166" s="260">
        <v>46223</v>
      </c>
      <c r="E1166" s="260">
        <v>46239</v>
      </c>
      <c r="F1166">
        <v>101</v>
      </c>
      <c r="G1166" t="s">
        <v>356</v>
      </c>
    </row>
    <row r="1167" spans="1:7">
      <c r="A1167" t="s">
        <v>2669</v>
      </c>
      <c r="C1167">
        <v>50</v>
      </c>
      <c r="D1167" s="260">
        <v>46178</v>
      </c>
      <c r="E1167" s="260">
        <v>46253</v>
      </c>
      <c r="F1167">
        <v>92</v>
      </c>
      <c r="G1167" t="s">
        <v>356</v>
      </c>
    </row>
    <row r="1168" spans="1:7">
      <c r="A1168" t="s">
        <v>2670</v>
      </c>
      <c r="B1168" t="s">
        <v>2671</v>
      </c>
      <c r="C1168">
        <v>10</v>
      </c>
      <c r="D1168" s="260">
        <v>46178</v>
      </c>
      <c r="E1168" s="260">
        <v>46191</v>
      </c>
      <c r="F1168">
        <v>47</v>
      </c>
      <c r="G1168" t="s">
        <v>356</v>
      </c>
    </row>
    <row r="1169" spans="1:7">
      <c r="A1169" t="s">
        <v>2672</v>
      </c>
      <c r="B1169" t="s">
        <v>2673</v>
      </c>
      <c r="C1169">
        <v>5</v>
      </c>
      <c r="D1169" s="260">
        <v>46206</v>
      </c>
      <c r="E1169" s="260">
        <v>46212</v>
      </c>
      <c r="F1169">
        <v>102</v>
      </c>
      <c r="G1169" t="s">
        <v>356</v>
      </c>
    </row>
    <row r="1170" spans="1:7">
      <c r="A1170" t="s">
        <v>2674</v>
      </c>
      <c r="B1170" t="s">
        <v>2675</v>
      </c>
      <c r="C1170">
        <v>5</v>
      </c>
      <c r="D1170" s="260">
        <v>46239</v>
      </c>
      <c r="E1170" s="260">
        <v>46245</v>
      </c>
      <c r="F1170">
        <v>97</v>
      </c>
      <c r="G1170" t="s">
        <v>356</v>
      </c>
    </row>
    <row r="1171" spans="1:7">
      <c r="A1171" t="s">
        <v>2676</v>
      </c>
      <c r="B1171" t="s">
        <v>2677</v>
      </c>
      <c r="C1171">
        <v>10</v>
      </c>
      <c r="D1171" s="260">
        <v>46192</v>
      </c>
      <c r="E1171" s="260">
        <v>46205</v>
      </c>
      <c r="F1171">
        <v>47</v>
      </c>
      <c r="G1171" t="s">
        <v>356</v>
      </c>
    </row>
    <row r="1172" spans="1:7">
      <c r="A1172" t="s">
        <v>2678</v>
      </c>
      <c r="B1172" t="s">
        <v>2679</v>
      </c>
      <c r="C1172">
        <v>5</v>
      </c>
      <c r="D1172" s="260">
        <v>46220</v>
      </c>
      <c r="E1172" s="260">
        <v>46226</v>
      </c>
      <c r="F1172">
        <v>92</v>
      </c>
      <c r="G1172" t="s">
        <v>356</v>
      </c>
    </row>
    <row r="1173" spans="1:7">
      <c r="A1173" t="s">
        <v>2680</v>
      </c>
      <c r="B1173" t="s">
        <v>2681</v>
      </c>
      <c r="C1173">
        <v>5</v>
      </c>
      <c r="D1173" s="260">
        <v>46247</v>
      </c>
      <c r="E1173" s="260">
        <v>46253</v>
      </c>
      <c r="F1173">
        <v>92</v>
      </c>
      <c r="G1173" t="s">
        <v>356</v>
      </c>
    </row>
    <row r="1174" spans="1:7">
      <c r="A1174" t="s">
        <v>2682</v>
      </c>
      <c r="B1174" t="s">
        <v>2683</v>
      </c>
      <c r="C1174">
        <v>10</v>
      </c>
      <c r="D1174" s="260">
        <v>46192</v>
      </c>
      <c r="E1174" s="260">
        <v>46205</v>
      </c>
      <c r="F1174">
        <v>47</v>
      </c>
      <c r="G1174" t="s">
        <v>356</v>
      </c>
    </row>
    <row r="1175" spans="1:7">
      <c r="A1175" t="s">
        <v>2684</v>
      </c>
      <c r="B1175" t="s">
        <v>2685</v>
      </c>
      <c r="C1175">
        <v>5</v>
      </c>
      <c r="D1175" s="260">
        <v>46220</v>
      </c>
      <c r="E1175" s="260">
        <v>46226</v>
      </c>
      <c r="F1175">
        <v>92</v>
      </c>
      <c r="G1175" t="s">
        <v>356</v>
      </c>
    </row>
    <row r="1176" spans="1:7">
      <c r="A1176" t="s">
        <v>2686</v>
      </c>
      <c r="B1176" t="s">
        <v>2687</v>
      </c>
      <c r="C1176">
        <v>5</v>
      </c>
      <c r="D1176" s="260">
        <v>46247</v>
      </c>
      <c r="E1176" s="260">
        <v>46253</v>
      </c>
      <c r="F1176">
        <v>92</v>
      </c>
      <c r="G1176" t="s">
        <v>356</v>
      </c>
    </row>
    <row r="1177" spans="1:7">
      <c r="A1177" t="s">
        <v>2688</v>
      </c>
      <c r="B1177" t="s">
        <v>2689</v>
      </c>
      <c r="C1177">
        <v>10</v>
      </c>
      <c r="D1177" s="260">
        <v>46192</v>
      </c>
      <c r="E1177" s="260">
        <v>46205</v>
      </c>
      <c r="F1177">
        <v>47</v>
      </c>
      <c r="G1177" t="s">
        <v>356</v>
      </c>
    </row>
    <row r="1178" spans="1:7">
      <c r="A1178" t="s">
        <v>2690</v>
      </c>
      <c r="B1178" t="s">
        <v>2691</v>
      </c>
      <c r="C1178">
        <v>5</v>
      </c>
      <c r="D1178" s="260">
        <v>46220</v>
      </c>
      <c r="E1178" s="260">
        <v>46226</v>
      </c>
      <c r="F1178">
        <v>92</v>
      </c>
      <c r="G1178" t="s">
        <v>356</v>
      </c>
    </row>
    <row r="1179" spans="1:7">
      <c r="A1179" t="s">
        <v>2692</v>
      </c>
      <c r="B1179" t="s">
        <v>2693</v>
      </c>
      <c r="C1179">
        <v>5</v>
      </c>
      <c r="D1179" s="260">
        <v>46247</v>
      </c>
      <c r="E1179" s="260">
        <v>46253</v>
      </c>
      <c r="F1179">
        <v>92</v>
      </c>
      <c r="G1179" t="s">
        <v>356</v>
      </c>
    </row>
    <row r="1180" spans="1:7">
      <c r="A1180" t="s">
        <v>2694</v>
      </c>
      <c r="C1180">
        <v>85</v>
      </c>
      <c r="D1180" s="260">
        <v>46192</v>
      </c>
      <c r="E1180" s="260">
        <v>46317</v>
      </c>
      <c r="F1180">
        <v>47</v>
      </c>
      <c r="G1180" t="s">
        <v>356</v>
      </c>
    </row>
    <row r="1181" spans="1:7">
      <c r="A1181" t="s">
        <v>2695</v>
      </c>
      <c r="B1181" t="s">
        <v>2696</v>
      </c>
      <c r="C1181">
        <v>10</v>
      </c>
      <c r="D1181" s="260">
        <v>46192</v>
      </c>
      <c r="E1181" s="260">
        <v>46205</v>
      </c>
      <c r="F1181">
        <v>57</v>
      </c>
      <c r="G1181" t="s">
        <v>356</v>
      </c>
    </row>
    <row r="1182" spans="1:7">
      <c r="A1182" t="s">
        <v>2697</v>
      </c>
      <c r="B1182" t="s">
        <v>2698</v>
      </c>
      <c r="C1182">
        <v>5</v>
      </c>
      <c r="D1182" s="260">
        <v>46296</v>
      </c>
      <c r="E1182" s="260">
        <v>46302</v>
      </c>
      <c r="F1182">
        <v>57</v>
      </c>
      <c r="G1182" t="s">
        <v>356</v>
      </c>
    </row>
    <row r="1183" spans="1:7">
      <c r="A1183" t="s">
        <v>2699</v>
      </c>
      <c r="B1183" t="s">
        <v>2700</v>
      </c>
      <c r="C1183">
        <v>10</v>
      </c>
      <c r="D1183" s="260">
        <v>46206</v>
      </c>
      <c r="E1183" s="260">
        <v>46219</v>
      </c>
      <c r="F1183">
        <v>47</v>
      </c>
      <c r="G1183" t="s">
        <v>356</v>
      </c>
    </row>
    <row r="1184" spans="1:7">
      <c r="A1184" t="s">
        <v>2701</v>
      </c>
      <c r="B1184" t="s">
        <v>2702</v>
      </c>
      <c r="C1184">
        <v>5</v>
      </c>
      <c r="D1184" s="260">
        <v>46311</v>
      </c>
      <c r="E1184" s="260">
        <v>46317</v>
      </c>
      <c r="F1184">
        <v>47</v>
      </c>
      <c r="G1184" t="s">
        <v>356</v>
      </c>
    </row>
    <row r="1185" spans="1:7">
      <c r="A1185" t="s">
        <v>2703</v>
      </c>
      <c r="B1185" t="s">
        <v>2704</v>
      </c>
      <c r="C1185">
        <v>10</v>
      </c>
      <c r="D1185" s="260">
        <v>46206</v>
      </c>
      <c r="E1185" s="260">
        <v>46219</v>
      </c>
      <c r="F1185">
        <v>47</v>
      </c>
      <c r="G1185" t="s">
        <v>356</v>
      </c>
    </row>
    <row r="1186" spans="1:7">
      <c r="A1186" t="s">
        <v>2705</v>
      </c>
      <c r="B1186" t="s">
        <v>2706</v>
      </c>
      <c r="C1186">
        <v>5</v>
      </c>
      <c r="D1186" s="260">
        <v>46311</v>
      </c>
      <c r="E1186" s="260">
        <v>46317</v>
      </c>
      <c r="F1186">
        <v>47</v>
      </c>
      <c r="G1186" t="s">
        <v>356</v>
      </c>
    </row>
    <row r="1187" spans="1:7">
      <c r="A1187" t="s">
        <v>2707</v>
      </c>
      <c r="B1187" t="s">
        <v>2708</v>
      </c>
      <c r="C1187">
        <v>10</v>
      </c>
      <c r="D1187" s="260">
        <v>46206</v>
      </c>
      <c r="E1187" s="260">
        <v>46219</v>
      </c>
      <c r="F1187">
        <v>47</v>
      </c>
      <c r="G1187" t="s">
        <v>356</v>
      </c>
    </row>
    <row r="1188" spans="1:7">
      <c r="A1188" t="s">
        <v>2709</v>
      </c>
      <c r="B1188" t="s">
        <v>2710</v>
      </c>
      <c r="C1188">
        <v>5</v>
      </c>
      <c r="D1188" s="260">
        <v>46311</v>
      </c>
      <c r="E1188" s="260">
        <v>46317</v>
      </c>
      <c r="F1188">
        <v>47</v>
      </c>
      <c r="G1188" t="s">
        <v>356</v>
      </c>
    </row>
    <row r="1189" spans="1:7">
      <c r="A1189" t="s">
        <v>2711</v>
      </c>
      <c r="C1189">
        <v>40</v>
      </c>
      <c r="D1189" s="260">
        <v>46239</v>
      </c>
      <c r="E1189" s="260">
        <v>46295</v>
      </c>
      <c r="F1189">
        <v>47</v>
      </c>
      <c r="G1189" t="s">
        <v>356</v>
      </c>
    </row>
    <row r="1190" spans="1:7">
      <c r="A1190" t="s">
        <v>2712</v>
      </c>
      <c r="B1190" t="s">
        <v>2713</v>
      </c>
      <c r="C1190">
        <v>15</v>
      </c>
      <c r="D1190" s="260">
        <v>46239</v>
      </c>
      <c r="E1190" s="260">
        <v>46260</v>
      </c>
      <c r="F1190">
        <v>57</v>
      </c>
      <c r="G1190" t="s">
        <v>356</v>
      </c>
    </row>
    <row r="1191" spans="1:7">
      <c r="A1191" t="s">
        <v>2714</v>
      </c>
      <c r="B1191" t="s">
        <v>2715</v>
      </c>
      <c r="C1191">
        <v>5</v>
      </c>
      <c r="D1191" s="260">
        <v>46275</v>
      </c>
      <c r="E1191" s="260">
        <v>46281</v>
      </c>
      <c r="F1191">
        <v>57</v>
      </c>
      <c r="G1191" t="s">
        <v>356</v>
      </c>
    </row>
    <row r="1192" spans="1:7">
      <c r="A1192" t="s">
        <v>2716</v>
      </c>
      <c r="B1192" t="s">
        <v>2717</v>
      </c>
      <c r="C1192">
        <v>15</v>
      </c>
      <c r="D1192" s="260">
        <v>46254</v>
      </c>
      <c r="E1192" s="260">
        <v>46274</v>
      </c>
      <c r="F1192">
        <v>47</v>
      </c>
      <c r="G1192" t="s">
        <v>356</v>
      </c>
    </row>
    <row r="1193" spans="1:7">
      <c r="A1193" t="s">
        <v>2718</v>
      </c>
      <c r="B1193" t="s">
        <v>2719</v>
      </c>
      <c r="C1193">
        <v>5</v>
      </c>
      <c r="D1193" s="260">
        <v>46289</v>
      </c>
      <c r="E1193" s="260">
        <v>46295</v>
      </c>
      <c r="F1193">
        <v>47</v>
      </c>
      <c r="G1193" t="s">
        <v>356</v>
      </c>
    </row>
    <row r="1194" spans="1:7">
      <c r="A1194" t="s">
        <v>2720</v>
      </c>
      <c r="B1194" t="s">
        <v>2721</v>
      </c>
      <c r="C1194">
        <v>15</v>
      </c>
      <c r="D1194" s="260">
        <v>46254</v>
      </c>
      <c r="E1194" s="260">
        <v>46274</v>
      </c>
      <c r="F1194">
        <v>47</v>
      </c>
      <c r="G1194" t="s">
        <v>356</v>
      </c>
    </row>
    <row r="1195" spans="1:7">
      <c r="A1195" t="s">
        <v>2722</v>
      </c>
      <c r="B1195" t="s">
        <v>2723</v>
      </c>
      <c r="C1195">
        <v>5</v>
      </c>
      <c r="D1195" s="260">
        <v>46289</v>
      </c>
      <c r="E1195" s="260">
        <v>46295</v>
      </c>
      <c r="F1195">
        <v>47</v>
      </c>
      <c r="G1195" t="s">
        <v>356</v>
      </c>
    </row>
    <row r="1196" spans="1:7">
      <c r="A1196" t="s">
        <v>2724</v>
      </c>
      <c r="B1196" t="s">
        <v>2725</v>
      </c>
      <c r="C1196">
        <v>15</v>
      </c>
      <c r="D1196" s="260">
        <v>46254</v>
      </c>
      <c r="E1196" s="260">
        <v>46274</v>
      </c>
      <c r="F1196">
        <v>47</v>
      </c>
      <c r="G1196" t="s">
        <v>356</v>
      </c>
    </row>
    <row r="1197" spans="1:7">
      <c r="A1197" t="s">
        <v>2726</v>
      </c>
      <c r="B1197" t="s">
        <v>2727</v>
      </c>
      <c r="C1197">
        <v>5</v>
      </c>
      <c r="D1197" s="260">
        <v>46289</v>
      </c>
      <c r="E1197" s="260">
        <v>46295</v>
      </c>
      <c r="F1197">
        <v>47</v>
      </c>
      <c r="G1197" t="s">
        <v>356</v>
      </c>
    </row>
    <row r="1198" spans="1:7">
      <c r="A1198" t="s">
        <v>2728</v>
      </c>
      <c r="C1198">
        <v>151</v>
      </c>
      <c r="D1198" s="260">
        <v>46112</v>
      </c>
      <c r="E1198" s="260">
        <v>46339</v>
      </c>
      <c r="F1198">
        <v>32</v>
      </c>
      <c r="G1198" t="s">
        <v>356</v>
      </c>
    </row>
    <row r="1199" spans="1:7">
      <c r="A1199" t="s">
        <v>2729</v>
      </c>
      <c r="B1199" t="s">
        <v>2730</v>
      </c>
      <c r="C1199">
        <v>10</v>
      </c>
      <c r="D1199" s="260">
        <v>46113</v>
      </c>
      <c r="E1199" s="260">
        <v>46132</v>
      </c>
      <c r="F1199">
        <v>-45</v>
      </c>
      <c r="G1199" t="s">
        <v>356</v>
      </c>
    </row>
    <row r="1200" spans="1:7">
      <c r="A1200" t="s">
        <v>2731</v>
      </c>
      <c r="B1200" t="s">
        <v>2732</v>
      </c>
      <c r="C1200">
        <v>5</v>
      </c>
      <c r="D1200" s="260">
        <v>46155</v>
      </c>
      <c r="E1200" s="260">
        <v>46161</v>
      </c>
      <c r="F1200">
        <v>33</v>
      </c>
      <c r="G1200" t="s">
        <v>356</v>
      </c>
    </row>
    <row r="1201" spans="1:7">
      <c r="A1201" t="s">
        <v>2733</v>
      </c>
      <c r="B1201" t="s">
        <v>2734</v>
      </c>
      <c r="C1201">
        <v>5</v>
      </c>
      <c r="D1201" s="260">
        <v>46178</v>
      </c>
      <c r="E1201" s="260">
        <v>46184</v>
      </c>
      <c r="F1201">
        <v>33</v>
      </c>
      <c r="G1201" t="s">
        <v>356</v>
      </c>
    </row>
    <row r="1202" spans="1:7">
      <c r="A1202" t="s">
        <v>2735</v>
      </c>
      <c r="B1202" t="s">
        <v>2736</v>
      </c>
      <c r="C1202">
        <v>10</v>
      </c>
      <c r="D1202" s="260">
        <v>46120</v>
      </c>
      <c r="E1202" s="260">
        <v>46136</v>
      </c>
      <c r="F1202">
        <v>58</v>
      </c>
      <c r="G1202" t="s">
        <v>356</v>
      </c>
    </row>
    <row r="1203" spans="1:7">
      <c r="A1203" t="s">
        <v>2737</v>
      </c>
      <c r="B1203" t="s">
        <v>2738</v>
      </c>
      <c r="C1203">
        <v>10</v>
      </c>
      <c r="D1203" s="260">
        <v>46162</v>
      </c>
      <c r="E1203" s="260">
        <v>46177</v>
      </c>
      <c r="F1203">
        <v>82</v>
      </c>
      <c r="G1203" t="s">
        <v>356</v>
      </c>
    </row>
    <row r="1204" spans="1:7">
      <c r="A1204" t="s">
        <v>2739</v>
      </c>
      <c r="B1204" t="s">
        <v>2740</v>
      </c>
      <c r="C1204">
        <v>5</v>
      </c>
      <c r="D1204" s="260">
        <v>46192</v>
      </c>
      <c r="E1204" s="260">
        <v>46198</v>
      </c>
      <c r="F1204">
        <v>87</v>
      </c>
      <c r="G1204" t="s">
        <v>356</v>
      </c>
    </row>
    <row r="1205" spans="1:7">
      <c r="A1205" t="s">
        <v>2741</v>
      </c>
      <c r="B1205" t="s">
        <v>2742</v>
      </c>
      <c r="C1205">
        <v>10</v>
      </c>
      <c r="D1205" s="260">
        <v>46120</v>
      </c>
      <c r="E1205" s="260">
        <v>46136</v>
      </c>
      <c r="F1205">
        <v>83</v>
      </c>
      <c r="G1205" t="s">
        <v>356</v>
      </c>
    </row>
    <row r="1206" spans="1:7">
      <c r="A1206" t="s">
        <v>2743</v>
      </c>
      <c r="B1206" t="s">
        <v>2744</v>
      </c>
      <c r="C1206">
        <v>10</v>
      </c>
      <c r="D1206" s="260">
        <v>46162</v>
      </c>
      <c r="E1206" s="260">
        <v>46177</v>
      </c>
      <c r="F1206">
        <v>92</v>
      </c>
      <c r="G1206" t="s">
        <v>356</v>
      </c>
    </row>
    <row r="1207" spans="1:7">
      <c r="A1207" t="s">
        <v>2745</v>
      </c>
      <c r="B1207" t="s">
        <v>2746</v>
      </c>
      <c r="C1207">
        <v>5</v>
      </c>
      <c r="D1207" s="260">
        <v>46192</v>
      </c>
      <c r="E1207" s="260">
        <v>46198</v>
      </c>
      <c r="F1207">
        <v>97</v>
      </c>
      <c r="G1207" t="s">
        <v>356</v>
      </c>
    </row>
    <row r="1208" spans="1:7">
      <c r="A1208" t="s">
        <v>2747</v>
      </c>
      <c r="B1208" t="s">
        <v>2748</v>
      </c>
      <c r="C1208">
        <v>15</v>
      </c>
      <c r="D1208" s="260">
        <v>46178</v>
      </c>
      <c r="E1208" s="260">
        <v>46198</v>
      </c>
      <c r="F1208">
        <v>32</v>
      </c>
      <c r="G1208" t="s">
        <v>356</v>
      </c>
    </row>
    <row r="1209" spans="1:7">
      <c r="A1209" t="s">
        <v>2749</v>
      </c>
      <c r="B1209" t="s">
        <v>2750</v>
      </c>
      <c r="C1209">
        <v>10</v>
      </c>
      <c r="D1209" s="260">
        <v>46213</v>
      </c>
      <c r="E1209" s="260">
        <v>46226</v>
      </c>
      <c r="F1209">
        <v>67</v>
      </c>
      <c r="G1209" t="s">
        <v>356</v>
      </c>
    </row>
    <row r="1210" spans="1:7">
      <c r="A1210" t="s">
        <v>2751</v>
      </c>
      <c r="B1210" t="s">
        <v>2752</v>
      </c>
      <c r="C1210">
        <v>5</v>
      </c>
      <c r="D1210" s="260">
        <v>46247</v>
      </c>
      <c r="E1210" s="260">
        <v>46253</v>
      </c>
      <c r="F1210">
        <v>87</v>
      </c>
      <c r="G1210" t="s">
        <v>356</v>
      </c>
    </row>
    <row r="1211" spans="1:7">
      <c r="A1211" t="s">
        <v>2753</v>
      </c>
      <c r="B1211" t="s">
        <v>2754</v>
      </c>
      <c r="C1211">
        <v>15</v>
      </c>
      <c r="D1211" s="260">
        <v>46199</v>
      </c>
      <c r="E1211" s="260">
        <v>46219</v>
      </c>
      <c r="F1211">
        <v>72</v>
      </c>
      <c r="G1211" t="s">
        <v>356</v>
      </c>
    </row>
    <row r="1212" spans="1:7">
      <c r="A1212" t="s">
        <v>2755</v>
      </c>
      <c r="B1212" t="s">
        <v>2756</v>
      </c>
      <c r="C1212">
        <v>5</v>
      </c>
      <c r="D1212" s="260">
        <v>46275</v>
      </c>
      <c r="E1212" s="260">
        <v>46281</v>
      </c>
      <c r="F1212">
        <v>72</v>
      </c>
      <c r="G1212" t="s">
        <v>356</v>
      </c>
    </row>
    <row r="1213" spans="1:7">
      <c r="A1213" t="s">
        <v>2757</v>
      </c>
      <c r="B1213" t="s">
        <v>2758</v>
      </c>
      <c r="C1213">
        <v>15</v>
      </c>
      <c r="D1213" s="260">
        <v>46178</v>
      </c>
      <c r="E1213" s="260">
        <v>46198</v>
      </c>
      <c r="F1213">
        <v>72</v>
      </c>
      <c r="G1213" t="s">
        <v>356</v>
      </c>
    </row>
    <row r="1214" spans="1:7">
      <c r="A1214" t="s">
        <v>2759</v>
      </c>
      <c r="B1214" t="s">
        <v>2760</v>
      </c>
      <c r="C1214">
        <v>10</v>
      </c>
      <c r="D1214" s="260">
        <v>46227</v>
      </c>
      <c r="E1214" s="260">
        <v>46245</v>
      </c>
      <c r="F1214">
        <v>67</v>
      </c>
      <c r="G1214" t="s">
        <v>356</v>
      </c>
    </row>
    <row r="1215" spans="1:7">
      <c r="A1215" t="s">
        <v>2761</v>
      </c>
      <c r="B1215" t="s">
        <v>2762</v>
      </c>
      <c r="C1215">
        <v>5</v>
      </c>
      <c r="D1215" s="260">
        <v>46261</v>
      </c>
      <c r="E1215" s="260">
        <v>46267</v>
      </c>
      <c r="F1215">
        <v>72</v>
      </c>
      <c r="G1215" t="s">
        <v>356</v>
      </c>
    </row>
    <row r="1216" spans="1:7">
      <c r="A1216" t="s">
        <v>2763</v>
      </c>
      <c r="B1216" t="s">
        <v>2764</v>
      </c>
      <c r="C1216">
        <v>15</v>
      </c>
      <c r="D1216" s="260">
        <v>46199</v>
      </c>
      <c r="E1216" s="260">
        <v>46219</v>
      </c>
      <c r="F1216">
        <v>42</v>
      </c>
      <c r="G1216" t="s">
        <v>356</v>
      </c>
    </row>
    <row r="1217" spans="1:7">
      <c r="A1217" t="s">
        <v>2765</v>
      </c>
      <c r="B1217" t="s">
        <v>2766</v>
      </c>
      <c r="C1217">
        <v>10</v>
      </c>
      <c r="D1217" s="260">
        <v>46239</v>
      </c>
      <c r="E1217" s="260">
        <v>46253</v>
      </c>
      <c r="F1217">
        <v>77</v>
      </c>
      <c r="G1217" t="s">
        <v>356</v>
      </c>
    </row>
    <row r="1218" spans="1:7">
      <c r="A1218" t="s">
        <v>2767</v>
      </c>
      <c r="B1218" t="s">
        <v>2768</v>
      </c>
      <c r="C1218">
        <v>5</v>
      </c>
      <c r="D1218" s="260">
        <v>46268</v>
      </c>
      <c r="E1218" s="260">
        <v>46274</v>
      </c>
      <c r="F1218">
        <v>77</v>
      </c>
      <c r="G1218" t="s">
        <v>356</v>
      </c>
    </row>
    <row r="1219" spans="1:7">
      <c r="A1219" t="s">
        <v>2769</v>
      </c>
      <c r="B1219" t="s">
        <v>2770</v>
      </c>
      <c r="C1219">
        <v>15</v>
      </c>
      <c r="D1219" s="260">
        <v>46199</v>
      </c>
      <c r="E1219" s="260">
        <v>46219</v>
      </c>
      <c r="F1219">
        <v>42</v>
      </c>
      <c r="G1219" t="s">
        <v>356</v>
      </c>
    </row>
    <row r="1220" spans="1:7">
      <c r="A1220" t="s">
        <v>2771</v>
      </c>
      <c r="B1220" t="s">
        <v>2772</v>
      </c>
      <c r="C1220">
        <v>10</v>
      </c>
      <c r="D1220" s="260">
        <v>46239</v>
      </c>
      <c r="E1220" s="260">
        <v>46253</v>
      </c>
      <c r="F1220">
        <v>77</v>
      </c>
      <c r="G1220" t="s">
        <v>356</v>
      </c>
    </row>
    <row r="1221" spans="1:7">
      <c r="A1221" t="s">
        <v>2773</v>
      </c>
      <c r="B1221" t="s">
        <v>2774</v>
      </c>
      <c r="C1221">
        <v>5</v>
      </c>
      <c r="D1221" s="260">
        <v>46268</v>
      </c>
      <c r="E1221" s="260">
        <v>46274</v>
      </c>
      <c r="F1221">
        <v>77</v>
      </c>
      <c r="G1221" t="s">
        <v>356</v>
      </c>
    </row>
    <row r="1222" spans="1:7">
      <c r="A1222" t="s">
        <v>2775</v>
      </c>
      <c r="B1222" t="s">
        <v>2776</v>
      </c>
      <c r="C1222">
        <v>15</v>
      </c>
      <c r="D1222" s="260">
        <v>46199</v>
      </c>
      <c r="E1222" s="260">
        <v>46219</v>
      </c>
      <c r="F1222">
        <v>57</v>
      </c>
      <c r="G1222" t="s">
        <v>356</v>
      </c>
    </row>
    <row r="1223" spans="1:7">
      <c r="A1223" t="s">
        <v>2777</v>
      </c>
      <c r="B1223" t="s">
        <v>2778</v>
      </c>
      <c r="C1223">
        <v>10</v>
      </c>
      <c r="D1223" s="260">
        <v>46239</v>
      </c>
      <c r="E1223" s="260">
        <v>46253</v>
      </c>
      <c r="F1223">
        <v>62</v>
      </c>
      <c r="G1223" t="s">
        <v>356</v>
      </c>
    </row>
    <row r="1224" spans="1:7">
      <c r="A1224" t="s">
        <v>2779</v>
      </c>
      <c r="B1224" t="s">
        <v>2780</v>
      </c>
      <c r="C1224">
        <v>5</v>
      </c>
      <c r="D1224" s="260">
        <v>46268</v>
      </c>
      <c r="E1224" s="260">
        <v>46274</v>
      </c>
      <c r="F1224">
        <v>67</v>
      </c>
      <c r="G1224" t="s">
        <v>356</v>
      </c>
    </row>
    <row r="1225" spans="1:7">
      <c r="A1225" t="s">
        <v>2781</v>
      </c>
      <c r="B1225" t="s">
        <v>2782</v>
      </c>
      <c r="C1225">
        <v>10</v>
      </c>
      <c r="D1225" s="260">
        <v>46120</v>
      </c>
      <c r="E1225" s="260">
        <v>46136</v>
      </c>
      <c r="F1225">
        <v>58</v>
      </c>
      <c r="G1225" t="s">
        <v>356</v>
      </c>
    </row>
    <row r="1226" spans="1:7">
      <c r="A1226" t="s">
        <v>2783</v>
      </c>
      <c r="B1226" t="s">
        <v>2784</v>
      </c>
      <c r="C1226">
        <v>10</v>
      </c>
      <c r="D1226" s="260">
        <v>46162</v>
      </c>
      <c r="E1226" s="260">
        <v>46177</v>
      </c>
      <c r="F1226">
        <v>82</v>
      </c>
      <c r="G1226" t="s">
        <v>356</v>
      </c>
    </row>
    <row r="1227" spans="1:7">
      <c r="A1227" t="s">
        <v>2785</v>
      </c>
      <c r="B1227" t="s">
        <v>2786</v>
      </c>
      <c r="C1227">
        <v>5</v>
      </c>
      <c r="D1227" s="260">
        <v>46192</v>
      </c>
      <c r="E1227" s="260">
        <v>46198</v>
      </c>
      <c r="F1227">
        <v>97</v>
      </c>
      <c r="G1227" t="s">
        <v>356</v>
      </c>
    </row>
    <row r="1228" spans="1:7">
      <c r="A1228" t="s">
        <v>2787</v>
      </c>
      <c r="B1228" t="s">
        <v>2788</v>
      </c>
      <c r="C1228">
        <v>10</v>
      </c>
      <c r="D1228" s="260">
        <v>46120</v>
      </c>
      <c r="E1228" s="260">
        <v>46136</v>
      </c>
      <c r="F1228">
        <v>78</v>
      </c>
      <c r="G1228" t="s">
        <v>356</v>
      </c>
    </row>
    <row r="1229" spans="1:7">
      <c r="A1229" t="s">
        <v>2789</v>
      </c>
      <c r="B1229" t="s">
        <v>2790</v>
      </c>
      <c r="C1229">
        <v>10</v>
      </c>
      <c r="D1229" s="260">
        <v>46162</v>
      </c>
      <c r="E1229" s="260">
        <v>46177</v>
      </c>
      <c r="F1229">
        <v>102</v>
      </c>
      <c r="G1229" t="s">
        <v>356</v>
      </c>
    </row>
    <row r="1230" spans="1:7">
      <c r="A1230" t="s">
        <v>2791</v>
      </c>
      <c r="B1230" t="s">
        <v>2792</v>
      </c>
      <c r="C1230">
        <v>5</v>
      </c>
      <c r="D1230" s="260">
        <v>46192</v>
      </c>
      <c r="E1230" s="260">
        <v>46198</v>
      </c>
      <c r="F1230">
        <v>112</v>
      </c>
      <c r="G1230" t="s">
        <v>356</v>
      </c>
    </row>
    <row r="1231" spans="1:7">
      <c r="A1231" t="s">
        <v>2793</v>
      </c>
      <c r="B1231" t="s">
        <v>2794</v>
      </c>
      <c r="C1231">
        <v>15</v>
      </c>
      <c r="D1231" s="260">
        <v>46178</v>
      </c>
      <c r="E1231" s="260">
        <v>46198</v>
      </c>
      <c r="F1231">
        <v>32</v>
      </c>
      <c r="G1231" t="s">
        <v>356</v>
      </c>
    </row>
    <row r="1232" spans="1:7">
      <c r="A1232" t="s">
        <v>2795</v>
      </c>
      <c r="B1232" t="s">
        <v>2796</v>
      </c>
      <c r="C1232">
        <v>10</v>
      </c>
      <c r="D1232" s="260">
        <v>46213</v>
      </c>
      <c r="E1232" s="260">
        <v>46226</v>
      </c>
      <c r="F1232">
        <v>57</v>
      </c>
      <c r="G1232" t="s">
        <v>356</v>
      </c>
    </row>
    <row r="1233" spans="1:7">
      <c r="A1233" t="s">
        <v>2797</v>
      </c>
      <c r="B1233" t="s">
        <v>2798</v>
      </c>
      <c r="C1233">
        <v>5</v>
      </c>
      <c r="D1233" s="260">
        <v>46247</v>
      </c>
      <c r="E1233" s="260">
        <v>46253</v>
      </c>
      <c r="F1233">
        <v>67</v>
      </c>
      <c r="G1233" t="s">
        <v>356</v>
      </c>
    </row>
    <row r="1234" spans="1:7">
      <c r="A1234" t="s">
        <v>2799</v>
      </c>
      <c r="B1234" t="s">
        <v>2800</v>
      </c>
      <c r="C1234">
        <v>15</v>
      </c>
      <c r="D1234" s="260">
        <v>46199</v>
      </c>
      <c r="E1234" s="260">
        <v>46219</v>
      </c>
      <c r="F1234">
        <v>32</v>
      </c>
      <c r="G1234" t="s">
        <v>356</v>
      </c>
    </row>
    <row r="1235" spans="1:7">
      <c r="A1235" t="s">
        <v>2801</v>
      </c>
      <c r="B1235" t="s">
        <v>2802</v>
      </c>
      <c r="C1235">
        <v>5</v>
      </c>
      <c r="D1235" s="260">
        <v>46268</v>
      </c>
      <c r="E1235" s="260">
        <v>46274</v>
      </c>
      <c r="F1235">
        <v>57</v>
      </c>
      <c r="G1235" t="s">
        <v>356</v>
      </c>
    </row>
    <row r="1236" spans="1:7">
      <c r="A1236" t="s">
        <v>2803</v>
      </c>
      <c r="B1236" t="s">
        <v>2804</v>
      </c>
      <c r="C1236">
        <v>15</v>
      </c>
      <c r="D1236" s="260">
        <v>46139</v>
      </c>
      <c r="E1236" s="260">
        <v>46160</v>
      </c>
      <c r="F1236">
        <v>58</v>
      </c>
      <c r="G1236" t="s">
        <v>356</v>
      </c>
    </row>
    <row r="1237" spans="1:7">
      <c r="A1237" t="s">
        <v>2805</v>
      </c>
      <c r="B1237" t="s">
        <v>2806</v>
      </c>
      <c r="C1237">
        <v>10</v>
      </c>
      <c r="D1237" s="260">
        <v>46178</v>
      </c>
      <c r="E1237" s="260">
        <v>46191</v>
      </c>
      <c r="F1237">
        <v>82</v>
      </c>
      <c r="G1237" t="s">
        <v>356</v>
      </c>
    </row>
    <row r="1238" spans="1:7">
      <c r="A1238" t="s">
        <v>2807</v>
      </c>
      <c r="B1238" t="s">
        <v>2808</v>
      </c>
      <c r="C1238">
        <v>5</v>
      </c>
      <c r="D1238" s="260">
        <v>46206</v>
      </c>
      <c r="E1238" s="260">
        <v>46212</v>
      </c>
      <c r="F1238">
        <v>92</v>
      </c>
      <c r="G1238" t="s">
        <v>356</v>
      </c>
    </row>
    <row r="1239" spans="1:7">
      <c r="A1239" t="s">
        <v>2809</v>
      </c>
      <c r="B1239" t="s">
        <v>2810</v>
      </c>
      <c r="C1239">
        <v>15</v>
      </c>
      <c r="D1239" s="260">
        <v>46199</v>
      </c>
      <c r="E1239" s="260">
        <v>46219</v>
      </c>
      <c r="F1239">
        <v>77</v>
      </c>
      <c r="G1239" t="s">
        <v>356</v>
      </c>
    </row>
    <row r="1240" spans="1:7">
      <c r="A1240" t="s">
        <v>2811</v>
      </c>
      <c r="B1240" t="s">
        <v>2812</v>
      </c>
      <c r="C1240">
        <v>10</v>
      </c>
      <c r="D1240" s="260">
        <v>46239</v>
      </c>
      <c r="E1240" s="260">
        <v>46253</v>
      </c>
      <c r="F1240">
        <v>77</v>
      </c>
      <c r="G1240" t="s">
        <v>356</v>
      </c>
    </row>
    <row r="1241" spans="1:7">
      <c r="A1241" t="s">
        <v>2813</v>
      </c>
      <c r="B1241" t="s">
        <v>2814</v>
      </c>
      <c r="C1241">
        <v>5</v>
      </c>
      <c r="D1241" s="260">
        <v>46268</v>
      </c>
      <c r="E1241" s="260">
        <v>46274</v>
      </c>
      <c r="F1241">
        <v>77</v>
      </c>
      <c r="G1241" t="s">
        <v>356</v>
      </c>
    </row>
    <row r="1242" spans="1:7">
      <c r="A1242" t="s">
        <v>2815</v>
      </c>
      <c r="B1242" t="s">
        <v>2770</v>
      </c>
      <c r="C1242">
        <v>15</v>
      </c>
      <c r="D1242" s="260">
        <v>46199</v>
      </c>
      <c r="E1242" s="260">
        <v>46219</v>
      </c>
      <c r="F1242">
        <v>77</v>
      </c>
      <c r="G1242" t="s">
        <v>356</v>
      </c>
    </row>
    <row r="1243" spans="1:7">
      <c r="A1243" t="s">
        <v>2816</v>
      </c>
      <c r="B1243" t="s">
        <v>2772</v>
      </c>
      <c r="C1243">
        <v>10</v>
      </c>
      <c r="D1243" s="260">
        <v>46239</v>
      </c>
      <c r="E1243" s="260">
        <v>46253</v>
      </c>
      <c r="F1243">
        <v>77</v>
      </c>
      <c r="G1243" t="s">
        <v>356</v>
      </c>
    </row>
    <row r="1244" spans="1:7">
      <c r="A1244" t="s">
        <v>2817</v>
      </c>
      <c r="B1244" t="s">
        <v>2774</v>
      </c>
      <c r="C1244">
        <v>5</v>
      </c>
      <c r="D1244" s="260">
        <v>46268</v>
      </c>
      <c r="E1244" s="260">
        <v>46274</v>
      </c>
      <c r="F1244">
        <v>77</v>
      </c>
      <c r="G1244" t="s">
        <v>356</v>
      </c>
    </row>
    <row r="1245" spans="1:7">
      <c r="A1245" t="s">
        <v>2818</v>
      </c>
      <c r="B1245" t="s">
        <v>2819</v>
      </c>
      <c r="C1245">
        <v>15</v>
      </c>
      <c r="D1245" s="260">
        <v>46199</v>
      </c>
      <c r="E1245" s="260">
        <v>46219</v>
      </c>
      <c r="F1245">
        <v>37</v>
      </c>
      <c r="G1245" t="s">
        <v>356</v>
      </c>
    </row>
    <row r="1246" spans="1:7">
      <c r="A1246" t="s">
        <v>2820</v>
      </c>
      <c r="B1246" t="s">
        <v>2821</v>
      </c>
      <c r="C1246">
        <v>10</v>
      </c>
      <c r="D1246" s="260">
        <v>46239</v>
      </c>
      <c r="E1246" s="260">
        <v>46253</v>
      </c>
      <c r="F1246">
        <v>62</v>
      </c>
      <c r="G1246" t="s">
        <v>356</v>
      </c>
    </row>
    <row r="1247" spans="1:7">
      <c r="A1247" t="s">
        <v>2822</v>
      </c>
      <c r="B1247" t="s">
        <v>2823</v>
      </c>
      <c r="C1247">
        <v>5</v>
      </c>
      <c r="D1247" s="260">
        <v>46268</v>
      </c>
      <c r="E1247" s="260">
        <v>46274</v>
      </c>
      <c r="F1247">
        <v>67</v>
      </c>
      <c r="G1247" t="s">
        <v>356</v>
      </c>
    </row>
    <row r="1248" spans="1:7">
      <c r="A1248" t="s">
        <v>2824</v>
      </c>
      <c r="B1248" t="s">
        <v>2825</v>
      </c>
      <c r="C1248">
        <v>15</v>
      </c>
      <c r="D1248" s="260">
        <v>46113</v>
      </c>
      <c r="E1248" s="260">
        <v>46139</v>
      </c>
      <c r="F1248">
        <v>-45</v>
      </c>
      <c r="G1248" t="s">
        <v>356</v>
      </c>
    </row>
    <row r="1249" spans="1:7">
      <c r="A1249" t="s">
        <v>2826</v>
      </c>
      <c r="B1249" t="s">
        <v>2827</v>
      </c>
      <c r="C1249">
        <v>10</v>
      </c>
      <c r="D1249" s="260">
        <v>46185</v>
      </c>
      <c r="E1249" s="260">
        <v>46198</v>
      </c>
      <c r="F1249">
        <v>112</v>
      </c>
      <c r="G1249" t="s">
        <v>356</v>
      </c>
    </row>
    <row r="1250" spans="1:7">
      <c r="A1250" t="s">
        <v>2828</v>
      </c>
      <c r="B1250" t="s">
        <v>2829</v>
      </c>
      <c r="C1250">
        <v>15</v>
      </c>
      <c r="D1250" s="260">
        <v>46112</v>
      </c>
      <c r="E1250" s="260">
        <v>46136</v>
      </c>
      <c r="F1250">
        <v>0</v>
      </c>
      <c r="G1250" t="s">
        <v>356</v>
      </c>
    </row>
    <row r="1251" spans="1:7">
      <c r="A1251" t="s">
        <v>2830</v>
      </c>
      <c r="B1251" t="s">
        <v>2831</v>
      </c>
      <c r="C1251">
        <v>10</v>
      </c>
      <c r="D1251" s="260">
        <v>46169</v>
      </c>
      <c r="E1251" s="260">
        <v>46184</v>
      </c>
      <c r="F1251">
        <v>33</v>
      </c>
      <c r="G1251" t="s">
        <v>356</v>
      </c>
    </row>
    <row r="1252" spans="1:7">
      <c r="A1252" t="s">
        <v>2832</v>
      </c>
      <c r="B1252" t="s">
        <v>2833</v>
      </c>
      <c r="C1252">
        <v>15</v>
      </c>
      <c r="D1252" s="260">
        <v>46113</v>
      </c>
      <c r="E1252" s="260">
        <v>46139</v>
      </c>
      <c r="F1252">
        <v>-45</v>
      </c>
      <c r="G1252" t="s">
        <v>356</v>
      </c>
    </row>
    <row r="1253" spans="1:7">
      <c r="A1253" t="s">
        <v>2834</v>
      </c>
      <c r="B1253" t="s">
        <v>2835</v>
      </c>
      <c r="C1253">
        <v>10</v>
      </c>
      <c r="D1253" s="260">
        <v>46185</v>
      </c>
      <c r="E1253" s="260">
        <v>46198</v>
      </c>
      <c r="F1253">
        <v>112</v>
      </c>
      <c r="G1253" t="s">
        <v>356</v>
      </c>
    </row>
    <row r="1254" spans="1:7">
      <c r="A1254" t="s">
        <v>2836</v>
      </c>
      <c r="B1254" t="s">
        <v>2837</v>
      </c>
      <c r="C1254">
        <v>15</v>
      </c>
      <c r="D1254" s="260">
        <v>46113</v>
      </c>
      <c r="E1254" s="260">
        <v>46139</v>
      </c>
      <c r="F1254">
        <v>-45</v>
      </c>
      <c r="G1254" t="s">
        <v>356</v>
      </c>
    </row>
    <row r="1255" spans="1:7">
      <c r="A1255" t="s">
        <v>2838</v>
      </c>
      <c r="B1255" t="s">
        <v>2839</v>
      </c>
      <c r="C1255">
        <v>10</v>
      </c>
      <c r="D1255" s="260">
        <v>46185</v>
      </c>
      <c r="E1255" s="260">
        <v>46198</v>
      </c>
      <c r="F1255">
        <v>112</v>
      </c>
      <c r="G1255" t="s">
        <v>356</v>
      </c>
    </row>
    <row r="1256" spans="1:7">
      <c r="A1256" t="s">
        <v>2840</v>
      </c>
      <c r="B1256" t="s">
        <v>2841</v>
      </c>
      <c r="C1256">
        <v>15</v>
      </c>
      <c r="D1256" s="260">
        <v>46113</v>
      </c>
      <c r="E1256" s="260">
        <v>46139</v>
      </c>
      <c r="F1256">
        <v>87</v>
      </c>
      <c r="G1256" t="s">
        <v>356</v>
      </c>
    </row>
    <row r="1257" spans="1:7">
      <c r="A1257" t="s">
        <v>2842</v>
      </c>
      <c r="B1257" t="s">
        <v>2843</v>
      </c>
      <c r="C1257">
        <v>10</v>
      </c>
      <c r="D1257" s="260">
        <v>46185</v>
      </c>
      <c r="E1257" s="260">
        <v>46198</v>
      </c>
      <c r="F1257">
        <v>112</v>
      </c>
      <c r="G1257" t="s">
        <v>356</v>
      </c>
    </row>
    <row r="1258" spans="1:7">
      <c r="A1258" t="s">
        <v>2844</v>
      </c>
      <c r="B1258" t="s">
        <v>2845</v>
      </c>
      <c r="C1258">
        <v>15</v>
      </c>
      <c r="D1258" s="260">
        <v>46113</v>
      </c>
      <c r="E1258" s="260">
        <v>46139</v>
      </c>
      <c r="F1258">
        <v>87</v>
      </c>
      <c r="G1258" t="s">
        <v>356</v>
      </c>
    </row>
    <row r="1259" spans="1:7">
      <c r="A1259" t="s">
        <v>2846</v>
      </c>
      <c r="B1259" t="s">
        <v>2847</v>
      </c>
      <c r="C1259">
        <v>10</v>
      </c>
      <c r="D1259" s="260">
        <v>46185</v>
      </c>
      <c r="E1259" s="260">
        <v>46198</v>
      </c>
      <c r="F1259">
        <v>112</v>
      </c>
      <c r="G1259" t="s">
        <v>356</v>
      </c>
    </row>
    <row r="1260" spans="1:7">
      <c r="A1260" t="s">
        <v>2848</v>
      </c>
      <c r="B1260" t="s">
        <v>2849</v>
      </c>
      <c r="C1260">
        <v>15</v>
      </c>
      <c r="D1260" s="260">
        <v>46113</v>
      </c>
      <c r="E1260" s="260">
        <v>46139</v>
      </c>
      <c r="F1260">
        <v>147</v>
      </c>
      <c r="G1260" t="s">
        <v>356</v>
      </c>
    </row>
    <row r="1261" spans="1:7">
      <c r="A1261" t="s">
        <v>2850</v>
      </c>
      <c r="B1261" t="s">
        <v>2851</v>
      </c>
      <c r="C1261">
        <v>10</v>
      </c>
      <c r="D1261" s="260">
        <v>46185</v>
      </c>
      <c r="E1261" s="260">
        <v>46198</v>
      </c>
      <c r="F1261">
        <v>127</v>
      </c>
      <c r="G1261" t="s">
        <v>356</v>
      </c>
    </row>
    <row r="1262" spans="1:7">
      <c r="A1262" t="s">
        <v>2852</v>
      </c>
      <c r="B1262" t="s">
        <v>2853</v>
      </c>
      <c r="C1262">
        <v>15</v>
      </c>
      <c r="D1262" s="260">
        <v>46113</v>
      </c>
      <c r="E1262" s="260">
        <v>46139</v>
      </c>
      <c r="F1262">
        <v>112</v>
      </c>
      <c r="G1262" t="s">
        <v>356</v>
      </c>
    </row>
    <row r="1263" spans="1:7">
      <c r="A1263" t="s">
        <v>2854</v>
      </c>
      <c r="B1263" t="s">
        <v>2855</v>
      </c>
      <c r="C1263">
        <v>10</v>
      </c>
      <c r="D1263" s="260">
        <v>46185</v>
      </c>
      <c r="E1263" s="260">
        <v>46198</v>
      </c>
      <c r="F1263">
        <v>117</v>
      </c>
      <c r="G1263" t="s">
        <v>356</v>
      </c>
    </row>
    <row r="1264" spans="1:7">
      <c r="A1264" t="s">
        <v>2856</v>
      </c>
      <c r="B1264" t="s">
        <v>2857</v>
      </c>
      <c r="C1264">
        <v>15</v>
      </c>
      <c r="D1264" s="260">
        <v>46113</v>
      </c>
      <c r="E1264" s="260">
        <v>46139</v>
      </c>
      <c r="F1264">
        <v>92</v>
      </c>
      <c r="G1264" t="s">
        <v>356</v>
      </c>
    </row>
    <row r="1265" spans="1:7">
      <c r="A1265" t="s">
        <v>2858</v>
      </c>
      <c r="B1265" t="s">
        <v>2859</v>
      </c>
      <c r="C1265">
        <v>10</v>
      </c>
      <c r="D1265" s="260">
        <v>46185</v>
      </c>
      <c r="E1265" s="260">
        <v>46198</v>
      </c>
      <c r="F1265">
        <v>117</v>
      </c>
      <c r="G1265" t="s">
        <v>356</v>
      </c>
    </row>
    <row r="1266" spans="1:7">
      <c r="A1266" t="s">
        <v>2860</v>
      </c>
      <c r="B1266" t="s">
        <v>2861</v>
      </c>
      <c r="C1266">
        <v>15</v>
      </c>
      <c r="D1266" s="260">
        <v>46113</v>
      </c>
      <c r="E1266" s="260">
        <v>46139</v>
      </c>
      <c r="F1266">
        <v>147</v>
      </c>
      <c r="G1266" t="s">
        <v>356</v>
      </c>
    </row>
    <row r="1267" spans="1:7">
      <c r="A1267" t="s">
        <v>2862</v>
      </c>
      <c r="B1267" t="s">
        <v>2863</v>
      </c>
      <c r="C1267">
        <v>10</v>
      </c>
      <c r="D1267" s="260">
        <v>46185</v>
      </c>
      <c r="E1267" s="260">
        <v>46198</v>
      </c>
      <c r="F1267">
        <v>127</v>
      </c>
      <c r="G1267" t="s">
        <v>356</v>
      </c>
    </row>
    <row r="1268" spans="1:7">
      <c r="A1268" t="s">
        <v>2864</v>
      </c>
      <c r="B1268" t="s">
        <v>2865</v>
      </c>
      <c r="C1268">
        <v>15</v>
      </c>
      <c r="D1268" s="260">
        <v>46113</v>
      </c>
      <c r="E1268" s="260">
        <v>46139</v>
      </c>
      <c r="F1268">
        <v>112</v>
      </c>
      <c r="G1268" t="s">
        <v>356</v>
      </c>
    </row>
    <row r="1269" spans="1:7">
      <c r="A1269" t="s">
        <v>2866</v>
      </c>
      <c r="B1269" t="s">
        <v>2867</v>
      </c>
      <c r="C1269">
        <v>5</v>
      </c>
      <c r="D1269" s="260">
        <v>46185</v>
      </c>
      <c r="E1269" s="260">
        <v>46191</v>
      </c>
      <c r="F1269">
        <v>122</v>
      </c>
      <c r="G1269" t="s">
        <v>356</v>
      </c>
    </row>
    <row r="1270" spans="1:7">
      <c r="A1270" t="s">
        <v>2868</v>
      </c>
      <c r="B1270" t="s">
        <v>2869</v>
      </c>
      <c r="C1270">
        <v>15</v>
      </c>
      <c r="D1270" s="260">
        <v>46133</v>
      </c>
      <c r="E1270" s="260">
        <v>46154</v>
      </c>
      <c r="F1270">
        <v>137</v>
      </c>
      <c r="G1270" t="s">
        <v>356</v>
      </c>
    </row>
    <row r="1271" spans="1:7">
      <c r="A1271" t="s">
        <v>2870</v>
      </c>
      <c r="B1271" t="s">
        <v>2871</v>
      </c>
      <c r="C1271">
        <v>10</v>
      </c>
      <c r="D1271" s="260">
        <v>46169</v>
      </c>
      <c r="E1271" s="260">
        <v>46184</v>
      </c>
      <c r="F1271">
        <v>137</v>
      </c>
      <c r="G1271" t="s">
        <v>356</v>
      </c>
    </row>
    <row r="1272" spans="1:7">
      <c r="A1272" t="s">
        <v>2872</v>
      </c>
      <c r="B1272" t="s">
        <v>2873</v>
      </c>
      <c r="C1272">
        <v>15</v>
      </c>
      <c r="D1272" s="260">
        <v>46133</v>
      </c>
      <c r="E1272" s="260">
        <v>46154</v>
      </c>
      <c r="F1272">
        <v>137</v>
      </c>
      <c r="G1272" t="s">
        <v>356</v>
      </c>
    </row>
    <row r="1273" spans="1:7">
      <c r="A1273" t="s">
        <v>2874</v>
      </c>
      <c r="B1273" t="s">
        <v>2875</v>
      </c>
      <c r="C1273">
        <v>10</v>
      </c>
      <c r="D1273" s="260">
        <v>46169</v>
      </c>
      <c r="E1273" s="260">
        <v>46184</v>
      </c>
      <c r="F1273">
        <v>137</v>
      </c>
      <c r="G1273" t="s">
        <v>356</v>
      </c>
    </row>
    <row r="1274" spans="1:7">
      <c r="A1274" t="s">
        <v>2876</v>
      </c>
      <c r="B1274" t="s">
        <v>2877</v>
      </c>
      <c r="C1274">
        <v>15</v>
      </c>
      <c r="D1274" s="260">
        <v>46133</v>
      </c>
      <c r="E1274" s="260">
        <v>46154</v>
      </c>
      <c r="F1274">
        <v>137</v>
      </c>
      <c r="G1274" t="s">
        <v>356</v>
      </c>
    </row>
    <row r="1275" spans="1:7">
      <c r="A1275" t="s">
        <v>2878</v>
      </c>
      <c r="B1275" t="s">
        <v>2879</v>
      </c>
      <c r="C1275">
        <v>10</v>
      </c>
      <c r="D1275" s="260">
        <v>46169</v>
      </c>
      <c r="E1275" s="260">
        <v>46184</v>
      </c>
      <c r="F1275">
        <v>137</v>
      </c>
      <c r="G1275" t="s">
        <v>356</v>
      </c>
    </row>
    <row r="1276" spans="1:7">
      <c r="A1276" t="s">
        <v>2880</v>
      </c>
      <c r="B1276" t="s">
        <v>2881</v>
      </c>
      <c r="C1276">
        <v>15</v>
      </c>
      <c r="D1276" s="260">
        <v>46133</v>
      </c>
      <c r="E1276" s="260">
        <v>46154</v>
      </c>
      <c r="F1276">
        <v>137</v>
      </c>
      <c r="G1276" t="s">
        <v>356</v>
      </c>
    </row>
    <row r="1277" spans="1:7">
      <c r="A1277" t="s">
        <v>2882</v>
      </c>
      <c r="B1277" t="s">
        <v>2883</v>
      </c>
      <c r="C1277">
        <v>10</v>
      </c>
      <c r="D1277" s="260">
        <v>46169</v>
      </c>
      <c r="E1277" s="260">
        <v>46184</v>
      </c>
      <c r="F1277">
        <v>137</v>
      </c>
      <c r="G1277" t="s">
        <v>356</v>
      </c>
    </row>
    <row r="1278" spans="1:7">
      <c r="A1278" t="s">
        <v>2884</v>
      </c>
      <c r="B1278" t="s">
        <v>2885</v>
      </c>
      <c r="C1278">
        <v>15</v>
      </c>
      <c r="D1278" s="260">
        <v>46133</v>
      </c>
      <c r="E1278" s="260">
        <v>46154</v>
      </c>
      <c r="F1278">
        <v>137</v>
      </c>
      <c r="G1278" t="s">
        <v>356</v>
      </c>
    </row>
    <row r="1279" spans="1:7">
      <c r="A1279" t="s">
        <v>2886</v>
      </c>
      <c r="B1279" t="s">
        <v>2887</v>
      </c>
      <c r="C1279">
        <v>10</v>
      </c>
      <c r="D1279" s="260">
        <v>46169</v>
      </c>
      <c r="E1279" s="260">
        <v>46184</v>
      </c>
      <c r="F1279">
        <v>137</v>
      </c>
      <c r="G1279" t="s">
        <v>356</v>
      </c>
    </row>
    <row r="1280" spans="1:7">
      <c r="A1280" t="s">
        <v>2888</v>
      </c>
      <c r="B1280" t="s">
        <v>2889</v>
      </c>
      <c r="C1280">
        <v>15</v>
      </c>
      <c r="D1280" s="260">
        <v>46113</v>
      </c>
      <c r="E1280" s="260">
        <v>46139</v>
      </c>
      <c r="F1280">
        <v>147</v>
      </c>
      <c r="G1280" t="s">
        <v>356</v>
      </c>
    </row>
    <row r="1281" spans="1:7">
      <c r="A1281" t="s">
        <v>2890</v>
      </c>
      <c r="B1281" t="s">
        <v>2891</v>
      </c>
      <c r="C1281">
        <v>10</v>
      </c>
      <c r="D1281" s="260">
        <v>46155</v>
      </c>
      <c r="E1281" s="260">
        <v>46168</v>
      </c>
      <c r="F1281">
        <v>147</v>
      </c>
      <c r="G1281" t="s">
        <v>356</v>
      </c>
    </row>
    <row r="1282" spans="1:7">
      <c r="A1282" t="s">
        <v>2892</v>
      </c>
      <c r="B1282" t="s">
        <v>2893</v>
      </c>
      <c r="C1282">
        <v>15</v>
      </c>
      <c r="D1282" s="260">
        <v>46140</v>
      </c>
      <c r="E1282" s="260">
        <v>46161</v>
      </c>
      <c r="F1282">
        <v>112</v>
      </c>
      <c r="G1282" t="s">
        <v>356</v>
      </c>
    </row>
    <row r="1283" spans="1:7">
      <c r="A1283" t="s">
        <v>2894</v>
      </c>
      <c r="B1283" t="s">
        <v>2895</v>
      </c>
      <c r="C1283">
        <v>10</v>
      </c>
      <c r="D1283" s="260">
        <v>46206</v>
      </c>
      <c r="E1283" s="260">
        <v>46219</v>
      </c>
      <c r="F1283">
        <v>112</v>
      </c>
      <c r="G1283" t="s">
        <v>356</v>
      </c>
    </row>
    <row r="1284" spans="1:7">
      <c r="A1284" t="s">
        <v>2896</v>
      </c>
      <c r="B1284" t="s">
        <v>2897</v>
      </c>
      <c r="C1284">
        <v>15</v>
      </c>
      <c r="D1284" s="260">
        <v>46199</v>
      </c>
      <c r="E1284" s="260">
        <v>46219</v>
      </c>
      <c r="F1284">
        <v>72</v>
      </c>
      <c r="G1284" t="s">
        <v>356</v>
      </c>
    </row>
    <row r="1285" spans="1:7">
      <c r="A1285" t="s">
        <v>2898</v>
      </c>
      <c r="B1285" t="s">
        <v>2899</v>
      </c>
      <c r="C1285">
        <v>10</v>
      </c>
      <c r="D1285" s="260">
        <v>46239</v>
      </c>
      <c r="E1285" s="260">
        <v>46253</v>
      </c>
      <c r="F1285">
        <v>72</v>
      </c>
      <c r="G1285" t="s">
        <v>356</v>
      </c>
    </row>
    <row r="1286" spans="1:7">
      <c r="A1286" t="s">
        <v>2900</v>
      </c>
      <c r="B1286" t="s">
        <v>2901</v>
      </c>
      <c r="C1286">
        <v>10</v>
      </c>
      <c r="D1286" s="260">
        <v>46268</v>
      </c>
      <c r="E1286" s="260">
        <v>46281</v>
      </c>
      <c r="F1286">
        <v>72</v>
      </c>
      <c r="G1286" t="s">
        <v>356</v>
      </c>
    </row>
    <row r="1287" spans="1:7">
      <c r="A1287" t="s">
        <v>2902</v>
      </c>
      <c r="B1287" t="s">
        <v>2903</v>
      </c>
      <c r="C1287">
        <v>15</v>
      </c>
      <c r="D1287" s="260">
        <v>46199</v>
      </c>
      <c r="E1287" s="260">
        <v>46219</v>
      </c>
      <c r="F1287">
        <v>42</v>
      </c>
      <c r="G1287" t="s">
        <v>356</v>
      </c>
    </row>
    <row r="1288" spans="1:7">
      <c r="A1288" t="s">
        <v>2904</v>
      </c>
      <c r="B1288" t="s">
        <v>2905</v>
      </c>
      <c r="C1288">
        <v>10</v>
      </c>
      <c r="D1288" s="260">
        <v>46268</v>
      </c>
      <c r="E1288" s="260">
        <v>46281</v>
      </c>
      <c r="F1288">
        <v>52</v>
      </c>
      <c r="G1288" t="s">
        <v>356</v>
      </c>
    </row>
    <row r="1289" spans="1:7">
      <c r="A1289" t="s">
        <v>2906</v>
      </c>
      <c r="B1289" t="s">
        <v>2907</v>
      </c>
      <c r="C1289">
        <v>15</v>
      </c>
      <c r="D1289" s="260">
        <v>46148</v>
      </c>
      <c r="E1289" s="260">
        <v>46168</v>
      </c>
      <c r="F1289">
        <v>92</v>
      </c>
      <c r="G1289" t="s">
        <v>356</v>
      </c>
    </row>
    <row r="1290" spans="1:7">
      <c r="A1290" t="s">
        <v>2908</v>
      </c>
      <c r="B1290" t="s">
        <v>2909</v>
      </c>
      <c r="C1290">
        <v>10</v>
      </c>
      <c r="D1290" s="260">
        <v>46213</v>
      </c>
      <c r="E1290" s="260">
        <v>46226</v>
      </c>
      <c r="F1290">
        <v>77</v>
      </c>
      <c r="G1290" t="s">
        <v>356</v>
      </c>
    </row>
    <row r="1291" spans="1:7">
      <c r="A1291" t="s">
        <v>2910</v>
      </c>
      <c r="B1291" t="s">
        <v>2911</v>
      </c>
      <c r="C1291">
        <v>10</v>
      </c>
      <c r="D1291" s="260">
        <v>46275</v>
      </c>
      <c r="E1291" s="260">
        <v>46288</v>
      </c>
      <c r="F1291">
        <v>57</v>
      </c>
      <c r="G1291" t="s">
        <v>356</v>
      </c>
    </row>
    <row r="1292" spans="1:7">
      <c r="A1292" t="s">
        <v>2912</v>
      </c>
      <c r="B1292" t="s">
        <v>2913</v>
      </c>
      <c r="C1292">
        <v>15</v>
      </c>
      <c r="D1292" s="260">
        <v>46199</v>
      </c>
      <c r="E1292" s="260">
        <v>46219</v>
      </c>
      <c r="F1292">
        <v>42</v>
      </c>
      <c r="G1292" t="s">
        <v>356</v>
      </c>
    </row>
    <row r="1293" spans="1:7">
      <c r="A1293" t="s">
        <v>2914</v>
      </c>
      <c r="B1293" t="s">
        <v>2915</v>
      </c>
      <c r="C1293">
        <v>10</v>
      </c>
      <c r="D1293" s="260">
        <v>46247</v>
      </c>
      <c r="E1293" s="260">
        <v>46260</v>
      </c>
      <c r="F1293">
        <v>47</v>
      </c>
      <c r="G1293" t="s">
        <v>356</v>
      </c>
    </row>
    <row r="1294" spans="1:7">
      <c r="A1294" t="s">
        <v>2916</v>
      </c>
      <c r="B1294" t="s">
        <v>2917</v>
      </c>
      <c r="C1294">
        <v>10</v>
      </c>
      <c r="D1294" s="260">
        <v>46275</v>
      </c>
      <c r="E1294" s="260">
        <v>46288</v>
      </c>
      <c r="F1294">
        <v>47</v>
      </c>
      <c r="G1294" t="s">
        <v>356</v>
      </c>
    </row>
    <row r="1295" spans="1:7">
      <c r="A1295" t="s">
        <v>2918</v>
      </c>
      <c r="B1295" t="s">
        <v>2919</v>
      </c>
      <c r="C1295">
        <v>15</v>
      </c>
      <c r="D1295" s="260">
        <v>46199</v>
      </c>
      <c r="E1295" s="260">
        <v>46219</v>
      </c>
      <c r="F1295">
        <v>72</v>
      </c>
      <c r="G1295" t="s">
        <v>356</v>
      </c>
    </row>
    <row r="1296" spans="1:7">
      <c r="A1296" t="s">
        <v>2920</v>
      </c>
      <c r="B1296" t="s">
        <v>2921</v>
      </c>
      <c r="C1296">
        <v>10</v>
      </c>
      <c r="D1296" s="260">
        <v>46275</v>
      </c>
      <c r="E1296" s="260">
        <v>46288</v>
      </c>
      <c r="F1296">
        <v>67</v>
      </c>
      <c r="G1296" t="s">
        <v>356</v>
      </c>
    </row>
    <row r="1297" spans="1:7">
      <c r="A1297" t="s">
        <v>2922</v>
      </c>
      <c r="B1297" t="s">
        <v>2923</v>
      </c>
      <c r="C1297">
        <v>15</v>
      </c>
      <c r="D1297" s="260">
        <v>46199</v>
      </c>
      <c r="E1297" s="260">
        <v>46219</v>
      </c>
      <c r="F1297">
        <v>72</v>
      </c>
      <c r="G1297" t="s">
        <v>356</v>
      </c>
    </row>
    <row r="1298" spans="1:7">
      <c r="A1298" t="s">
        <v>2924</v>
      </c>
      <c r="B1298" t="s">
        <v>2925</v>
      </c>
      <c r="C1298">
        <v>10</v>
      </c>
      <c r="D1298" s="260">
        <v>46239</v>
      </c>
      <c r="E1298" s="260">
        <v>46253</v>
      </c>
      <c r="F1298">
        <v>72</v>
      </c>
      <c r="G1298" t="s">
        <v>356</v>
      </c>
    </row>
    <row r="1299" spans="1:7">
      <c r="A1299" t="s">
        <v>2926</v>
      </c>
      <c r="B1299" t="s">
        <v>2927</v>
      </c>
      <c r="C1299">
        <v>10</v>
      </c>
      <c r="D1299" s="260">
        <v>46268</v>
      </c>
      <c r="E1299" s="260">
        <v>46281</v>
      </c>
      <c r="F1299">
        <v>72</v>
      </c>
      <c r="G1299" t="s">
        <v>356</v>
      </c>
    </row>
    <row r="1300" spans="1:7">
      <c r="A1300" t="s">
        <v>2928</v>
      </c>
      <c r="B1300" t="s">
        <v>2929</v>
      </c>
      <c r="C1300">
        <v>15</v>
      </c>
      <c r="D1300" s="260">
        <v>46220</v>
      </c>
      <c r="E1300" s="260">
        <v>46245</v>
      </c>
      <c r="F1300">
        <v>42</v>
      </c>
      <c r="G1300" t="s">
        <v>356</v>
      </c>
    </row>
    <row r="1301" spans="1:7">
      <c r="A1301" t="s">
        <v>2930</v>
      </c>
      <c r="B1301" t="s">
        <v>2931</v>
      </c>
      <c r="C1301">
        <v>10</v>
      </c>
      <c r="D1301" s="260">
        <v>46289</v>
      </c>
      <c r="E1301" s="260">
        <v>46302</v>
      </c>
      <c r="F1301">
        <v>47</v>
      </c>
      <c r="G1301" t="s">
        <v>356</v>
      </c>
    </row>
    <row r="1302" spans="1:7">
      <c r="A1302" t="s">
        <v>2932</v>
      </c>
      <c r="B1302" t="s">
        <v>2933</v>
      </c>
      <c r="C1302">
        <v>15</v>
      </c>
      <c r="D1302" s="260">
        <v>46220</v>
      </c>
      <c r="E1302" s="260">
        <v>46245</v>
      </c>
      <c r="F1302">
        <v>57</v>
      </c>
      <c r="G1302" t="s">
        <v>356</v>
      </c>
    </row>
    <row r="1303" spans="1:7">
      <c r="A1303" t="s">
        <v>2934</v>
      </c>
      <c r="B1303" t="s">
        <v>2935</v>
      </c>
      <c r="C1303">
        <v>10</v>
      </c>
      <c r="D1303" s="260">
        <v>46289</v>
      </c>
      <c r="E1303" s="260">
        <v>46302</v>
      </c>
      <c r="F1303">
        <v>57</v>
      </c>
      <c r="G1303" t="s">
        <v>356</v>
      </c>
    </row>
    <row r="1304" spans="1:7">
      <c r="A1304" t="s">
        <v>2936</v>
      </c>
      <c r="B1304" t="s">
        <v>2937</v>
      </c>
      <c r="C1304">
        <v>15</v>
      </c>
      <c r="D1304" s="260">
        <v>46247</v>
      </c>
      <c r="E1304" s="260">
        <v>46267</v>
      </c>
      <c r="F1304">
        <v>42</v>
      </c>
      <c r="G1304" t="s">
        <v>356</v>
      </c>
    </row>
    <row r="1305" spans="1:7">
      <c r="A1305" t="s">
        <v>2938</v>
      </c>
      <c r="B1305" t="s">
        <v>2939</v>
      </c>
      <c r="C1305">
        <v>10</v>
      </c>
      <c r="D1305" s="260">
        <v>46282</v>
      </c>
      <c r="E1305" s="260">
        <v>46295</v>
      </c>
      <c r="F1305">
        <v>42</v>
      </c>
      <c r="G1305" t="s">
        <v>356</v>
      </c>
    </row>
    <row r="1306" spans="1:7">
      <c r="A1306" t="s">
        <v>2940</v>
      </c>
      <c r="B1306" t="s">
        <v>2941</v>
      </c>
      <c r="C1306">
        <v>10</v>
      </c>
      <c r="D1306" s="260">
        <v>46311</v>
      </c>
      <c r="E1306" s="260">
        <v>46325</v>
      </c>
      <c r="F1306">
        <v>42</v>
      </c>
      <c r="G1306" t="s">
        <v>356</v>
      </c>
    </row>
    <row r="1307" spans="1:7">
      <c r="A1307" t="s">
        <v>2942</v>
      </c>
      <c r="B1307" t="s">
        <v>2943</v>
      </c>
      <c r="C1307">
        <v>15</v>
      </c>
      <c r="D1307" s="260">
        <v>46199</v>
      </c>
      <c r="E1307" s="260">
        <v>46219</v>
      </c>
      <c r="F1307">
        <v>72</v>
      </c>
      <c r="G1307" t="s">
        <v>356</v>
      </c>
    </row>
    <row r="1308" spans="1:7">
      <c r="A1308" t="s">
        <v>2944</v>
      </c>
      <c r="B1308" t="s">
        <v>2945</v>
      </c>
      <c r="C1308">
        <v>10</v>
      </c>
      <c r="D1308" s="260">
        <v>46239</v>
      </c>
      <c r="E1308" s="260">
        <v>46253</v>
      </c>
      <c r="F1308">
        <v>72</v>
      </c>
      <c r="G1308" t="s">
        <v>356</v>
      </c>
    </row>
    <row r="1309" spans="1:7">
      <c r="A1309" t="s">
        <v>2946</v>
      </c>
      <c r="B1309" t="s">
        <v>2947</v>
      </c>
      <c r="C1309">
        <v>10</v>
      </c>
      <c r="D1309" s="260">
        <v>46268</v>
      </c>
      <c r="E1309" s="260">
        <v>46281</v>
      </c>
      <c r="F1309">
        <v>72</v>
      </c>
      <c r="G1309" t="s">
        <v>356</v>
      </c>
    </row>
    <row r="1310" spans="1:7">
      <c r="A1310" t="s">
        <v>2948</v>
      </c>
      <c r="B1310" t="s">
        <v>2949</v>
      </c>
      <c r="C1310">
        <v>15</v>
      </c>
      <c r="D1310" s="260">
        <v>46199</v>
      </c>
      <c r="E1310" s="260">
        <v>46219</v>
      </c>
      <c r="F1310">
        <v>72</v>
      </c>
      <c r="G1310" t="s">
        <v>356</v>
      </c>
    </row>
    <row r="1311" spans="1:7">
      <c r="A1311" t="s">
        <v>2950</v>
      </c>
      <c r="B1311" t="s">
        <v>2951</v>
      </c>
      <c r="C1311">
        <v>10</v>
      </c>
      <c r="D1311" s="260">
        <v>46239</v>
      </c>
      <c r="E1311" s="260">
        <v>46253</v>
      </c>
      <c r="F1311">
        <v>72</v>
      </c>
      <c r="G1311" t="s">
        <v>356</v>
      </c>
    </row>
    <row r="1312" spans="1:7">
      <c r="A1312" t="s">
        <v>2952</v>
      </c>
      <c r="B1312" t="s">
        <v>2953</v>
      </c>
      <c r="C1312">
        <v>10</v>
      </c>
      <c r="D1312" s="260">
        <v>46268</v>
      </c>
      <c r="E1312" s="260">
        <v>46281</v>
      </c>
      <c r="F1312">
        <v>72</v>
      </c>
      <c r="G1312" t="s">
        <v>356</v>
      </c>
    </row>
    <row r="1313" spans="1:7">
      <c r="A1313" t="s">
        <v>2954</v>
      </c>
      <c r="B1313" t="s">
        <v>2955</v>
      </c>
      <c r="C1313">
        <v>15</v>
      </c>
      <c r="D1313" s="260">
        <v>46199</v>
      </c>
      <c r="E1313" s="260">
        <v>46219</v>
      </c>
      <c r="F1313">
        <v>72</v>
      </c>
      <c r="G1313" t="s">
        <v>356</v>
      </c>
    </row>
    <row r="1314" spans="1:7">
      <c r="A1314" t="s">
        <v>2956</v>
      </c>
      <c r="B1314" t="s">
        <v>2957</v>
      </c>
      <c r="C1314">
        <v>10</v>
      </c>
      <c r="D1314" s="260">
        <v>46239</v>
      </c>
      <c r="E1314" s="260">
        <v>46253</v>
      </c>
      <c r="F1314">
        <v>72</v>
      </c>
      <c r="G1314" t="s">
        <v>356</v>
      </c>
    </row>
    <row r="1315" spans="1:7">
      <c r="A1315" t="s">
        <v>2958</v>
      </c>
      <c r="B1315" t="s">
        <v>2959</v>
      </c>
      <c r="C1315">
        <v>10</v>
      </c>
      <c r="D1315" s="260">
        <v>46268</v>
      </c>
      <c r="E1315" s="260">
        <v>46281</v>
      </c>
      <c r="F1315">
        <v>72</v>
      </c>
      <c r="G1315" t="s">
        <v>356</v>
      </c>
    </row>
    <row r="1316" spans="1:7">
      <c r="A1316" t="s">
        <v>2960</v>
      </c>
      <c r="B1316" t="s">
        <v>2961</v>
      </c>
      <c r="C1316">
        <v>15</v>
      </c>
      <c r="D1316" s="260">
        <v>46199</v>
      </c>
      <c r="E1316" s="260">
        <v>46219</v>
      </c>
      <c r="F1316">
        <v>72</v>
      </c>
      <c r="G1316" t="s">
        <v>356</v>
      </c>
    </row>
    <row r="1317" spans="1:7">
      <c r="A1317" t="s">
        <v>2962</v>
      </c>
      <c r="B1317" t="s">
        <v>2963</v>
      </c>
      <c r="C1317">
        <v>10</v>
      </c>
      <c r="D1317" s="260">
        <v>46268</v>
      </c>
      <c r="E1317" s="260">
        <v>46281</v>
      </c>
      <c r="F1317">
        <v>72</v>
      </c>
      <c r="G1317" t="s">
        <v>356</v>
      </c>
    </row>
    <row r="1318" spans="1:7">
      <c r="A1318" t="s">
        <v>2964</v>
      </c>
      <c r="B1318" t="s">
        <v>2965</v>
      </c>
      <c r="C1318">
        <v>15</v>
      </c>
      <c r="D1318" s="260">
        <v>46220</v>
      </c>
      <c r="E1318" s="260">
        <v>46245</v>
      </c>
      <c r="F1318">
        <v>42</v>
      </c>
      <c r="G1318" t="s">
        <v>356</v>
      </c>
    </row>
    <row r="1319" spans="1:7">
      <c r="A1319" t="s">
        <v>2966</v>
      </c>
      <c r="B1319" t="s">
        <v>2967</v>
      </c>
      <c r="C1319">
        <v>10</v>
      </c>
      <c r="D1319" s="260">
        <v>46289</v>
      </c>
      <c r="E1319" s="260">
        <v>46302</v>
      </c>
      <c r="F1319">
        <v>47</v>
      </c>
      <c r="G1319" t="s">
        <v>356</v>
      </c>
    </row>
    <row r="1320" spans="1:7">
      <c r="A1320" t="s">
        <v>2968</v>
      </c>
      <c r="B1320" t="s">
        <v>2969</v>
      </c>
      <c r="C1320">
        <v>15</v>
      </c>
      <c r="D1320" s="260">
        <v>46220</v>
      </c>
      <c r="E1320" s="260">
        <v>46245</v>
      </c>
      <c r="F1320">
        <v>42</v>
      </c>
      <c r="G1320" t="s">
        <v>356</v>
      </c>
    </row>
    <row r="1321" spans="1:7">
      <c r="A1321" t="s">
        <v>2970</v>
      </c>
      <c r="B1321" t="s">
        <v>2971</v>
      </c>
      <c r="C1321">
        <v>10</v>
      </c>
      <c r="D1321" s="260">
        <v>46289</v>
      </c>
      <c r="E1321" s="260">
        <v>46302</v>
      </c>
      <c r="F1321">
        <v>47</v>
      </c>
      <c r="G1321" t="s">
        <v>356</v>
      </c>
    </row>
    <row r="1322" spans="1:7">
      <c r="A1322" t="s">
        <v>2972</v>
      </c>
      <c r="B1322" t="s">
        <v>2973</v>
      </c>
      <c r="C1322">
        <v>15</v>
      </c>
      <c r="D1322" s="260">
        <v>46220</v>
      </c>
      <c r="E1322" s="260">
        <v>46245</v>
      </c>
      <c r="F1322">
        <v>42</v>
      </c>
      <c r="G1322" t="s">
        <v>356</v>
      </c>
    </row>
    <row r="1323" spans="1:7">
      <c r="A1323" t="s">
        <v>2974</v>
      </c>
      <c r="B1323" t="s">
        <v>2975</v>
      </c>
      <c r="C1323">
        <v>10</v>
      </c>
      <c r="D1323" s="260">
        <v>46289</v>
      </c>
      <c r="E1323" s="260">
        <v>46302</v>
      </c>
      <c r="F1323">
        <v>47</v>
      </c>
      <c r="G1323" t="s">
        <v>356</v>
      </c>
    </row>
    <row r="1324" spans="1:7">
      <c r="A1324" t="s">
        <v>2976</v>
      </c>
      <c r="B1324" t="s">
        <v>2977</v>
      </c>
      <c r="C1324">
        <v>15</v>
      </c>
      <c r="D1324" s="260">
        <v>46140</v>
      </c>
      <c r="E1324" s="260">
        <v>46161</v>
      </c>
      <c r="F1324">
        <v>112</v>
      </c>
      <c r="G1324" t="s">
        <v>356</v>
      </c>
    </row>
    <row r="1325" spans="1:7">
      <c r="A1325" t="s">
        <v>2978</v>
      </c>
      <c r="B1325" t="s">
        <v>2979</v>
      </c>
      <c r="C1325">
        <v>10</v>
      </c>
      <c r="D1325" s="260">
        <v>46206</v>
      </c>
      <c r="E1325" s="260">
        <v>46219</v>
      </c>
      <c r="F1325">
        <v>112</v>
      </c>
      <c r="G1325" t="s">
        <v>356</v>
      </c>
    </row>
    <row r="1326" spans="1:7">
      <c r="A1326" t="s">
        <v>2980</v>
      </c>
      <c r="B1326" t="s">
        <v>2981</v>
      </c>
      <c r="C1326">
        <v>15</v>
      </c>
      <c r="D1326" s="260">
        <v>46199</v>
      </c>
      <c r="E1326" s="260">
        <v>46219</v>
      </c>
      <c r="F1326">
        <v>72</v>
      </c>
      <c r="G1326" t="s">
        <v>356</v>
      </c>
    </row>
    <row r="1327" spans="1:7">
      <c r="A1327" t="s">
        <v>2982</v>
      </c>
      <c r="B1327" t="s">
        <v>2983</v>
      </c>
      <c r="C1327">
        <v>10</v>
      </c>
      <c r="D1327" s="260">
        <v>46239</v>
      </c>
      <c r="E1327" s="260">
        <v>46253</v>
      </c>
      <c r="F1327">
        <v>72</v>
      </c>
      <c r="G1327" t="s">
        <v>356</v>
      </c>
    </row>
    <row r="1328" spans="1:7">
      <c r="A1328" t="s">
        <v>2984</v>
      </c>
      <c r="B1328" t="s">
        <v>2985</v>
      </c>
      <c r="C1328">
        <v>10</v>
      </c>
      <c r="D1328" s="260">
        <v>46268</v>
      </c>
      <c r="E1328" s="260">
        <v>46281</v>
      </c>
      <c r="F1328">
        <v>72</v>
      </c>
      <c r="G1328" t="s">
        <v>356</v>
      </c>
    </row>
    <row r="1329" spans="1:7">
      <c r="A1329" t="s">
        <v>2986</v>
      </c>
      <c r="B1329" t="s">
        <v>2987</v>
      </c>
      <c r="C1329">
        <v>15</v>
      </c>
      <c r="D1329" s="260">
        <v>46199</v>
      </c>
      <c r="E1329" s="260">
        <v>46219</v>
      </c>
      <c r="F1329">
        <v>72</v>
      </c>
      <c r="G1329" t="s">
        <v>356</v>
      </c>
    </row>
    <row r="1330" spans="1:7">
      <c r="A1330" t="s">
        <v>2988</v>
      </c>
      <c r="B1330" t="s">
        <v>2989</v>
      </c>
      <c r="C1330">
        <v>10</v>
      </c>
      <c r="D1330" s="260">
        <v>46239</v>
      </c>
      <c r="E1330" s="260">
        <v>46253</v>
      </c>
      <c r="F1330">
        <v>72</v>
      </c>
      <c r="G1330" t="s">
        <v>356</v>
      </c>
    </row>
    <row r="1331" spans="1:7">
      <c r="A1331" t="s">
        <v>2990</v>
      </c>
      <c r="B1331" t="s">
        <v>2991</v>
      </c>
      <c r="C1331">
        <v>10</v>
      </c>
      <c r="D1331" s="260">
        <v>46268</v>
      </c>
      <c r="E1331" s="260">
        <v>46281</v>
      </c>
      <c r="F1331">
        <v>72</v>
      </c>
      <c r="G1331" t="s">
        <v>356</v>
      </c>
    </row>
    <row r="1332" spans="1:7">
      <c r="A1332" t="s">
        <v>2992</v>
      </c>
      <c r="B1332" t="s">
        <v>2993</v>
      </c>
      <c r="C1332">
        <v>15</v>
      </c>
      <c r="D1332" s="260">
        <v>46148</v>
      </c>
      <c r="E1332" s="260">
        <v>46168</v>
      </c>
      <c r="F1332">
        <v>107</v>
      </c>
      <c r="G1332" t="s">
        <v>356</v>
      </c>
    </row>
    <row r="1333" spans="1:7">
      <c r="A1333" t="s">
        <v>2994</v>
      </c>
      <c r="B1333" t="s">
        <v>2995</v>
      </c>
      <c r="C1333">
        <v>10</v>
      </c>
      <c r="D1333" s="260">
        <v>46213</v>
      </c>
      <c r="E1333" s="260">
        <v>46226</v>
      </c>
      <c r="F1333">
        <v>87</v>
      </c>
      <c r="G1333" t="s">
        <v>356</v>
      </c>
    </row>
    <row r="1334" spans="1:7">
      <c r="A1334" t="s">
        <v>2996</v>
      </c>
      <c r="B1334" t="s">
        <v>2997</v>
      </c>
      <c r="C1334">
        <v>10</v>
      </c>
      <c r="D1334" s="260">
        <v>46275</v>
      </c>
      <c r="E1334" s="260">
        <v>46288</v>
      </c>
      <c r="F1334">
        <v>67</v>
      </c>
      <c r="G1334" t="s">
        <v>356</v>
      </c>
    </row>
    <row r="1335" spans="1:7">
      <c r="A1335" t="s">
        <v>2998</v>
      </c>
      <c r="B1335" t="s">
        <v>2999</v>
      </c>
      <c r="C1335">
        <v>15</v>
      </c>
      <c r="D1335" s="260">
        <v>46199</v>
      </c>
      <c r="E1335" s="260">
        <v>46219</v>
      </c>
      <c r="F1335">
        <v>72</v>
      </c>
      <c r="G1335" t="s">
        <v>356</v>
      </c>
    </row>
    <row r="1336" spans="1:7">
      <c r="A1336" t="s">
        <v>3000</v>
      </c>
      <c r="B1336" t="s">
        <v>3001</v>
      </c>
      <c r="C1336">
        <v>10</v>
      </c>
      <c r="D1336" s="260">
        <v>46239</v>
      </c>
      <c r="E1336" s="260">
        <v>46253</v>
      </c>
      <c r="F1336">
        <v>72</v>
      </c>
      <c r="G1336" t="s">
        <v>356</v>
      </c>
    </row>
    <row r="1337" spans="1:7">
      <c r="A1337" t="s">
        <v>3002</v>
      </c>
      <c r="B1337" t="s">
        <v>3003</v>
      </c>
      <c r="C1337">
        <v>10</v>
      </c>
      <c r="D1337" s="260">
        <v>46275</v>
      </c>
      <c r="E1337" s="260">
        <v>46288</v>
      </c>
      <c r="F1337">
        <v>67</v>
      </c>
      <c r="G1337" t="s">
        <v>356</v>
      </c>
    </row>
    <row r="1338" spans="1:7">
      <c r="A1338" t="s">
        <v>3004</v>
      </c>
      <c r="B1338" t="s">
        <v>3005</v>
      </c>
      <c r="C1338">
        <v>15</v>
      </c>
      <c r="D1338" s="260">
        <v>46199</v>
      </c>
      <c r="E1338" s="260">
        <v>46219</v>
      </c>
      <c r="F1338">
        <v>72</v>
      </c>
      <c r="G1338" t="s">
        <v>356</v>
      </c>
    </row>
    <row r="1339" spans="1:7">
      <c r="A1339" t="s">
        <v>3006</v>
      </c>
      <c r="B1339" t="s">
        <v>3007</v>
      </c>
      <c r="C1339">
        <v>10</v>
      </c>
      <c r="D1339" s="260">
        <v>46268</v>
      </c>
      <c r="E1339" s="260">
        <v>46281</v>
      </c>
      <c r="F1339">
        <v>72</v>
      </c>
      <c r="G1339" t="s">
        <v>356</v>
      </c>
    </row>
    <row r="1340" spans="1:7">
      <c r="A1340" t="s">
        <v>3008</v>
      </c>
      <c r="B1340" t="s">
        <v>3009</v>
      </c>
      <c r="C1340">
        <v>15</v>
      </c>
      <c r="D1340" s="260">
        <v>46199</v>
      </c>
      <c r="E1340" s="260">
        <v>46219</v>
      </c>
      <c r="F1340">
        <v>72</v>
      </c>
      <c r="G1340" t="s">
        <v>356</v>
      </c>
    </row>
    <row r="1341" spans="1:7">
      <c r="A1341" t="s">
        <v>3010</v>
      </c>
      <c r="B1341" t="s">
        <v>3011</v>
      </c>
      <c r="C1341">
        <v>10</v>
      </c>
      <c r="D1341" s="260">
        <v>46239</v>
      </c>
      <c r="E1341" s="260">
        <v>46253</v>
      </c>
      <c r="F1341">
        <v>72</v>
      </c>
      <c r="G1341" t="s">
        <v>356</v>
      </c>
    </row>
    <row r="1342" spans="1:7">
      <c r="A1342" t="s">
        <v>3012</v>
      </c>
      <c r="B1342" t="s">
        <v>3013</v>
      </c>
      <c r="C1342">
        <v>10</v>
      </c>
      <c r="D1342" s="260">
        <v>46268</v>
      </c>
      <c r="E1342" s="260">
        <v>46281</v>
      </c>
      <c r="F1342">
        <v>72</v>
      </c>
      <c r="G1342" t="s">
        <v>356</v>
      </c>
    </row>
    <row r="1343" spans="1:7">
      <c r="A1343" t="s">
        <v>3014</v>
      </c>
      <c r="B1343" t="s">
        <v>3015</v>
      </c>
      <c r="C1343">
        <v>15</v>
      </c>
      <c r="D1343" s="260">
        <v>46220</v>
      </c>
      <c r="E1343" s="260">
        <v>46245</v>
      </c>
      <c r="F1343">
        <v>57</v>
      </c>
      <c r="G1343" t="s">
        <v>356</v>
      </c>
    </row>
    <row r="1344" spans="1:7">
      <c r="A1344" t="s">
        <v>3016</v>
      </c>
      <c r="B1344" t="s">
        <v>3017</v>
      </c>
      <c r="C1344">
        <v>10</v>
      </c>
      <c r="D1344" s="260">
        <v>46289</v>
      </c>
      <c r="E1344" s="260">
        <v>46302</v>
      </c>
      <c r="F1344">
        <v>57</v>
      </c>
      <c r="G1344" t="s">
        <v>356</v>
      </c>
    </row>
    <row r="1345" spans="1:7">
      <c r="A1345" t="s">
        <v>3018</v>
      </c>
      <c r="B1345" t="s">
        <v>3019</v>
      </c>
      <c r="C1345">
        <v>15</v>
      </c>
      <c r="D1345" s="260">
        <v>46220</v>
      </c>
      <c r="E1345" s="260">
        <v>46245</v>
      </c>
      <c r="F1345">
        <v>57</v>
      </c>
      <c r="G1345" t="s">
        <v>356</v>
      </c>
    </row>
    <row r="1346" spans="1:7">
      <c r="A1346" t="s">
        <v>3020</v>
      </c>
      <c r="B1346" t="s">
        <v>3021</v>
      </c>
      <c r="C1346">
        <v>10</v>
      </c>
      <c r="D1346" s="260">
        <v>46289</v>
      </c>
      <c r="E1346" s="260">
        <v>46302</v>
      </c>
      <c r="F1346">
        <v>57</v>
      </c>
      <c r="G1346" t="s">
        <v>356</v>
      </c>
    </row>
    <row r="1347" spans="1:7">
      <c r="A1347" t="s">
        <v>3022</v>
      </c>
      <c r="B1347" t="s">
        <v>3023</v>
      </c>
      <c r="C1347">
        <v>15</v>
      </c>
      <c r="D1347" s="260">
        <v>46247</v>
      </c>
      <c r="E1347" s="260">
        <v>46267</v>
      </c>
      <c r="F1347">
        <v>42</v>
      </c>
      <c r="G1347" t="s">
        <v>356</v>
      </c>
    </row>
    <row r="1348" spans="1:7">
      <c r="A1348" t="s">
        <v>3024</v>
      </c>
      <c r="B1348" t="s">
        <v>3025</v>
      </c>
      <c r="C1348">
        <v>10</v>
      </c>
      <c r="D1348" s="260">
        <v>46282</v>
      </c>
      <c r="E1348" s="260">
        <v>46295</v>
      </c>
      <c r="F1348">
        <v>42</v>
      </c>
      <c r="G1348" t="s">
        <v>356</v>
      </c>
    </row>
    <row r="1349" spans="1:7">
      <c r="A1349" t="s">
        <v>3026</v>
      </c>
      <c r="B1349" t="s">
        <v>3027</v>
      </c>
      <c r="C1349">
        <v>10</v>
      </c>
      <c r="D1349" s="260">
        <v>46311</v>
      </c>
      <c r="E1349" s="260">
        <v>46325</v>
      </c>
      <c r="F1349">
        <v>42</v>
      </c>
      <c r="G1349" t="s">
        <v>356</v>
      </c>
    </row>
    <row r="1350" spans="1:7">
      <c r="A1350" t="s">
        <v>3028</v>
      </c>
      <c r="B1350" t="s">
        <v>3029</v>
      </c>
      <c r="C1350">
        <v>15</v>
      </c>
      <c r="D1350" s="260">
        <v>46199</v>
      </c>
      <c r="E1350" s="260">
        <v>46219</v>
      </c>
      <c r="F1350">
        <v>72</v>
      </c>
      <c r="G1350" t="s">
        <v>356</v>
      </c>
    </row>
    <row r="1351" spans="1:7">
      <c r="A1351" t="s">
        <v>3030</v>
      </c>
      <c r="B1351" t="s">
        <v>3031</v>
      </c>
      <c r="C1351">
        <v>10</v>
      </c>
      <c r="D1351" s="260">
        <v>46239</v>
      </c>
      <c r="E1351" s="260">
        <v>46253</v>
      </c>
      <c r="F1351">
        <v>72</v>
      </c>
      <c r="G1351" t="s">
        <v>356</v>
      </c>
    </row>
    <row r="1352" spans="1:7">
      <c r="A1352" t="s">
        <v>3032</v>
      </c>
      <c r="B1352" t="s">
        <v>3033</v>
      </c>
      <c r="C1352">
        <v>10</v>
      </c>
      <c r="D1352" s="260">
        <v>46268</v>
      </c>
      <c r="E1352" s="260">
        <v>46281</v>
      </c>
      <c r="F1352">
        <v>72</v>
      </c>
      <c r="G1352" t="s">
        <v>356</v>
      </c>
    </row>
    <row r="1353" spans="1:7">
      <c r="A1353" t="s">
        <v>3034</v>
      </c>
      <c r="B1353" t="s">
        <v>3035</v>
      </c>
      <c r="C1353">
        <v>15</v>
      </c>
      <c r="D1353" s="260">
        <v>46199</v>
      </c>
      <c r="E1353" s="260">
        <v>46219</v>
      </c>
      <c r="F1353">
        <v>72</v>
      </c>
      <c r="G1353" t="s">
        <v>356</v>
      </c>
    </row>
    <row r="1354" spans="1:7">
      <c r="A1354" t="s">
        <v>3036</v>
      </c>
      <c r="B1354" t="s">
        <v>3037</v>
      </c>
      <c r="C1354">
        <v>10</v>
      </c>
      <c r="D1354" s="260">
        <v>46239</v>
      </c>
      <c r="E1354" s="260">
        <v>46253</v>
      </c>
      <c r="F1354">
        <v>72</v>
      </c>
      <c r="G1354" t="s">
        <v>356</v>
      </c>
    </row>
    <row r="1355" spans="1:7">
      <c r="A1355" t="s">
        <v>3038</v>
      </c>
      <c r="B1355" t="s">
        <v>3039</v>
      </c>
      <c r="C1355">
        <v>10</v>
      </c>
      <c r="D1355" s="260">
        <v>46268</v>
      </c>
      <c r="E1355" s="260">
        <v>46281</v>
      </c>
      <c r="F1355">
        <v>72</v>
      </c>
      <c r="G1355" t="s">
        <v>356</v>
      </c>
    </row>
    <row r="1356" spans="1:7">
      <c r="A1356" t="s">
        <v>3040</v>
      </c>
      <c r="B1356" t="s">
        <v>3041</v>
      </c>
      <c r="C1356">
        <v>15</v>
      </c>
      <c r="D1356" s="260">
        <v>46199</v>
      </c>
      <c r="E1356" s="260">
        <v>46219</v>
      </c>
      <c r="F1356">
        <v>72</v>
      </c>
      <c r="G1356" t="s">
        <v>356</v>
      </c>
    </row>
    <row r="1357" spans="1:7">
      <c r="A1357" t="s">
        <v>3042</v>
      </c>
      <c r="B1357" t="s">
        <v>3043</v>
      </c>
      <c r="C1357">
        <v>10</v>
      </c>
      <c r="D1357" s="260">
        <v>46268</v>
      </c>
      <c r="E1357" s="260">
        <v>46281</v>
      </c>
      <c r="F1357">
        <v>72</v>
      </c>
      <c r="G1357" t="s">
        <v>356</v>
      </c>
    </row>
    <row r="1358" spans="1:7">
      <c r="A1358" t="s">
        <v>3044</v>
      </c>
      <c r="B1358" t="s">
        <v>3045</v>
      </c>
      <c r="C1358">
        <v>15</v>
      </c>
      <c r="D1358" s="260">
        <v>46199</v>
      </c>
      <c r="E1358" s="260">
        <v>46219</v>
      </c>
      <c r="F1358">
        <v>72</v>
      </c>
      <c r="G1358" t="s">
        <v>356</v>
      </c>
    </row>
    <row r="1359" spans="1:7">
      <c r="A1359" t="s">
        <v>3046</v>
      </c>
      <c r="B1359" t="s">
        <v>3047</v>
      </c>
      <c r="C1359">
        <v>10</v>
      </c>
      <c r="D1359" s="260">
        <v>46268</v>
      </c>
      <c r="E1359" s="260">
        <v>46281</v>
      </c>
      <c r="F1359">
        <v>72</v>
      </c>
      <c r="G1359" t="s">
        <v>356</v>
      </c>
    </row>
    <row r="1360" spans="1:7">
      <c r="A1360" t="s">
        <v>3048</v>
      </c>
      <c r="B1360" t="s">
        <v>3049</v>
      </c>
      <c r="C1360">
        <v>15</v>
      </c>
      <c r="D1360" s="260">
        <v>46220</v>
      </c>
      <c r="E1360" s="260">
        <v>46245</v>
      </c>
      <c r="F1360">
        <v>57</v>
      </c>
      <c r="G1360" t="s">
        <v>356</v>
      </c>
    </row>
    <row r="1361" spans="1:7">
      <c r="A1361" t="s">
        <v>3050</v>
      </c>
      <c r="B1361" t="s">
        <v>3051</v>
      </c>
      <c r="C1361">
        <v>10</v>
      </c>
      <c r="D1361" s="260">
        <v>46289</v>
      </c>
      <c r="E1361" s="260">
        <v>46302</v>
      </c>
      <c r="F1361">
        <v>57</v>
      </c>
      <c r="G1361" t="s">
        <v>356</v>
      </c>
    </row>
    <row r="1362" spans="1:7">
      <c r="A1362" t="s">
        <v>3052</v>
      </c>
      <c r="B1362" t="s">
        <v>3053</v>
      </c>
      <c r="C1362">
        <v>15</v>
      </c>
      <c r="D1362" s="260">
        <v>46220</v>
      </c>
      <c r="E1362" s="260">
        <v>46245</v>
      </c>
      <c r="F1362">
        <v>57</v>
      </c>
      <c r="G1362" t="s">
        <v>356</v>
      </c>
    </row>
    <row r="1363" spans="1:7">
      <c r="A1363" t="s">
        <v>3054</v>
      </c>
      <c r="B1363" t="s">
        <v>3055</v>
      </c>
      <c r="C1363">
        <v>10</v>
      </c>
      <c r="D1363" s="260">
        <v>46289</v>
      </c>
      <c r="E1363" s="260">
        <v>46302</v>
      </c>
      <c r="F1363">
        <v>57</v>
      </c>
      <c r="G1363" t="s">
        <v>356</v>
      </c>
    </row>
    <row r="1364" spans="1:7">
      <c r="A1364" t="s">
        <v>3056</v>
      </c>
      <c r="B1364" t="s">
        <v>3057</v>
      </c>
      <c r="C1364">
        <v>15</v>
      </c>
      <c r="D1364" s="260">
        <v>46220</v>
      </c>
      <c r="E1364" s="260">
        <v>46245</v>
      </c>
      <c r="F1364">
        <v>57</v>
      </c>
      <c r="G1364" t="s">
        <v>356</v>
      </c>
    </row>
    <row r="1365" spans="1:7">
      <c r="A1365" t="s">
        <v>3058</v>
      </c>
      <c r="B1365" t="s">
        <v>3059</v>
      </c>
      <c r="C1365">
        <v>10</v>
      </c>
      <c r="D1365" s="260">
        <v>46289</v>
      </c>
      <c r="E1365" s="260">
        <v>46302</v>
      </c>
      <c r="F1365">
        <v>57</v>
      </c>
      <c r="G1365" t="s">
        <v>356</v>
      </c>
    </row>
    <row r="1366" spans="1:7">
      <c r="A1366" t="s">
        <v>3060</v>
      </c>
      <c r="B1366" t="s">
        <v>3061</v>
      </c>
      <c r="C1366">
        <v>15</v>
      </c>
      <c r="D1366" s="260">
        <v>46178</v>
      </c>
      <c r="E1366" s="260">
        <v>46198</v>
      </c>
      <c r="F1366">
        <v>72</v>
      </c>
      <c r="G1366" t="s">
        <v>356</v>
      </c>
    </row>
    <row r="1367" spans="1:7">
      <c r="A1367" t="s">
        <v>3062</v>
      </c>
      <c r="B1367" t="s">
        <v>3063</v>
      </c>
      <c r="C1367">
        <v>10</v>
      </c>
      <c r="D1367" s="260">
        <v>46213</v>
      </c>
      <c r="E1367" s="260">
        <v>46226</v>
      </c>
      <c r="F1367">
        <v>77</v>
      </c>
      <c r="G1367" t="s">
        <v>356</v>
      </c>
    </row>
    <row r="1368" spans="1:7">
      <c r="A1368" t="s">
        <v>3064</v>
      </c>
      <c r="B1368" t="s">
        <v>3065</v>
      </c>
      <c r="C1368">
        <v>10</v>
      </c>
      <c r="D1368" s="260">
        <v>46247</v>
      </c>
      <c r="E1368" s="260">
        <v>46260</v>
      </c>
      <c r="F1368">
        <v>77</v>
      </c>
      <c r="G1368" t="s">
        <v>356</v>
      </c>
    </row>
    <row r="1369" spans="1:7">
      <c r="A1369" t="s">
        <v>3066</v>
      </c>
      <c r="B1369" t="s">
        <v>3067</v>
      </c>
      <c r="C1369">
        <v>15</v>
      </c>
      <c r="D1369" s="260">
        <v>46178</v>
      </c>
      <c r="E1369" s="260">
        <v>46198</v>
      </c>
      <c r="F1369">
        <v>72</v>
      </c>
      <c r="G1369" t="s">
        <v>356</v>
      </c>
    </row>
    <row r="1370" spans="1:7">
      <c r="A1370" t="s">
        <v>3068</v>
      </c>
      <c r="B1370" t="s">
        <v>3069</v>
      </c>
      <c r="C1370">
        <v>10</v>
      </c>
      <c r="D1370" s="260">
        <v>46213</v>
      </c>
      <c r="E1370" s="260">
        <v>46226</v>
      </c>
      <c r="F1370">
        <v>77</v>
      </c>
      <c r="G1370" t="s">
        <v>356</v>
      </c>
    </row>
    <row r="1371" spans="1:7">
      <c r="A1371" t="s">
        <v>3070</v>
      </c>
      <c r="B1371" t="s">
        <v>3071</v>
      </c>
      <c r="C1371">
        <v>10</v>
      </c>
      <c r="D1371" s="260">
        <v>46247</v>
      </c>
      <c r="E1371" s="260">
        <v>46260</v>
      </c>
      <c r="F1371">
        <v>77</v>
      </c>
      <c r="G1371" t="s">
        <v>356</v>
      </c>
    </row>
    <row r="1372" spans="1:7">
      <c r="A1372" t="s">
        <v>3072</v>
      </c>
      <c r="B1372" t="s">
        <v>3073</v>
      </c>
      <c r="C1372">
        <v>15</v>
      </c>
      <c r="D1372" s="260">
        <v>46178</v>
      </c>
      <c r="E1372" s="260">
        <v>46198</v>
      </c>
      <c r="F1372">
        <v>72</v>
      </c>
      <c r="G1372" t="s">
        <v>356</v>
      </c>
    </row>
    <row r="1373" spans="1:7">
      <c r="A1373" t="s">
        <v>3074</v>
      </c>
      <c r="B1373" t="s">
        <v>3075</v>
      </c>
      <c r="C1373">
        <v>10</v>
      </c>
      <c r="D1373" s="260">
        <v>46213</v>
      </c>
      <c r="E1373" s="260">
        <v>46226</v>
      </c>
      <c r="F1373">
        <v>77</v>
      </c>
      <c r="G1373" t="s">
        <v>356</v>
      </c>
    </row>
    <row r="1374" spans="1:7">
      <c r="A1374" t="s">
        <v>3076</v>
      </c>
      <c r="B1374" t="s">
        <v>3077</v>
      </c>
      <c r="C1374">
        <v>10</v>
      </c>
      <c r="D1374" s="260">
        <v>46247</v>
      </c>
      <c r="E1374" s="260">
        <v>46260</v>
      </c>
      <c r="F1374">
        <v>77</v>
      </c>
      <c r="G1374" t="s">
        <v>356</v>
      </c>
    </row>
    <row r="1375" spans="1:7">
      <c r="A1375" t="s">
        <v>3078</v>
      </c>
      <c r="B1375" t="s">
        <v>3079</v>
      </c>
      <c r="C1375">
        <v>15</v>
      </c>
      <c r="D1375" s="260">
        <v>46199</v>
      </c>
      <c r="E1375" s="260">
        <v>46219</v>
      </c>
      <c r="F1375">
        <v>72</v>
      </c>
      <c r="G1375" t="s">
        <v>356</v>
      </c>
    </row>
    <row r="1376" spans="1:7">
      <c r="A1376" t="s">
        <v>3080</v>
      </c>
      <c r="B1376" t="s">
        <v>3081</v>
      </c>
      <c r="C1376">
        <v>10</v>
      </c>
      <c r="D1376" s="260">
        <v>46239</v>
      </c>
      <c r="E1376" s="260">
        <v>46253</v>
      </c>
      <c r="F1376">
        <v>72</v>
      </c>
      <c r="G1376" t="s">
        <v>356</v>
      </c>
    </row>
    <row r="1377" spans="1:7">
      <c r="A1377" t="s">
        <v>3082</v>
      </c>
      <c r="B1377" t="s">
        <v>3083</v>
      </c>
      <c r="C1377">
        <v>10</v>
      </c>
      <c r="D1377" s="260">
        <v>46268</v>
      </c>
      <c r="E1377" s="260">
        <v>46281</v>
      </c>
      <c r="F1377">
        <v>72</v>
      </c>
      <c r="G1377" t="s">
        <v>356</v>
      </c>
    </row>
    <row r="1378" spans="1:7">
      <c r="A1378" t="s">
        <v>3084</v>
      </c>
      <c r="B1378" t="s">
        <v>3085</v>
      </c>
      <c r="C1378">
        <v>15</v>
      </c>
      <c r="D1378" s="260">
        <v>46199</v>
      </c>
      <c r="E1378" s="260">
        <v>46219</v>
      </c>
      <c r="F1378">
        <v>72</v>
      </c>
      <c r="G1378" t="s">
        <v>356</v>
      </c>
    </row>
    <row r="1379" spans="1:7">
      <c r="A1379" t="s">
        <v>3086</v>
      </c>
      <c r="B1379" t="s">
        <v>3087</v>
      </c>
      <c r="C1379">
        <v>10</v>
      </c>
      <c r="D1379" s="260">
        <v>46239</v>
      </c>
      <c r="E1379" s="260">
        <v>46253</v>
      </c>
      <c r="F1379">
        <v>72</v>
      </c>
      <c r="G1379" t="s">
        <v>356</v>
      </c>
    </row>
    <row r="1380" spans="1:7">
      <c r="A1380" t="s">
        <v>3088</v>
      </c>
      <c r="B1380" t="s">
        <v>3089</v>
      </c>
      <c r="C1380">
        <v>10</v>
      </c>
      <c r="D1380" s="260">
        <v>46268</v>
      </c>
      <c r="E1380" s="260">
        <v>46281</v>
      </c>
      <c r="F1380">
        <v>72</v>
      </c>
      <c r="G1380" t="s">
        <v>356</v>
      </c>
    </row>
    <row r="1381" spans="1:7">
      <c r="A1381" t="s">
        <v>3090</v>
      </c>
      <c r="B1381" t="s">
        <v>3091</v>
      </c>
      <c r="C1381">
        <v>15</v>
      </c>
      <c r="D1381" s="260">
        <v>46199</v>
      </c>
      <c r="E1381" s="260">
        <v>46219</v>
      </c>
      <c r="F1381">
        <v>72</v>
      </c>
      <c r="G1381" t="s">
        <v>356</v>
      </c>
    </row>
    <row r="1382" spans="1:7">
      <c r="A1382" t="s">
        <v>3092</v>
      </c>
      <c r="B1382" t="s">
        <v>3093</v>
      </c>
      <c r="C1382">
        <v>10</v>
      </c>
      <c r="D1382" s="260">
        <v>46239</v>
      </c>
      <c r="E1382" s="260">
        <v>46253</v>
      </c>
      <c r="F1382">
        <v>72</v>
      </c>
      <c r="G1382" t="s">
        <v>356</v>
      </c>
    </row>
    <row r="1383" spans="1:7">
      <c r="A1383" t="s">
        <v>3094</v>
      </c>
      <c r="B1383" t="s">
        <v>3095</v>
      </c>
      <c r="C1383">
        <v>10</v>
      </c>
      <c r="D1383" s="260">
        <v>46268</v>
      </c>
      <c r="E1383" s="260">
        <v>46281</v>
      </c>
      <c r="F1383">
        <v>72</v>
      </c>
      <c r="G1383" t="s">
        <v>356</v>
      </c>
    </row>
    <row r="1384" spans="1:7">
      <c r="A1384" t="s">
        <v>3096</v>
      </c>
      <c r="B1384" t="s">
        <v>3097</v>
      </c>
      <c r="C1384">
        <v>15</v>
      </c>
      <c r="D1384" s="260">
        <v>46178</v>
      </c>
      <c r="E1384" s="260">
        <v>46198</v>
      </c>
      <c r="F1384">
        <v>87</v>
      </c>
      <c r="G1384" t="s">
        <v>356</v>
      </c>
    </row>
    <row r="1385" spans="1:7">
      <c r="A1385" t="s">
        <v>3098</v>
      </c>
      <c r="B1385" t="s">
        <v>3099</v>
      </c>
      <c r="C1385">
        <v>10</v>
      </c>
      <c r="D1385" s="260">
        <v>46213</v>
      </c>
      <c r="E1385" s="260">
        <v>46226</v>
      </c>
      <c r="F1385">
        <v>87</v>
      </c>
      <c r="G1385" t="s">
        <v>356</v>
      </c>
    </row>
    <row r="1386" spans="1:7">
      <c r="A1386" t="s">
        <v>3100</v>
      </c>
      <c r="B1386" t="s">
        <v>3101</v>
      </c>
      <c r="C1386">
        <v>10</v>
      </c>
      <c r="D1386" s="260">
        <v>46247</v>
      </c>
      <c r="E1386" s="260">
        <v>46260</v>
      </c>
      <c r="F1386">
        <v>87</v>
      </c>
      <c r="G1386" t="s">
        <v>356</v>
      </c>
    </row>
    <row r="1387" spans="1:7">
      <c r="A1387" t="s">
        <v>3102</v>
      </c>
      <c r="B1387" t="s">
        <v>3103</v>
      </c>
      <c r="C1387">
        <v>15</v>
      </c>
      <c r="D1387" s="260">
        <v>46178</v>
      </c>
      <c r="E1387" s="260">
        <v>46198</v>
      </c>
      <c r="F1387">
        <v>87</v>
      </c>
      <c r="G1387" t="s">
        <v>356</v>
      </c>
    </row>
    <row r="1388" spans="1:7">
      <c r="A1388" t="s">
        <v>3104</v>
      </c>
      <c r="B1388" t="s">
        <v>3105</v>
      </c>
      <c r="C1388">
        <v>10</v>
      </c>
      <c r="D1388" s="260">
        <v>46213</v>
      </c>
      <c r="E1388" s="260">
        <v>46226</v>
      </c>
      <c r="F1388">
        <v>87</v>
      </c>
      <c r="G1388" t="s">
        <v>356</v>
      </c>
    </row>
    <row r="1389" spans="1:7">
      <c r="A1389" t="s">
        <v>3106</v>
      </c>
      <c r="B1389" t="s">
        <v>3107</v>
      </c>
      <c r="C1389">
        <v>10</v>
      </c>
      <c r="D1389" s="260">
        <v>46247</v>
      </c>
      <c r="E1389" s="260">
        <v>46260</v>
      </c>
      <c r="F1389">
        <v>87</v>
      </c>
      <c r="G1389" t="s">
        <v>356</v>
      </c>
    </row>
    <row r="1390" spans="1:7">
      <c r="A1390" t="s">
        <v>3108</v>
      </c>
      <c r="B1390" t="s">
        <v>3109</v>
      </c>
      <c r="C1390">
        <v>15</v>
      </c>
      <c r="D1390" s="260">
        <v>46178</v>
      </c>
      <c r="E1390" s="260">
        <v>46198</v>
      </c>
      <c r="F1390">
        <v>87</v>
      </c>
      <c r="G1390" t="s">
        <v>356</v>
      </c>
    </row>
    <row r="1391" spans="1:7">
      <c r="A1391" t="s">
        <v>3110</v>
      </c>
      <c r="B1391" t="s">
        <v>3111</v>
      </c>
      <c r="C1391">
        <v>10</v>
      </c>
      <c r="D1391" s="260">
        <v>46213</v>
      </c>
      <c r="E1391" s="260">
        <v>46226</v>
      </c>
      <c r="F1391">
        <v>87</v>
      </c>
      <c r="G1391" t="s">
        <v>356</v>
      </c>
    </row>
    <row r="1392" spans="1:7">
      <c r="A1392" t="s">
        <v>3112</v>
      </c>
      <c r="B1392" t="s">
        <v>3113</v>
      </c>
      <c r="C1392">
        <v>10</v>
      </c>
      <c r="D1392" s="260">
        <v>46247</v>
      </c>
      <c r="E1392" s="260">
        <v>46260</v>
      </c>
      <c r="F1392">
        <v>87</v>
      </c>
      <c r="G1392" t="s">
        <v>356</v>
      </c>
    </row>
    <row r="1393" spans="1:7">
      <c r="A1393" t="s">
        <v>3114</v>
      </c>
      <c r="B1393" t="s">
        <v>3115</v>
      </c>
      <c r="C1393">
        <v>15</v>
      </c>
      <c r="D1393" s="260">
        <v>46199</v>
      </c>
      <c r="E1393" s="260">
        <v>46219</v>
      </c>
      <c r="F1393">
        <v>72</v>
      </c>
      <c r="G1393" t="s">
        <v>356</v>
      </c>
    </row>
    <row r="1394" spans="1:7">
      <c r="A1394" t="s">
        <v>3116</v>
      </c>
      <c r="B1394" t="s">
        <v>3117</v>
      </c>
      <c r="C1394">
        <v>10</v>
      </c>
      <c r="D1394" s="260">
        <v>46239</v>
      </c>
      <c r="E1394" s="260">
        <v>46253</v>
      </c>
      <c r="F1394">
        <v>72</v>
      </c>
      <c r="G1394" t="s">
        <v>356</v>
      </c>
    </row>
    <row r="1395" spans="1:7">
      <c r="A1395" t="s">
        <v>3118</v>
      </c>
      <c r="B1395" t="s">
        <v>3119</v>
      </c>
      <c r="C1395">
        <v>10</v>
      </c>
      <c r="D1395" s="260">
        <v>46268</v>
      </c>
      <c r="E1395" s="260">
        <v>46281</v>
      </c>
      <c r="F1395">
        <v>72</v>
      </c>
      <c r="G1395" t="s">
        <v>356</v>
      </c>
    </row>
    <row r="1396" spans="1:7">
      <c r="A1396" t="s">
        <v>3120</v>
      </c>
      <c r="B1396" t="s">
        <v>3121</v>
      </c>
      <c r="C1396">
        <v>15</v>
      </c>
      <c r="D1396" s="260">
        <v>46199</v>
      </c>
      <c r="E1396" s="260">
        <v>46219</v>
      </c>
      <c r="F1396">
        <v>72</v>
      </c>
      <c r="G1396" t="s">
        <v>356</v>
      </c>
    </row>
    <row r="1397" spans="1:7">
      <c r="A1397" t="s">
        <v>3122</v>
      </c>
      <c r="B1397" t="s">
        <v>3123</v>
      </c>
      <c r="C1397">
        <v>10</v>
      </c>
      <c r="D1397" s="260">
        <v>46239</v>
      </c>
      <c r="E1397" s="260">
        <v>46253</v>
      </c>
      <c r="F1397">
        <v>72</v>
      </c>
      <c r="G1397" t="s">
        <v>356</v>
      </c>
    </row>
    <row r="1398" spans="1:7">
      <c r="A1398" t="s">
        <v>3124</v>
      </c>
      <c r="B1398" t="s">
        <v>3125</v>
      </c>
      <c r="C1398">
        <v>10</v>
      </c>
      <c r="D1398" s="260">
        <v>46268</v>
      </c>
      <c r="E1398" s="260">
        <v>46281</v>
      </c>
      <c r="F1398">
        <v>72</v>
      </c>
      <c r="G1398" t="s">
        <v>356</v>
      </c>
    </row>
    <row r="1399" spans="1:7">
      <c r="A1399" t="s">
        <v>3126</v>
      </c>
      <c r="B1399" t="s">
        <v>3127</v>
      </c>
      <c r="C1399">
        <v>15</v>
      </c>
      <c r="D1399" s="260">
        <v>46199</v>
      </c>
      <c r="E1399" s="260">
        <v>46219</v>
      </c>
      <c r="F1399">
        <v>72</v>
      </c>
      <c r="G1399" t="s">
        <v>356</v>
      </c>
    </row>
    <row r="1400" spans="1:7">
      <c r="A1400" t="s">
        <v>3128</v>
      </c>
      <c r="B1400" t="s">
        <v>3129</v>
      </c>
      <c r="C1400">
        <v>10</v>
      </c>
      <c r="D1400" s="260">
        <v>46239</v>
      </c>
      <c r="E1400" s="260">
        <v>46253</v>
      </c>
      <c r="F1400">
        <v>72</v>
      </c>
      <c r="G1400" t="s">
        <v>356</v>
      </c>
    </row>
    <row r="1401" spans="1:7">
      <c r="A1401" t="s">
        <v>3130</v>
      </c>
      <c r="B1401" t="s">
        <v>3131</v>
      </c>
      <c r="C1401">
        <v>10</v>
      </c>
      <c r="D1401" s="260">
        <v>46268</v>
      </c>
      <c r="E1401" s="260">
        <v>46281</v>
      </c>
      <c r="F1401">
        <v>72</v>
      </c>
      <c r="G1401" t="s">
        <v>356</v>
      </c>
    </row>
    <row r="1402" spans="1:7">
      <c r="A1402" t="s">
        <v>3132</v>
      </c>
      <c r="C1402">
        <v>126</v>
      </c>
      <c r="D1402" s="260">
        <v>46112</v>
      </c>
      <c r="E1402" s="260">
        <v>46302</v>
      </c>
      <c r="F1402">
        <v>57</v>
      </c>
      <c r="G1402" t="s">
        <v>356</v>
      </c>
    </row>
    <row r="1403" spans="1:7">
      <c r="A1403" t="s">
        <v>3133</v>
      </c>
      <c r="B1403" t="s">
        <v>3134</v>
      </c>
      <c r="C1403">
        <v>15</v>
      </c>
      <c r="D1403" s="260">
        <v>46148</v>
      </c>
      <c r="E1403" s="260">
        <v>46168</v>
      </c>
      <c r="F1403">
        <v>36</v>
      </c>
      <c r="G1403" t="s">
        <v>356</v>
      </c>
    </row>
    <row r="1404" spans="1:7">
      <c r="A1404" t="s">
        <v>3135</v>
      </c>
      <c r="B1404" t="s">
        <v>3136</v>
      </c>
      <c r="C1404">
        <v>10</v>
      </c>
      <c r="D1404" s="260">
        <v>46185</v>
      </c>
      <c r="E1404" s="260">
        <v>46198</v>
      </c>
      <c r="F1404">
        <v>102</v>
      </c>
      <c r="G1404" t="s">
        <v>356</v>
      </c>
    </row>
    <row r="1405" spans="1:7">
      <c r="A1405" t="s">
        <v>3137</v>
      </c>
      <c r="B1405" t="s">
        <v>3138</v>
      </c>
      <c r="C1405">
        <v>10</v>
      </c>
      <c r="D1405" s="260">
        <v>46213</v>
      </c>
      <c r="E1405" s="260">
        <v>46226</v>
      </c>
      <c r="F1405">
        <v>102</v>
      </c>
      <c r="G1405" t="s">
        <v>356</v>
      </c>
    </row>
    <row r="1406" spans="1:7">
      <c r="A1406" t="s">
        <v>3139</v>
      </c>
      <c r="B1406" t="s">
        <v>3140</v>
      </c>
      <c r="C1406">
        <v>15</v>
      </c>
      <c r="D1406" s="260">
        <v>46112</v>
      </c>
      <c r="E1406" s="260">
        <v>46136</v>
      </c>
      <c r="F1406">
        <v>0</v>
      </c>
      <c r="G1406" t="s">
        <v>356</v>
      </c>
    </row>
    <row r="1407" spans="1:7">
      <c r="A1407" t="s">
        <v>3141</v>
      </c>
      <c r="B1407" t="s">
        <v>3142</v>
      </c>
      <c r="C1407">
        <v>10</v>
      </c>
      <c r="D1407" s="260">
        <v>46154</v>
      </c>
      <c r="E1407" s="260">
        <v>46167</v>
      </c>
      <c r="F1407">
        <v>34</v>
      </c>
      <c r="G1407" t="s">
        <v>356</v>
      </c>
    </row>
    <row r="1408" spans="1:7">
      <c r="A1408" t="s">
        <v>3143</v>
      </c>
      <c r="B1408" t="s">
        <v>3144</v>
      </c>
      <c r="C1408">
        <v>10</v>
      </c>
      <c r="D1408" s="260">
        <v>46185</v>
      </c>
      <c r="E1408" s="260">
        <v>46198</v>
      </c>
      <c r="F1408">
        <v>33</v>
      </c>
      <c r="G1408" t="s">
        <v>356</v>
      </c>
    </row>
    <row r="1409" spans="1:7">
      <c r="A1409" t="s">
        <v>3145</v>
      </c>
      <c r="B1409" t="s">
        <v>3146</v>
      </c>
      <c r="C1409">
        <v>15</v>
      </c>
      <c r="D1409" s="260">
        <v>46148</v>
      </c>
      <c r="E1409" s="260">
        <v>46168</v>
      </c>
      <c r="F1409">
        <v>36</v>
      </c>
      <c r="G1409" t="s">
        <v>356</v>
      </c>
    </row>
    <row r="1410" spans="1:7">
      <c r="A1410" t="s">
        <v>3147</v>
      </c>
      <c r="B1410" t="s">
        <v>3148</v>
      </c>
      <c r="C1410">
        <v>10</v>
      </c>
      <c r="D1410" s="260">
        <v>46185</v>
      </c>
      <c r="E1410" s="260">
        <v>46198</v>
      </c>
      <c r="F1410">
        <v>102</v>
      </c>
      <c r="G1410" t="s">
        <v>356</v>
      </c>
    </row>
    <row r="1411" spans="1:7">
      <c r="A1411" t="s">
        <v>3149</v>
      </c>
      <c r="B1411" t="s">
        <v>3150</v>
      </c>
      <c r="C1411">
        <v>10</v>
      </c>
      <c r="D1411" s="260">
        <v>46213</v>
      </c>
      <c r="E1411" s="260">
        <v>46226</v>
      </c>
      <c r="F1411">
        <v>102</v>
      </c>
      <c r="G1411" t="s">
        <v>356</v>
      </c>
    </row>
    <row r="1412" spans="1:7">
      <c r="A1412" t="s">
        <v>3151</v>
      </c>
      <c r="B1412" t="s">
        <v>3152</v>
      </c>
      <c r="C1412">
        <v>10</v>
      </c>
      <c r="D1412" s="260">
        <v>46132</v>
      </c>
      <c r="E1412" s="260">
        <v>46146</v>
      </c>
      <c r="F1412">
        <v>-45</v>
      </c>
      <c r="G1412" t="s">
        <v>356</v>
      </c>
    </row>
    <row r="1413" spans="1:7">
      <c r="A1413" t="s">
        <v>3153</v>
      </c>
      <c r="B1413" t="s">
        <v>3154</v>
      </c>
      <c r="C1413">
        <v>10</v>
      </c>
      <c r="D1413" s="260">
        <v>46161</v>
      </c>
      <c r="E1413" s="260">
        <v>46175</v>
      </c>
      <c r="F1413">
        <v>123</v>
      </c>
      <c r="G1413" t="s">
        <v>356</v>
      </c>
    </row>
    <row r="1414" spans="1:7">
      <c r="A1414" t="s">
        <v>3155</v>
      </c>
      <c r="B1414" t="s">
        <v>3156</v>
      </c>
      <c r="C1414">
        <v>5</v>
      </c>
      <c r="D1414" s="260">
        <v>46199</v>
      </c>
      <c r="E1414" s="260">
        <v>46205</v>
      </c>
      <c r="F1414">
        <v>117</v>
      </c>
      <c r="G1414" t="s">
        <v>356</v>
      </c>
    </row>
    <row r="1415" spans="1:7">
      <c r="A1415" t="s">
        <v>3157</v>
      </c>
      <c r="B1415" t="s">
        <v>3158</v>
      </c>
      <c r="C1415">
        <v>15</v>
      </c>
      <c r="D1415" s="260">
        <v>46199</v>
      </c>
      <c r="E1415" s="260">
        <v>46219</v>
      </c>
      <c r="F1415">
        <v>47</v>
      </c>
      <c r="G1415" t="s">
        <v>356</v>
      </c>
    </row>
    <row r="1416" spans="1:7">
      <c r="A1416" t="s">
        <v>3159</v>
      </c>
      <c r="B1416" t="s">
        <v>3160</v>
      </c>
      <c r="C1416">
        <v>10</v>
      </c>
      <c r="D1416" s="260">
        <v>46268</v>
      </c>
      <c r="E1416" s="260">
        <v>46281</v>
      </c>
      <c r="F1416">
        <v>67</v>
      </c>
      <c r="G1416" t="s">
        <v>356</v>
      </c>
    </row>
    <row r="1417" spans="1:7">
      <c r="A1417" t="s">
        <v>3161</v>
      </c>
      <c r="B1417" t="s">
        <v>3162</v>
      </c>
      <c r="C1417">
        <v>15</v>
      </c>
      <c r="D1417" s="260">
        <v>46220</v>
      </c>
      <c r="E1417" s="260">
        <v>46245</v>
      </c>
      <c r="F1417">
        <v>32</v>
      </c>
      <c r="G1417" t="s">
        <v>356</v>
      </c>
    </row>
    <row r="1418" spans="1:7">
      <c r="A1418" t="s">
        <v>3163</v>
      </c>
      <c r="B1418" t="s">
        <v>3164</v>
      </c>
      <c r="C1418">
        <v>10</v>
      </c>
      <c r="D1418" s="260">
        <v>46289</v>
      </c>
      <c r="E1418" s="260">
        <v>46302</v>
      </c>
      <c r="F1418">
        <v>52</v>
      </c>
      <c r="G1418" t="s">
        <v>356</v>
      </c>
    </row>
    <row r="1419" spans="1:7">
      <c r="A1419" t="s">
        <v>3165</v>
      </c>
      <c r="B1419" t="s">
        <v>3166</v>
      </c>
      <c r="C1419">
        <v>15</v>
      </c>
      <c r="D1419" s="260">
        <v>46199</v>
      </c>
      <c r="E1419" s="260">
        <v>46219</v>
      </c>
      <c r="F1419">
        <v>47</v>
      </c>
      <c r="G1419" t="s">
        <v>356</v>
      </c>
    </row>
    <row r="1420" spans="1:7">
      <c r="A1420" t="s">
        <v>3167</v>
      </c>
      <c r="B1420" t="s">
        <v>3168</v>
      </c>
      <c r="C1420">
        <v>10</v>
      </c>
      <c r="D1420" s="260">
        <v>46239</v>
      </c>
      <c r="E1420" s="260">
        <v>46253</v>
      </c>
      <c r="F1420">
        <v>67</v>
      </c>
      <c r="G1420" t="s">
        <v>356</v>
      </c>
    </row>
    <row r="1421" spans="1:7">
      <c r="A1421" t="s">
        <v>3169</v>
      </c>
      <c r="B1421" t="s">
        <v>3170</v>
      </c>
      <c r="C1421">
        <v>10</v>
      </c>
      <c r="D1421" s="260">
        <v>46268</v>
      </c>
      <c r="E1421" s="260">
        <v>46281</v>
      </c>
      <c r="F1421">
        <v>67</v>
      </c>
      <c r="G1421" t="s">
        <v>356</v>
      </c>
    </row>
    <row r="1422" spans="1:7">
      <c r="A1422" t="s">
        <v>3171</v>
      </c>
      <c r="B1422" t="s">
        <v>3172</v>
      </c>
      <c r="C1422">
        <v>15</v>
      </c>
      <c r="D1422" s="260">
        <v>46148</v>
      </c>
      <c r="E1422" s="260">
        <v>46168</v>
      </c>
      <c r="F1422">
        <v>63</v>
      </c>
      <c r="G1422" t="s">
        <v>356</v>
      </c>
    </row>
    <row r="1423" spans="1:7">
      <c r="A1423" t="s">
        <v>3173</v>
      </c>
      <c r="B1423" t="s">
        <v>3174</v>
      </c>
      <c r="C1423">
        <v>10</v>
      </c>
      <c r="D1423" s="260">
        <v>46185</v>
      </c>
      <c r="E1423" s="260">
        <v>46198</v>
      </c>
      <c r="F1423">
        <v>102</v>
      </c>
      <c r="G1423" t="s">
        <v>356</v>
      </c>
    </row>
    <row r="1424" spans="1:7">
      <c r="A1424" t="s">
        <v>3175</v>
      </c>
      <c r="B1424" t="s">
        <v>3176</v>
      </c>
      <c r="C1424">
        <v>10</v>
      </c>
      <c r="D1424" s="260">
        <v>46213</v>
      </c>
      <c r="E1424" s="260">
        <v>46226</v>
      </c>
      <c r="F1424">
        <v>102</v>
      </c>
      <c r="G1424" t="s">
        <v>356</v>
      </c>
    </row>
    <row r="1425" spans="1:7">
      <c r="A1425" t="s">
        <v>3177</v>
      </c>
      <c r="B1425" t="s">
        <v>3178</v>
      </c>
      <c r="C1425">
        <v>15</v>
      </c>
      <c r="D1425" s="260">
        <v>46112</v>
      </c>
      <c r="E1425" s="260">
        <v>46136</v>
      </c>
      <c r="F1425">
        <v>89</v>
      </c>
      <c r="G1425" t="s">
        <v>356</v>
      </c>
    </row>
    <row r="1426" spans="1:7">
      <c r="A1426" t="s">
        <v>3179</v>
      </c>
      <c r="B1426" t="s">
        <v>3180</v>
      </c>
      <c r="C1426">
        <v>10</v>
      </c>
      <c r="D1426" s="260">
        <v>46154</v>
      </c>
      <c r="E1426" s="260">
        <v>46167</v>
      </c>
      <c r="F1426">
        <v>123</v>
      </c>
      <c r="G1426" t="s">
        <v>356</v>
      </c>
    </row>
    <row r="1427" spans="1:7">
      <c r="A1427" t="s">
        <v>3181</v>
      </c>
      <c r="B1427" t="s">
        <v>3182</v>
      </c>
      <c r="C1427">
        <v>10</v>
      </c>
      <c r="D1427" s="260">
        <v>46184</v>
      </c>
      <c r="E1427" s="260">
        <v>46197</v>
      </c>
      <c r="F1427">
        <v>123</v>
      </c>
      <c r="G1427" t="s">
        <v>356</v>
      </c>
    </row>
    <row r="1428" spans="1:7">
      <c r="A1428" t="s">
        <v>3183</v>
      </c>
      <c r="B1428" t="s">
        <v>3184</v>
      </c>
      <c r="C1428">
        <v>15</v>
      </c>
      <c r="D1428" s="260">
        <v>46148</v>
      </c>
      <c r="E1428" s="260">
        <v>46168</v>
      </c>
      <c r="F1428">
        <v>36</v>
      </c>
      <c r="G1428" t="s">
        <v>356</v>
      </c>
    </row>
    <row r="1429" spans="1:7">
      <c r="A1429" t="s">
        <v>3185</v>
      </c>
      <c r="B1429" t="s">
        <v>3186</v>
      </c>
      <c r="C1429">
        <v>10</v>
      </c>
      <c r="D1429" s="260">
        <v>46185</v>
      </c>
      <c r="E1429" s="260">
        <v>46198</v>
      </c>
      <c r="F1429">
        <v>102</v>
      </c>
      <c r="G1429" t="s">
        <v>356</v>
      </c>
    </row>
    <row r="1430" spans="1:7">
      <c r="A1430" t="s">
        <v>3187</v>
      </c>
      <c r="B1430" t="s">
        <v>3188</v>
      </c>
      <c r="C1430">
        <v>10</v>
      </c>
      <c r="D1430" s="260">
        <v>46213</v>
      </c>
      <c r="E1430" s="260">
        <v>46226</v>
      </c>
      <c r="F1430">
        <v>102</v>
      </c>
      <c r="G1430" t="s">
        <v>356</v>
      </c>
    </row>
    <row r="1431" spans="1:7">
      <c r="A1431" t="s">
        <v>3189</v>
      </c>
      <c r="B1431" t="s">
        <v>3190</v>
      </c>
      <c r="C1431">
        <v>10</v>
      </c>
      <c r="D1431" s="260">
        <v>46132</v>
      </c>
      <c r="E1431" s="260">
        <v>46146</v>
      </c>
      <c r="F1431">
        <v>-45</v>
      </c>
      <c r="G1431" t="s">
        <v>356</v>
      </c>
    </row>
    <row r="1432" spans="1:7">
      <c r="A1432" t="s">
        <v>3191</v>
      </c>
      <c r="B1432" t="s">
        <v>3192</v>
      </c>
      <c r="C1432">
        <v>10</v>
      </c>
      <c r="D1432" s="260">
        <v>46161</v>
      </c>
      <c r="E1432" s="260">
        <v>46175</v>
      </c>
      <c r="F1432">
        <v>6</v>
      </c>
      <c r="G1432" t="s">
        <v>356</v>
      </c>
    </row>
    <row r="1433" spans="1:7">
      <c r="A1433" t="s">
        <v>3193</v>
      </c>
      <c r="B1433" t="s">
        <v>3194</v>
      </c>
      <c r="C1433">
        <v>10</v>
      </c>
      <c r="D1433" s="260">
        <v>46191</v>
      </c>
      <c r="E1433" s="260">
        <v>46204</v>
      </c>
      <c r="F1433">
        <v>6</v>
      </c>
      <c r="G1433" t="s">
        <v>356</v>
      </c>
    </row>
    <row r="1434" spans="1:7">
      <c r="A1434" t="s">
        <v>3195</v>
      </c>
      <c r="B1434" t="s">
        <v>3196</v>
      </c>
      <c r="C1434">
        <v>15</v>
      </c>
      <c r="D1434" s="260">
        <v>46199</v>
      </c>
      <c r="E1434" s="260">
        <v>46219</v>
      </c>
      <c r="F1434">
        <v>47</v>
      </c>
      <c r="G1434" t="s">
        <v>356</v>
      </c>
    </row>
    <row r="1435" spans="1:7">
      <c r="A1435" t="s">
        <v>3197</v>
      </c>
      <c r="B1435" t="s">
        <v>3198</v>
      </c>
      <c r="C1435">
        <v>10</v>
      </c>
      <c r="D1435" s="260">
        <v>46268</v>
      </c>
      <c r="E1435" s="260">
        <v>46281</v>
      </c>
      <c r="F1435">
        <v>67</v>
      </c>
      <c r="G1435" t="s">
        <v>356</v>
      </c>
    </row>
    <row r="1436" spans="1:7">
      <c r="A1436" t="s">
        <v>3199</v>
      </c>
      <c r="B1436" t="s">
        <v>3200</v>
      </c>
      <c r="C1436">
        <v>15</v>
      </c>
      <c r="D1436" s="260">
        <v>46220</v>
      </c>
      <c r="E1436" s="260">
        <v>46245</v>
      </c>
      <c r="F1436">
        <v>32</v>
      </c>
      <c r="G1436" t="s">
        <v>356</v>
      </c>
    </row>
    <row r="1437" spans="1:7">
      <c r="A1437" t="s">
        <v>3201</v>
      </c>
      <c r="B1437" t="s">
        <v>3202</v>
      </c>
      <c r="C1437">
        <v>10</v>
      </c>
      <c r="D1437" s="260">
        <v>46289</v>
      </c>
      <c r="E1437" s="260">
        <v>46302</v>
      </c>
      <c r="F1437">
        <v>52</v>
      </c>
      <c r="G1437" t="s">
        <v>356</v>
      </c>
    </row>
    <row r="1438" spans="1:7">
      <c r="A1438" t="s">
        <v>3203</v>
      </c>
      <c r="B1438" t="s">
        <v>3204</v>
      </c>
      <c r="C1438">
        <v>15</v>
      </c>
      <c r="D1438" s="260">
        <v>46220</v>
      </c>
      <c r="E1438" s="260">
        <v>46245</v>
      </c>
      <c r="F1438">
        <v>57</v>
      </c>
      <c r="G1438" t="s">
        <v>356</v>
      </c>
    </row>
    <row r="1439" spans="1:7">
      <c r="A1439" t="s">
        <v>3205</v>
      </c>
      <c r="B1439" t="s">
        <v>3206</v>
      </c>
      <c r="C1439">
        <v>10</v>
      </c>
      <c r="D1439" s="260">
        <v>46261</v>
      </c>
      <c r="E1439" s="260">
        <v>46274</v>
      </c>
      <c r="F1439">
        <v>57</v>
      </c>
      <c r="G1439" t="s">
        <v>356</v>
      </c>
    </row>
    <row r="1440" spans="1:7">
      <c r="A1440" t="s">
        <v>3207</v>
      </c>
      <c r="B1440" t="s">
        <v>3208</v>
      </c>
      <c r="C1440">
        <v>10</v>
      </c>
      <c r="D1440" s="260">
        <v>46289</v>
      </c>
      <c r="E1440" s="260">
        <v>46302</v>
      </c>
      <c r="F1440">
        <v>57</v>
      </c>
      <c r="G1440" t="s">
        <v>356</v>
      </c>
    </row>
    <row r="1441" spans="1:7">
      <c r="A1441" t="s">
        <v>3209</v>
      </c>
      <c r="B1441" t="s">
        <v>3210</v>
      </c>
      <c r="C1441">
        <v>15</v>
      </c>
      <c r="D1441" s="260">
        <v>46220</v>
      </c>
      <c r="E1441" s="260">
        <v>46245</v>
      </c>
      <c r="F1441">
        <v>37</v>
      </c>
      <c r="G1441" t="s">
        <v>356</v>
      </c>
    </row>
    <row r="1442" spans="1:7">
      <c r="A1442" t="s">
        <v>3211</v>
      </c>
      <c r="B1442" t="s">
        <v>3212</v>
      </c>
      <c r="C1442">
        <v>10</v>
      </c>
      <c r="D1442" s="260">
        <v>46261</v>
      </c>
      <c r="E1442" s="260">
        <v>46274</v>
      </c>
      <c r="F1442">
        <v>57</v>
      </c>
      <c r="G1442" t="s">
        <v>356</v>
      </c>
    </row>
    <row r="1443" spans="1:7">
      <c r="A1443" t="s">
        <v>3213</v>
      </c>
      <c r="B1443" t="s">
        <v>3214</v>
      </c>
      <c r="C1443">
        <v>10</v>
      </c>
      <c r="D1443" s="260">
        <v>46289</v>
      </c>
      <c r="E1443" s="260">
        <v>46302</v>
      </c>
      <c r="F1443">
        <v>57</v>
      </c>
      <c r="G1443" t="s">
        <v>356</v>
      </c>
    </row>
    <row r="1444" spans="1:7">
      <c r="A1444" t="s">
        <v>3215</v>
      </c>
      <c r="B1444" t="s">
        <v>3216</v>
      </c>
      <c r="C1444">
        <v>15</v>
      </c>
      <c r="D1444" s="260">
        <v>46220</v>
      </c>
      <c r="E1444" s="260">
        <v>46245</v>
      </c>
      <c r="F1444">
        <v>57</v>
      </c>
      <c r="G1444" t="s">
        <v>356</v>
      </c>
    </row>
    <row r="1445" spans="1:7">
      <c r="A1445" t="s">
        <v>3217</v>
      </c>
      <c r="B1445" t="s">
        <v>3218</v>
      </c>
      <c r="C1445">
        <v>10</v>
      </c>
      <c r="D1445" s="260">
        <v>46261</v>
      </c>
      <c r="E1445" s="260">
        <v>46274</v>
      </c>
      <c r="F1445">
        <v>57</v>
      </c>
      <c r="G1445" t="s">
        <v>356</v>
      </c>
    </row>
    <row r="1446" spans="1:7">
      <c r="A1446" t="s">
        <v>3219</v>
      </c>
      <c r="B1446" t="s">
        <v>3220</v>
      </c>
      <c r="C1446">
        <v>10</v>
      </c>
      <c r="D1446" s="260">
        <v>46289</v>
      </c>
      <c r="E1446" s="260">
        <v>46302</v>
      </c>
      <c r="F1446">
        <v>57</v>
      </c>
      <c r="G1446" t="s">
        <v>356</v>
      </c>
    </row>
    <row r="1447" spans="1:7">
      <c r="A1447" t="s">
        <v>3221</v>
      </c>
      <c r="B1447" t="s">
        <v>3222</v>
      </c>
      <c r="C1447">
        <v>15</v>
      </c>
      <c r="D1447" s="260">
        <v>46199</v>
      </c>
      <c r="E1447" s="260">
        <v>46219</v>
      </c>
      <c r="F1447">
        <v>47</v>
      </c>
      <c r="G1447" t="s">
        <v>356</v>
      </c>
    </row>
    <row r="1448" spans="1:7">
      <c r="A1448" t="s">
        <v>3223</v>
      </c>
      <c r="B1448" t="s">
        <v>3224</v>
      </c>
      <c r="C1448">
        <v>10</v>
      </c>
      <c r="D1448" s="260">
        <v>46239</v>
      </c>
      <c r="E1448" s="260">
        <v>46253</v>
      </c>
      <c r="F1448">
        <v>67</v>
      </c>
      <c r="G1448" t="s">
        <v>356</v>
      </c>
    </row>
    <row r="1449" spans="1:7">
      <c r="A1449" t="s">
        <v>3225</v>
      </c>
      <c r="B1449" t="s">
        <v>3226</v>
      </c>
      <c r="C1449">
        <v>10</v>
      </c>
      <c r="D1449" s="260">
        <v>46268</v>
      </c>
      <c r="E1449" s="260">
        <v>46281</v>
      </c>
      <c r="F1449">
        <v>67</v>
      </c>
      <c r="G1449" t="s">
        <v>356</v>
      </c>
    </row>
    <row r="1450" spans="1:7">
      <c r="A1450" t="s">
        <v>3227</v>
      </c>
      <c r="C1450">
        <v>133</v>
      </c>
      <c r="D1450" s="260">
        <v>46142</v>
      </c>
      <c r="E1450" s="260">
        <v>46339</v>
      </c>
      <c r="F1450">
        <v>32</v>
      </c>
      <c r="G1450" t="s">
        <v>356</v>
      </c>
    </row>
    <row r="1451" spans="1:7">
      <c r="A1451" t="s">
        <v>3228</v>
      </c>
      <c r="B1451" t="s">
        <v>3229</v>
      </c>
      <c r="C1451">
        <v>15</v>
      </c>
      <c r="D1451" s="260">
        <v>46181</v>
      </c>
      <c r="E1451" s="260">
        <v>46199</v>
      </c>
      <c r="F1451">
        <v>63</v>
      </c>
      <c r="G1451" t="s">
        <v>356</v>
      </c>
    </row>
    <row r="1452" spans="1:7">
      <c r="A1452" t="s">
        <v>3230</v>
      </c>
      <c r="B1452" t="s">
        <v>3231</v>
      </c>
      <c r="C1452">
        <v>5</v>
      </c>
      <c r="D1452" s="260">
        <v>46288</v>
      </c>
      <c r="E1452" s="260">
        <v>46294</v>
      </c>
      <c r="F1452">
        <v>63</v>
      </c>
      <c r="G1452" t="s">
        <v>356</v>
      </c>
    </row>
    <row r="1453" spans="1:7">
      <c r="A1453" t="s">
        <v>3232</v>
      </c>
      <c r="B1453" t="s">
        <v>3233</v>
      </c>
      <c r="C1453">
        <v>15</v>
      </c>
      <c r="D1453" s="260">
        <v>46142</v>
      </c>
      <c r="E1453" s="260">
        <v>46163</v>
      </c>
      <c r="F1453">
        <v>0</v>
      </c>
      <c r="G1453" t="s">
        <v>356</v>
      </c>
    </row>
    <row r="1454" spans="1:7">
      <c r="A1454" t="s">
        <v>3234</v>
      </c>
      <c r="B1454" t="s">
        <v>3235</v>
      </c>
      <c r="C1454">
        <v>5</v>
      </c>
      <c r="D1454" s="260">
        <v>46252</v>
      </c>
      <c r="E1454" s="260">
        <v>46258</v>
      </c>
      <c r="F1454">
        <v>0</v>
      </c>
      <c r="G1454" t="s">
        <v>356</v>
      </c>
    </row>
    <row r="1455" spans="1:7">
      <c r="A1455" t="s">
        <v>3236</v>
      </c>
      <c r="B1455" t="s">
        <v>3237</v>
      </c>
      <c r="C1455">
        <v>15</v>
      </c>
      <c r="D1455" s="260">
        <v>46213</v>
      </c>
      <c r="E1455" s="260">
        <v>46238</v>
      </c>
      <c r="F1455">
        <v>36</v>
      </c>
      <c r="G1455" t="s">
        <v>356</v>
      </c>
    </row>
    <row r="1456" spans="1:7">
      <c r="A1456" t="s">
        <v>3238</v>
      </c>
      <c r="B1456" t="s">
        <v>3239</v>
      </c>
      <c r="C1456">
        <v>5</v>
      </c>
      <c r="D1456" s="260">
        <v>46329</v>
      </c>
      <c r="E1456" s="260">
        <v>46335</v>
      </c>
      <c r="F1456">
        <v>36</v>
      </c>
      <c r="G1456" t="s">
        <v>356</v>
      </c>
    </row>
    <row r="1457" spans="1:7">
      <c r="A1457" t="s">
        <v>3240</v>
      </c>
      <c r="B1457" t="s">
        <v>3241</v>
      </c>
      <c r="C1457">
        <v>15</v>
      </c>
      <c r="D1457" s="260">
        <v>46168</v>
      </c>
      <c r="E1457" s="260">
        <v>46190</v>
      </c>
      <c r="F1457">
        <v>67</v>
      </c>
      <c r="G1457" t="s">
        <v>356</v>
      </c>
    </row>
    <row r="1458" spans="1:7">
      <c r="A1458" t="s">
        <v>3242</v>
      </c>
      <c r="B1458" t="s">
        <v>3243</v>
      </c>
      <c r="C1458">
        <v>5</v>
      </c>
      <c r="D1458" s="260">
        <v>46282</v>
      </c>
      <c r="E1458" s="260">
        <v>46288</v>
      </c>
      <c r="F1458">
        <v>67</v>
      </c>
      <c r="G1458" t="s">
        <v>356</v>
      </c>
    </row>
    <row r="1459" spans="1:7">
      <c r="A1459" t="s">
        <v>3244</v>
      </c>
      <c r="B1459" t="s">
        <v>3245</v>
      </c>
      <c r="C1459">
        <v>10</v>
      </c>
      <c r="D1459" s="260">
        <v>46220</v>
      </c>
      <c r="E1459" s="260">
        <v>46238</v>
      </c>
      <c r="F1459">
        <v>47</v>
      </c>
      <c r="G1459" t="s">
        <v>356</v>
      </c>
    </row>
    <row r="1460" spans="1:7">
      <c r="A1460" t="s">
        <v>3246</v>
      </c>
      <c r="B1460" t="s">
        <v>3247</v>
      </c>
      <c r="C1460">
        <v>5</v>
      </c>
      <c r="D1460" s="260">
        <v>46311</v>
      </c>
      <c r="E1460" s="260">
        <v>46317</v>
      </c>
      <c r="F1460">
        <v>47</v>
      </c>
      <c r="G1460" t="s">
        <v>356</v>
      </c>
    </row>
    <row r="1461" spans="1:7">
      <c r="A1461" t="s">
        <v>3248</v>
      </c>
      <c r="B1461" t="s">
        <v>3249</v>
      </c>
      <c r="C1461">
        <v>10</v>
      </c>
      <c r="D1461" s="260">
        <v>46247</v>
      </c>
      <c r="E1461" s="260">
        <v>46260</v>
      </c>
      <c r="F1461">
        <v>32</v>
      </c>
      <c r="G1461" t="s">
        <v>356</v>
      </c>
    </row>
    <row r="1462" spans="1:7">
      <c r="A1462" t="s">
        <v>3250</v>
      </c>
      <c r="B1462" t="s">
        <v>3251</v>
      </c>
      <c r="C1462">
        <v>5</v>
      </c>
      <c r="D1462" s="260">
        <v>46335</v>
      </c>
      <c r="E1462" s="260">
        <v>46339</v>
      </c>
      <c r="F1462">
        <v>32</v>
      </c>
      <c r="G1462" t="s">
        <v>356</v>
      </c>
    </row>
    <row r="1463" spans="1:7">
      <c r="A1463" t="s">
        <v>3252</v>
      </c>
      <c r="B1463" t="s">
        <v>3253</v>
      </c>
      <c r="C1463">
        <v>10</v>
      </c>
      <c r="D1463" s="260">
        <v>46220</v>
      </c>
      <c r="E1463" s="260">
        <v>46238</v>
      </c>
      <c r="F1463">
        <v>47</v>
      </c>
      <c r="G1463" t="s">
        <v>356</v>
      </c>
    </row>
    <row r="1464" spans="1:7">
      <c r="A1464" t="s">
        <v>3254</v>
      </c>
      <c r="B1464" t="s">
        <v>3255</v>
      </c>
      <c r="C1464">
        <v>5</v>
      </c>
      <c r="D1464" s="260">
        <v>46311</v>
      </c>
      <c r="E1464" s="260">
        <v>46317</v>
      </c>
      <c r="F1464">
        <v>47</v>
      </c>
      <c r="G1464" t="s">
        <v>356</v>
      </c>
    </row>
    <row r="1465" spans="1:7">
      <c r="A1465" t="s">
        <v>3256</v>
      </c>
      <c r="B1465" t="s">
        <v>3257</v>
      </c>
      <c r="C1465">
        <v>15</v>
      </c>
      <c r="D1465" s="260">
        <v>46181</v>
      </c>
      <c r="E1465" s="260">
        <v>46199</v>
      </c>
      <c r="F1465">
        <v>63</v>
      </c>
      <c r="G1465" t="s">
        <v>356</v>
      </c>
    </row>
    <row r="1466" spans="1:7">
      <c r="A1466" t="s">
        <v>3258</v>
      </c>
      <c r="B1466" t="s">
        <v>3259</v>
      </c>
      <c r="C1466">
        <v>5</v>
      </c>
      <c r="D1466" s="260">
        <v>46288</v>
      </c>
      <c r="E1466" s="260">
        <v>46294</v>
      </c>
      <c r="F1466">
        <v>63</v>
      </c>
      <c r="G1466" t="s">
        <v>356</v>
      </c>
    </row>
    <row r="1467" spans="1:7">
      <c r="A1467" t="s">
        <v>3260</v>
      </c>
      <c r="B1467" t="s">
        <v>3261</v>
      </c>
      <c r="C1467">
        <v>15</v>
      </c>
      <c r="D1467" s="260">
        <v>46142</v>
      </c>
      <c r="E1467" s="260">
        <v>46163</v>
      </c>
      <c r="F1467">
        <v>89</v>
      </c>
      <c r="G1467" t="s">
        <v>356</v>
      </c>
    </row>
    <row r="1468" spans="1:7">
      <c r="A1468" t="s">
        <v>3262</v>
      </c>
      <c r="B1468" t="s">
        <v>3263</v>
      </c>
      <c r="C1468">
        <v>5</v>
      </c>
      <c r="D1468" s="260">
        <v>46252</v>
      </c>
      <c r="E1468" s="260">
        <v>46258</v>
      </c>
      <c r="F1468">
        <v>89</v>
      </c>
      <c r="G1468" t="s">
        <v>356</v>
      </c>
    </row>
    <row r="1469" spans="1:7">
      <c r="A1469" t="s">
        <v>3264</v>
      </c>
      <c r="B1469" t="s">
        <v>3265</v>
      </c>
      <c r="C1469">
        <v>15</v>
      </c>
      <c r="D1469" s="260">
        <v>46213</v>
      </c>
      <c r="E1469" s="260">
        <v>46238</v>
      </c>
      <c r="F1469">
        <v>36</v>
      </c>
      <c r="G1469" t="s">
        <v>356</v>
      </c>
    </row>
    <row r="1470" spans="1:7">
      <c r="A1470" t="s">
        <v>3266</v>
      </c>
      <c r="B1470" t="s">
        <v>3267</v>
      </c>
      <c r="C1470">
        <v>5</v>
      </c>
      <c r="D1470" s="260">
        <v>46329</v>
      </c>
      <c r="E1470" s="260">
        <v>46335</v>
      </c>
      <c r="F1470">
        <v>36</v>
      </c>
      <c r="G1470" t="s">
        <v>356</v>
      </c>
    </row>
    <row r="1471" spans="1:7">
      <c r="A1471" t="s">
        <v>3268</v>
      </c>
      <c r="B1471" t="s">
        <v>3269</v>
      </c>
      <c r="C1471">
        <v>15</v>
      </c>
      <c r="D1471" s="260">
        <v>46168</v>
      </c>
      <c r="E1471" s="260">
        <v>46190</v>
      </c>
      <c r="F1471">
        <v>-45</v>
      </c>
      <c r="G1471" t="s">
        <v>356</v>
      </c>
    </row>
    <row r="1472" spans="1:7">
      <c r="A1472" t="s">
        <v>3270</v>
      </c>
      <c r="B1472" t="s">
        <v>3271</v>
      </c>
      <c r="C1472">
        <v>5</v>
      </c>
      <c r="D1472" s="260">
        <v>46282</v>
      </c>
      <c r="E1472" s="260">
        <v>46288</v>
      </c>
      <c r="F1472">
        <v>-45</v>
      </c>
      <c r="G1472" t="s">
        <v>356</v>
      </c>
    </row>
    <row r="1473" spans="1:7">
      <c r="A1473" t="s">
        <v>3272</v>
      </c>
      <c r="B1473" t="s">
        <v>3273</v>
      </c>
      <c r="C1473">
        <v>10</v>
      </c>
      <c r="D1473" s="260">
        <v>46220</v>
      </c>
      <c r="E1473" s="260">
        <v>46238</v>
      </c>
      <c r="F1473">
        <v>47</v>
      </c>
      <c r="G1473" t="s">
        <v>356</v>
      </c>
    </row>
    <row r="1474" spans="1:7">
      <c r="A1474" t="s">
        <v>3274</v>
      </c>
      <c r="B1474" t="s">
        <v>3275</v>
      </c>
      <c r="C1474">
        <v>5</v>
      </c>
      <c r="D1474" s="260">
        <v>46311</v>
      </c>
      <c r="E1474" s="260">
        <v>46317</v>
      </c>
      <c r="F1474">
        <v>47</v>
      </c>
      <c r="G1474" t="s">
        <v>356</v>
      </c>
    </row>
    <row r="1475" spans="1:7">
      <c r="A1475" t="s">
        <v>3276</v>
      </c>
      <c r="B1475" t="s">
        <v>3277</v>
      </c>
      <c r="C1475">
        <v>10</v>
      </c>
      <c r="D1475" s="260">
        <v>46247</v>
      </c>
      <c r="E1475" s="260">
        <v>46260</v>
      </c>
      <c r="F1475">
        <v>32</v>
      </c>
      <c r="G1475" t="s">
        <v>356</v>
      </c>
    </row>
    <row r="1476" spans="1:7">
      <c r="A1476" t="s">
        <v>3278</v>
      </c>
      <c r="B1476" t="s">
        <v>3279</v>
      </c>
      <c r="C1476">
        <v>5</v>
      </c>
      <c r="D1476" s="260">
        <v>46335</v>
      </c>
      <c r="E1476" s="260">
        <v>46339</v>
      </c>
      <c r="F1476">
        <v>32</v>
      </c>
      <c r="G1476" t="s">
        <v>356</v>
      </c>
    </row>
    <row r="1477" spans="1:7">
      <c r="A1477" t="s">
        <v>3280</v>
      </c>
      <c r="B1477" t="s">
        <v>3281</v>
      </c>
      <c r="C1477">
        <v>10</v>
      </c>
      <c r="D1477" s="260">
        <v>46220</v>
      </c>
      <c r="E1477" s="260">
        <v>46238</v>
      </c>
      <c r="F1477">
        <v>47</v>
      </c>
      <c r="G1477" t="s">
        <v>356</v>
      </c>
    </row>
    <row r="1478" spans="1:7">
      <c r="A1478" t="s">
        <v>3282</v>
      </c>
      <c r="B1478" t="s">
        <v>3283</v>
      </c>
      <c r="C1478">
        <v>5</v>
      </c>
      <c r="D1478" s="260">
        <v>46311</v>
      </c>
      <c r="E1478" s="260">
        <v>46317</v>
      </c>
      <c r="F1478">
        <v>47</v>
      </c>
      <c r="G1478" t="s">
        <v>356</v>
      </c>
    </row>
    <row r="1479" spans="1:7">
      <c r="A1479" t="s">
        <v>3284</v>
      </c>
      <c r="B1479" t="s">
        <v>3285</v>
      </c>
      <c r="C1479">
        <v>10</v>
      </c>
      <c r="D1479" s="260">
        <v>46227</v>
      </c>
      <c r="E1479" s="260">
        <v>46245</v>
      </c>
      <c r="F1479">
        <v>82</v>
      </c>
      <c r="G1479" t="s">
        <v>356</v>
      </c>
    </row>
    <row r="1480" spans="1:7">
      <c r="A1480" t="s">
        <v>3286</v>
      </c>
      <c r="B1480" t="s">
        <v>3287</v>
      </c>
      <c r="C1480">
        <v>5</v>
      </c>
      <c r="D1480" s="260">
        <v>46328</v>
      </c>
      <c r="E1480" s="260">
        <v>46332</v>
      </c>
      <c r="F1480">
        <v>37</v>
      </c>
      <c r="G1480" t="s">
        <v>356</v>
      </c>
    </row>
    <row r="1481" spans="1:7">
      <c r="A1481" t="s">
        <v>3288</v>
      </c>
      <c r="C1481">
        <v>92</v>
      </c>
      <c r="D1481" s="260">
        <v>46183</v>
      </c>
      <c r="E1481" s="260">
        <v>46317</v>
      </c>
      <c r="F1481">
        <v>32</v>
      </c>
      <c r="G1481" t="s">
        <v>356</v>
      </c>
    </row>
    <row r="1482" spans="1:7">
      <c r="A1482" t="s">
        <v>3289</v>
      </c>
      <c r="B1482" t="s">
        <v>3290</v>
      </c>
      <c r="C1482">
        <v>16</v>
      </c>
      <c r="D1482" s="260">
        <v>46225</v>
      </c>
      <c r="E1482" s="260">
        <v>46252</v>
      </c>
      <c r="F1482">
        <v>63</v>
      </c>
      <c r="G1482" t="s">
        <v>356</v>
      </c>
    </row>
    <row r="1483" spans="1:7">
      <c r="A1483" t="s">
        <v>3291</v>
      </c>
      <c r="B1483" t="s">
        <v>3292</v>
      </c>
      <c r="C1483">
        <v>5</v>
      </c>
      <c r="D1483" s="260">
        <v>46267</v>
      </c>
      <c r="E1483" s="260">
        <v>46273</v>
      </c>
      <c r="F1483">
        <v>63</v>
      </c>
      <c r="G1483" t="s">
        <v>356</v>
      </c>
    </row>
    <row r="1484" spans="1:7">
      <c r="A1484" t="s">
        <v>3293</v>
      </c>
      <c r="B1484" t="s">
        <v>3294</v>
      </c>
      <c r="C1484">
        <v>20</v>
      </c>
      <c r="D1484" s="260">
        <v>46183</v>
      </c>
      <c r="E1484" s="260">
        <v>46210</v>
      </c>
      <c r="F1484">
        <v>0</v>
      </c>
      <c r="G1484" t="s">
        <v>356</v>
      </c>
    </row>
    <row r="1485" spans="1:7">
      <c r="A1485" t="s">
        <v>3295</v>
      </c>
      <c r="B1485" t="s">
        <v>3296</v>
      </c>
      <c r="C1485">
        <v>5</v>
      </c>
      <c r="D1485" s="260">
        <v>46225</v>
      </c>
      <c r="E1485" s="260">
        <v>46234</v>
      </c>
      <c r="F1485">
        <v>0</v>
      </c>
      <c r="G1485" t="s">
        <v>356</v>
      </c>
    </row>
    <row r="1486" spans="1:7">
      <c r="A1486" t="s">
        <v>3297</v>
      </c>
      <c r="B1486" t="s">
        <v>3298</v>
      </c>
      <c r="C1486">
        <v>20</v>
      </c>
      <c r="D1486" s="260">
        <v>46262</v>
      </c>
      <c r="E1486" s="260">
        <v>46289</v>
      </c>
      <c r="F1486">
        <v>36</v>
      </c>
      <c r="G1486" t="s">
        <v>356</v>
      </c>
    </row>
    <row r="1487" spans="1:7">
      <c r="A1487" t="s">
        <v>3299</v>
      </c>
      <c r="B1487" t="s">
        <v>3300</v>
      </c>
      <c r="C1487">
        <v>5</v>
      </c>
      <c r="D1487" s="260">
        <v>46304</v>
      </c>
      <c r="E1487" s="260">
        <v>46311</v>
      </c>
      <c r="F1487">
        <v>36</v>
      </c>
      <c r="G1487" t="s">
        <v>356</v>
      </c>
    </row>
    <row r="1488" spans="1:7">
      <c r="A1488" t="s">
        <v>3301</v>
      </c>
      <c r="B1488" t="s">
        <v>3302</v>
      </c>
      <c r="C1488">
        <v>12</v>
      </c>
      <c r="D1488" s="260">
        <v>46225</v>
      </c>
      <c r="E1488" s="260">
        <v>46245</v>
      </c>
      <c r="F1488">
        <v>67</v>
      </c>
      <c r="G1488" t="s">
        <v>356</v>
      </c>
    </row>
    <row r="1489" spans="1:7">
      <c r="A1489" t="s">
        <v>3303</v>
      </c>
      <c r="B1489" t="s">
        <v>3304</v>
      </c>
      <c r="C1489">
        <v>5</v>
      </c>
      <c r="D1489" s="260">
        <v>46261</v>
      </c>
      <c r="E1489" s="260">
        <v>46267</v>
      </c>
      <c r="F1489">
        <v>67</v>
      </c>
      <c r="G1489" t="s">
        <v>356</v>
      </c>
    </row>
    <row r="1490" spans="1:7">
      <c r="A1490" t="s">
        <v>3305</v>
      </c>
      <c r="B1490" t="s">
        <v>3306</v>
      </c>
      <c r="C1490">
        <v>15</v>
      </c>
      <c r="D1490" s="260">
        <v>46254</v>
      </c>
      <c r="E1490" s="260">
        <v>46274</v>
      </c>
      <c r="F1490">
        <v>47</v>
      </c>
      <c r="G1490" t="s">
        <v>356</v>
      </c>
    </row>
    <row r="1491" spans="1:7">
      <c r="A1491" t="s">
        <v>3307</v>
      </c>
      <c r="B1491" t="s">
        <v>3308</v>
      </c>
      <c r="C1491">
        <v>5</v>
      </c>
      <c r="D1491" s="260">
        <v>46289</v>
      </c>
      <c r="E1491" s="260">
        <v>46295</v>
      </c>
      <c r="F1491">
        <v>47</v>
      </c>
      <c r="G1491" t="s">
        <v>356</v>
      </c>
    </row>
    <row r="1492" spans="1:7">
      <c r="A1492" t="s">
        <v>3309</v>
      </c>
      <c r="B1492" t="s">
        <v>3310</v>
      </c>
      <c r="C1492">
        <v>15</v>
      </c>
      <c r="D1492" s="260">
        <v>46275</v>
      </c>
      <c r="E1492" s="260">
        <v>46295</v>
      </c>
      <c r="F1492">
        <v>32</v>
      </c>
      <c r="G1492" t="s">
        <v>356</v>
      </c>
    </row>
    <row r="1493" spans="1:7">
      <c r="A1493" t="s">
        <v>3311</v>
      </c>
      <c r="B1493" t="s">
        <v>3312</v>
      </c>
      <c r="C1493">
        <v>5</v>
      </c>
      <c r="D1493" s="260">
        <v>46311</v>
      </c>
      <c r="E1493" s="260">
        <v>46317</v>
      </c>
      <c r="F1493">
        <v>32</v>
      </c>
      <c r="G1493" t="s">
        <v>356</v>
      </c>
    </row>
    <row r="1494" spans="1:7">
      <c r="A1494" t="s">
        <v>3313</v>
      </c>
      <c r="B1494" t="s">
        <v>3314</v>
      </c>
      <c r="C1494">
        <v>15</v>
      </c>
      <c r="D1494" s="260">
        <v>46254</v>
      </c>
      <c r="E1494" s="260">
        <v>46274</v>
      </c>
      <c r="F1494">
        <v>47</v>
      </c>
      <c r="G1494" t="s">
        <v>356</v>
      </c>
    </row>
    <row r="1495" spans="1:7">
      <c r="A1495" t="s">
        <v>3315</v>
      </c>
      <c r="B1495" t="s">
        <v>3316</v>
      </c>
      <c r="C1495">
        <v>5</v>
      </c>
      <c r="D1495" s="260">
        <v>46289</v>
      </c>
      <c r="E1495" s="260">
        <v>46295</v>
      </c>
      <c r="F1495">
        <v>47</v>
      </c>
      <c r="G1495" t="s">
        <v>356</v>
      </c>
    </row>
    <row r="1496" spans="1:7">
      <c r="A1496" t="s">
        <v>3317</v>
      </c>
      <c r="B1496" t="s">
        <v>3318</v>
      </c>
      <c r="C1496">
        <v>16</v>
      </c>
      <c r="D1496" s="260">
        <v>46225</v>
      </c>
      <c r="E1496" s="260">
        <v>46252</v>
      </c>
      <c r="F1496">
        <v>63</v>
      </c>
      <c r="G1496" t="s">
        <v>356</v>
      </c>
    </row>
    <row r="1497" spans="1:7">
      <c r="A1497" t="s">
        <v>3319</v>
      </c>
      <c r="B1497" t="s">
        <v>3320</v>
      </c>
      <c r="C1497">
        <v>5</v>
      </c>
      <c r="D1497" s="260">
        <v>46267</v>
      </c>
      <c r="E1497" s="260">
        <v>46273</v>
      </c>
      <c r="F1497">
        <v>63</v>
      </c>
      <c r="G1497" t="s">
        <v>356</v>
      </c>
    </row>
    <row r="1498" spans="1:7">
      <c r="A1498" t="s">
        <v>3321</v>
      </c>
      <c r="B1498" t="s">
        <v>3322</v>
      </c>
      <c r="C1498">
        <v>20</v>
      </c>
      <c r="D1498" s="260">
        <v>46183</v>
      </c>
      <c r="E1498" s="260">
        <v>46210</v>
      </c>
      <c r="F1498">
        <v>89</v>
      </c>
      <c r="G1498" t="s">
        <v>356</v>
      </c>
    </row>
    <row r="1499" spans="1:7">
      <c r="A1499" t="s">
        <v>3323</v>
      </c>
      <c r="B1499" t="s">
        <v>3324</v>
      </c>
      <c r="C1499">
        <v>5</v>
      </c>
      <c r="D1499" s="260">
        <v>46225</v>
      </c>
      <c r="E1499" s="260">
        <v>46234</v>
      </c>
      <c r="F1499">
        <v>89</v>
      </c>
      <c r="G1499" t="s">
        <v>356</v>
      </c>
    </row>
    <row r="1500" spans="1:7">
      <c r="A1500" t="s">
        <v>3325</v>
      </c>
      <c r="B1500" t="s">
        <v>3326</v>
      </c>
      <c r="C1500">
        <v>20</v>
      </c>
      <c r="D1500" s="260">
        <v>46262</v>
      </c>
      <c r="E1500" s="260">
        <v>46289</v>
      </c>
      <c r="F1500">
        <v>36</v>
      </c>
      <c r="G1500" t="s">
        <v>356</v>
      </c>
    </row>
    <row r="1501" spans="1:7">
      <c r="A1501" t="s">
        <v>3327</v>
      </c>
      <c r="B1501" t="s">
        <v>3328</v>
      </c>
      <c r="C1501">
        <v>5</v>
      </c>
      <c r="D1501" s="260">
        <v>46304</v>
      </c>
      <c r="E1501" s="260">
        <v>46311</v>
      </c>
      <c r="F1501">
        <v>36</v>
      </c>
      <c r="G1501" t="s">
        <v>356</v>
      </c>
    </row>
    <row r="1502" spans="1:7">
      <c r="A1502" t="s">
        <v>3329</v>
      </c>
      <c r="B1502" t="s">
        <v>3330</v>
      </c>
      <c r="C1502">
        <v>12</v>
      </c>
      <c r="D1502" s="260">
        <v>46225</v>
      </c>
      <c r="E1502" s="260">
        <v>46245</v>
      </c>
      <c r="F1502">
        <v>-45</v>
      </c>
      <c r="G1502" t="s">
        <v>356</v>
      </c>
    </row>
    <row r="1503" spans="1:7">
      <c r="A1503" t="s">
        <v>3331</v>
      </c>
      <c r="B1503" t="s">
        <v>3332</v>
      </c>
      <c r="C1503">
        <v>5</v>
      </c>
      <c r="D1503" s="260">
        <v>46261</v>
      </c>
      <c r="E1503" s="260">
        <v>46267</v>
      </c>
      <c r="F1503">
        <v>-45</v>
      </c>
      <c r="G1503" t="s">
        <v>356</v>
      </c>
    </row>
    <row r="1504" spans="1:7">
      <c r="A1504" t="s">
        <v>3333</v>
      </c>
      <c r="B1504" t="s">
        <v>3334</v>
      </c>
      <c r="C1504">
        <v>15</v>
      </c>
      <c r="D1504" s="260">
        <v>46254</v>
      </c>
      <c r="E1504" s="260">
        <v>46274</v>
      </c>
      <c r="F1504">
        <v>47</v>
      </c>
      <c r="G1504" t="s">
        <v>356</v>
      </c>
    </row>
    <row r="1505" spans="1:7">
      <c r="A1505" t="s">
        <v>3335</v>
      </c>
      <c r="B1505" t="s">
        <v>3336</v>
      </c>
      <c r="C1505">
        <v>5</v>
      </c>
      <c r="D1505" s="260">
        <v>46289</v>
      </c>
      <c r="E1505" s="260">
        <v>46295</v>
      </c>
      <c r="F1505">
        <v>47</v>
      </c>
      <c r="G1505" t="s">
        <v>356</v>
      </c>
    </row>
    <row r="1506" spans="1:7">
      <c r="A1506" t="s">
        <v>3337</v>
      </c>
      <c r="B1506" t="s">
        <v>3338</v>
      </c>
      <c r="C1506">
        <v>15</v>
      </c>
      <c r="D1506" s="260">
        <v>46275</v>
      </c>
      <c r="E1506" s="260">
        <v>46295</v>
      </c>
      <c r="F1506">
        <v>32</v>
      </c>
      <c r="G1506" t="s">
        <v>356</v>
      </c>
    </row>
    <row r="1507" spans="1:7">
      <c r="A1507" t="s">
        <v>3339</v>
      </c>
      <c r="B1507" t="s">
        <v>3340</v>
      </c>
      <c r="C1507">
        <v>5</v>
      </c>
      <c r="D1507" s="260">
        <v>46311</v>
      </c>
      <c r="E1507" s="260">
        <v>46317</v>
      </c>
      <c r="F1507">
        <v>32</v>
      </c>
      <c r="G1507" t="s">
        <v>356</v>
      </c>
    </row>
    <row r="1508" spans="1:7">
      <c r="A1508" t="s">
        <v>3341</v>
      </c>
      <c r="B1508" t="s">
        <v>3342</v>
      </c>
      <c r="C1508">
        <v>20</v>
      </c>
      <c r="D1508" s="260">
        <v>46261</v>
      </c>
      <c r="E1508" s="260">
        <v>46288</v>
      </c>
      <c r="F1508">
        <v>37</v>
      </c>
      <c r="G1508" t="s">
        <v>356</v>
      </c>
    </row>
    <row r="1509" spans="1:7">
      <c r="A1509" t="s">
        <v>3343</v>
      </c>
      <c r="B1509" t="s">
        <v>3344</v>
      </c>
      <c r="C1509">
        <v>5</v>
      </c>
      <c r="D1509" s="260">
        <v>46303</v>
      </c>
      <c r="E1509" s="260">
        <v>46310</v>
      </c>
      <c r="F1509">
        <v>37</v>
      </c>
      <c r="G1509" t="s">
        <v>356</v>
      </c>
    </row>
    <row r="1510" spans="1:7">
      <c r="A1510" t="s">
        <v>3345</v>
      </c>
      <c r="B1510" t="s">
        <v>3346</v>
      </c>
      <c r="C1510">
        <v>15</v>
      </c>
      <c r="D1510" s="260">
        <v>46254</v>
      </c>
      <c r="E1510" s="260">
        <v>46274</v>
      </c>
      <c r="F1510">
        <v>47</v>
      </c>
      <c r="G1510" t="s">
        <v>356</v>
      </c>
    </row>
    <row r="1511" spans="1:7">
      <c r="A1511" t="s">
        <v>3347</v>
      </c>
      <c r="B1511" t="s">
        <v>3348</v>
      </c>
      <c r="C1511">
        <v>5</v>
      </c>
      <c r="D1511" s="260">
        <v>46289</v>
      </c>
      <c r="E1511" s="260">
        <v>46295</v>
      </c>
      <c r="F1511">
        <v>47</v>
      </c>
      <c r="G1511" t="s">
        <v>356</v>
      </c>
    </row>
    <row r="1512" spans="1:7">
      <c r="A1512" t="s">
        <v>3349</v>
      </c>
      <c r="C1512">
        <v>198</v>
      </c>
      <c r="D1512" s="260">
        <v>46091</v>
      </c>
      <c r="E1512" s="260">
        <v>46392</v>
      </c>
      <c r="F1512">
        <v>0</v>
      </c>
      <c r="G1512" t="s">
        <v>356</v>
      </c>
    </row>
    <row r="1513" spans="1:7">
      <c r="A1513" t="s">
        <v>3350</v>
      </c>
      <c r="B1513" t="s">
        <v>3351</v>
      </c>
      <c r="C1513">
        <v>10</v>
      </c>
      <c r="D1513" s="260">
        <v>46091</v>
      </c>
      <c r="E1513" s="260">
        <v>46104</v>
      </c>
      <c r="F1513">
        <v>168</v>
      </c>
      <c r="G1513" t="s">
        <v>356</v>
      </c>
    </row>
    <row r="1514" spans="1:7">
      <c r="A1514" t="s">
        <v>3352</v>
      </c>
      <c r="B1514" t="s">
        <v>3353</v>
      </c>
      <c r="C1514">
        <v>10</v>
      </c>
      <c r="D1514" s="260">
        <v>46203</v>
      </c>
      <c r="E1514" s="260">
        <v>46216</v>
      </c>
      <c r="F1514">
        <v>115</v>
      </c>
      <c r="G1514" t="s">
        <v>356</v>
      </c>
    </row>
    <row r="1515" spans="1:7">
      <c r="A1515" t="s">
        <v>3354</v>
      </c>
      <c r="B1515" t="s">
        <v>3355</v>
      </c>
      <c r="C1515">
        <v>10</v>
      </c>
      <c r="D1515" s="260">
        <v>46097</v>
      </c>
      <c r="E1515" s="260">
        <v>46108</v>
      </c>
      <c r="F1515">
        <v>22</v>
      </c>
      <c r="G1515" t="s">
        <v>356</v>
      </c>
    </row>
    <row r="1516" spans="1:7">
      <c r="A1516" t="s">
        <v>3356</v>
      </c>
      <c r="B1516" t="s">
        <v>3357</v>
      </c>
      <c r="C1516">
        <v>10</v>
      </c>
      <c r="D1516" s="260">
        <v>46129</v>
      </c>
      <c r="E1516" s="260">
        <v>46142</v>
      </c>
      <c r="F1516">
        <v>144</v>
      </c>
      <c r="G1516" t="s">
        <v>356</v>
      </c>
    </row>
    <row r="1517" spans="1:7">
      <c r="A1517" t="s">
        <v>3358</v>
      </c>
      <c r="B1517" t="s">
        <v>3359</v>
      </c>
      <c r="C1517">
        <v>10</v>
      </c>
      <c r="D1517" s="260">
        <v>46203</v>
      </c>
      <c r="E1517" s="260">
        <v>46216</v>
      </c>
      <c r="F1517">
        <v>115</v>
      </c>
      <c r="G1517" t="s">
        <v>356</v>
      </c>
    </row>
    <row r="1518" spans="1:7">
      <c r="A1518" t="s">
        <v>3360</v>
      </c>
      <c r="B1518" t="s">
        <v>3361</v>
      </c>
      <c r="C1518">
        <v>10</v>
      </c>
      <c r="D1518" s="260">
        <v>46097</v>
      </c>
      <c r="E1518" s="260">
        <v>46108</v>
      </c>
      <c r="F1518">
        <v>22</v>
      </c>
      <c r="G1518" t="s">
        <v>356</v>
      </c>
    </row>
    <row r="1519" spans="1:7">
      <c r="A1519" t="s">
        <v>3362</v>
      </c>
      <c r="B1519" t="s">
        <v>3363</v>
      </c>
      <c r="C1519">
        <v>5</v>
      </c>
      <c r="D1519" s="260">
        <v>46146</v>
      </c>
      <c r="E1519" s="260">
        <v>46150</v>
      </c>
      <c r="F1519">
        <v>159</v>
      </c>
      <c r="G1519" t="s">
        <v>356</v>
      </c>
    </row>
    <row r="1520" spans="1:7">
      <c r="A1520" t="s">
        <v>3364</v>
      </c>
      <c r="B1520" t="s">
        <v>3365</v>
      </c>
      <c r="C1520">
        <v>10</v>
      </c>
      <c r="D1520" s="260">
        <v>46098</v>
      </c>
      <c r="E1520" s="260">
        <v>46111</v>
      </c>
      <c r="F1520">
        <v>22</v>
      </c>
      <c r="G1520" t="s">
        <v>356</v>
      </c>
    </row>
    <row r="1521" spans="1:7">
      <c r="A1521" t="s">
        <v>3366</v>
      </c>
      <c r="B1521" t="s">
        <v>3367</v>
      </c>
      <c r="C1521">
        <v>5</v>
      </c>
      <c r="D1521" s="260">
        <v>46147</v>
      </c>
      <c r="E1521" s="260">
        <v>46153</v>
      </c>
      <c r="F1521">
        <v>158</v>
      </c>
      <c r="G1521" t="s">
        <v>356</v>
      </c>
    </row>
    <row r="1522" spans="1:7">
      <c r="A1522" t="s">
        <v>3368</v>
      </c>
      <c r="B1522" t="s">
        <v>3369</v>
      </c>
      <c r="C1522">
        <v>10</v>
      </c>
      <c r="D1522" s="260">
        <v>46098</v>
      </c>
      <c r="E1522" s="260">
        <v>46111</v>
      </c>
      <c r="F1522">
        <v>22</v>
      </c>
      <c r="G1522" t="s">
        <v>356</v>
      </c>
    </row>
    <row r="1523" spans="1:7">
      <c r="A1523" t="s">
        <v>3370</v>
      </c>
      <c r="B1523" t="s">
        <v>3371</v>
      </c>
      <c r="C1523">
        <v>5</v>
      </c>
      <c r="D1523" s="260">
        <v>46147</v>
      </c>
      <c r="E1523" s="260">
        <v>46153</v>
      </c>
      <c r="F1523">
        <v>158</v>
      </c>
      <c r="G1523" t="s">
        <v>356</v>
      </c>
    </row>
    <row r="1524" spans="1:7">
      <c r="A1524" t="s">
        <v>3372</v>
      </c>
      <c r="B1524" t="s">
        <v>3373</v>
      </c>
      <c r="C1524">
        <v>10</v>
      </c>
      <c r="D1524" s="260">
        <v>46104</v>
      </c>
      <c r="E1524" s="260">
        <v>46115</v>
      </c>
      <c r="F1524">
        <v>22</v>
      </c>
      <c r="G1524" t="s">
        <v>356</v>
      </c>
    </row>
    <row r="1525" spans="1:7">
      <c r="A1525" t="s">
        <v>3374</v>
      </c>
      <c r="B1525" t="s">
        <v>3375</v>
      </c>
      <c r="C1525">
        <v>5</v>
      </c>
      <c r="D1525" s="260">
        <v>46153</v>
      </c>
      <c r="E1525" s="260">
        <v>46157</v>
      </c>
      <c r="F1525">
        <v>154</v>
      </c>
      <c r="G1525" t="s">
        <v>356</v>
      </c>
    </row>
    <row r="1526" spans="1:7">
      <c r="A1526" t="s">
        <v>3376</v>
      </c>
      <c r="B1526" t="s">
        <v>3377</v>
      </c>
      <c r="C1526">
        <v>10</v>
      </c>
      <c r="D1526" s="260">
        <v>46104</v>
      </c>
      <c r="E1526" s="260">
        <v>46115</v>
      </c>
      <c r="F1526">
        <v>22</v>
      </c>
      <c r="G1526" t="s">
        <v>356</v>
      </c>
    </row>
    <row r="1527" spans="1:7">
      <c r="A1527" t="s">
        <v>3378</v>
      </c>
      <c r="B1527" t="s">
        <v>3379</v>
      </c>
      <c r="C1527">
        <v>5</v>
      </c>
      <c r="D1527" s="260">
        <v>46153</v>
      </c>
      <c r="E1527" s="260">
        <v>46157</v>
      </c>
      <c r="F1527">
        <v>154</v>
      </c>
      <c r="G1527" t="s">
        <v>356</v>
      </c>
    </row>
    <row r="1528" spans="1:7">
      <c r="A1528" t="s">
        <v>3380</v>
      </c>
      <c r="B1528" t="s">
        <v>3381</v>
      </c>
      <c r="C1528">
        <v>10</v>
      </c>
      <c r="D1528" s="260">
        <v>46120</v>
      </c>
      <c r="E1528" s="260">
        <v>46136</v>
      </c>
      <c r="F1528">
        <v>22</v>
      </c>
      <c r="G1528" t="s">
        <v>356</v>
      </c>
    </row>
    <row r="1529" spans="1:7">
      <c r="A1529" t="s">
        <v>3382</v>
      </c>
      <c r="B1529" t="s">
        <v>3383</v>
      </c>
      <c r="C1529">
        <v>10</v>
      </c>
      <c r="D1529" s="260">
        <v>46154</v>
      </c>
      <c r="E1529" s="260">
        <v>46167</v>
      </c>
      <c r="F1529">
        <v>148</v>
      </c>
      <c r="G1529" t="s">
        <v>356</v>
      </c>
    </row>
    <row r="1530" spans="1:7">
      <c r="A1530" t="s">
        <v>3384</v>
      </c>
      <c r="B1530" t="s">
        <v>3385</v>
      </c>
      <c r="C1530">
        <v>10</v>
      </c>
      <c r="D1530" s="260">
        <v>46120</v>
      </c>
      <c r="E1530" s="260">
        <v>46136</v>
      </c>
      <c r="F1530">
        <v>22</v>
      </c>
      <c r="G1530" t="s">
        <v>356</v>
      </c>
    </row>
    <row r="1531" spans="1:7">
      <c r="A1531" t="s">
        <v>3386</v>
      </c>
      <c r="B1531" t="s">
        <v>3387</v>
      </c>
      <c r="C1531">
        <v>10</v>
      </c>
      <c r="D1531" s="260">
        <v>46154</v>
      </c>
      <c r="E1531" s="260">
        <v>46167</v>
      </c>
      <c r="F1531">
        <v>148</v>
      </c>
      <c r="G1531" t="s">
        <v>356</v>
      </c>
    </row>
    <row r="1532" spans="1:7">
      <c r="A1532" t="s">
        <v>3388</v>
      </c>
      <c r="B1532" t="s">
        <v>3389</v>
      </c>
      <c r="C1532">
        <v>10</v>
      </c>
      <c r="D1532" s="260">
        <v>46121</v>
      </c>
      <c r="E1532" s="260">
        <v>46139</v>
      </c>
      <c r="F1532">
        <v>22</v>
      </c>
      <c r="G1532" t="s">
        <v>356</v>
      </c>
    </row>
    <row r="1533" spans="1:7">
      <c r="A1533" t="s">
        <v>3390</v>
      </c>
      <c r="B1533" t="s">
        <v>3391</v>
      </c>
      <c r="C1533">
        <v>10</v>
      </c>
      <c r="D1533" s="260">
        <v>46155</v>
      </c>
      <c r="E1533" s="260">
        <v>46168</v>
      </c>
      <c r="F1533">
        <v>147</v>
      </c>
      <c r="G1533" t="s">
        <v>356</v>
      </c>
    </row>
    <row r="1534" spans="1:7">
      <c r="A1534" t="s">
        <v>3392</v>
      </c>
      <c r="B1534" t="s">
        <v>3393</v>
      </c>
      <c r="C1534">
        <v>10</v>
      </c>
      <c r="D1534" s="260">
        <v>46121</v>
      </c>
      <c r="E1534" s="260">
        <v>46139</v>
      </c>
      <c r="F1534">
        <v>22</v>
      </c>
      <c r="G1534" t="s">
        <v>356</v>
      </c>
    </row>
    <row r="1535" spans="1:7">
      <c r="A1535" t="s">
        <v>3394</v>
      </c>
      <c r="B1535" t="s">
        <v>3395</v>
      </c>
      <c r="C1535">
        <v>10</v>
      </c>
      <c r="D1535" s="260">
        <v>46155</v>
      </c>
      <c r="E1535" s="260">
        <v>46168</v>
      </c>
      <c r="F1535">
        <v>147</v>
      </c>
      <c r="G1535" t="s">
        <v>356</v>
      </c>
    </row>
    <row r="1536" spans="1:7">
      <c r="A1536" t="s">
        <v>3396</v>
      </c>
      <c r="B1536" t="s">
        <v>3397</v>
      </c>
      <c r="C1536">
        <v>10</v>
      </c>
      <c r="D1536" s="260">
        <v>46129</v>
      </c>
      <c r="E1536" s="260">
        <v>46142</v>
      </c>
      <c r="F1536">
        <v>22</v>
      </c>
      <c r="G1536" t="s">
        <v>356</v>
      </c>
    </row>
    <row r="1537" spans="1:7">
      <c r="A1537" t="s">
        <v>3398</v>
      </c>
      <c r="B1537" t="s">
        <v>3399</v>
      </c>
      <c r="C1537">
        <v>10</v>
      </c>
      <c r="D1537" s="260">
        <v>46160</v>
      </c>
      <c r="E1537" s="260">
        <v>46171</v>
      </c>
      <c r="F1537">
        <v>144</v>
      </c>
      <c r="G1537" t="s">
        <v>356</v>
      </c>
    </row>
    <row r="1538" spans="1:7">
      <c r="A1538" t="s">
        <v>3400</v>
      </c>
      <c r="B1538" t="s">
        <v>3401</v>
      </c>
      <c r="C1538">
        <v>10</v>
      </c>
      <c r="D1538" s="260">
        <v>46129</v>
      </c>
      <c r="E1538" s="260">
        <v>46142</v>
      </c>
      <c r="F1538">
        <v>22</v>
      </c>
      <c r="G1538" t="s">
        <v>356</v>
      </c>
    </row>
    <row r="1539" spans="1:7">
      <c r="A1539" t="s">
        <v>3402</v>
      </c>
      <c r="B1539" t="s">
        <v>3403</v>
      </c>
      <c r="C1539">
        <v>10</v>
      </c>
      <c r="D1539" s="260">
        <v>46160</v>
      </c>
      <c r="E1539" s="260">
        <v>46171</v>
      </c>
      <c r="F1539">
        <v>144</v>
      </c>
      <c r="G1539" t="s">
        <v>356</v>
      </c>
    </row>
    <row r="1540" spans="1:7">
      <c r="A1540" t="s">
        <v>3404</v>
      </c>
      <c r="B1540" t="s">
        <v>3405</v>
      </c>
      <c r="C1540">
        <v>10</v>
      </c>
      <c r="D1540" s="260">
        <v>46129</v>
      </c>
      <c r="E1540" s="260">
        <v>46142</v>
      </c>
      <c r="F1540">
        <v>22</v>
      </c>
      <c r="G1540" t="s">
        <v>356</v>
      </c>
    </row>
    <row r="1541" spans="1:7">
      <c r="A1541" t="s">
        <v>3406</v>
      </c>
      <c r="B1541" t="s">
        <v>3407</v>
      </c>
      <c r="C1541">
        <v>10</v>
      </c>
      <c r="D1541" s="260">
        <v>46160</v>
      </c>
      <c r="E1541" s="260">
        <v>46171</v>
      </c>
      <c r="F1541">
        <v>63</v>
      </c>
      <c r="G1541" t="s">
        <v>356</v>
      </c>
    </row>
    <row r="1542" spans="1:7">
      <c r="A1542" t="s">
        <v>3408</v>
      </c>
      <c r="B1542" t="s">
        <v>3409</v>
      </c>
      <c r="C1542">
        <v>10</v>
      </c>
      <c r="D1542" s="260">
        <v>46133</v>
      </c>
      <c r="E1542" s="260">
        <v>46147</v>
      </c>
      <c r="F1542">
        <v>22</v>
      </c>
      <c r="G1542" t="s">
        <v>356</v>
      </c>
    </row>
    <row r="1543" spans="1:7">
      <c r="A1543" t="s">
        <v>3410</v>
      </c>
      <c r="B1543" t="s">
        <v>3411</v>
      </c>
      <c r="C1543">
        <v>10</v>
      </c>
      <c r="D1543" s="260">
        <v>46162</v>
      </c>
      <c r="E1543" s="260">
        <v>46177</v>
      </c>
      <c r="F1543">
        <v>52</v>
      </c>
      <c r="G1543" t="s">
        <v>356</v>
      </c>
    </row>
    <row r="1544" spans="1:7">
      <c r="A1544" t="s">
        <v>3412</v>
      </c>
      <c r="B1544" t="s">
        <v>3413</v>
      </c>
      <c r="C1544">
        <v>10</v>
      </c>
      <c r="D1544" s="260">
        <v>46133</v>
      </c>
      <c r="E1544" s="260">
        <v>46147</v>
      </c>
      <c r="F1544">
        <v>22</v>
      </c>
      <c r="G1544" t="s">
        <v>356</v>
      </c>
    </row>
    <row r="1545" spans="1:7">
      <c r="A1545" t="s">
        <v>3414</v>
      </c>
      <c r="B1545" t="s">
        <v>3415</v>
      </c>
      <c r="C1545">
        <v>10</v>
      </c>
      <c r="D1545" s="260">
        <v>46162</v>
      </c>
      <c r="E1545" s="260">
        <v>46177</v>
      </c>
      <c r="F1545">
        <v>32</v>
      </c>
      <c r="G1545" t="s">
        <v>356</v>
      </c>
    </row>
    <row r="1546" spans="1:7">
      <c r="A1546" t="s">
        <v>3416</v>
      </c>
      <c r="B1546" t="s">
        <v>3417</v>
      </c>
      <c r="C1546">
        <v>10</v>
      </c>
      <c r="D1546" s="260">
        <v>46133</v>
      </c>
      <c r="E1546" s="260">
        <v>46147</v>
      </c>
      <c r="F1546">
        <v>22</v>
      </c>
      <c r="G1546" t="s">
        <v>356</v>
      </c>
    </row>
    <row r="1547" spans="1:7">
      <c r="A1547" t="s">
        <v>3418</v>
      </c>
      <c r="B1547" t="s">
        <v>3419</v>
      </c>
      <c r="C1547">
        <v>10</v>
      </c>
      <c r="D1547" s="260">
        <v>46162</v>
      </c>
      <c r="E1547" s="260">
        <v>46177</v>
      </c>
      <c r="F1547">
        <v>27</v>
      </c>
      <c r="G1547" t="s">
        <v>356</v>
      </c>
    </row>
    <row r="1548" spans="1:7">
      <c r="A1548" t="s">
        <v>3420</v>
      </c>
      <c r="B1548" t="s">
        <v>3421</v>
      </c>
      <c r="C1548">
        <v>15</v>
      </c>
      <c r="D1548" s="260">
        <v>46140</v>
      </c>
      <c r="E1548" s="260">
        <v>46161</v>
      </c>
      <c r="F1548">
        <v>22</v>
      </c>
      <c r="G1548" t="s">
        <v>356</v>
      </c>
    </row>
    <row r="1549" spans="1:7">
      <c r="A1549" t="s">
        <v>3422</v>
      </c>
      <c r="B1549" t="s">
        <v>3423</v>
      </c>
      <c r="C1549">
        <v>10</v>
      </c>
      <c r="D1549" s="260">
        <v>46178</v>
      </c>
      <c r="E1549" s="260">
        <v>46191</v>
      </c>
      <c r="F1549">
        <v>117</v>
      </c>
      <c r="G1549" t="s">
        <v>356</v>
      </c>
    </row>
    <row r="1550" spans="1:7">
      <c r="A1550" t="s">
        <v>3424</v>
      </c>
      <c r="B1550" t="s">
        <v>3425</v>
      </c>
      <c r="C1550">
        <v>5</v>
      </c>
      <c r="D1550" s="260">
        <v>46206</v>
      </c>
      <c r="E1550" s="260">
        <v>46212</v>
      </c>
      <c r="F1550">
        <v>117</v>
      </c>
      <c r="G1550" t="s">
        <v>356</v>
      </c>
    </row>
    <row r="1551" spans="1:7">
      <c r="A1551" t="s">
        <v>3426</v>
      </c>
      <c r="B1551" t="s">
        <v>3427</v>
      </c>
      <c r="C1551">
        <v>15</v>
      </c>
      <c r="D1551" s="260">
        <v>46140</v>
      </c>
      <c r="E1551" s="260">
        <v>46161</v>
      </c>
      <c r="F1551">
        <v>22</v>
      </c>
      <c r="G1551" t="s">
        <v>356</v>
      </c>
    </row>
    <row r="1552" spans="1:7">
      <c r="A1552" t="s">
        <v>3428</v>
      </c>
      <c r="B1552" t="s">
        <v>3429</v>
      </c>
      <c r="C1552">
        <v>10</v>
      </c>
      <c r="D1552" s="260">
        <v>46178</v>
      </c>
      <c r="E1552" s="260">
        <v>46191</v>
      </c>
      <c r="F1552">
        <v>112</v>
      </c>
      <c r="G1552" t="s">
        <v>356</v>
      </c>
    </row>
    <row r="1553" spans="1:7">
      <c r="A1553" t="s">
        <v>3430</v>
      </c>
      <c r="B1553" t="s">
        <v>3431</v>
      </c>
      <c r="C1553">
        <v>10</v>
      </c>
      <c r="D1553" s="260">
        <v>46206</v>
      </c>
      <c r="E1553" s="260">
        <v>46219</v>
      </c>
      <c r="F1553">
        <v>112</v>
      </c>
      <c r="G1553" t="s">
        <v>356</v>
      </c>
    </row>
    <row r="1554" spans="1:7">
      <c r="A1554" t="s">
        <v>3432</v>
      </c>
      <c r="B1554" t="s">
        <v>3433</v>
      </c>
      <c r="C1554">
        <v>15</v>
      </c>
      <c r="D1554" s="260">
        <v>46206</v>
      </c>
      <c r="E1554" s="260">
        <v>46226</v>
      </c>
      <c r="F1554">
        <v>37</v>
      </c>
      <c r="G1554" t="s">
        <v>356</v>
      </c>
    </row>
    <row r="1555" spans="1:7">
      <c r="A1555" t="s">
        <v>3434</v>
      </c>
      <c r="B1555" t="s">
        <v>3435</v>
      </c>
      <c r="C1555">
        <v>10</v>
      </c>
      <c r="D1555" s="260">
        <v>46336</v>
      </c>
      <c r="E1555" s="260">
        <v>46349</v>
      </c>
      <c r="F1555">
        <v>16</v>
      </c>
      <c r="G1555" t="s">
        <v>356</v>
      </c>
    </row>
    <row r="1556" spans="1:7">
      <c r="A1556" t="s">
        <v>3436</v>
      </c>
      <c r="B1556" t="s">
        <v>3437</v>
      </c>
      <c r="C1556">
        <v>15</v>
      </c>
      <c r="D1556" s="260">
        <v>46296</v>
      </c>
      <c r="E1556" s="260">
        <v>46317</v>
      </c>
      <c r="F1556">
        <v>12</v>
      </c>
      <c r="G1556" t="s">
        <v>356</v>
      </c>
    </row>
    <row r="1557" spans="1:7">
      <c r="A1557" t="s">
        <v>3438</v>
      </c>
      <c r="B1557" t="s">
        <v>3439</v>
      </c>
      <c r="C1557">
        <v>10</v>
      </c>
      <c r="D1557" s="260">
        <v>46351</v>
      </c>
      <c r="E1557" s="260">
        <v>46365</v>
      </c>
      <c r="F1557">
        <v>0</v>
      </c>
      <c r="G1557" t="s">
        <v>356</v>
      </c>
    </row>
    <row r="1558" spans="1:7">
      <c r="A1558" t="s">
        <v>3440</v>
      </c>
      <c r="B1558" t="s">
        <v>3441</v>
      </c>
      <c r="C1558">
        <v>5</v>
      </c>
      <c r="D1558" s="260">
        <v>46384</v>
      </c>
      <c r="E1558" s="260">
        <v>46392</v>
      </c>
      <c r="F1558">
        <v>0</v>
      </c>
      <c r="G1558" t="s">
        <v>356</v>
      </c>
    </row>
    <row r="1559" spans="1:7">
      <c r="A1559" t="s">
        <v>3442</v>
      </c>
      <c r="B1559" t="s">
        <v>3443</v>
      </c>
      <c r="C1559">
        <v>15</v>
      </c>
      <c r="D1559" s="260">
        <v>46140</v>
      </c>
      <c r="E1559" s="260">
        <v>46161</v>
      </c>
      <c r="F1559">
        <v>7</v>
      </c>
      <c r="G1559" t="s">
        <v>356</v>
      </c>
    </row>
    <row r="1560" spans="1:7">
      <c r="A1560" t="s">
        <v>3444</v>
      </c>
      <c r="B1560" t="s">
        <v>3445</v>
      </c>
      <c r="C1560">
        <v>10</v>
      </c>
      <c r="D1560" s="260">
        <v>46178</v>
      </c>
      <c r="E1560" s="260">
        <v>46191</v>
      </c>
      <c r="F1560">
        <v>47</v>
      </c>
      <c r="G1560" t="s">
        <v>356</v>
      </c>
    </row>
    <row r="1561" spans="1:7">
      <c r="A1561" t="s">
        <v>3446</v>
      </c>
      <c r="B1561" t="s">
        <v>3447</v>
      </c>
      <c r="C1561">
        <v>10</v>
      </c>
      <c r="D1561" s="260">
        <v>46206</v>
      </c>
      <c r="E1561" s="260">
        <v>46219</v>
      </c>
      <c r="F1561">
        <v>77</v>
      </c>
      <c r="G1561" t="s">
        <v>356</v>
      </c>
    </row>
    <row r="1562" spans="1:7">
      <c r="A1562" t="s">
        <v>3448</v>
      </c>
      <c r="B1562" t="s">
        <v>3449</v>
      </c>
      <c r="C1562">
        <v>15</v>
      </c>
      <c r="D1562" s="260">
        <v>46140</v>
      </c>
      <c r="E1562" s="260">
        <v>46161</v>
      </c>
      <c r="F1562">
        <v>22</v>
      </c>
      <c r="G1562" t="s">
        <v>356</v>
      </c>
    </row>
    <row r="1563" spans="1:7">
      <c r="A1563" t="s">
        <v>3450</v>
      </c>
      <c r="B1563" t="s">
        <v>3451</v>
      </c>
      <c r="C1563">
        <v>10</v>
      </c>
      <c r="D1563" s="260">
        <v>46178</v>
      </c>
      <c r="E1563" s="260">
        <v>46191</v>
      </c>
      <c r="F1563">
        <v>67</v>
      </c>
      <c r="G1563" t="s">
        <v>356</v>
      </c>
    </row>
    <row r="1564" spans="1:7">
      <c r="A1564" t="s">
        <v>3452</v>
      </c>
      <c r="B1564" t="s">
        <v>3453</v>
      </c>
      <c r="C1564">
        <v>10</v>
      </c>
      <c r="D1564" s="260">
        <v>46206</v>
      </c>
      <c r="E1564" s="260">
        <v>46219</v>
      </c>
      <c r="F1564">
        <v>87</v>
      </c>
      <c r="G1564" t="s">
        <v>356</v>
      </c>
    </row>
    <row r="1565" spans="1:7">
      <c r="A1565" t="s">
        <v>3454</v>
      </c>
      <c r="B1565" t="s">
        <v>3455</v>
      </c>
      <c r="C1565">
        <v>15</v>
      </c>
      <c r="D1565" s="260">
        <v>46162</v>
      </c>
      <c r="E1565" s="260">
        <v>46184</v>
      </c>
      <c r="F1565">
        <v>22</v>
      </c>
      <c r="G1565" t="s">
        <v>356</v>
      </c>
    </row>
    <row r="1566" spans="1:7">
      <c r="A1566" t="s">
        <v>3456</v>
      </c>
      <c r="B1566" t="s">
        <v>3457</v>
      </c>
      <c r="C1566">
        <v>10</v>
      </c>
      <c r="D1566" s="260">
        <v>46199</v>
      </c>
      <c r="E1566" s="260">
        <v>46212</v>
      </c>
      <c r="F1566">
        <v>62</v>
      </c>
      <c r="G1566" t="s">
        <v>356</v>
      </c>
    </row>
    <row r="1567" spans="1:7">
      <c r="A1567" t="s">
        <v>3458</v>
      </c>
      <c r="B1567" t="s">
        <v>3459</v>
      </c>
      <c r="C1567">
        <v>5</v>
      </c>
      <c r="D1567" s="260">
        <v>46227</v>
      </c>
      <c r="E1567" s="260">
        <v>46238</v>
      </c>
      <c r="F1567">
        <v>82</v>
      </c>
      <c r="G1567" t="s">
        <v>356</v>
      </c>
    </row>
    <row r="1568" spans="1:7">
      <c r="A1568" t="s">
        <v>3460</v>
      </c>
      <c r="B1568" t="s">
        <v>3461</v>
      </c>
      <c r="C1568">
        <v>15</v>
      </c>
      <c r="D1568" s="260">
        <v>46162</v>
      </c>
      <c r="E1568" s="260">
        <v>46184</v>
      </c>
      <c r="F1568">
        <v>22</v>
      </c>
      <c r="G1568" t="s">
        <v>356</v>
      </c>
    </row>
    <row r="1569" spans="1:7">
      <c r="A1569" t="s">
        <v>3462</v>
      </c>
      <c r="B1569" t="s">
        <v>3463</v>
      </c>
      <c r="C1569">
        <v>10</v>
      </c>
      <c r="D1569" s="260">
        <v>46199</v>
      </c>
      <c r="E1569" s="260">
        <v>46212</v>
      </c>
      <c r="F1569">
        <v>67</v>
      </c>
      <c r="G1569" t="s">
        <v>356</v>
      </c>
    </row>
    <row r="1570" spans="1:7">
      <c r="A1570" t="s">
        <v>3464</v>
      </c>
      <c r="B1570" t="s">
        <v>3465</v>
      </c>
      <c r="C1570">
        <v>5</v>
      </c>
      <c r="D1570" s="260">
        <v>46227</v>
      </c>
      <c r="E1570" s="260">
        <v>46238</v>
      </c>
      <c r="F1570">
        <v>72</v>
      </c>
      <c r="G1570" t="s">
        <v>356</v>
      </c>
    </row>
    <row r="1571" spans="1:7">
      <c r="A1571" t="s">
        <v>3466</v>
      </c>
      <c r="B1571" t="s">
        <v>3467</v>
      </c>
      <c r="C1571">
        <v>25</v>
      </c>
      <c r="D1571" s="260">
        <v>46206</v>
      </c>
      <c r="E1571" s="260">
        <v>46245</v>
      </c>
      <c r="F1571">
        <v>47</v>
      </c>
      <c r="G1571" t="s">
        <v>356</v>
      </c>
    </row>
    <row r="1572" spans="1:7">
      <c r="A1572" t="s">
        <v>3468</v>
      </c>
      <c r="B1572" t="s">
        <v>3469</v>
      </c>
      <c r="C1572">
        <v>20</v>
      </c>
      <c r="D1572" s="260">
        <v>46289</v>
      </c>
      <c r="E1572" s="260">
        <v>46317</v>
      </c>
      <c r="F1572">
        <v>42</v>
      </c>
      <c r="G1572" t="s">
        <v>356</v>
      </c>
    </row>
    <row r="1573" spans="1:7">
      <c r="A1573" t="s">
        <v>3470</v>
      </c>
      <c r="B1573" t="s">
        <v>3471</v>
      </c>
      <c r="C1573">
        <v>15</v>
      </c>
      <c r="D1573" s="260">
        <v>46185</v>
      </c>
      <c r="E1573" s="260">
        <v>46205</v>
      </c>
      <c r="F1573">
        <v>7</v>
      </c>
      <c r="G1573" t="s">
        <v>356</v>
      </c>
    </row>
    <row r="1574" spans="1:7">
      <c r="A1574" t="s">
        <v>3472</v>
      </c>
      <c r="B1574" t="s">
        <v>3473</v>
      </c>
      <c r="C1574">
        <v>10</v>
      </c>
      <c r="D1574" s="260">
        <v>46279</v>
      </c>
      <c r="E1574" s="260">
        <v>46290</v>
      </c>
      <c r="F1574">
        <v>0</v>
      </c>
      <c r="G1574" t="s">
        <v>356</v>
      </c>
    </row>
    <row r="1575" spans="1:7">
      <c r="A1575" t="s">
        <v>3474</v>
      </c>
      <c r="B1575" t="s">
        <v>3475</v>
      </c>
      <c r="C1575">
        <v>5</v>
      </c>
      <c r="D1575" s="260">
        <v>46329</v>
      </c>
      <c r="E1575" s="260">
        <v>46335</v>
      </c>
      <c r="F1575">
        <v>11</v>
      </c>
      <c r="G1575" t="s">
        <v>356</v>
      </c>
    </row>
    <row r="1576" spans="1:7">
      <c r="A1576" t="s">
        <v>3476</v>
      </c>
      <c r="B1576" t="s">
        <v>3477</v>
      </c>
      <c r="C1576">
        <v>15</v>
      </c>
      <c r="D1576" s="260">
        <v>46206</v>
      </c>
      <c r="E1576" s="260">
        <v>46226</v>
      </c>
      <c r="F1576">
        <v>7</v>
      </c>
      <c r="G1576" t="s">
        <v>356</v>
      </c>
    </row>
    <row r="1577" spans="1:7">
      <c r="A1577" t="s">
        <v>3478</v>
      </c>
      <c r="B1577" t="s">
        <v>3479</v>
      </c>
      <c r="C1577">
        <v>10</v>
      </c>
      <c r="D1577" s="260">
        <v>46293</v>
      </c>
      <c r="E1577" s="260">
        <v>46304</v>
      </c>
      <c r="F1577">
        <v>0</v>
      </c>
      <c r="G1577" t="s">
        <v>356</v>
      </c>
    </row>
    <row r="1578" spans="1:7">
      <c r="A1578" t="s">
        <v>3480</v>
      </c>
      <c r="B1578" t="s">
        <v>3481</v>
      </c>
      <c r="C1578">
        <v>5</v>
      </c>
      <c r="D1578" s="260">
        <v>46336</v>
      </c>
      <c r="E1578" s="260">
        <v>46342</v>
      </c>
      <c r="F1578">
        <v>11</v>
      </c>
      <c r="G1578" t="s">
        <v>356</v>
      </c>
    </row>
    <row r="1579" spans="1:7">
      <c r="A1579" t="s">
        <v>3482</v>
      </c>
      <c r="B1579" t="s">
        <v>3483</v>
      </c>
      <c r="C1579">
        <v>15</v>
      </c>
      <c r="D1579" s="260">
        <v>46227</v>
      </c>
      <c r="E1579" s="260">
        <v>46253</v>
      </c>
      <c r="F1579">
        <v>7</v>
      </c>
      <c r="G1579" t="s">
        <v>356</v>
      </c>
    </row>
    <row r="1580" spans="1:7">
      <c r="A1580" t="s">
        <v>3484</v>
      </c>
      <c r="B1580" t="s">
        <v>3485</v>
      </c>
      <c r="C1580">
        <v>10</v>
      </c>
      <c r="D1580" s="260">
        <v>46307</v>
      </c>
      <c r="E1580" s="260">
        <v>46322</v>
      </c>
      <c r="F1580">
        <v>0</v>
      </c>
      <c r="G1580" t="s">
        <v>356</v>
      </c>
    </row>
    <row r="1581" spans="1:7">
      <c r="A1581" t="s">
        <v>3486</v>
      </c>
      <c r="B1581" t="s">
        <v>3487</v>
      </c>
      <c r="C1581">
        <v>5</v>
      </c>
      <c r="D1581" s="260">
        <v>46343</v>
      </c>
      <c r="E1581" s="260">
        <v>46349</v>
      </c>
      <c r="F1581">
        <v>11</v>
      </c>
      <c r="G1581" t="s">
        <v>356</v>
      </c>
    </row>
    <row r="1582" spans="1:7">
      <c r="A1582" t="s">
        <v>3488</v>
      </c>
      <c r="B1582" t="s">
        <v>3489</v>
      </c>
      <c r="C1582">
        <v>15</v>
      </c>
      <c r="D1582" s="260">
        <v>46254</v>
      </c>
      <c r="E1582" s="260">
        <v>46274</v>
      </c>
      <c r="F1582">
        <v>7</v>
      </c>
      <c r="G1582" t="s">
        <v>356</v>
      </c>
    </row>
    <row r="1583" spans="1:7">
      <c r="A1583" t="s">
        <v>3490</v>
      </c>
      <c r="B1583" t="s">
        <v>3491</v>
      </c>
      <c r="C1583">
        <v>10</v>
      </c>
      <c r="D1583" s="260">
        <v>46323</v>
      </c>
      <c r="E1583" s="260">
        <v>46336</v>
      </c>
      <c r="F1583">
        <v>0</v>
      </c>
      <c r="G1583" t="s">
        <v>356</v>
      </c>
    </row>
    <row r="1584" spans="1:7">
      <c r="A1584" t="s">
        <v>3492</v>
      </c>
      <c r="B1584" t="s">
        <v>3493</v>
      </c>
      <c r="C1584">
        <v>5</v>
      </c>
      <c r="D1584" s="260">
        <v>46351</v>
      </c>
      <c r="E1584" s="260">
        <v>46357</v>
      </c>
      <c r="F1584">
        <v>10</v>
      </c>
      <c r="G1584" t="s">
        <v>356</v>
      </c>
    </row>
    <row r="1585" spans="1:7">
      <c r="A1585" t="s">
        <v>3494</v>
      </c>
      <c r="B1585" t="s">
        <v>3495</v>
      </c>
      <c r="C1585">
        <v>15</v>
      </c>
      <c r="D1585" s="260">
        <v>46162</v>
      </c>
      <c r="E1585" s="260">
        <v>46184</v>
      </c>
      <c r="F1585">
        <v>7</v>
      </c>
      <c r="G1585" t="s">
        <v>356</v>
      </c>
    </row>
    <row r="1586" spans="1:7">
      <c r="A1586" t="s">
        <v>3496</v>
      </c>
      <c r="B1586" t="s">
        <v>3497</v>
      </c>
      <c r="C1586">
        <v>10</v>
      </c>
      <c r="D1586" s="260">
        <v>46265</v>
      </c>
      <c r="E1586" s="260">
        <v>46276</v>
      </c>
      <c r="F1586">
        <v>0</v>
      </c>
      <c r="G1586" t="s">
        <v>356</v>
      </c>
    </row>
    <row r="1587" spans="1:7">
      <c r="A1587" t="s">
        <v>3498</v>
      </c>
      <c r="B1587" t="s">
        <v>3499</v>
      </c>
      <c r="C1587">
        <v>5</v>
      </c>
      <c r="D1587" s="260">
        <v>46322</v>
      </c>
      <c r="E1587" s="260">
        <v>46328</v>
      </c>
      <c r="F1587">
        <v>11</v>
      </c>
      <c r="G1587" t="s">
        <v>356</v>
      </c>
    </row>
    <row r="1588" spans="1:7">
      <c r="A1588" t="s">
        <v>3500</v>
      </c>
      <c r="B1588" t="s">
        <v>3501</v>
      </c>
      <c r="C1588">
        <v>15</v>
      </c>
      <c r="D1588" s="260">
        <v>46185</v>
      </c>
      <c r="E1588" s="260">
        <v>46205</v>
      </c>
      <c r="F1588">
        <v>52</v>
      </c>
      <c r="G1588" t="s">
        <v>356</v>
      </c>
    </row>
    <row r="1589" spans="1:7">
      <c r="A1589" t="s">
        <v>3502</v>
      </c>
      <c r="B1589" t="s">
        <v>3503</v>
      </c>
      <c r="C1589">
        <v>10</v>
      </c>
      <c r="D1589" s="260">
        <v>46279</v>
      </c>
      <c r="E1589" s="260">
        <v>46290</v>
      </c>
      <c r="F1589">
        <v>30</v>
      </c>
      <c r="G1589" t="s">
        <v>356</v>
      </c>
    </row>
    <row r="1590" spans="1:7">
      <c r="A1590" t="s">
        <v>3504</v>
      </c>
      <c r="B1590" t="s">
        <v>3505</v>
      </c>
      <c r="C1590">
        <v>5</v>
      </c>
      <c r="D1590" s="260">
        <v>46329</v>
      </c>
      <c r="E1590" s="260">
        <v>46335</v>
      </c>
      <c r="F1590">
        <v>26</v>
      </c>
      <c r="G1590" t="s">
        <v>356</v>
      </c>
    </row>
    <row r="1591" spans="1:7">
      <c r="A1591" t="s">
        <v>3506</v>
      </c>
      <c r="B1591" t="s">
        <v>3507</v>
      </c>
      <c r="C1591">
        <v>15</v>
      </c>
      <c r="D1591" s="260">
        <v>46206</v>
      </c>
      <c r="E1591" s="260">
        <v>46226</v>
      </c>
      <c r="F1591">
        <v>62</v>
      </c>
      <c r="G1591" t="s">
        <v>356</v>
      </c>
    </row>
    <row r="1592" spans="1:7">
      <c r="A1592" t="s">
        <v>3508</v>
      </c>
      <c r="B1592" t="s">
        <v>3509</v>
      </c>
      <c r="C1592">
        <v>10</v>
      </c>
      <c r="D1592" s="260">
        <v>46293</v>
      </c>
      <c r="E1592" s="260">
        <v>46304</v>
      </c>
      <c r="F1592">
        <v>30</v>
      </c>
      <c r="G1592" t="s">
        <v>356</v>
      </c>
    </row>
    <row r="1593" spans="1:7">
      <c r="A1593" t="s">
        <v>3510</v>
      </c>
      <c r="B1593" t="s">
        <v>3511</v>
      </c>
      <c r="C1593">
        <v>5</v>
      </c>
      <c r="D1593" s="260">
        <v>46336</v>
      </c>
      <c r="E1593" s="260">
        <v>46342</v>
      </c>
      <c r="F1593">
        <v>26</v>
      </c>
      <c r="G1593" t="s">
        <v>356</v>
      </c>
    </row>
    <row r="1594" spans="1:7">
      <c r="A1594" t="s">
        <v>3512</v>
      </c>
      <c r="B1594" t="s">
        <v>3513</v>
      </c>
      <c r="C1594">
        <v>15</v>
      </c>
      <c r="D1594" s="260">
        <v>46185</v>
      </c>
      <c r="E1594" s="260">
        <v>46205</v>
      </c>
      <c r="F1594">
        <v>37</v>
      </c>
      <c r="G1594" t="s">
        <v>356</v>
      </c>
    </row>
    <row r="1595" spans="1:7">
      <c r="A1595" t="s">
        <v>3514</v>
      </c>
      <c r="B1595" t="s">
        <v>3515</v>
      </c>
      <c r="C1595">
        <v>10</v>
      </c>
      <c r="D1595" s="260">
        <v>46279</v>
      </c>
      <c r="E1595" s="260">
        <v>46290</v>
      </c>
      <c r="F1595">
        <v>30</v>
      </c>
      <c r="G1595" t="s">
        <v>356</v>
      </c>
    </row>
    <row r="1596" spans="1:7">
      <c r="A1596" t="s">
        <v>3516</v>
      </c>
      <c r="B1596" t="s">
        <v>3517</v>
      </c>
      <c r="C1596">
        <v>5</v>
      </c>
      <c r="D1596" s="260">
        <v>46329</v>
      </c>
      <c r="E1596" s="260">
        <v>46335</v>
      </c>
      <c r="F1596">
        <v>16</v>
      </c>
      <c r="G1596" t="s">
        <v>356</v>
      </c>
    </row>
    <row r="1597" spans="1:7">
      <c r="A1597" t="s">
        <v>3518</v>
      </c>
      <c r="B1597" t="s">
        <v>3519</v>
      </c>
      <c r="C1597">
        <v>15</v>
      </c>
      <c r="D1597" s="260">
        <v>46185</v>
      </c>
      <c r="E1597" s="260">
        <v>46205</v>
      </c>
      <c r="F1597">
        <v>47</v>
      </c>
      <c r="G1597" t="s">
        <v>356</v>
      </c>
    </row>
    <row r="1598" spans="1:7">
      <c r="A1598" t="s">
        <v>3520</v>
      </c>
      <c r="B1598" t="s">
        <v>3521</v>
      </c>
      <c r="C1598">
        <v>10</v>
      </c>
      <c r="D1598" s="260">
        <v>46220</v>
      </c>
      <c r="E1598" s="260">
        <v>46238</v>
      </c>
      <c r="F1598">
        <v>62</v>
      </c>
      <c r="G1598" t="s">
        <v>356</v>
      </c>
    </row>
    <row r="1599" spans="1:7">
      <c r="A1599" t="s">
        <v>3522</v>
      </c>
      <c r="B1599" t="s">
        <v>3523</v>
      </c>
      <c r="C1599">
        <v>5</v>
      </c>
      <c r="D1599" s="260">
        <v>46254</v>
      </c>
      <c r="E1599" s="260">
        <v>46260</v>
      </c>
      <c r="F1599">
        <v>62</v>
      </c>
      <c r="G1599" t="s">
        <v>356</v>
      </c>
    </row>
    <row r="1600" spans="1:7">
      <c r="A1600" t="s">
        <v>3524</v>
      </c>
      <c r="B1600" t="s">
        <v>3525</v>
      </c>
      <c r="C1600">
        <v>15</v>
      </c>
      <c r="D1600" s="260">
        <v>46272</v>
      </c>
      <c r="E1600" s="260">
        <v>46290</v>
      </c>
      <c r="F1600">
        <v>20</v>
      </c>
      <c r="G1600" t="s">
        <v>356</v>
      </c>
    </row>
    <row r="1601" spans="1:7">
      <c r="A1601" t="s">
        <v>3526</v>
      </c>
      <c r="B1601" t="s">
        <v>3527</v>
      </c>
      <c r="C1601">
        <v>10</v>
      </c>
      <c r="D1601" s="260">
        <v>46307</v>
      </c>
      <c r="E1601" s="260">
        <v>46322</v>
      </c>
      <c r="F1601">
        <v>20</v>
      </c>
      <c r="G1601" t="s">
        <v>356</v>
      </c>
    </row>
    <row r="1602" spans="1:7">
      <c r="A1602" t="s">
        <v>3528</v>
      </c>
      <c r="B1602" t="s">
        <v>3529</v>
      </c>
      <c r="C1602">
        <v>5</v>
      </c>
      <c r="D1602" s="260">
        <v>46345</v>
      </c>
      <c r="E1602" s="260">
        <v>46351</v>
      </c>
      <c r="F1602">
        <v>19</v>
      </c>
      <c r="G1602" t="s">
        <v>356</v>
      </c>
    </row>
    <row r="1603" spans="1:7">
      <c r="A1603" t="s">
        <v>3530</v>
      </c>
      <c r="B1603" t="s">
        <v>3531</v>
      </c>
      <c r="C1603">
        <v>15</v>
      </c>
      <c r="D1603" s="260">
        <v>46213</v>
      </c>
      <c r="E1603" s="260">
        <v>46238</v>
      </c>
      <c r="F1603">
        <v>32</v>
      </c>
      <c r="G1603" t="s">
        <v>356</v>
      </c>
    </row>
    <row r="1604" spans="1:7">
      <c r="A1604" t="s">
        <v>3532</v>
      </c>
      <c r="B1604" t="s">
        <v>3533</v>
      </c>
      <c r="C1604">
        <v>10</v>
      </c>
      <c r="D1604" s="260">
        <v>46275</v>
      </c>
      <c r="E1604" s="260">
        <v>46288</v>
      </c>
      <c r="F1604">
        <v>62</v>
      </c>
      <c r="G1604" t="s">
        <v>356</v>
      </c>
    </row>
    <row r="1605" spans="1:7">
      <c r="A1605" t="s">
        <v>3534</v>
      </c>
      <c r="B1605" t="s">
        <v>3535</v>
      </c>
      <c r="C1605">
        <v>15</v>
      </c>
      <c r="D1605" s="260">
        <v>46275</v>
      </c>
      <c r="E1605" s="260">
        <v>46295</v>
      </c>
      <c r="F1605">
        <v>7</v>
      </c>
      <c r="G1605" t="s">
        <v>356</v>
      </c>
    </row>
    <row r="1606" spans="1:7">
      <c r="A1606" t="s">
        <v>3536</v>
      </c>
      <c r="B1606" t="s">
        <v>3537</v>
      </c>
      <c r="C1606">
        <v>10</v>
      </c>
      <c r="D1606" s="260">
        <v>46337</v>
      </c>
      <c r="E1606" s="260">
        <v>46350</v>
      </c>
      <c r="F1606">
        <v>0</v>
      </c>
      <c r="G1606" t="s">
        <v>356</v>
      </c>
    </row>
    <row r="1607" spans="1:7">
      <c r="A1607" t="s">
        <v>3538</v>
      </c>
      <c r="B1607" t="s">
        <v>3539</v>
      </c>
      <c r="C1607">
        <v>5</v>
      </c>
      <c r="D1607" s="260">
        <v>46367</v>
      </c>
      <c r="E1607" s="260">
        <v>46373</v>
      </c>
      <c r="F1607">
        <v>5</v>
      </c>
      <c r="G1607" t="s">
        <v>356</v>
      </c>
    </row>
    <row r="1608" spans="1:7">
      <c r="A1608" t="s">
        <v>3540</v>
      </c>
      <c r="B1608" t="s">
        <v>3541</v>
      </c>
      <c r="C1608">
        <v>15</v>
      </c>
      <c r="D1608" s="260">
        <v>46227</v>
      </c>
      <c r="E1608" s="260">
        <v>46253</v>
      </c>
      <c r="F1608">
        <v>42</v>
      </c>
      <c r="G1608" t="s">
        <v>356</v>
      </c>
    </row>
    <row r="1609" spans="1:7">
      <c r="A1609" t="s">
        <v>3542</v>
      </c>
      <c r="B1609" t="s">
        <v>3543</v>
      </c>
      <c r="C1609">
        <v>10</v>
      </c>
      <c r="D1609" s="260">
        <v>46268</v>
      </c>
      <c r="E1609" s="260">
        <v>46281</v>
      </c>
      <c r="F1609">
        <v>67</v>
      </c>
      <c r="G1609" t="s">
        <v>356</v>
      </c>
    </row>
    <row r="1610" spans="1:7">
      <c r="A1610" t="s">
        <v>3544</v>
      </c>
      <c r="B1610" t="s">
        <v>3545</v>
      </c>
      <c r="C1610">
        <v>15</v>
      </c>
      <c r="D1610" s="260">
        <v>46227</v>
      </c>
      <c r="E1610" s="260">
        <v>46253</v>
      </c>
      <c r="F1610">
        <v>42</v>
      </c>
      <c r="G1610" t="s">
        <v>356</v>
      </c>
    </row>
    <row r="1611" spans="1:7">
      <c r="A1611" t="s">
        <v>3546</v>
      </c>
      <c r="B1611" t="s">
        <v>3547</v>
      </c>
      <c r="C1611">
        <v>10</v>
      </c>
      <c r="D1611" s="260">
        <v>46268</v>
      </c>
      <c r="E1611" s="260">
        <v>46281</v>
      </c>
      <c r="F1611">
        <v>67</v>
      </c>
      <c r="G1611" t="s">
        <v>356</v>
      </c>
    </row>
    <row r="1612" spans="1:7">
      <c r="A1612" t="s">
        <v>3548</v>
      </c>
      <c r="B1612" t="s">
        <v>3549</v>
      </c>
      <c r="C1612">
        <v>15</v>
      </c>
      <c r="D1612" s="260">
        <v>46296</v>
      </c>
      <c r="E1612" s="260">
        <v>46317</v>
      </c>
      <c r="F1612">
        <v>22</v>
      </c>
      <c r="G1612" t="s">
        <v>356</v>
      </c>
    </row>
    <row r="1613" spans="1:7">
      <c r="A1613" t="s">
        <v>3550</v>
      </c>
      <c r="B1613" t="s">
        <v>3551</v>
      </c>
      <c r="C1613">
        <v>10</v>
      </c>
      <c r="D1613" s="260">
        <v>46351</v>
      </c>
      <c r="E1613" s="260">
        <v>46365</v>
      </c>
      <c r="F1613">
        <v>0</v>
      </c>
      <c r="G1613" t="s">
        <v>356</v>
      </c>
    </row>
    <row r="1614" spans="1:7">
      <c r="A1614" t="s">
        <v>3552</v>
      </c>
      <c r="B1614" t="s">
        <v>3553</v>
      </c>
      <c r="C1614">
        <v>5</v>
      </c>
      <c r="D1614" s="260">
        <v>46384</v>
      </c>
      <c r="E1614" s="260">
        <v>46392</v>
      </c>
      <c r="F1614">
        <v>0</v>
      </c>
      <c r="G1614" t="s">
        <v>356</v>
      </c>
    </row>
    <row r="1615" spans="1:7">
      <c r="A1615" t="s">
        <v>3554</v>
      </c>
      <c r="B1615" t="s">
        <v>3555</v>
      </c>
      <c r="C1615">
        <v>15</v>
      </c>
      <c r="D1615" s="260">
        <v>46140</v>
      </c>
      <c r="E1615" s="260">
        <v>46161</v>
      </c>
      <c r="F1615">
        <v>107</v>
      </c>
      <c r="G1615" t="s">
        <v>356</v>
      </c>
    </row>
    <row r="1616" spans="1:7">
      <c r="A1616" t="s">
        <v>3556</v>
      </c>
      <c r="B1616" t="s">
        <v>3557</v>
      </c>
      <c r="C1616">
        <v>10</v>
      </c>
      <c r="D1616" s="260">
        <v>46178</v>
      </c>
      <c r="E1616" s="260">
        <v>46191</v>
      </c>
      <c r="F1616">
        <v>107</v>
      </c>
      <c r="G1616" t="s">
        <v>356</v>
      </c>
    </row>
    <row r="1617" spans="1:7">
      <c r="A1617" t="s">
        <v>3558</v>
      </c>
      <c r="B1617" t="s">
        <v>3559</v>
      </c>
      <c r="C1617">
        <v>10</v>
      </c>
      <c r="D1617" s="260">
        <v>46206</v>
      </c>
      <c r="E1617" s="260">
        <v>46219</v>
      </c>
      <c r="F1617">
        <v>107</v>
      </c>
      <c r="G1617" t="s">
        <v>356</v>
      </c>
    </row>
    <row r="1618" spans="1:7">
      <c r="A1618" t="s">
        <v>3560</v>
      </c>
      <c r="B1618" t="s">
        <v>3561</v>
      </c>
      <c r="C1618">
        <v>15</v>
      </c>
      <c r="D1618" s="260">
        <v>46140</v>
      </c>
      <c r="E1618" s="260">
        <v>46161</v>
      </c>
      <c r="F1618">
        <v>67</v>
      </c>
      <c r="G1618" t="s">
        <v>356</v>
      </c>
    </row>
    <row r="1619" spans="1:7">
      <c r="A1619" t="s">
        <v>3562</v>
      </c>
      <c r="B1619" t="s">
        <v>3563</v>
      </c>
      <c r="C1619">
        <v>10</v>
      </c>
      <c r="D1619" s="260">
        <v>46178</v>
      </c>
      <c r="E1619" s="260">
        <v>46191</v>
      </c>
      <c r="F1619">
        <v>92</v>
      </c>
      <c r="G1619" t="s">
        <v>356</v>
      </c>
    </row>
    <row r="1620" spans="1:7">
      <c r="A1620" t="s">
        <v>3564</v>
      </c>
      <c r="B1620" t="s">
        <v>3565</v>
      </c>
      <c r="C1620">
        <v>10</v>
      </c>
      <c r="D1620" s="260">
        <v>46206</v>
      </c>
      <c r="E1620" s="260">
        <v>46219</v>
      </c>
      <c r="F1620">
        <v>92</v>
      </c>
      <c r="G1620" t="s">
        <v>356</v>
      </c>
    </row>
    <row r="1621" spans="1:7">
      <c r="A1621" t="s">
        <v>3566</v>
      </c>
      <c r="B1621" t="s">
        <v>3567</v>
      </c>
      <c r="C1621">
        <v>15</v>
      </c>
      <c r="D1621" s="260">
        <v>46162</v>
      </c>
      <c r="E1621" s="260">
        <v>46184</v>
      </c>
      <c r="F1621">
        <v>102</v>
      </c>
      <c r="G1621" t="s">
        <v>356</v>
      </c>
    </row>
    <row r="1622" spans="1:7">
      <c r="A1622" t="s">
        <v>3568</v>
      </c>
      <c r="B1622" t="s">
        <v>3569</v>
      </c>
      <c r="C1622">
        <v>10</v>
      </c>
      <c r="D1622" s="260">
        <v>46199</v>
      </c>
      <c r="E1622" s="260">
        <v>46212</v>
      </c>
      <c r="F1622">
        <v>102</v>
      </c>
      <c r="G1622" t="s">
        <v>356</v>
      </c>
    </row>
    <row r="1623" spans="1:7">
      <c r="A1623" t="s">
        <v>3570</v>
      </c>
      <c r="B1623" t="s">
        <v>3571</v>
      </c>
      <c r="C1623">
        <v>5</v>
      </c>
      <c r="D1623" s="260">
        <v>46227</v>
      </c>
      <c r="E1623" s="260">
        <v>46238</v>
      </c>
      <c r="F1623">
        <v>102</v>
      </c>
      <c r="G1623" t="s">
        <v>356</v>
      </c>
    </row>
    <row r="1624" spans="1:7">
      <c r="A1624" t="s">
        <v>3572</v>
      </c>
      <c r="B1624" t="s">
        <v>3573</v>
      </c>
      <c r="C1624">
        <v>15</v>
      </c>
      <c r="D1624" s="260">
        <v>46162</v>
      </c>
      <c r="E1624" s="260">
        <v>46184</v>
      </c>
      <c r="F1624">
        <v>102</v>
      </c>
      <c r="G1624" t="s">
        <v>356</v>
      </c>
    </row>
    <row r="1625" spans="1:7">
      <c r="A1625" t="s">
        <v>3574</v>
      </c>
      <c r="B1625" t="s">
        <v>3575</v>
      </c>
      <c r="C1625">
        <v>10</v>
      </c>
      <c r="D1625" s="260">
        <v>46199</v>
      </c>
      <c r="E1625" s="260">
        <v>46212</v>
      </c>
      <c r="F1625">
        <v>102</v>
      </c>
      <c r="G1625" t="s">
        <v>356</v>
      </c>
    </row>
    <row r="1626" spans="1:7">
      <c r="A1626" t="s">
        <v>3576</v>
      </c>
      <c r="B1626" t="s">
        <v>3577</v>
      </c>
      <c r="C1626">
        <v>5</v>
      </c>
      <c r="D1626" s="260">
        <v>46227</v>
      </c>
      <c r="E1626" s="260">
        <v>46238</v>
      </c>
      <c r="F1626">
        <v>102</v>
      </c>
      <c r="G1626" t="s">
        <v>356</v>
      </c>
    </row>
    <row r="1627" spans="1:7">
      <c r="A1627" t="s">
        <v>3578</v>
      </c>
      <c r="B1627" t="s">
        <v>3579</v>
      </c>
      <c r="C1627">
        <v>25</v>
      </c>
      <c r="D1627" s="260">
        <v>46206</v>
      </c>
      <c r="E1627" s="260">
        <v>46245</v>
      </c>
      <c r="F1627">
        <v>57</v>
      </c>
      <c r="G1627" t="s">
        <v>356</v>
      </c>
    </row>
    <row r="1628" spans="1:7">
      <c r="A1628" t="s">
        <v>3580</v>
      </c>
      <c r="B1628" t="s">
        <v>3581</v>
      </c>
      <c r="C1628">
        <v>20</v>
      </c>
      <c r="D1628" s="260">
        <v>46289</v>
      </c>
      <c r="E1628" s="260">
        <v>46317</v>
      </c>
      <c r="F1628">
        <v>42</v>
      </c>
      <c r="G1628" t="s">
        <v>356</v>
      </c>
    </row>
    <row r="1629" spans="1:7">
      <c r="A1629" t="s">
        <v>3582</v>
      </c>
      <c r="B1629" t="s">
        <v>3583</v>
      </c>
      <c r="C1629">
        <v>15</v>
      </c>
      <c r="D1629" s="260">
        <v>46185</v>
      </c>
      <c r="E1629" s="260">
        <v>46205</v>
      </c>
      <c r="F1629">
        <v>52</v>
      </c>
      <c r="G1629" t="s">
        <v>356</v>
      </c>
    </row>
    <row r="1630" spans="1:7">
      <c r="A1630" t="s">
        <v>3584</v>
      </c>
      <c r="B1630" t="s">
        <v>3585</v>
      </c>
      <c r="C1630">
        <v>15</v>
      </c>
      <c r="D1630" s="260">
        <v>46272</v>
      </c>
      <c r="E1630" s="260">
        <v>46290</v>
      </c>
      <c r="F1630">
        <v>65</v>
      </c>
      <c r="G1630" t="s">
        <v>356</v>
      </c>
    </row>
    <row r="1631" spans="1:7">
      <c r="A1631" t="s">
        <v>3586</v>
      </c>
      <c r="B1631" t="s">
        <v>3587</v>
      </c>
      <c r="C1631">
        <v>5</v>
      </c>
      <c r="D1631" s="260">
        <v>46329</v>
      </c>
      <c r="E1631" s="260">
        <v>46335</v>
      </c>
      <c r="F1631">
        <v>31</v>
      </c>
      <c r="G1631" t="s">
        <v>356</v>
      </c>
    </row>
    <row r="1632" spans="1:7">
      <c r="A1632" t="s">
        <v>3588</v>
      </c>
      <c r="B1632" t="s">
        <v>3589</v>
      </c>
      <c r="C1632">
        <v>15</v>
      </c>
      <c r="D1632" s="260">
        <v>46206</v>
      </c>
      <c r="E1632" s="260">
        <v>46226</v>
      </c>
      <c r="F1632">
        <v>32</v>
      </c>
      <c r="G1632" t="s">
        <v>356</v>
      </c>
    </row>
    <row r="1633" spans="1:7">
      <c r="A1633" t="s">
        <v>3590</v>
      </c>
      <c r="B1633" t="s">
        <v>3591</v>
      </c>
      <c r="C1633">
        <v>10</v>
      </c>
      <c r="D1633" s="260">
        <v>46293</v>
      </c>
      <c r="E1633" s="260">
        <v>46304</v>
      </c>
      <c r="F1633">
        <v>30</v>
      </c>
      <c r="G1633" t="s">
        <v>356</v>
      </c>
    </row>
    <row r="1634" spans="1:7">
      <c r="A1634" t="s">
        <v>3592</v>
      </c>
      <c r="B1634" t="s">
        <v>3593</v>
      </c>
      <c r="C1634">
        <v>5</v>
      </c>
      <c r="D1634" s="260">
        <v>46336</v>
      </c>
      <c r="E1634" s="260">
        <v>46342</v>
      </c>
      <c r="F1634">
        <v>26</v>
      </c>
      <c r="G1634" t="s">
        <v>356</v>
      </c>
    </row>
    <row r="1635" spans="1:7">
      <c r="A1635" t="s">
        <v>3594</v>
      </c>
      <c r="B1635" t="s">
        <v>3595</v>
      </c>
      <c r="C1635">
        <v>15</v>
      </c>
      <c r="D1635" s="260">
        <v>46227</v>
      </c>
      <c r="E1635" s="260">
        <v>46253</v>
      </c>
      <c r="F1635">
        <v>17</v>
      </c>
      <c r="G1635" t="s">
        <v>356</v>
      </c>
    </row>
    <row r="1636" spans="1:7">
      <c r="A1636" t="s">
        <v>3596</v>
      </c>
      <c r="B1636" t="s">
        <v>3597</v>
      </c>
      <c r="C1636">
        <v>10</v>
      </c>
      <c r="D1636" s="260">
        <v>46307</v>
      </c>
      <c r="E1636" s="260">
        <v>46322</v>
      </c>
      <c r="F1636">
        <v>20</v>
      </c>
      <c r="G1636" t="s">
        <v>356</v>
      </c>
    </row>
    <row r="1637" spans="1:7">
      <c r="A1637" t="s">
        <v>3598</v>
      </c>
      <c r="B1637" t="s">
        <v>3599</v>
      </c>
      <c r="C1637">
        <v>5</v>
      </c>
      <c r="D1637" s="260">
        <v>46343</v>
      </c>
      <c r="E1637" s="260">
        <v>46349</v>
      </c>
      <c r="F1637">
        <v>21</v>
      </c>
      <c r="G1637" t="s">
        <v>356</v>
      </c>
    </row>
    <row r="1638" spans="1:7">
      <c r="A1638" t="s">
        <v>3600</v>
      </c>
      <c r="B1638" t="s">
        <v>3601</v>
      </c>
      <c r="C1638">
        <v>15</v>
      </c>
      <c r="D1638" s="260">
        <v>46254</v>
      </c>
      <c r="E1638" s="260">
        <v>46274</v>
      </c>
      <c r="F1638">
        <v>7</v>
      </c>
      <c r="G1638" t="s">
        <v>356</v>
      </c>
    </row>
    <row r="1639" spans="1:7">
      <c r="A1639" t="s">
        <v>3602</v>
      </c>
      <c r="B1639" t="s">
        <v>3603</v>
      </c>
      <c r="C1639">
        <v>10</v>
      </c>
      <c r="D1639" s="260">
        <v>46323</v>
      </c>
      <c r="E1639" s="260">
        <v>46336</v>
      </c>
      <c r="F1639">
        <v>10</v>
      </c>
      <c r="G1639" t="s">
        <v>356</v>
      </c>
    </row>
    <row r="1640" spans="1:7">
      <c r="A1640" t="s">
        <v>3604</v>
      </c>
      <c r="B1640" t="s">
        <v>3605</v>
      </c>
      <c r="C1640">
        <v>5</v>
      </c>
      <c r="D1640" s="260">
        <v>46351</v>
      </c>
      <c r="E1640" s="260">
        <v>46357</v>
      </c>
      <c r="F1640">
        <v>15</v>
      </c>
      <c r="G1640" t="s">
        <v>356</v>
      </c>
    </row>
    <row r="1641" spans="1:7">
      <c r="A1641" t="s">
        <v>3606</v>
      </c>
      <c r="B1641" t="s">
        <v>3607</v>
      </c>
      <c r="C1641">
        <v>15</v>
      </c>
      <c r="D1641" s="260">
        <v>46162</v>
      </c>
      <c r="E1641" s="260">
        <v>46184</v>
      </c>
      <c r="F1641">
        <v>47</v>
      </c>
      <c r="G1641" t="s">
        <v>356</v>
      </c>
    </row>
    <row r="1642" spans="1:7">
      <c r="A1642" t="s">
        <v>3608</v>
      </c>
      <c r="B1642" t="s">
        <v>3609</v>
      </c>
      <c r="C1642">
        <v>10</v>
      </c>
      <c r="D1642" s="260">
        <v>46265</v>
      </c>
      <c r="E1642" s="260">
        <v>46276</v>
      </c>
      <c r="F1642">
        <v>50</v>
      </c>
      <c r="G1642" t="s">
        <v>356</v>
      </c>
    </row>
    <row r="1643" spans="1:7">
      <c r="A1643" t="s">
        <v>3610</v>
      </c>
      <c r="B1643" t="s">
        <v>3611</v>
      </c>
      <c r="C1643">
        <v>5</v>
      </c>
      <c r="D1643" s="260">
        <v>46322</v>
      </c>
      <c r="E1643" s="260">
        <v>46328</v>
      </c>
      <c r="F1643">
        <v>36</v>
      </c>
      <c r="G1643" t="s">
        <v>356</v>
      </c>
    </row>
    <row r="1644" spans="1:7">
      <c r="A1644" t="s">
        <v>3612</v>
      </c>
      <c r="B1644" t="s">
        <v>3613</v>
      </c>
      <c r="C1644">
        <v>15</v>
      </c>
      <c r="D1644" s="260">
        <v>46185</v>
      </c>
      <c r="E1644" s="260">
        <v>46205</v>
      </c>
      <c r="F1644">
        <v>52</v>
      </c>
      <c r="G1644" t="s">
        <v>356</v>
      </c>
    </row>
    <row r="1645" spans="1:7">
      <c r="A1645" t="s">
        <v>3614</v>
      </c>
      <c r="B1645" t="s">
        <v>3615</v>
      </c>
      <c r="C1645">
        <v>10</v>
      </c>
      <c r="D1645" s="260">
        <v>46279</v>
      </c>
      <c r="E1645" s="260">
        <v>46290</v>
      </c>
      <c r="F1645">
        <v>40</v>
      </c>
      <c r="G1645" t="s">
        <v>356</v>
      </c>
    </row>
    <row r="1646" spans="1:7">
      <c r="A1646" t="s">
        <v>3616</v>
      </c>
      <c r="B1646" t="s">
        <v>3617</v>
      </c>
      <c r="C1646">
        <v>5</v>
      </c>
      <c r="D1646" s="260">
        <v>46329</v>
      </c>
      <c r="E1646" s="260">
        <v>46335</v>
      </c>
      <c r="F1646">
        <v>31</v>
      </c>
      <c r="G1646" t="s">
        <v>356</v>
      </c>
    </row>
    <row r="1647" spans="1:7">
      <c r="A1647" t="s">
        <v>3618</v>
      </c>
      <c r="B1647" t="s">
        <v>3619</v>
      </c>
      <c r="C1647">
        <v>15</v>
      </c>
      <c r="D1647" s="260">
        <v>46206</v>
      </c>
      <c r="E1647" s="260">
        <v>46226</v>
      </c>
      <c r="F1647">
        <v>62</v>
      </c>
      <c r="G1647" t="s">
        <v>356</v>
      </c>
    </row>
    <row r="1648" spans="1:7">
      <c r="A1648" t="s">
        <v>3620</v>
      </c>
      <c r="B1648" t="s">
        <v>3621</v>
      </c>
      <c r="C1648">
        <v>10</v>
      </c>
      <c r="D1648" s="260">
        <v>46293</v>
      </c>
      <c r="E1648" s="260">
        <v>46304</v>
      </c>
      <c r="F1648">
        <v>30</v>
      </c>
      <c r="G1648" t="s">
        <v>356</v>
      </c>
    </row>
    <row r="1649" spans="1:7">
      <c r="A1649" t="s">
        <v>3622</v>
      </c>
      <c r="B1649" t="s">
        <v>3623</v>
      </c>
      <c r="C1649">
        <v>5</v>
      </c>
      <c r="D1649" s="260">
        <v>46336</v>
      </c>
      <c r="E1649" s="260">
        <v>46342</v>
      </c>
      <c r="F1649">
        <v>26</v>
      </c>
      <c r="G1649" t="s">
        <v>356</v>
      </c>
    </row>
    <row r="1650" spans="1:7">
      <c r="A1650" t="s">
        <v>3624</v>
      </c>
      <c r="B1650" t="s">
        <v>3625</v>
      </c>
      <c r="C1650">
        <v>15</v>
      </c>
      <c r="D1650" s="260">
        <v>46185</v>
      </c>
      <c r="E1650" s="260">
        <v>46205</v>
      </c>
      <c r="F1650">
        <v>37</v>
      </c>
      <c r="G1650" t="s">
        <v>356</v>
      </c>
    </row>
    <row r="1651" spans="1:7">
      <c r="A1651" t="s">
        <v>3626</v>
      </c>
      <c r="B1651" t="s">
        <v>3627</v>
      </c>
      <c r="C1651">
        <v>10</v>
      </c>
      <c r="D1651" s="260">
        <v>46279</v>
      </c>
      <c r="E1651" s="260">
        <v>46290</v>
      </c>
      <c r="F1651">
        <v>30</v>
      </c>
      <c r="G1651" t="s">
        <v>356</v>
      </c>
    </row>
    <row r="1652" spans="1:7">
      <c r="A1652" t="s">
        <v>3628</v>
      </c>
      <c r="B1652" t="s">
        <v>3629</v>
      </c>
      <c r="C1652">
        <v>5</v>
      </c>
      <c r="D1652" s="260">
        <v>46329</v>
      </c>
      <c r="E1652" s="260">
        <v>46335</v>
      </c>
      <c r="F1652">
        <v>16</v>
      </c>
      <c r="G1652" t="s">
        <v>356</v>
      </c>
    </row>
    <row r="1653" spans="1:7">
      <c r="A1653" t="s">
        <v>3630</v>
      </c>
      <c r="B1653" t="s">
        <v>3631</v>
      </c>
      <c r="C1653">
        <v>15</v>
      </c>
      <c r="D1653" s="260">
        <v>46185</v>
      </c>
      <c r="E1653" s="260">
        <v>46205</v>
      </c>
      <c r="F1653">
        <v>77</v>
      </c>
      <c r="G1653" t="s">
        <v>356</v>
      </c>
    </row>
    <row r="1654" spans="1:7">
      <c r="A1654" t="s">
        <v>3632</v>
      </c>
      <c r="B1654" t="s">
        <v>3633</v>
      </c>
      <c r="C1654">
        <v>10</v>
      </c>
      <c r="D1654" s="260">
        <v>46220</v>
      </c>
      <c r="E1654" s="260">
        <v>46238</v>
      </c>
      <c r="F1654">
        <v>77</v>
      </c>
      <c r="G1654" t="s">
        <v>356</v>
      </c>
    </row>
    <row r="1655" spans="1:7">
      <c r="A1655" t="s">
        <v>3634</v>
      </c>
      <c r="B1655" t="s">
        <v>3635</v>
      </c>
      <c r="C1655">
        <v>10</v>
      </c>
      <c r="D1655" s="260">
        <v>46254</v>
      </c>
      <c r="E1655" s="260">
        <v>46267</v>
      </c>
      <c r="F1655">
        <v>77</v>
      </c>
      <c r="G1655" t="s">
        <v>356</v>
      </c>
    </row>
    <row r="1656" spans="1:7">
      <c r="A1656" t="s">
        <v>3636</v>
      </c>
      <c r="B1656" t="s">
        <v>3637</v>
      </c>
      <c r="C1656">
        <v>15</v>
      </c>
      <c r="D1656" s="260">
        <v>46272</v>
      </c>
      <c r="E1656" s="260">
        <v>46290</v>
      </c>
      <c r="F1656">
        <v>20</v>
      </c>
      <c r="G1656" t="s">
        <v>356</v>
      </c>
    </row>
    <row r="1657" spans="1:7">
      <c r="A1657" t="s">
        <v>3638</v>
      </c>
      <c r="B1657" t="s">
        <v>3639</v>
      </c>
      <c r="C1657">
        <v>10</v>
      </c>
      <c r="D1657" s="260">
        <v>46307</v>
      </c>
      <c r="E1657" s="260">
        <v>46322</v>
      </c>
      <c r="F1657">
        <v>20</v>
      </c>
      <c r="G1657" t="s">
        <v>356</v>
      </c>
    </row>
    <row r="1658" spans="1:7">
      <c r="A1658" t="s">
        <v>3640</v>
      </c>
      <c r="B1658" t="s">
        <v>3641</v>
      </c>
      <c r="C1658">
        <v>10</v>
      </c>
      <c r="D1658" s="260">
        <v>46338</v>
      </c>
      <c r="E1658" s="260">
        <v>46351</v>
      </c>
      <c r="F1658">
        <v>19</v>
      </c>
      <c r="G1658" t="s">
        <v>356</v>
      </c>
    </row>
    <row r="1659" spans="1:7">
      <c r="A1659" t="s">
        <v>3642</v>
      </c>
      <c r="B1659" t="s">
        <v>3643</v>
      </c>
      <c r="C1659">
        <v>15</v>
      </c>
      <c r="D1659" s="260">
        <v>46213</v>
      </c>
      <c r="E1659" s="260">
        <v>46238</v>
      </c>
      <c r="F1659">
        <v>32</v>
      </c>
      <c r="G1659" t="s">
        <v>356</v>
      </c>
    </row>
    <row r="1660" spans="1:7">
      <c r="A1660" t="s">
        <v>3644</v>
      </c>
      <c r="B1660" t="s">
        <v>3645</v>
      </c>
      <c r="C1660">
        <v>10</v>
      </c>
      <c r="D1660" s="260">
        <v>46275</v>
      </c>
      <c r="E1660" s="260">
        <v>46288</v>
      </c>
      <c r="F1660">
        <v>62</v>
      </c>
      <c r="G1660" t="s">
        <v>356</v>
      </c>
    </row>
    <row r="1661" spans="1:7">
      <c r="A1661" t="s">
        <v>3646</v>
      </c>
      <c r="B1661" t="s">
        <v>3647</v>
      </c>
      <c r="C1661">
        <v>15</v>
      </c>
      <c r="D1661" s="260">
        <v>46275</v>
      </c>
      <c r="E1661" s="260">
        <v>46295</v>
      </c>
      <c r="F1661">
        <v>7</v>
      </c>
      <c r="G1661" t="s">
        <v>356</v>
      </c>
    </row>
    <row r="1662" spans="1:7">
      <c r="A1662" t="s">
        <v>3648</v>
      </c>
      <c r="B1662" t="s">
        <v>3649</v>
      </c>
      <c r="C1662">
        <v>10</v>
      </c>
      <c r="D1662" s="260">
        <v>46337</v>
      </c>
      <c r="E1662" s="260">
        <v>46350</v>
      </c>
      <c r="F1662">
        <v>0</v>
      </c>
      <c r="G1662" t="s">
        <v>356</v>
      </c>
    </row>
    <row r="1663" spans="1:7">
      <c r="A1663" t="s">
        <v>3650</v>
      </c>
      <c r="B1663" t="s">
        <v>3651</v>
      </c>
      <c r="C1663">
        <v>10</v>
      </c>
      <c r="D1663" s="260">
        <v>46367</v>
      </c>
      <c r="E1663" s="260">
        <v>46380</v>
      </c>
      <c r="F1663">
        <v>0</v>
      </c>
      <c r="G1663" t="s">
        <v>356</v>
      </c>
    </row>
    <row r="1664" spans="1:7">
      <c r="A1664" t="s">
        <v>3652</v>
      </c>
      <c r="B1664" t="s">
        <v>3653</v>
      </c>
      <c r="C1664">
        <v>15</v>
      </c>
      <c r="D1664" s="260">
        <v>46275</v>
      </c>
      <c r="E1664" s="260">
        <v>46295</v>
      </c>
      <c r="F1664">
        <v>22</v>
      </c>
      <c r="G1664" t="s">
        <v>356</v>
      </c>
    </row>
    <row r="1665" spans="1:7">
      <c r="A1665" t="s">
        <v>3654</v>
      </c>
      <c r="B1665" t="s">
        <v>3655</v>
      </c>
      <c r="C1665">
        <v>10</v>
      </c>
      <c r="D1665" s="260">
        <v>46311</v>
      </c>
      <c r="E1665" s="260">
        <v>46325</v>
      </c>
      <c r="F1665">
        <v>37</v>
      </c>
      <c r="G1665" t="s">
        <v>356</v>
      </c>
    </row>
    <row r="1666" spans="1:7">
      <c r="A1666" t="s">
        <v>3656</v>
      </c>
      <c r="B1666" t="s">
        <v>3657</v>
      </c>
      <c r="C1666">
        <v>15</v>
      </c>
      <c r="D1666" s="260">
        <v>46275</v>
      </c>
      <c r="E1666" s="260">
        <v>46295</v>
      </c>
      <c r="F1666">
        <v>22</v>
      </c>
      <c r="G1666" t="s">
        <v>356</v>
      </c>
    </row>
    <row r="1667" spans="1:7">
      <c r="A1667" t="s">
        <v>3658</v>
      </c>
      <c r="B1667" t="s">
        <v>3659</v>
      </c>
      <c r="C1667">
        <v>10</v>
      </c>
      <c r="D1667" s="260">
        <v>46311</v>
      </c>
      <c r="E1667" s="260">
        <v>46325</v>
      </c>
      <c r="F1667">
        <v>37</v>
      </c>
      <c r="G1667" t="s">
        <v>356</v>
      </c>
    </row>
    <row r="1668" spans="1:7">
      <c r="A1668" t="s">
        <v>3660</v>
      </c>
      <c r="C1668">
        <v>148</v>
      </c>
      <c r="D1668" s="260">
        <v>46121</v>
      </c>
      <c r="E1668" s="260">
        <v>46344</v>
      </c>
      <c r="F1668">
        <v>24</v>
      </c>
      <c r="G1668" t="s">
        <v>356</v>
      </c>
    </row>
    <row r="1669" spans="1:7">
      <c r="A1669" t="s">
        <v>3661</v>
      </c>
      <c r="B1669" t="s">
        <v>3662</v>
      </c>
      <c r="C1669">
        <v>15</v>
      </c>
      <c r="D1669" s="260">
        <v>46121</v>
      </c>
      <c r="E1669" s="260">
        <v>46147</v>
      </c>
      <c r="F1669">
        <v>22</v>
      </c>
      <c r="G1669" t="s">
        <v>356</v>
      </c>
    </row>
    <row r="1670" spans="1:7">
      <c r="A1670" t="s">
        <v>3663</v>
      </c>
      <c r="B1670" t="s">
        <v>3664</v>
      </c>
      <c r="C1670">
        <v>10</v>
      </c>
      <c r="D1670" s="260">
        <v>46162</v>
      </c>
      <c r="E1670" s="260">
        <v>46177</v>
      </c>
      <c r="F1670">
        <v>72</v>
      </c>
      <c r="G1670" t="s">
        <v>356</v>
      </c>
    </row>
    <row r="1671" spans="1:7">
      <c r="A1671" t="s">
        <v>3665</v>
      </c>
      <c r="B1671" t="s">
        <v>3666</v>
      </c>
      <c r="C1671">
        <v>5</v>
      </c>
      <c r="D1671" s="260">
        <v>46192</v>
      </c>
      <c r="E1671" s="260">
        <v>46198</v>
      </c>
      <c r="F1671">
        <v>72</v>
      </c>
      <c r="G1671" t="s">
        <v>356</v>
      </c>
    </row>
    <row r="1672" spans="1:7">
      <c r="A1672" t="s">
        <v>3667</v>
      </c>
      <c r="B1672" t="s">
        <v>3668</v>
      </c>
      <c r="C1672">
        <v>15</v>
      </c>
      <c r="D1672" s="260">
        <v>46141</v>
      </c>
      <c r="E1672" s="260">
        <v>46162</v>
      </c>
      <c r="F1672">
        <v>0</v>
      </c>
      <c r="G1672" t="s">
        <v>356</v>
      </c>
    </row>
    <row r="1673" spans="1:7">
      <c r="A1673" t="s">
        <v>3669</v>
      </c>
      <c r="B1673" t="s">
        <v>3670</v>
      </c>
      <c r="C1673">
        <v>10</v>
      </c>
      <c r="D1673" s="260">
        <v>46181</v>
      </c>
      <c r="E1673" s="260">
        <v>46192</v>
      </c>
      <c r="F1673">
        <v>96</v>
      </c>
      <c r="G1673" t="s">
        <v>356</v>
      </c>
    </row>
    <row r="1674" spans="1:7">
      <c r="A1674" t="s">
        <v>3671</v>
      </c>
      <c r="B1674" t="s">
        <v>3672</v>
      </c>
      <c r="C1674">
        <v>5</v>
      </c>
      <c r="D1674" s="260">
        <v>46211</v>
      </c>
      <c r="E1674" s="260">
        <v>46217</v>
      </c>
      <c r="F1674">
        <v>104</v>
      </c>
      <c r="G1674" t="s">
        <v>356</v>
      </c>
    </row>
    <row r="1675" spans="1:7">
      <c r="A1675" t="s">
        <v>3673</v>
      </c>
      <c r="B1675" t="s">
        <v>3674</v>
      </c>
      <c r="C1675">
        <v>15</v>
      </c>
      <c r="D1675" s="260">
        <v>46220</v>
      </c>
      <c r="E1675" s="260">
        <v>46245</v>
      </c>
      <c r="F1675">
        <v>4</v>
      </c>
      <c r="G1675" t="s">
        <v>356</v>
      </c>
    </row>
    <row r="1676" spans="1:7">
      <c r="A1676" t="s">
        <v>3675</v>
      </c>
      <c r="B1676" t="s">
        <v>3676</v>
      </c>
      <c r="C1676">
        <v>10</v>
      </c>
      <c r="D1676" s="260">
        <v>46261</v>
      </c>
      <c r="E1676" s="260">
        <v>46274</v>
      </c>
      <c r="F1676">
        <v>42</v>
      </c>
      <c r="G1676" t="s">
        <v>356</v>
      </c>
    </row>
    <row r="1677" spans="1:7">
      <c r="A1677" t="s">
        <v>3677</v>
      </c>
      <c r="B1677" t="s">
        <v>3678</v>
      </c>
      <c r="C1677">
        <v>5</v>
      </c>
      <c r="D1677" s="260">
        <v>46316</v>
      </c>
      <c r="E1677" s="260">
        <v>46323</v>
      </c>
      <c r="F1677">
        <v>34</v>
      </c>
      <c r="G1677" t="s">
        <v>356</v>
      </c>
    </row>
    <row r="1678" spans="1:7">
      <c r="A1678" t="s">
        <v>3679</v>
      </c>
      <c r="B1678" t="s">
        <v>3680</v>
      </c>
      <c r="C1678">
        <v>15</v>
      </c>
      <c r="D1678" s="260">
        <v>46230</v>
      </c>
      <c r="E1678" s="260">
        <v>46254</v>
      </c>
      <c r="F1678">
        <v>4</v>
      </c>
      <c r="G1678" t="s">
        <v>356</v>
      </c>
    </row>
    <row r="1679" spans="1:7">
      <c r="A1679" t="s">
        <v>3681</v>
      </c>
      <c r="B1679" t="s">
        <v>3682</v>
      </c>
      <c r="C1679">
        <v>10</v>
      </c>
      <c r="D1679" s="260">
        <v>46269</v>
      </c>
      <c r="E1679" s="260">
        <v>46282</v>
      </c>
      <c r="F1679">
        <v>36</v>
      </c>
      <c r="G1679" t="s">
        <v>356</v>
      </c>
    </row>
    <row r="1680" spans="1:7">
      <c r="A1680" t="s">
        <v>3683</v>
      </c>
      <c r="B1680" t="s">
        <v>3684</v>
      </c>
      <c r="C1680">
        <v>5</v>
      </c>
      <c r="D1680" s="260">
        <v>46322</v>
      </c>
      <c r="E1680" s="260">
        <v>46328</v>
      </c>
      <c r="F1680">
        <v>31</v>
      </c>
      <c r="G1680" t="s">
        <v>356</v>
      </c>
    </row>
    <row r="1681" spans="1:7">
      <c r="A1681" t="s">
        <v>3685</v>
      </c>
      <c r="B1681" t="s">
        <v>3686</v>
      </c>
      <c r="C1681">
        <v>15</v>
      </c>
      <c r="D1681" s="260">
        <v>46136</v>
      </c>
      <c r="E1681" s="260">
        <v>46157</v>
      </c>
      <c r="F1681">
        <v>57</v>
      </c>
      <c r="G1681" t="s">
        <v>356</v>
      </c>
    </row>
    <row r="1682" spans="1:7">
      <c r="A1682" t="s">
        <v>3687</v>
      </c>
      <c r="B1682" t="s">
        <v>3688</v>
      </c>
      <c r="C1682">
        <v>10</v>
      </c>
      <c r="D1682" s="260">
        <v>46175</v>
      </c>
      <c r="E1682" s="260">
        <v>46189</v>
      </c>
      <c r="F1682">
        <v>99</v>
      </c>
      <c r="G1682" t="s">
        <v>356</v>
      </c>
    </row>
    <row r="1683" spans="1:7">
      <c r="A1683" t="s">
        <v>3689</v>
      </c>
      <c r="B1683" t="s">
        <v>3690</v>
      </c>
      <c r="C1683">
        <v>5</v>
      </c>
      <c r="D1683" s="260">
        <v>46206</v>
      </c>
      <c r="E1683" s="260">
        <v>46212</v>
      </c>
      <c r="F1683">
        <v>107</v>
      </c>
      <c r="G1683" t="s">
        <v>356</v>
      </c>
    </row>
    <row r="1684" spans="1:7">
      <c r="A1684" t="s">
        <v>3691</v>
      </c>
      <c r="B1684" t="s">
        <v>3692</v>
      </c>
      <c r="C1684">
        <v>15</v>
      </c>
      <c r="D1684" s="260">
        <v>46171</v>
      </c>
      <c r="E1684" s="260">
        <v>46195</v>
      </c>
      <c r="F1684">
        <v>57</v>
      </c>
      <c r="G1684" t="s">
        <v>356</v>
      </c>
    </row>
    <row r="1685" spans="1:7">
      <c r="A1685" t="s">
        <v>3693</v>
      </c>
      <c r="B1685" t="s">
        <v>3694</v>
      </c>
      <c r="C1685">
        <v>10</v>
      </c>
      <c r="D1685" s="260">
        <v>46210</v>
      </c>
      <c r="E1685" s="260">
        <v>46223</v>
      </c>
      <c r="F1685">
        <v>75</v>
      </c>
      <c r="G1685" t="s">
        <v>356</v>
      </c>
    </row>
    <row r="1686" spans="1:7">
      <c r="A1686" t="s">
        <v>3695</v>
      </c>
      <c r="B1686" t="s">
        <v>3696</v>
      </c>
      <c r="C1686">
        <v>5</v>
      </c>
      <c r="D1686" s="260">
        <v>46261</v>
      </c>
      <c r="E1686" s="260">
        <v>46267</v>
      </c>
      <c r="F1686">
        <v>72</v>
      </c>
      <c r="G1686" t="s">
        <v>356</v>
      </c>
    </row>
    <row r="1687" spans="1:7">
      <c r="A1687" t="s">
        <v>3697</v>
      </c>
      <c r="B1687" t="s">
        <v>3698</v>
      </c>
      <c r="C1687">
        <v>15</v>
      </c>
      <c r="D1687" s="260">
        <v>46149</v>
      </c>
      <c r="E1687" s="260">
        <v>46169</v>
      </c>
      <c r="F1687">
        <v>0</v>
      </c>
      <c r="G1687" t="s">
        <v>356</v>
      </c>
    </row>
    <row r="1688" spans="1:7">
      <c r="A1688" t="s">
        <v>3699</v>
      </c>
      <c r="B1688" t="s">
        <v>3700</v>
      </c>
      <c r="C1688">
        <v>10</v>
      </c>
      <c r="D1688" s="260">
        <v>46188</v>
      </c>
      <c r="E1688" s="260">
        <v>46199</v>
      </c>
      <c r="F1688">
        <v>91</v>
      </c>
      <c r="G1688" t="s">
        <v>356</v>
      </c>
    </row>
    <row r="1689" spans="1:7">
      <c r="A1689" t="s">
        <v>3701</v>
      </c>
      <c r="B1689" t="s">
        <v>3702</v>
      </c>
      <c r="C1689">
        <v>5</v>
      </c>
      <c r="D1689" s="260">
        <v>46238</v>
      </c>
      <c r="E1689" s="260">
        <v>46244</v>
      </c>
      <c r="F1689">
        <v>88</v>
      </c>
      <c r="G1689" t="s">
        <v>356</v>
      </c>
    </row>
    <row r="1690" spans="1:7">
      <c r="A1690" t="s">
        <v>3703</v>
      </c>
      <c r="B1690" t="s">
        <v>3704</v>
      </c>
      <c r="C1690">
        <v>15</v>
      </c>
      <c r="D1690" s="260">
        <v>46251</v>
      </c>
      <c r="E1690" s="260">
        <v>46269</v>
      </c>
      <c r="F1690">
        <v>4</v>
      </c>
      <c r="G1690" t="s">
        <v>356</v>
      </c>
    </row>
    <row r="1691" spans="1:7">
      <c r="A1691" t="s">
        <v>3705</v>
      </c>
      <c r="B1691" t="s">
        <v>3706</v>
      </c>
      <c r="C1691">
        <v>10</v>
      </c>
      <c r="D1691" s="260">
        <v>46286</v>
      </c>
      <c r="E1691" s="260">
        <v>46297</v>
      </c>
      <c r="F1691">
        <v>25</v>
      </c>
      <c r="G1691" t="s">
        <v>356</v>
      </c>
    </row>
    <row r="1692" spans="1:7">
      <c r="A1692" t="s">
        <v>3707</v>
      </c>
      <c r="B1692" t="s">
        <v>3708</v>
      </c>
      <c r="C1692">
        <v>5</v>
      </c>
      <c r="D1692" s="260">
        <v>46315</v>
      </c>
      <c r="E1692" s="260">
        <v>46322</v>
      </c>
      <c r="F1692">
        <v>35</v>
      </c>
      <c r="G1692" t="s">
        <v>356</v>
      </c>
    </row>
    <row r="1693" spans="1:7">
      <c r="A1693" t="s">
        <v>3709</v>
      </c>
      <c r="B1693" t="s">
        <v>3710</v>
      </c>
      <c r="C1693">
        <v>15</v>
      </c>
      <c r="D1693" s="260">
        <v>46251</v>
      </c>
      <c r="E1693" s="260">
        <v>46269</v>
      </c>
      <c r="F1693">
        <v>14</v>
      </c>
      <c r="G1693" t="s">
        <v>356</v>
      </c>
    </row>
    <row r="1694" spans="1:7">
      <c r="A1694" t="s">
        <v>3711</v>
      </c>
      <c r="B1694" t="s">
        <v>3712</v>
      </c>
      <c r="C1694">
        <v>10</v>
      </c>
      <c r="D1694" s="260">
        <v>46286</v>
      </c>
      <c r="E1694" s="260">
        <v>46297</v>
      </c>
      <c r="F1694">
        <v>25</v>
      </c>
      <c r="G1694" t="s">
        <v>356</v>
      </c>
    </row>
    <row r="1695" spans="1:7">
      <c r="A1695" t="s">
        <v>3713</v>
      </c>
      <c r="B1695" t="s">
        <v>3714</v>
      </c>
      <c r="C1695">
        <v>5</v>
      </c>
      <c r="D1695" s="260">
        <v>46324</v>
      </c>
      <c r="E1695" s="260">
        <v>46330</v>
      </c>
      <c r="F1695">
        <v>29</v>
      </c>
      <c r="G1695" t="s">
        <v>356</v>
      </c>
    </row>
    <row r="1696" spans="1:7">
      <c r="A1696" t="s">
        <v>3715</v>
      </c>
      <c r="B1696" t="s">
        <v>3716</v>
      </c>
      <c r="C1696">
        <v>15</v>
      </c>
      <c r="D1696" s="260">
        <v>46251</v>
      </c>
      <c r="E1696" s="260">
        <v>46269</v>
      </c>
      <c r="F1696">
        <v>5</v>
      </c>
      <c r="G1696" t="s">
        <v>356</v>
      </c>
    </row>
    <row r="1697" spans="1:7">
      <c r="A1697" t="s">
        <v>3717</v>
      </c>
      <c r="B1697" t="s">
        <v>3718</v>
      </c>
      <c r="C1697">
        <v>10</v>
      </c>
      <c r="D1697" s="260">
        <v>46286</v>
      </c>
      <c r="E1697" s="260">
        <v>46297</v>
      </c>
      <c r="F1697">
        <v>25</v>
      </c>
      <c r="G1697" t="s">
        <v>356</v>
      </c>
    </row>
    <row r="1698" spans="1:7">
      <c r="A1698" t="s">
        <v>3719</v>
      </c>
      <c r="B1698" t="s">
        <v>3720</v>
      </c>
      <c r="C1698">
        <v>5</v>
      </c>
      <c r="D1698" s="260">
        <v>46337</v>
      </c>
      <c r="E1698" s="260">
        <v>46343</v>
      </c>
      <c r="F1698">
        <v>20</v>
      </c>
      <c r="G1698" t="s">
        <v>356</v>
      </c>
    </row>
    <row r="1699" spans="1:7">
      <c r="A1699" t="s">
        <v>3721</v>
      </c>
      <c r="B1699" t="s">
        <v>3722</v>
      </c>
      <c r="C1699">
        <v>15</v>
      </c>
      <c r="D1699" s="260">
        <v>46251</v>
      </c>
      <c r="E1699" s="260">
        <v>46269</v>
      </c>
      <c r="F1699">
        <v>5</v>
      </c>
      <c r="G1699" t="s">
        <v>356</v>
      </c>
    </row>
    <row r="1700" spans="1:7">
      <c r="A1700" t="s">
        <v>3723</v>
      </c>
      <c r="B1700" t="s">
        <v>3724</v>
      </c>
      <c r="C1700">
        <v>5</v>
      </c>
      <c r="D1700" s="260">
        <v>46337</v>
      </c>
      <c r="E1700" s="260">
        <v>46343</v>
      </c>
      <c r="F1700">
        <v>20</v>
      </c>
      <c r="G1700" t="s">
        <v>356</v>
      </c>
    </row>
    <row r="1701" spans="1:7">
      <c r="A1701" t="s">
        <v>3725</v>
      </c>
      <c r="B1701" t="s">
        <v>3726</v>
      </c>
      <c r="C1701">
        <v>15</v>
      </c>
      <c r="D1701" s="260">
        <v>46251</v>
      </c>
      <c r="E1701" s="260">
        <v>46269</v>
      </c>
      <c r="F1701">
        <v>5</v>
      </c>
      <c r="G1701" t="s">
        <v>356</v>
      </c>
    </row>
    <row r="1702" spans="1:7">
      <c r="A1702" t="s">
        <v>3727</v>
      </c>
      <c r="B1702" t="s">
        <v>3728</v>
      </c>
      <c r="C1702">
        <v>5</v>
      </c>
      <c r="D1702" s="260">
        <v>46337</v>
      </c>
      <c r="E1702" s="260">
        <v>46343</v>
      </c>
      <c r="F1702">
        <v>20</v>
      </c>
      <c r="G1702" t="s">
        <v>356</v>
      </c>
    </row>
    <row r="1703" spans="1:7">
      <c r="A1703" t="s">
        <v>3729</v>
      </c>
      <c r="B1703" t="s">
        <v>3730</v>
      </c>
      <c r="C1703">
        <v>15</v>
      </c>
      <c r="D1703" s="260">
        <v>46251</v>
      </c>
      <c r="E1703" s="260">
        <v>46269</v>
      </c>
      <c r="F1703">
        <v>5</v>
      </c>
      <c r="G1703" t="s">
        <v>356</v>
      </c>
    </row>
    <row r="1704" spans="1:7">
      <c r="A1704" t="s">
        <v>3731</v>
      </c>
      <c r="B1704" t="s">
        <v>3732</v>
      </c>
      <c r="C1704">
        <v>5</v>
      </c>
      <c r="D1704" s="260">
        <v>46337</v>
      </c>
      <c r="E1704" s="260">
        <v>46343</v>
      </c>
      <c r="F1704">
        <v>20</v>
      </c>
      <c r="G1704" t="s">
        <v>356</v>
      </c>
    </row>
    <row r="1705" spans="1:7">
      <c r="A1705" t="s">
        <v>3733</v>
      </c>
      <c r="B1705" t="s">
        <v>3734</v>
      </c>
      <c r="C1705">
        <v>15</v>
      </c>
      <c r="D1705" s="260">
        <v>46251</v>
      </c>
      <c r="E1705" s="260">
        <v>46269</v>
      </c>
      <c r="F1705">
        <v>5</v>
      </c>
      <c r="G1705" t="s">
        <v>356</v>
      </c>
    </row>
    <row r="1706" spans="1:7">
      <c r="A1706" t="s">
        <v>3735</v>
      </c>
      <c r="B1706" t="s">
        <v>3736</v>
      </c>
      <c r="C1706">
        <v>5</v>
      </c>
      <c r="D1706" s="260">
        <v>46337</v>
      </c>
      <c r="E1706" s="260">
        <v>46343</v>
      </c>
      <c r="F1706">
        <v>20</v>
      </c>
      <c r="G1706" t="s">
        <v>356</v>
      </c>
    </row>
    <row r="1707" spans="1:7">
      <c r="A1707" t="s">
        <v>3737</v>
      </c>
      <c r="B1707" t="s">
        <v>3738</v>
      </c>
      <c r="C1707">
        <v>15</v>
      </c>
      <c r="D1707" s="260">
        <v>46251</v>
      </c>
      <c r="E1707" s="260">
        <v>46269</v>
      </c>
      <c r="F1707">
        <v>5</v>
      </c>
      <c r="G1707" t="s">
        <v>356</v>
      </c>
    </row>
    <row r="1708" spans="1:7">
      <c r="A1708" t="s">
        <v>3739</v>
      </c>
      <c r="B1708" t="s">
        <v>3740</v>
      </c>
      <c r="C1708">
        <v>5</v>
      </c>
      <c r="D1708" s="260">
        <v>46337</v>
      </c>
      <c r="E1708" s="260">
        <v>46343</v>
      </c>
      <c r="F1708">
        <v>20</v>
      </c>
      <c r="G1708" t="s">
        <v>356</v>
      </c>
    </row>
    <row r="1709" spans="1:7">
      <c r="A1709" t="s">
        <v>3741</v>
      </c>
      <c r="B1709" t="s">
        <v>3742</v>
      </c>
      <c r="C1709">
        <v>15</v>
      </c>
      <c r="D1709" s="260">
        <v>46251</v>
      </c>
      <c r="E1709" s="260">
        <v>46269</v>
      </c>
      <c r="F1709">
        <v>5</v>
      </c>
      <c r="G1709" t="s">
        <v>356</v>
      </c>
    </row>
    <row r="1710" spans="1:7">
      <c r="A1710" t="s">
        <v>3743</v>
      </c>
      <c r="B1710" t="s">
        <v>3744</v>
      </c>
      <c r="C1710">
        <v>10</v>
      </c>
      <c r="D1710" s="260">
        <v>46286</v>
      </c>
      <c r="E1710" s="260">
        <v>46297</v>
      </c>
      <c r="F1710">
        <v>25</v>
      </c>
      <c r="G1710" t="s">
        <v>356</v>
      </c>
    </row>
    <row r="1711" spans="1:7">
      <c r="A1711" t="s">
        <v>3745</v>
      </c>
      <c r="B1711" t="s">
        <v>3746</v>
      </c>
      <c r="C1711">
        <v>5</v>
      </c>
      <c r="D1711" s="260">
        <v>46337</v>
      </c>
      <c r="E1711" s="260">
        <v>46343</v>
      </c>
      <c r="F1711">
        <v>20</v>
      </c>
      <c r="G1711" t="s">
        <v>356</v>
      </c>
    </row>
    <row r="1712" spans="1:7">
      <c r="A1712" t="s">
        <v>3747</v>
      </c>
      <c r="B1712" t="s">
        <v>3748</v>
      </c>
      <c r="C1712">
        <v>15</v>
      </c>
      <c r="D1712" s="260">
        <v>46251</v>
      </c>
      <c r="E1712" s="260">
        <v>46269</v>
      </c>
      <c r="F1712">
        <v>5</v>
      </c>
      <c r="G1712" t="s">
        <v>356</v>
      </c>
    </row>
    <row r="1713" spans="1:7">
      <c r="A1713" t="s">
        <v>3749</v>
      </c>
      <c r="B1713" t="s">
        <v>3750</v>
      </c>
      <c r="C1713">
        <v>10</v>
      </c>
      <c r="D1713" s="260">
        <v>46286</v>
      </c>
      <c r="E1713" s="260">
        <v>46297</v>
      </c>
      <c r="F1713">
        <v>25</v>
      </c>
      <c r="G1713" t="s">
        <v>356</v>
      </c>
    </row>
    <row r="1714" spans="1:7">
      <c r="A1714" t="s">
        <v>3751</v>
      </c>
      <c r="B1714" t="s">
        <v>3752</v>
      </c>
      <c r="C1714">
        <v>5</v>
      </c>
      <c r="D1714" s="260">
        <v>46337</v>
      </c>
      <c r="E1714" s="260">
        <v>46343</v>
      </c>
      <c r="F1714">
        <v>20</v>
      </c>
      <c r="G1714" t="s">
        <v>356</v>
      </c>
    </row>
    <row r="1715" spans="1:7">
      <c r="A1715" t="s">
        <v>3753</v>
      </c>
      <c r="B1715" t="s">
        <v>3754</v>
      </c>
      <c r="C1715">
        <v>15</v>
      </c>
      <c r="D1715" s="260">
        <v>46251</v>
      </c>
      <c r="E1715" s="260">
        <v>46269</v>
      </c>
      <c r="F1715">
        <v>5</v>
      </c>
      <c r="G1715" t="s">
        <v>356</v>
      </c>
    </row>
    <row r="1716" spans="1:7">
      <c r="A1716" t="s">
        <v>3755</v>
      </c>
      <c r="B1716" t="s">
        <v>3756</v>
      </c>
      <c r="C1716">
        <v>10</v>
      </c>
      <c r="D1716" s="260">
        <v>46286</v>
      </c>
      <c r="E1716" s="260">
        <v>46297</v>
      </c>
      <c r="F1716">
        <v>25</v>
      </c>
      <c r="G1716" t="s">
        <v>356</v>
      </c>
    </row>
    <row r="1717" spans="1:7">
      <c r="A1717" t="s">
        <v>3757</v>
      </c>
      <c r="B1717" t="s">
        <v>3758</v>
      </c>
      <c r="C1717">
        <v>5</v>
      </c>
      <c r="D1717" s="260">
        <v>46337</v>
      </c>
      <c r="E1717" s="260">
        <v>46343</v>
      </c>
      <c r="F1717">
        <v>20</v>
      </c>
      <c r="G1717" t="s">
        <v>356</v>
      </c>
    </row>
    <row r="1718" spans="1:7">
      <c r="A1718" t="s">
        <v>3759</v>
      </c>
      <c r="B1718" t="s">
        <v>3760</v>
      </c>
      <c r="C1718">
        <v>15</v>
      </c>
      <c r="D1718" s="260">
        <v>46209</v>
      </c>
      <c r="E1718" s="260">
        <v>46227</v>
      </c>
      <c r="F1718">
        <v>27</v>
      </c>
      <c r="G1718" t="s">
        <v>356</v>
      </c>
    </row>
    <row r="1719" spans="1:7">
      <c r="A1719" t="s">
        <v>3761</v>
      </c>
      <c r="B1719" t="s">
        <v>3762</v>
      </c>
      <c r="C1719">
        <v>5</v>
      </c>
      <c r="D1719" s="260">
        <v>46303</v>
      </c>
      <c r="E1719" s="260">
        <v>46310</v>
      </c>
      <c r="F1719">
        <v>42</v>
      </c>
      <c r="G1719" t="s">
        <v>356</v>
      </c>
    </row>
    <row r="1720" spans="1:7">
      <c r="A1720" t="s">
        <v>3763</v>
      </c>
      <c r="B1720" t="s">
        <v>3764</v>
      </c>
      <c r="C1720">
        <v>15</v>
      </c>
      <c r="D1720" s="260">
        <v>46251</v>
      </c>
      <c r="E1720" s="260">
        <v>46269</v>
      </c>
      <c r="F1720">
        <v>16</v>
      </c>
      <c r="G1720" t="s">
        <v>356</v>
      </c>
    </row>
    <row r="1721" spans="1:7">
      <c r="A1721" t="s">
        <v>3765</v>
      </c>
      <c r="B1721" t="s">
        <v>3766</v>
      </c>
      <c r="C1721">
        <v>5</v>
      </c>
      <c r="D1721" s="260">
        <v>46303</v>
      </c>
      <c r="E1721" s="260">
        <v>46310</v>
      </c>
      <c r="F1721">
        <v>42</v>
      </c>
      <c r="G1721" t="s">
        <v>356</v>
      </c>
    </row>
    <row r="1722" spans="1:7">
      <c r="A1722" t="s">
        <v>3767</v>
      </c>
      <c r="B1722" t="s">
        <v>3768</v>
      </c>
      <c r="C1722">
        <v>15</v>
      </c>
      <c r="D1722" s="260">
        <v>46251</v>
      </c>
      <c r="E1722" s="260">
        <v>46269</v>
      </c>
      <c r="F1722">
        <v>5</v>
      </c>
      <c r="G1722" t="s">
        <v>356</v>
      </c>
    </row>
    <row r="1723" spans="1:7">
      <c r="A1723" t="s">
        <v>3769</v>
      </c>
      <c r="B1723" t="s">
        <v>3770</v>
      </c>
      <c r="C1723">
        <v>10</v>
      </c>
      <c r="D1723" s="260">
        <v>46286</v>
      </c>
      <c r="E1723" s="260">
        <v>46297</v>
      </c>
      <c r="F1723">
        <v>25</v>
      </c>
      <c r="G1723" t="s">
        <v>356</v>
      </c>
    </row>
    <row r="1724" spans="1:7">
      <c r="A1724" t="s">
        <v>3771</v>
      </c>
      <c r="B1724" t="s">
        <v>3772</v>
      </c>
      <c r="C1724">
        <v>5</v>
      </c>
      <c r="D1724" s="260">
        <v>46337</v>
      </c>
      <c r="E1724" s="260">
        <v>46343</v>
      </c>
      <c r="F1724">
        <v>20</v>
      </c>
      <c r="G1724" t="s">
        <v>356</v>
      </c>
    </row>
    <row r="1725" spans="1:7">
      <c r="A1725" t="s">
        <v>3773</v>
      </c>
      <c r="B1725" t="s">
        <v>3774</v>
      </c>
      <c r="C1725">
        <v>15</v>
      </c>
      <c r="D1725" s="260">
        <v>46251</v>
      </c>
      <c r="E1725" s="260">
        <v>46269</v>
      </c>
      <c r="F1725">
        <v>5</v>
      </c>
      <c r="G1725" t="s">
        <v>356</v>
      </c>
    </row>
    <row r="1726" spans="1:7">
      <c r="A1726" t="s">
        <v>3775</v>
      </c>
      <c r="B1726" t="s">
        <v>3776</v>
      </c>
      <c r="C1726">
        <v>5</v>
      </c>
      <c r="D1726" s="260">
        <v>46286</v>
      </c>
      <c r="E1726" s="260">
        <v>46290</v>
      </c>
      <c r="F1726">
        <v>30</v>
      </c>
      <c r="G1726" t="s">
        <v>356</v>
      </c>
    </row>
    <row r="1727" spans="1:7">
      <c r="A1727" t="s">
        <v>3777</v>
      </c>
      <c r="B1727" t="s">
        <v>3778</v>
      </c>
      <c r="C1727">
        <v>5</v>
      </c>
      <c r="D1727" s="260">
        <v>46337</v>
      </c>
      <c r="E1727" s="260">
        <v>46343</v>
      </c>
      <c r="F1727">
        <v>20</v>
      </c>
      <c r="G1727" t="s">
        <v>356</v>
      </c>
    </row>
    <row r="1728" spans="1:7">
      <c r="A1728" t="s">
        <v>3779</v>
      </c>
      <c r="B1728" t="s">
        <v>3780</v>
      </c>
      <c r="C1728">
        <v>15</v>
      </c>
      <c r="D1728" s="260">
        <v>46251</v>
      </c>
      <c r="E1728" s="260">
        <v>46269</v>
      </c>
      <c r="F1728">
        <v>5</v>
      </c>
      <c r="G1728" t="s">
        <v>356</v>
      </c>
    </row>
    <row r="1729" spans="1:7">
      <c r="A1729" t="s">
        <v>3781</v>
      </c>
      <c r="B1729" t="s">
        <v>3782</v>
      </c>
      <c r="C1729">
        <v>5</v>
      </c>
      <c r="D1729" s="260">
        <v>46337</v>
      </c>
      <c r="E1729" s="260">
        <v>46343</v>
      </c>
      <c r="F1729">
        <v>25</v>
      </c>
      <c r="G1729" t="s">
        <v>356</v>
      </c>
    </row>
    <row r="1730" spans="1:7">
      <c r="A1730" t="s">
        <v>3783</v>
      </c>
      <c r="B1730" t="s">
        <v>3784</v>
      </c>
      <c r="C1730">
        <v>15</v>
      </c>
      <c r="D1730" s="260">
        <v>46141</v>
      </c>
      <c r="E1730" s="260">
        <v>46162</v>
      </c>
      <c r="F1730">
        <v>0</v>
      </c>
      <c r="G1730" t="s">
        <v>356</v>
      </c>
    </row>
    <row r="1731" spans="1:7">
      <c r="A1731" t="s">
        <v>3785</v>
      </c>
      <c r="B1731" t="s">
        <v>3786</v>
      </c>
      <c r="C1731">
        <v>10</v>
      </c>
      <c r="D1731" s="260">
        <v>46181</v>
      </c>
      <c r="E1731" s="260">
        <v>46192</v>
      </c>
      <c r="F1731">
        <v>22</v>
      </c>
      <c r="G1731" t="s">
        <v>356</v>
      </c>
    </row>
    <row r="1732" spans="1:7">
      <c r="A1732" t="s">
        <v>3787</v>
      </c>
      <c r="B1732" t="s">
        <v>3788</v>
      </c>
      <c r="C1732">
        <v>5</v>
      </c>
      <c r="D1732" s="260">
        <v>46211</v>
      </c>
      <c r="E1732" s="260">
        <v>46217</v>
      </c>
      <c r="F1732">
        <v>20</v>
      </c>
      <c r="G1732" t="s">
        <v>356</v>
      </c>
    </row>
    <row r="1733" spans="1:7">
      <c r="A1733" t="s">
        <v>3789</v>
      </c>
      <c r="B1733" t="s">
        <v>3790</v>
      </c>
      <c r="C1733">
        <v>15</v>
      </c>
      <c r="D1733" s="260">
        <v>46220</v>
      </c>
      <c r="E1733" s="260">
        <v>46245</v>
      </c>
      <c r="F1733">
        <v>19</v>
      </c>
      <c r="G1733" t="s">
        <v>356</v>
      </c>
    </row>
    <row r="1734" spans="1:7">
      <c r="A1734" t="s">
        <v>3791</v>
      </c>
      <c r="B1734" t="s">
        <v>3792</v>
      </c>
      <c r="C1734">
        <v>10</v>
      </c>
      <c r="D1734" s="260">
        <v>46261</v>
      </c>
      <c r="E1734" s="260">
        <v>46274</v>
      </c>
      <c r="F1734">
        <v>42</v>
      </c>
      <c r="G1734" t="s">
        <v>356</v>
      </c>
    </row>
    <row r="1735" spans="1:7">
      <c r="A1735" t="s">
        <v>3793</v>
      </c>
      <c r="B1735" t="s">
        <v>3794</v>
      </c>
      <c r="C1735">
        <v>5</v>
      </c>
      <c r="D1735" s="260">
        <v>46316</v>
      </c>
      <c r="E1735" s="260">
        <v>46323</v>
      </c>
      <c r="F1735">
        <v>34</v>
      </c>
      <c r="G1735" t="s">
        <v>356</v>
      </c>
    </row>
    <row r="1736" spans="1:7">
      <c r="A1736" t="s">
        <v>3795</v>
      </c>
      <c r="B1736" t="s">
        <v>3796</v>
      </c>
      <c r="C1736">
        <v>15</v>
      </c>
      <c r="D1736" s="260">
        <v>46230</v>
      </c>
      <c r="E1736" s="260">
        <v>46254</v>
      </c>
      <c r="F1736">
        <v>16</v>
      </c>
      <c r="G1736" t="s">
        <v>356</v>
      </c>
    </row>
    <row r="1737" spans="1:7">
      <c r="A1737" t="s">
        <v>3797</v>
      </c>
      <c r="B1737" t="s">
        <v>3798</v>
      </c>
      <c r="C1737">
        <v>10</v>
      </c>
      <c r="D1737" s="260">
        <v>46269</v>
      </c>
      <c r="E1737" s="260">
        <v>46282</v>
      </c>
      <c r="F1737">
        <v>36</v>
      </c>
      <c r="G1737" t="s">
        <v>356</v>
      </c>
    </row>
    <row r="1738" spans="1:7">
      <c r="A1738" t="s">
        <v>3799</v>
      </c>
      <c r="B1738" t="s">
        <v>3800</v>
      </c>
      <c r="C1738">
        <v>5</v>
      </c>
      <c r="D1738" s="260">
        <v>46322</v>
      </c>
      <c r="E1738" s="260">
        <v>46328</v>
      </c>
      <c r="F1738">
        <v>31</v>
      </c>
      <c r="G1738" t="s">
        <v>356</v>
      </c>
    </row>
    <row r="1739" spans="1:7">
      <c r="A1739" t="s">
        <v>3801</v>
      </c>
      <c r="B1739" t="s">
        <v>3802</v>
      </c>
      <c r="C1739">
        <v>15</v>
      </c>
      <c r="D1739" s="260">
        <v>46136</v>
      </c>
      <c r="E1739" s="260">
        <v>46157</v>
      </c>
      <c r="F1739">
        <v>93</v>
      </c>
      <c r="G1739" t="s">
        <v>356</v>
      </c>
    </row>
    <row r="1740" spans="1:7">
      <c r="A1740" t="s">
        <v>3803</v>
      </c>
      <c r="B1740" t="s">
        <v>3804</v>
      </c>
      <c r="C1740">
        <v>10</v>
      </c>
      <c r="D1740" s="260">
        <v>46175</v>
      </c>
      <c r="E1740" s="260">
        <v>46189</v>
      </c>
      <c r="F1740">
        <v>99</v>
      </c>
      <c r="G1740" t="s">
        <v>356</v>
      </c>
    </row>
    <row r="1741" spans="1:7">
      <c r="A1741" t="s">
        <v>3805</v>
      </c>
      <c r="B1741" t="s">
        <v>3806</v>
      </c>
      <c r="C1741">
        <v>5</v>
      </c>
      <c r="D1741" s="260">
        <v>46205</v>
      </c>
      <c r="E1741" s="260">
        <v>46211</v>
      </c>
      <c r="F1741">
        <v>108</v>
      </c>
      <c r="G1741" t="s">
        <v>356</v>
      </c>
    </row>
    <row r="1742" spans="1:7">
      <c r="A1742" t="s">
        <v>3807</v>
      </c>
      <c r="B1742" t="s">
        <v>3808</v>
      </c>
      <c r="C1742">
        <v>15</v>
      </c>
      <c r="D1742" s="260">
        <v>46171</v>
      </c>
      <c r="E1742" s="260">
        <v>46195</v>
      </c>
      <c r="F1742">
        <v>57</v>
      </c>
      <c r="G1742" t="s">
        <v>356</v>
      </c>
    </row>
    <row r="1743" spans="1:7">
      <c r="A1743" t="s">
        <v>3809</v>
      </c>
      <c r="B1743" t="s">
        <v>3810</v>
      </c>
      <c r="C1743">
        <v>10</v>
      </c>
      <c r="D1743" s="260">
        <v>46210</v>
      </c>
      <c r="E1743" s="260">
        <v>46223</v>
      </c>
      <c r="F1743">
        <v>75</v>
      </c>
      <c r="G1743" t="s">
        <v>356</v>
      </c>
    </row>
    <row r="1744" spans="1:7">
      <c r="A1744" t="s">
        <v>3811</v>
      </c>
      <c r="B1744" t="s">
        <v>3812</v>
      </c>
      <c r="C1744">
        <v>5</v>
      </c>
      <c r="D1744" s="260">
        <v>46261</v>
      </c>
      <c r="E1744" s="260">
        <v>46267</v>
      </c>
      <c r="F1744">
        <v>72</v>
      </c>
      <c r="G1744" t="s">
        <v>356</v>
      </c>
    </row>
    <row r="1745" spans="1:7">
      <c r="A1745" t="s">
        <v>3813</v>
      </c>
      <c r="B1745" t="s">
        <v>3814</v>
      </c>
      <c r="C1745">
        <v>15</v>
      </c>
      <c r="D1745" s="260">
        <v>46149</v>
      </c>
      <c r="E1745" s="260">
        <v>46169</v>
      </c>
      <c r="F1745">
        <v>0</v>
      </c>
      <c r="G1745" t="s">
        <v>356</v>
      </c>
    </row>
    <row r="1746" spans="1:7">
      <c r="A1746" t="s">
        <v>3815</v>
      </c>
      <c r="B1746" t="s">
        <v>3816</v>
      </c>
      <c r="C1746">
        <v>10</v>
      </c>
      <c r="D1746" s="260">
        <v>46188</v>
      </c>
      <c r="E1746" s="260">
        <v>46199</v>
      </c>
      <c r="F1746">
        <v>38</v>
      </c>
      <c r="G1746" t="s">
        <v>356</v>
      </c>
    </row>
    <row r="1747" spans="1:7">
      <c r="A1747" t="s">
        <v>3817</v>
      </c>
      <c r="B1747" t="s">
        <v>3818</v>
      </c>
      <c r="C1747">
        <v>5</v>
      </c>
      <c r="D1747" s="260">
        <v>46238</v>
      </c>
      <c r="E1747" s="260">
        <v>46244</v>
      </c>
      <c r="F1747">
        <v>25</v>
      </c>
      <c r="G1747" t="s">
        <v>356</v>
      </c>
    </row>
    <row r="1748" spans="1:7">
      <c r="A1748" t="s">
        <v>3819</v>
      </c>
      <c r="B1748" t="s">
        <v>3820</v>
      </c>
      <c r="C1748">
        <v>15</v>
      </c>
      <c r="D1748" s="260">
        <v>46251</v>
      </c>
      <c r="E1748" s="260">
        <v>46269</v>
      </c>
      <c r="F1748">
        <v>4</v>
      </c>
      <c r="G1748" t="s">
        <v>356</v>
      </c>
    </row>
    <row r="1749" spans="1:7">
      <c r="A1749" t="s">
        <v>3821</v>
      </c>
      <c r="B1749" t="s">
        <v>3822</v>
      </c>
      <c r="C1749">
        <v>10</v>
      </c>
      <c r="D1749" s="260">
        <v>46286</v>
      </c>
      <c r="E1749" s="260">
        <v>46297</v>
      </c>
      <c r="F1749">
        <v>25</v>
      </c>
      <c r="G1749" t="s">
        <v>356</v>
      </c>
    </row>
    <row r="1750" spans="1:7">
      <c r="A1750" t="s">
        <v>3823</v>
      </c>
      <c r="B1750" t="s">
        <v>3824</v>
      </c>
      <c r="C1750">
        <v>5</v>
      </c>
      <c r="D1750" s="260">
        <v>46338</v>
      </c>
      <c r="E1750" s="260">
        <v>46344</v>
      </c>
      <c r="F1750">
        <v>19</v>
      </c>
      <c r="G1750" t="s">
        <v>356</v>
      </c>
    </row>
    <row r="1751" spans="1:7">
      <c r="A1751" t="s">
        <v>3825</v>
      </c>
      <c r="B1751" t="s">
        <v>3826</v>
      </c>
      <c r="C1751">
        <v>15</v>
      </c>
      <c r="D1751" s="260">
        <v>46251</v>
      </c>
      <c r="E1751" s="260">
        <v>46269</v>
      </c>
      <c r="F1751">
        <v>14</v>
      </c>
      <c r="G1751" t="s">
        <v>356</v>
      </c>
    </row>
    <row r="1752" spans="1:7">
      <c r="A1752" t="s">
        <v>3827</v>
      </c>
      <c r="B1752" t="s">
        <v>3828</v>
      </c>
      <c r="C1752">
        <v>10</v>
      </c>
      <c r="D1752" s="260">
        <v>46286</v>
      </c>
      <c r="E1752" s="260">
        <v>46297</v>
      </c>
      <c r="F1752">
        <v>25</v>
      </c>
      <c r="G1752" t="s">
        <v>356</v>
      </c>
    </row>
    <row r="1753" spans="1:7">
      <c r="A1753" t="s">
        <v>3829</v>
      </c>
      <c r="B1753" t="s">
        <v>3830</v>
      </c>
      <c r="C1753">
        <v>5</v>
      </c>
      <c r="D1753" s="260">
        <v>46324</v>
      </c>
      <c r="E1753" s="260">
        <v>46330</v>
      </c>
      <c r="F1753">
        <v>29</v>
      </c>
      <c r="G1753" t="s">
        <v>356</v>
      </c>
    </row>
    <row r="1754" spans="1:7">
      <c r="A1754" t="s">
        <v>3831</v>
      </c>
      <c r="B1754" t="s">
        <v>3832</v>
      </c>
      <c r="C1754">
        <v>15</v>
      </c>
      <c r="D1754" s="260">
        <v>46251</v>
      </c>
      <c r="E1754" s="260">
        <v>46269</v>
      </c>
      <c r="F1754">
        <v>5</v>
      </c>
      <c r="G1754" t="s">
        <v>356</v>
      </c>
    </row>
    <row r="1755" spans="1:7">
      <c r="A1755" t="s">
        <v>3833</v>
      </c>
      <c r="B1755" t="s">
        <v>3834</v>
      </c>
      <c r="C1755">
        <v>10</v>
      </c>
      <c r="D1755" s="260">
        <v>46286</v>
      </c>
      <c r="E1755" s="260">
        <v>46297</v>
      </c>
      <c r="F1755">
        <v>25</v>
      </c>
      <c r="G1755" t="s">
        <v>356</v>
      </c>
    </row>
    <row r="1756" spans="1:7">
      <c r="A1756" t="s">
        <v>3835</v>
      </c>
      <c r="B1756" t="s">
        <v>3836</v>
      </c>
      <c r="C1756">
        <v>5</v>
      </c>
      <c r="D1756" s="260">
        <v>46337</v>
      </c>
      <c r="E1756" s="260">
        <v>46343</v>
      </c>
      <c r="F1756">
        <v>20</v>
      </c>
      <c r="G1756" t="s">
        <v>356</v>
      </c>
    </row>
    <row r="1757" spans="1:7">
      <c r="A1757" t="s">
        <v>3837</v>
      </c>
      <c r="B1757" t="s">
        <v>3838</v>
      </c>
      <c r="C1757">
        <v>15</v>
      </c>
      <c r="D1757" s="260">
        <v>46251</v>
      </c>
      <c r="E1757" s="260">
        <v>46269</v>
      </c>
      <c r="F1757">
        <v>5</v>
      </c>
      <c r="G1757" t="s">
        <v>356</v>
      </c>
    </row>
    <row r="1758" spans="1:7">
      <c r="A1758" t="s">
        <v>3839</v>
      </c>
      <c r="B1758" t="s">
        <v>3840</v>
      </c>
      <c r="C1758">
        <v>5</v>
      </c>
      <c r="D1758" s="260">
        <v>46337</v>
      </c>
      <c r="E1758" s="260">
        <v>46343</v>
      </c>
      <c r="F1758">
        <v>20</v>
      </c>
      <c r="G1758" t="s">
        <v>356</v>
      </c>
    </row>
    <row r="1759" spans="1:7">
      <c r="A1759" t="s">
        <v>3841</v>
      </c>
      <c r="B1759" t="s">
        <v>3842</v>
      </c>
      <c r="C1759">
        <v>15</v>
      </c>
      <c r="D1759" s="260">
        <v>46251</v>
      </c>
      <c r="E1759" s="260">
        <v>46269</v>
      </c>
      <c r="F1759">
        <v>5</v>
      </c>
      <c r="G1759" t="s">
        <v>356</v>
      </c>
    </row>
    <row r="1760" spans="1:7">
      <c r="A1760" t="s">
        <v>3843</v>
      </c>
      <c r="B1760" t="s">
        <v>3844</v>
      </c>
      <c r="C1760">
        <v>5</v>
      </c>
      <c r="D1760" s="260">
        <v>46337</v>
      </c>
      <c r="E1760" s="260">
        <v>46343</v>
      </c>
      <c r="F1760">
        <v>20</v>
      </c>
      <c r="G1760" t="s">
        <v>356</v>
      </c>
    </row>
    <row r="1761" spans="1:7">
      <c r="A1761" t="s">
        <v>3845</v>
      </c>
      <c r="B1761" t="s">
        <v>3846</v>
      </c>
      <c r="C1761">
        <v>15</v>
      </c>
      <c r="D1761" s="260">
        <v>46251</v>
      </c>
      <c r="E1761" s="260">
        <v>46269</v>
      </c>
      <c r="F1761">
        <v>5</v>
      </c>
      <c r="G1761" t="s">
        <v>356</v>
      </c>
    </row>
    <row r="1762" spans="1:7">
      <c r="A1762" t="s">
        <v>3847</v>
      </c>
      <c r="B1762" t="s">
        <v>3848</v>
      </c>
      <c r="C1762">
        <v>5</v>
      </c>
      <c r="D1762" s="260">
        <v>46337</v>
      </c>
      <c r="E1762" s="260">
        <v>46343</v>
      </c>
      <c r="F1762">
        <v>20</v>
      </c>
      <c r="G1762" t="s">
        <v>356</v>
      </c>
    </row>
    <row r="1763" spans="1:7">
      <c r="A1763" t="s">
        <v>3849</v>
      </c>
      <c r="B1763" t="s">
        <v>3850</v>
      </c>
      <c r="C1763">
        <v>15</v>
      </c>
      <c r="D1763" s="260">
        <v>46251</v>
      </c>
      <c r="E1763" s="260">
        <v>46269</v>
      </c>
      <c r="F1763">
        <v>5</v>
      </c>
      <c r="G1763" t="s">
        <v>356</v>
      </c>
    </row>
    <row r="1764" spans="1:7">
      <c r="A1764" t="s">
        <v>3851</v>
      </c>
      <c r="B1764" t="s">
        <v>3852</v>
      </c>
      <c r="C1764">
        <v>5</v>
      </c>
      <c r="D1764" s="260">
        <v>46337</v>
      </c>
      <c r="E1764" s="260">
        <v>46343</v>
      </c>
      <c r="F1764">
        <v>20</v>
      </c>
      <c r="G1764" t="s">
        <v>356</v>
      </c>
    </row>
    <row r="1765" spans="1:7">
      <c r="A1765" t="s">
        <v>3853</v>
      </c>
      <c r="B1765" t="s">
        <v>3854</v>
      </c>
      <c r="C1765">
        <v>15</v>
      </c>
      <c r="D1765" s="260">
        <v>46251</v>
      </c>
      <c r="E1765" s="260">
        <v>46269</v>
      </c>
      <c r="F1765">
        <v>5</v>
      </c>
      <c r="G1765" t="s">
        <v>356</v>
      </c>
    </row>
    <row r="1766" spans="1:7">
      <c r="A1766" t="s">
        <v>3855</v>
      </c>
      <c r="B1766" t="s">
        <v>3856</v>
      </c>
      <c r="C1766">
        <v>5</v>
      </c>
      <c r="D1766" s="260">
        <v>46337</v>
      </c>
      <c r="E1766" s="260">
        <v>46343</v>
      </c>
      <c r="F1766">
        <v>20</v>
      </c>
      <c r="G1766" t="s">
        <v>356</v>
      </c>
    </row>
    <row r="1767" spans="1:7">
      <c r="A1767" t="s">
        <v>3857</v>
      </c>
      <c r="B1767" t="s">
        <v>3858</v>
      </c>
      <c r="C1767">
        <v>15</v>
      </c>
      <c r="D1767" s="260">
        <v>46251</v>
      </c>
      <c r="E1767" s="260">
        <v>46269</v>
      </c>
      <c r="F1767">
        <v>5</v>
      </c>
      <c r="G1767" t="s">
        <v>356</v>
      </c>
    </row>
    <row r="1768" spans="1:7">
      <c r="A1768" t="s">
        <v>3859</v>
      </c>
      <c r="B1768" t="s">
        <v>3860</v>
      </c>
      <c r="C1768">
        <v>10</v>
      </c>
      <c r="D1768" s="260">
        <v>46286</v>
      </c>
      <c r="E1768" s="260">
        <v>46297</v>
      </c>
      <c r="F1768">
        <v>25</v>
      </c>
      <c r="G1768" t="s">
        <v>356</v>
      </c>
    </row>
    <row r="1769" spans="1:7">
      <c r="A1769" t="s">
        <v>3861</v>
      </c>
      <c r="B1769" t="s">
        <v>3862</v>
      </c>
      <c r="C1769">
        <v>5</v>
      </c>
      <c r="D1769" s="260">
        <v>46337</v>
      </c>
      <c r="E1769" s="260">
        <v>46343</v>
      </c>
      <c r="F1769">
        <v>20</v>
      </c>
      <c r="G1769" t="s">
        <v>356</v>
      </c>
    </row>
    <row r="1770" spans="1:7">
      <c r="A1770" t="s">
        <v>3863</v>
      </c>
      <c r="B1770" t="s">
        <v>3864</v>
      </c>
      <c r="C1770">
        <v>15</v>
      </c>
      <c r="D1770" s="260">
        <v>46251</v>
      </c>
      <c r="E1770" s="260">
        <v>46269</v>
      </c>
      <c r="F1770">
        <v>5</v>
      </c>
      <c r="G1770" t="s">
        <v>356</v>
      </c>
    </row>
    <row r="1771" spans="1:7">
      <c r="A1771" t="s">
        <v>3865</v>
      </c>
      <c r="B1771" t="s">
        <v>3866</v>
      </c>
      <c r="C1771">
        <v>10</v>
      </c>
      <c r="D1771" s="260">
        <v>46286</v>
      </c>
      <c r="E1771" s="260">
        <v>46297</v>
      </c>
      <c r="F1771">
        <v>25</v>
      </c>
      <c r="G1771" t="s">
        <v>356</v>
      </c>
    </row>
    <row r="1772" spans="1:7">
      <c r="A1772" t="s">
        <v>3867</v>
      </c>
      <c r="B1772" t="s">
        <v>3868</v>
      </c>
      <c r="C1772">
        <v>5</v>
      </c>
      <c r="D1772" s="260">
        <v>46337</v>
      </c>
      <c r="E1772" s="260">
        <v>46343</v>
      </c>
      <c r="F1772">
        <v>20</v>
      </c>
      <c r="G1772" t="s">
        <v>356</v>
      </c>
    </row>
    <row r="1773" spans="1:7">
      <c r="A1773" t="s">
        <v>3869</v>
      </c>
      <c r="B1773" t="s">
        <v>3870</v>
      </c>
      <c r="C1773">
        <v>15</v>
      </c>
      <c r="D1773" s="260">
        <v>46251</v>
      </c>
      <c r="E1773" s="260">
        <v>46269</v>
      </c>
      <c r="F1773">
        <v>5</v>
      </c>
      <c r="G1773" t="s">
        <v>356</v>
      </c>
    </row>
    <row r="1774" spans="1:7">
      <c r="A1774" t="s">
        <v>3871</v>
      </c>
      <c r="B1774" t="s">
        <v>3872</v>
      </c>
      <c r="C1774">
        <v>10</v>
      </c>
      <c r="D1774" s="260">
        <v>46286</v>
      </c>
      <c r="E1774" s="260">
        <v>46297</v>
      </c>
      <c r="F1774">
        <v>25</v>
      </c>
      <c r="G1774" t="s">
        <v>356</v>
      </c>
    </row>
    <row r="1775" spans="1:7">
      <c r="A1775" t="s">
        <v>3873</v>
      </c>
      <c r="B1775" t="s">
        <v>3874</v>
      </c>
      <c r="C1775">
        <v>5</v>
      </c>
      <c r="D1775" s="260">
        <v>46337</v>
      </c>
      <c r="E1775" s="260">
        <v>46343</v>
      </c>
      <c r="F1775">
        <v>20</v>
      </c>
      <c r="G1775" t="s">
        <v>356</v>
      </c>
    </row>
    <row r="1776" spans="1:7">
      <c r="A1776" t="s">
        <v>3875</v>
      </c>
      <c r="B1776" t="s">
        <v>3876</v>
      </c>
      <c r="C1776">
        <v>15</v>
      </c>
      <c r="D1776" s="260">
        <v>46209</v>
      </c>
      <c r="E1776" s="260">
        <v>46227</v>
      </c>
      <c r="F1776">
        <v>27</v>
      </c>
      <c r="G1776" t="s">
        <v>356</v>
      </c>
    </row>
    <row r="1777" spans="1:7">
      <c r="A1777" t="s">
        <v>3877</v>
      </c>
      <c r="B1777" t="s">
        <v>3878</v>
      </c>
      <c r="C1777">
        <v>10</v>
      </c>
      <c r="D1777" s="260">
        <v>46248</v>
      </c>
      <c r="E1777" s="260">
        <v>46261</v>
      </c>
      <c r="F1777">
        <v>51</v>
      </c>
      <c r="G1777" t="s">
        <v>356</v>
      </c>
    </row>
    <row r="1778" spans="1:7">
      <c r="A1778" t="s">
        <v>3879</v>
      </c>
      <c r="B1778" t="s">
        <v>3880</v>
      </c>
      <c r="C1778">
        <v>5</v>
      </c>
      <c r="D1778" s="260">
        <v>46303</v>
      </c>
      <c r="E1778" s="260">
        <v>46310</v>
      </c>
      <c r="F1778">
        <v>42</v>
      </c>
      <c r="G1778" t="s">
        <v>356</v>
      </c>
    </row>
    <row r="1779" spans="1:7">
      <c r="A1779" t="s">
        <v>3881</v>
      </c>
      <c r="B1779" t="s">
        <v>3882</v>
      </c>
      <c r="C1779">
        <v>15</v>
      </c>
      <c r="D1779" s="260">
        <v>46209</v>
      </c>
      <c r="E1779" s="260">
        <v>46227</v>
      </c>
      <c r="F1779">
        <v>27</v>
      </c>
      <c r="G1779" t="s">
        <v>356</v>
      </c>
    </row>
    <row r="1780" spans="1:7">
      <c r="A1780" t="s">
        <v>3883</v>
      </c>
      <c r="B1780" t="s">
        <v>3884</v>
      </c>
      <c r="C1780">
        <v>5</v>
      </c>
      <c r="D1780" s="260">
        <v>46303</v>
      </c>
      <c r="E1780" s="260">
        <v>46310</v>
      </c>
      <c r="F1780">
        <v>42</v>
      </c>
      <c r="G1780" t="s">
        <v>356</v>
      </c>
    </row>
    <row r="1781" spans="1:7">
      <c r="A1781" t="s">
        <v>3885</v>
      </c>
      <c r="B1781" t="s">
        <v>3886</v>
      </c>
      <c r="C1781">
        <v>15</v>
      </c>
      <c r="D1781" s="260">
        <v>46251</v>
      </c>
      <c r="E1781" s="260">
        <v>46269</v>
      </c>
      <c r="F1781">
        <v>16</v>
      </c>
      <c r="G1781" t="s">
        <v>356</v>
      </c>
    </row>
    <row r="1782" spans="1:7">
      <c r="A1782" t="s">
        <v>3887</v>
      </c>
      <c r="B1782" t="s">
        <v>3888</v>
      </c>
      <c r="C1782">
        <v>5</v>
      </c>
      <c r="D1782" s="260">
        <v>46331</v>
      </c>
      <c r="E1782" s="260">
        <v>46337</v>
      </c>
      <c r="F1782">
        <v>24</v>
      </c>
      <c r="G1782" t="s">
        <v>356</v>
      </c>
    </row>
    <row r="1783" spans="1:7">
      <c r="A1783" t="s">
        <v>3889</v>
      </c>
      <c r="B1783" t="s">
        <v>3890</v>
      </c>
      <c r="C1783">
        <v>15</v>
      </c>
      <c r="D1783" s="260">
        <v>46251</v>
      </c>
      <c r="E1783" s="260">
        <v>46269</v>
      </c>
      <c r="F1783">
        <v>5</v>
      </c>
      <c r="G1783" t="s">
        <v>356</v>
      </c>
    </row>
    <row r="1784" spans="1:7">
      <c r="A1784" t="s">
        <v>3891</v>
      </c>
      <c r="B1784" t="s">
        <v>3892</v>
      </c>
      <c r="C1784">
        <v>10</v>
      </c>
      <c r="D1784" s="260">
        <v>46286</v>
      </c>
      <c r="E1784" s="260">
        <v>46297</v>
      </c>
      <c r="F1784">
        <v>25</v>
      </c>
      <c r="G1784" t="s">
        <v>356</v>
      </c>
    </row>
    <row r="1785" spans="1:7">
      <c r="A1785" t="s">
        <v>3893</v>
      </c>
      <c r="B1785" t="s">
        <v>3894</v>
      </c>
      <c r="C1785">
        <v>5</v>
      </c>
      <c r="D1785" s="260">
        <v>46337</v>
      </c>
      <c r="E1785" s="260">
        <v>46343</v>
      </c>
      <c r="F1785">
        <v>20</v>
      </c>
      <c r="G1785" t="s">
        <v>356</v>
      </c>
    </row>
    <row r="1786" spans="1:7">
      <c r="A1786" t="s">
        <v>3895</v>
      </c>
      <c r="B1786" t="s">
        <v>3896</v>
      </c>
      <c r="C1786">
        <v>15</v>
      </c>
      <c r="D1786" s="260">
        <v>46251</v>
      </c>
      <c r="E1786" s="260">
        <v>46269</v>
      </c>
      <c r="F1786">
        <v>5</v>
      </c>
      <c r="G1786" t="s">
        <v>356</v>
      </c>
    </row>
    <row r="1787" spans="1:7">
      <c r="A1787" t="s">
        <v>3897</v>
      </c>
      <c r="B1787" t="s">
        <v>3898</v>
      </c>
      <c r="C1787">
        <v>10</v>
      </c>
      <c r="D1787" s="260">
        <v>46286</v>
      </c>
      <c r="E1787" s="260">
        <v>46297</v>
      </c>
      <c r="F1787">
        <v>25</v>
      </c>
      <c r="G1787" t="s">
        <v>356</v>
      </c>
    </row>
    <row r="1788" spans="1:7">
      <c r="A1788" t="s">
        <v>3899</v>
      </c>
      <c r="B1788" t="s">
        <v>3900</v>
      </c>
      <c r="C1788">
        <v>5</v>
      </c>
      <c r="D1788" s="260">
        <v>46337</v>
      </c>
      <c r="E1788" s="260">
        <v>46343</v>
      </c>
      <c r="F1788">
        <v>20</v>
      </c>
      <c r="G1788" t="s">
        <v>356</v>
      </c>
    </row>
    <row r="1789" spans="1:7">
      <c r="A1789" t="s">
        <v>3901</v>
      </c>
      <c r="B1789" t="s">
        <v>3902</v>
      </c>
      <c r="C1789">
        <v>15</v>
      </c>
      <c r="D1789" s="260">
        <v>46251</v>
      </c>
      <c r="E1789" s="260">
        <v>46269</v>
      </c>
      <c r="F1789">
        <v>5</v>
      </c>
      <c r="G1789" t="s">
        <v>356</v>
      </c>
    </row>
    <row r="1790" spans="1:7">
      <c r="A1790" t="s">
        <v>3903</v>
      </c>
      <c r="B1790" t="s">
        <v>3904</v>
      </c>
      <c r="C1790">
        <v>10</v>
      </c>
      <c r="D1790" s="260">
        <v>46286</v>
      </c>
      <c r="E1790" s="260">
        <v>46297</v>
      </c>
      <c r="F1790">
        <v>25</v>
      </c>
      <c r="G1790" t="s">
        <v>356</v>
      </c>
    </row>
    <row r="1791" spans="1:7">
      <c r="A1791" t="s">
        <v>3905</v>
      </c>
      <c r="B1791" t="s">
        <v>3906</v>
      </c>
      <c r="C1791">
        <v>5</v>
      </c>
      <c r="D1791" s="260">
        <v>46337</v>
      </c>
      <c r="E1791" s="260">
        <v>46343</v>
      </c>
      <c r="F1791">
        <v>20</v>
      </c>
      <c r="G1791" t="s">
        <v>356</v>
      </c>
    </row>
    <row r="1792" spans="1:7">
      <c r="A1792" t="s">
        <v>3907</v>
      </c>
      <c r="C1792">
        <v>160</v>
      </c>
      <c r="D1792" s="260">
        <v>46146</v>
      </c>
      <c r="E1792" s="260">
        <v>46384</v>
      </c>
      <c r="F1792">
        <v>4</v>
      </c>
      <c r="G1792" t="s">
        <v>356</v>
      </c>
    </row>
    <row r="1793" spans="1:7">
      <c r="A1793" t="s">
        <v>3908</v>
      </c>
      <c r="B1793" t="s">
        <v>3909</v>
      </c>
      <c r="C1793">
        <v>10</v>
      </c>
      <c r="D1793" s="260">
        <v>46149</v>
      </c>
      <c r="E1793" s="260">
        <v>46162</v>
      </c>
      <c r="F1793">
        <v>0</v>
      </c>
      <c r="G1793" t="s">
        <v>356</v>
      </c>
    </row>
    <row r="1794" spans="1:7">
      <c r="A1794" t="s">
        <v>3910</v>
      </c>
      <c r="B1794" t="s">
        <v>3911</v>
      </c>
      <c r="C1794">
        <v>5</v>
      </c>
      <c r="D1794" s="260">
        <v>46252</v>
      </c>
      <c r="E1794" s="260">
        <v>46258</v>
      </c>
      <c r="F1794">
        <v>0</v>
      </c>
      <c r="G1794" t="s">
        <v>356</v>
      </c>
    </row>
    <row r="1795" spans="1:7">
      <c r="A1795" t="s">
        <v>3912</v>
      </c>
      <c r="B1795" t="s">
        <v>3913</v>
      </c>
      <c r="C1795">
        <v>10</v>
      </c>
      <c r="D1795" s="260">
        <v>46148</v>
      </c>
      <c r="E1795" s="260">
        <v>46161</v>
      </c>
      <c r="F1795">
        <v>90</v>
      </c>
      <c r="G1795" t="s">
        <v>356</v>
      </c>
    </row>
    <row r="1796" spans="1:7">
      <c r="A1796" t="s">
        <v>3914</v>
      </c>
      <c r="B1796" t="s">
        <v>3915</v>
      </c>
      <c r="C1796">
        <v>5</v>
      </c>
      <c r="D1796" s="260">
        <v>46251</v>
      </c>
      <c r="E1796" s="260">
        <v>46255</v>
      </c>
      <c r="F1796">
        <v>90</v>
      </c>
      <c r="G1796" t="s">
        <v>356</v>
      </c>
    </row>
    <row r="1797" spans="1:7">
      <c r="A1797" t="s">
        <v>3916</v>
      </c>
      <c r="B1797" t="s">
        <v>3917</v>
      </c>
      <c r="C1797">
        <v>10</v>
      </c>
      <c r="D1797" s="260">
        <v>46148</v>
      </c>
      <c r="E1797" s="260">
        <v>46161</v>
      </c>
      <c r="F1797">
        <v>42</v>
      </c>
      <c r="G1797" t="s">
        <v>356</v>
      </c>
    </row>
    <row r="1798" spans="1:7">
      <c r="A1798" t="s">
        <v>3918</v>
      </c>
      <c r="B1798" t="s">
        <v>3919</v>
      </c>
      <c r="C1798">
        <v>5</v>
      </c>
      <c r="D1798" s="260">
        <v>46247</v>
      </c>
      <c r="E1798" s="260">
        <v>46253</v>
      </c>
      <c r="F1798">
        <v>42</v>
      </c>
      <c r="G1798" t="s">
        <v>356</v>
      </c>
    </row>
    <row r="1799" spans="1:7">
      <c r="A1799" t="s">
        <v>3920</v>
      </c>
      <c r="B1799" t="s">
        <v>3921</v>
      </c>
      <c r="C1799">
        <v>10</v>
      </c>
      <c r="D1799" s="260">
        <v>46252</v>
      </c>
      <c r="E1799" s="260">
        <v>46265</v>
      </c>
      <c r="F1799">
        <v>19</v>
      </c>
      <c r="G1799" t="s">
        <v>356</v>
      </c>
    </row>
    <row r="1800" spans="1:7">
      <c r="A1800" t="s">
        <v>3922</v>
      </c>
      <c r="B1800" t="s">
        <v>3923</v>
      </c>
      <c r="C1800">
        <v>5</v>
      </c>
      <c r="D1800" s="260">
        <v>46352</v>
      </c>
      <c r="E1800" s="260">
        <v>46358</v>
      </c>
      <c r="F1800">
        <v>19</v>
      </c>
      <c r="G1800" t="s">
        <v>356</v>
      </c>
    </row>
    <row r="1801" spans="1:7">
      <c r="A1801" t="s">
        <v>3924</v>
      </c>
      <c r="B1801" t="s">
        <v>3925</v>
      </c>
      <c r="C1801">
        <v>10</v>
      </c>
      <c r="D1801" s="260">
        <v>46255</v>
      </c>
      <c r="E1801" s="260">
        <v>46268</v>
      </c>
      <c r="F1801">
        <v>16</v>
      </c>
      <c r="G1801" t="s">
        <v>356</v>
      </c>
    </row>
    <row r="1802" spans="1:7">
      <c r="A1802" t="s">
        <v>3926</v>
      </c>
      <c r="B1802" t="s">
        <v>3927</v>
      </c>
      <c r="C1802">
        <v>5</v>
      </c>
      <c r="D1802" s="260">
        <v>46357</v>
      </c>
      <c r="E1802" s="260">
        <v>46364</v>
      </c>
      <c r="F1802">
        <v>16</v>
      </c>
      <c r="G1802" t="s">
        <v>356</v>
      </c>
    </row>
    <row r="1803" spans="1:7">
      <c r="A1803" t="s">
        <v>3928</v>
      </c>
      <c r="B1803" t="s">
        <v>3929</v>
      </c>
      <c r="C1803">
        <v>10</v>
      </c>
      <c r="D1803" s="260">
        <v>46146</v>
      </c>
      <c r="E1803" s="260">
        <v>46157</v>
      </c>
      <c r="F1803">
        <v>93</v>
      </c>
      <c r="G1803" t="s">
        <v>356</v>
      </c>
    </row>
    <row r="1804" spans="1:7">
      <c r="A1804" t="s">
        <v>3930</v>
      </c>
      <c r="B1804" t="s">
        <v>3931</v>
      </c>
      <c r="C1804">
        <v>5</v>
      </c>
      <c r="D1804" s="260">
        <v>46245</v>
      </c>
      <c r="E1804" s="260">
        <v>46252</v>
      </c>
      <c r="F1804">
        <v>93</v>
      </c>
      <c r="G1804" t="s">
        <v>356</v>
      </c>
    </row>
    <row r="1805" spans="1:7">
      <c r="A1805" t="s">
        <v>3932</v>
      </c>
      <c r="B1805" t="s">
        <v>3933</v>
      </c>
      <c r="C1805">
        <v>10</v>
      </c>
      <c r="D1805" s="260">
        <v>46196</v>
      </c>
      <c r="E1805" s="260">
        <v>46209</v>
      </c>
      <c r="F1805">
        <v>57</v>
      </c>
      <c r="G1805" t="s">
        <v>356</v>
      </c>
    </row>
    <row r="1806" spans="1:7">
      <c r="A1806" t="s">
        <v>3934</v>
      </c>
      <c r="B1806" t="s">
        <v>3935</v>
      </c>
      <c r="C1806">
        <v>5</v>
      </c>
      <c r="D1806" s="260">
        <v>46296</v>
      </c>
      <c r="E1806" s="260">
        <v>46302</v>
      </c>
      <c r="F1806">
        <v>57</v>
      </c>
      <c r="G1806" t="s">
        <v>356</v>
      </c>
    </row>
    <row r="1807" spans="1:7">
      <c r="A1807" t="s">
        <v>3936</v>
      </c>
      <c r="B1807" t="s">
        <v>3937</v>
      </c>
      <c r="C1807">
        <v>10</v>
      </c>
      <c r="D1807" s="260">
        <v>46169</v>
      </c>
      <c r="E1807" s="260">
        <v>46184</v>
      </c>
      <c r="F1807">
        <v>0</v>
      </c>
      <c r="G1807" t="s">
        <v>356</v>
      </c>
    </row>
    <row r="1808" spans="1:7">
      <c r="A1808" t="s">
        <v>3938</v>
      </c>
      <c r="B1808" t="s">
        <v>3939</v>
      </c>
      <c r="C1808">
        <v>5</v>
      </c>
      <c r="D1808" s="260">
        <v>46274</v>
      </c>
      <c r="E1808" s="260">
        <v>46280</v>
      </c>
      <c r="F1808">
        <v>0</v>
      </c>
      <c r="G1808" t="s">
        <v>356</v>
      </c>
    </row>
    <row r="1809" spans="1:7">
      <c r="A1809" t="s">
        <v>3940</v>
      </c>
      <c r="B1809" t="s">
        <v>3941</v>
      </c>
      <c r="C1809">
        <v>10</v>
      </c>
      <c r="D1809" s="260">
        <v>46273</v>
      </c>
      <c r="E1809" s="260">
        <v>46286</v>
      </c>
      <c r="F1809">
        <v>4</v>
      </c>
      <c r="G1809" t="s">
        <v>356</v>
      </c>
    </row>
    <row r="1810" spans="1:7">
      <c r="A1810" t="s">
        <v>3942</v>
      </c>
      <c r="B1810" t="s">
        <v>3943</v>
      </c>
      <c r="C1810">
        <v>5</v>
      </c>
      <c r="D1810" s="260">
        <v>46377</v>
      </c>
      <c r="E1810" s="260">
        <v>46384</v>
      </c>
      <c r="F1810">
        <v>4</v>
      </c>
      <c r="G1810" t="s">
        <v>356</v>
      </c>
    </row>
    <row r="1811" spans="1:7">
      <c r="A1811" t="s">
        <v>3944</v>
      </c>
      <c r="B1811" t="s">
        <v>3945</v>
      </c>
      <c r="C1811">
        <v>10</v>
      </c>
      <c r="D1811" s="260">
        <v>46259</v>
      </c>
      <c r="E1811" s="260">
        <v>46272</v>
      </c>
      <c r="F1811">
        <v>14</v>
      </c>
      <c r="G1811" t="s">
        <v>356</v>
      </c>
    </row>
    <row r="1812" spans="1:7">
      <c r="A1812" t="s">
        <v>3946</v>
      </c>
      <c r="B1812" t="s">
        <v>3947</v>
      </c>
      <c r="C1812">
        <v>5</v>
      </c>
      <c r="D1812" s="260">
        <v>46359</v>
      </c>
      <c r="E1812" s="260">
        <v>46367</v>
      </c>
      <c r="F1812">
        <v>14</v>
      </c>
      <c r="G1812" t="s">
        <v>356</v>
      </c>
    </row>
    <row r="1813" spans="1:7">
      <c r="A1813" t="s">
        <v>3948</v>
      </c>
      <c r="B1813" t="s">
        <v>3949</v>
      </c>
      <c r="C1813">
        <v>10</v>
      </c>
      <c r="D1813" s="260">
        <v>46272</v>
      </c>
      <c r="E1813" s="260">
        <v>46283</v>
      </c>
      <c r="F1813">
        <v>5</v>
      </c>
      <c r="G1813" t="s">
        <v>356</v>
      </c>
    </row>
    <row r="1814" spans="1:7">
      <c r="A1814" t="s">
        <v>3950</v>
      </c>
      <c r="B1814" t="s">
        <v>3951</v>
      </c>
      <c r="C1814">
        <v>5</v>
      </c>
      <c r="D1814" s="260">
        <v>46374</v>
      </c>
      <c r="E1814" s="260">
        <v>46380</v>
      </c>
      <c r="F1814">
        <v>5</v>
      </c>
      <c r="G1814" t="s">
        <v>356</v>
      </c>
    </row>
    <row r="1815" spans="1:7">
      <c r="A1815" t="s">
        <v>3952</v>
      </c>
      <c r="B1815" t="s">
        <v>3953</v>
      </c>
      <c r="C1815">
        <v>10</v>
      </c>
      <c r="D1815" s="260">
        <v>46272</v>
      </c>
      <c r="E1815" s="260">
        <v>46283</v>
      </c>
      <c r="F1815">
        <v>5</v>
      </c>
      <c r="G1815" t="s">
        <v>356</v>
      </c>
    </row>
    <row r="1816" spans="1:7">
      <c r="A1816" t="s">
        <v>3954</v>
      </c>
      <c r="B1816" t="s">
        <v>3955</v>
      </c>
      <c r="C1816">
        <v>5</v>
      </c>
      <c r="D1816" s="260">
        <v>46374</v>
      </c>
      <c r="E1816" s="260">
        <v>46380</v>
      </c>
      <c r="F1816">
        <v>5</v>
      </c>
      <c r="G1816" t="s">
        <v>356</v>
      </c>
    </row>
    <row r="1817" spans="1:7">
      <c r="A1817" t="s">
        <v>3956</v>
      </c>
      <c r="B1817" t="s">
        <v>3957</v>
      </c>
      <c r="C1817">
        <v>10</v>
      </c>
      <c r="D1817" s="260">
        <v>46272</v>
      </c>
      <c r="E1817" s="260">
        <v>46283</v>
      </c>
      <c r="F1817">
        <v>5</v>
      </c>
      <c r="G1817" t="s">
        <v>356</v>
      </c>
    </row>
    <row r="1818" spans="1:7">
      <c r="A1818" t="s">
        <v>3958</v>
      </c>
      <c r="B1818" t="s">
        <v>3959</v>
      </c>
      <c r="C1818">
        <v>5</v>
      </c>
      <c r="D1818" s="260">
        <v>46374</v>
      </c>
      <c r="E1818" s="260">
        <v>46380</v>
      </c>
      <c r="F1818">
        <v>5</v>
      </c>
      <c r="G1818" t="s">
        <v>356</v>
      </c>
    </row>
    <row r="1819" spans="1:7">
      <c r="A1819" t="s">
        <v>3960</v>
      </c>
      <c r="B1819" t="s">
        <v>3961</v>
      </c>
      <c r="C1819">
        <v>10</v>
      </c>
      <c r="D1819" s="260">
        <v>46272</v>
      </c>
      <c r="E1819" s="260">
        <v>46283</v>
      </c>
      <c r="F1819">
        <v>5</v>
      </c>
      <c r="G1819" t="s">
        <v>356</v>
      </c>
    </row>
    <row r="1820" spans="1:7">
      <c r="A1820" t="s">
        <v>3962</v>
      </c>
      <c r="B1820" t="s">
        <v>3963</v>
      </c>
      <c r="C1820">
        <v>5</v>
      </c>
      <c r="D1820" s="260">
        <v>46374</v>
      </c>
      <c r="E1820" s="260">
        <v>46380</v>
      </c>
      <c r="F1820">
        <v>5</v>
      </c>
      <c r="G1820" t="s">
        <v>356</v>
      </c>
    </row>
    <row r="1821" spans="1:7">
      <c r="A1821" t="s">
        <v>3964</v>
      </c>
      <c r="B1821" t="s">
        <v>3965</v>
      </c>
      <c r="C1821">
        <v>10</v>
      </c>
      <c r="D1821" s="260">
        <v>46272</v>
      </c>
      <c r="E1821" s="260">
        <v>46283</v>
      </c>
      <c r="F1821">
        <v>5</v>
      </c>
      <c r="G1821" t="s">
        <v>356</v>
      </c>
    </row>
    <row r="1822" spans="1:7">
      <c r="A1822" t="s">
        <v>3966</v>
      </c>
      <c r="B1822" t="s">
        <v>3967</v>
      </c>
      <c r="C1822">
        <v>5</v>
      </c>
      <c r="D1822" s="260">
        <v>46374</v>
      </c>
      <c r="E1822" s="260">
        <v>46380</v>
      </c>
      <c r="F1822">
        <v>5</v>
      </c>
      <c r="G1822" t="s">
        <v>356</v>
      </c>
    </row>
    <row r="1823" spans="1:7">
      <c r="A1823" t="s">
        <v>3968</v>
      </c>
      <c r="B1823" t="s">
        <v>3969</v>
      </c>
      <c r="C1823">
        <v>10</v>
      </c>
      <c r="D1823" s="260">
        <v>46272</v>
      </c>
      <c r="E1823" s="260">
        <v>46283</v>
      </c>
      <c r="F1823">
        <v>5</v>
      </c>
      <c r="G1823" t="s">
        <v>356</v>
      </c>
    </row>
    <row r="1824" spans="1:7">
      <c r="A1824" t="s">
        <v>3970</v>
      </c>
      <c r="B1824" t="s">
        <v>3971</v>
      </c>
      <c r="C1824">
        <v>5</v>
      </c>
      <c r="D1824" s="260">
        <v>46374</v>
      </c>
      <c r="E1824" s="260">
        <v>46380</v>
      </c>
      <c r="F1824">
        <v>5</v>
      </c>
      <c r="G1824" t="s">
        <v>356</v>
      </c>
    </row>
    <row r="1825" spans="1:7">
      <c r="A1825" t="s">
        <v>3972</v>
      </c>
      <c r="B1825" t="s">
        <v>3973</v>
      </c>
      <c r="C1825">
        <v>10</v>
      </c>
      <c r="D1825" s="260">
        <v>46272</v>
      </c>
      <c r="E1825" s="260">
        <v>46283</v>
      </c>
      <c r="F1825">
        <v>5</v>
      </c>
      <c r="G1825" t="s">
        <v>356</v>
      </c>
    </row>
    <row r="1826" spans="1:7">
      <c r="A1826" t="s">
        <v>3974</v>
      </c>
      <c r="B1826" t="s">
        <v>3975</v>
      </c>
      <c r="C1826">
        <v>5</v>
      </c>
      <c r="D1826" s="260">
        <v>46374</v>
      </c>
      <c r="E1826" s="260">
        <v>46380</v>
      </c>
      <c r="F1826">
        <v>5</v>
      </c>
      <c r="G1826" t="s">
        <v>356</v>
      </c>
    </row>
    <row r="1827" spans="1:7">
      <c r="A1827" t="s">
        <v>3976</v>
      </c>
      <c r="B1827" t="s">
        <v>3977</v>
      </c>
      <c r="C1827">
        <v>10</v>
      </c>
      <c r="D1827" s="260">
        <v>46272</v>
      </c>
      <c r="E1827" s="260">
        <v>46283</v>
      </c>
      <c r="F1827">
        <v>5</v>
      </c>
      <c r="G1827" t="s">
        <v>356</v>
      </c>
    </row>
    <row r="1828" spans="1:7">
      <c r="A1828" t="s">
        <v>3978</v>
      </c>
      <c r="B1828" t="s">
        <v>3979</v>
      </c>
      <c r="C1828">
        <v>5</v>
      </c>
      <c r="D1828" s="260">
        <v>46374</v>
      </c>
      <c r="E1828" s="260">
        <v>46380</v>
      </c>
      <c r="F1828">
        <v>5</v>
      </c>
      <c r="G1828" t="s">
        <v>356</v>
      </c>
    </row>
    <row r="1829" spans="1:7">
      <c r="A1829" t="s">
        <v>3980</v>
      </c>
      <c r="B1829" t="s">
        <v>3981</v>
      </c>
      <c r="C1829">
        <v>10</v>
      </c>
      <c r="D1829" s="260">
        <v>46272</v>
      </c>
      <c r="E1829" s="260">
        <v>46283</v>
      </c>
      <c r="F1829">
        <v>5</v>
      </c>
      <c r="G1829" t="s">
        <v>356</v>
      </c>
    </row>
    <row r="1830" spans="1:7">
      <c r="A1830" t="s">
        <v>3982</v>
      </c>
      <c r="B1830" t="s">
        <v>3983</v>
      </c>
      <c r="C1830">
        <v>5</v>
      </c>
      <c r="D1830" s="260">
        <v>46374</v>
      </c>
      <c r="E1830" s="260">
        <v>46380</v>
      </c>
      <c r="F1830">
        <v>5</v>
      </c>
      <c r="G1830" t="s">
        <v>356</v>
      </c>
    </row>
    <row r="1831" spans="1:7">
      <c r="A1831" t="s">
        <v>3984</v>
      </c>
      <c r="B1831" t="s">
        <v>3985</v>
      </c>
      <c r="C1831">
        <v>10</v>
      </c>
      <c r="D1831" s="260">
        <v>46230</v>
      </c>
      <c r="E1831" s="260">
        <v>46247</v>
      </c>
      <c r="F1831">
        <v>27</v>
      </c>
      <c r="G1831" t="s">
        <v>356</v>
      </c>
    </row>
    <row r="1832" spans="1:7">
      <c r="A1832" t="s">
        <v>3986</v>
      </c>
      <c r="B1832" t="s">
        <v>3987</v>
      </c>
      <c r="C1832">
        <v>5</v>
      </c>
      <c r="D1832" s="260">
        <v>46342</v>
      </c>
      <c r="E1832" s="260">
        <v>46346</v>
      </c>
      <c r="F1832">
        <v>27</v>
      </c>
      <c r="G1832" t="s">
        <v>356</v>
      </c>
    </row>
    <row r="1833" spans="1:7">
      <c r="A1833" t="s">
        <v>3988</v>
      </c>
      <c r="B1833" t="s">
        <v>3989</v>
      </c>
      <c r="C1833">
        <v>10</v>
      </c>
      <c r="D1833" s="260">
        <v>46230</v>
      </c>
      <c r="E1833" s="260">
        <v>46247</v>
      </c>
      <c r="F1833">
        <v>27</v>
      </c>
      <c r="G1833" t="s">
        <v>356</v>
      </c>
    </row>
    <row r="1834" spans="1:7">
      <c r="A1834" t="s">
        <v>3990</v>
      </c>
      <c r="B1834" t="s">
        <v>3991</v>
      </c>
      <c r="C1834">
        <v>5</v>
      </c>
      <c r="D1834" s="260">
        <v>46342</v>
      </c>
      <c r="E1834" s="260">
        <v>46346</v>
      </c>
      <c r="F1834">
        <v>27</v>
      </c>
      <c r="G1834" t="s">
        <v>356</v>
      </c>
    </row>
    <row r="1835" spans="1:7">
      <c r="A1835" t="s">
        <v>3992</v>
      </c>
      <c r="B1835" t="s">
        <v>3993</v>
      </c>
      <c r="C1835">
        <v>10</v>
      </c>
      <c r="D1835" s="260">
        <v>46273</v>
      </c>
      <c r="E1835" s="260">
        <v>46286</v>
      </c>
      <c r="F1835">
        <v>4</v>
      </c>
      <c r="G1835" t="s">
        <v>356</v>
      </c>
    </row>
    <row r="1836" spans="1:7">
      <c r="A1836" t="s">
        <v>3994</v>
      </c>
      <c r="B1836" t="s">
        <v>3995</v>
      </c>
      <c r="C1836">
        <v>5</v>
      </c>
      <c r="D1836" s="260">
        <v>46377</v>
      </c>
      <c r="E1836" s="260">
        <v>46384</v>
      </c>
      <c r="F1836">
        <v>4</v>
      </c>
      <c r="G1836" t="s">
        <v>356</v>
      </c>
    </row>
    <row r="1837" spans="1:7">
      <c r="A1837" t="s">
        <v>3996</v>
      </c>
      <c r="B1837" t="s">
        <v>3997</v>
      </c>
      <c r="C1837">
        <v>10</v>
      </c>
      <c r="D1837" s="260">
        <v>46272</v>
      </c>
      <c r="E1837" s="260">
        <v>46283</v>
      </c>
      <c r="F1837">
        <v>16</v>
      </c>
      <c r="G1837" t="s">
        <v>356</v>
      </c>
    </row>
    <row r="1838" spans="1:7">
      <c r="A1838" t="s">
        <v>3998</v>
      </c>
      <c r="B1838" t="s">
        <v>3999</v>
      </c>
      <c r="C1838">
        <v>5</v>
      </c>
      <c r="D1838" s="260">
        <v>46357</v>
      </c>
      <c r="E1838" s="260">
        <v>46364</v>
      </c>
      <c r="F1838">
        <v>16</v>
      </c>
      <c r="G1838" t="s">
        <v>356</v>
      </c>
    </row>
    <row r="1839" spans="1:7">
      <c r="A1839" t="s">
        <v>4000</v>
      </c>
      <c r="B1839" t="s">
        <v>4001</v>
      </c>
      <c r="C1839">
        <v>10</v>
      </c>
      <c r="D1839" s="260">
        <v>46272</v>
      </c>
      <c r="E1839" s="260">
        <v>46283</v>
      </c>
      <c r="F1839">
        <v>5</v>
      </c>
      <c r="G1839" t="s">
        <v>356</v>
      </c>
    </row>
    <row r="1840" spans="1:7">
      <c r="A1840" t="s">
        <v>4002</v>
      </c>
      <c r="B1840" t="s">
        <v>4003</v>
      </c>
      <c r="C1840">
        <v>5</v>
      </c>
      <c r="D1840" s="260">
        <v>46374</v>
      </c>
      <c r="E1840" s="260">
        <v>46380</v>
      </c>
      <c r="F1840">
        <v>5</v>
      </c>
      <c r="G1840" t="s">
        <v>356</v>
      </c>
    </row>
    <row r="1841" spans="1:7">
      <c r="A1841" t="s">
        <v>4004</v>
      </c>
      <c r="B1841" t="s">
        <v>4005</v>
      </c>
      <c r="C1841">
        <v>10</v>
      </c>
      <c r="D1841" s="260">
        <v>46272</v>
      </c>
      <c r="E1841" s="260">
        <v>46283</v>
      </c>
      <c r="F1841">
        <v>5</v>
      </c>
      <c r="G1841" t="s">
        <v>356</v>
      </c>
    </row>
    <row r="1842" spans="1:7">
      <c r="A1842" t="s">
        <v>4006</v>
      </c>
      <c r="B1842" t="s">
        <v>4007</v>
      </c>
      <c r="C1842">
        <v>5</v>
      </c>
      <c r="D1842" s="260">
        <v>46374</v>
      </c>
      <c r="E1842" s="260">
        <v>46380</v>
      </c>
      <c r="F1842">
        <v>5</v>
      </c>
      <c r="G1842" t="s">
        <v>356</v>
      </c>
    </row>
    <row r="1843" spans="1:7">
      <c r="A1843" t="s">
        <v>4008</v>
      </c>
      <c r="B1843" t="s">
        <v>4009</v>
      </c>
      <c r="C1843">
        <v>10</v>
      </c>
      <c r="D1843" s="260">
        <v>46272</v>
      </c>
      <c r="E1843" s="260">
        <v>46283</v>
      </c>
      <c r="F1843">
        <v>5</v>
      </c>
      <c r="G1843" t="s">
        <v>356</v>
      </c>
    </row>
    <row r="1844" spans="1:7">
      <c r="A1844" t="s">
        <v>4010</v>
      </c>
      <c r="B1844" t="s">
        <v>4011</v>
      </c>
      <c r="C1844">
        <v>5</v>
      </c>
      <c r="D1844" s="260">
        <v>46374</v>
      </c>
      <c r="E1844" s="260">
        <v>46380</v>
      </c>
      <c r="F1844">
        <v>5</v>
      </c>
      <c r="G1844" t="s">
        <v>356</v>
      </c>
    </row>
    <row r="1845" spans="1:7">
      <c r="A1845" t="s">
        <v>4012</v>
      </c>
      <c r="B1845" t="s">
        <v>4013</v>
      </c>
      <c r="C1845">
        <v>10</v>
      </c>
      <c r="D1845" s="260">
        <v>46272</v>
      </c>
      <c r="E1845" s="260">
        <v>46283</v>
      </c>
      <c r="F1845">
        <v>5</v>
      </c>
      <c r="G1845" t="s">
        <v>356</v>
      </c>
    </row>
    <row r="1846" spans="1:7">
      <c r="A1846" t="s">
        <v>4014</v>
      </c>
      <c r="B1846" t="s">
        <v>4015</v>
      </c>
      <c r="C1846">
        <v>5</v>
      </c>
      <c r="D1846" s="260">
        <v>46374</v>
      </c>
      <c r="E1846" s="260">
        <v>46380</v>
      </c>
      <c r="F1846">
        <v>5</v>
      </c>
      <c r="G1846" t="s">
        <v>356</v>
      </c>
    </row>
    <row r="1847" spans="1:7">
      <c r="A1847" t="s">
        <v>4016</v>
      </c>
      <c r="B1847" t="s">
        <v>4017</v>
      </c>
      <c r="C1847">
        <v>10</v>
      </c>
      <c r="D1847" s="260">
        <v>46282</v>
      </c>
      <c r="E1847" s="260">
        <v>46295</v>
      </c>
      <c r="F1847">
        <v>7</v>
      </c>
      <c r="G1847" t="s">
        <v>356</v>
      </c>
    </row>
    <row r="1848" spans="1:7">
      <c r="A1848" t="s">
        <v>4018</v>
      </c>
      <c r="B1848" t="s">
        <v>4019</v>
      </c>
      <c r="C1848">
        <v>5</v>
      </c>
      <c r="D1848" s="260">
        <v>46372</v>
      </c>
      <c r="E1848" s="260">
        <v>46378</v>
      </c>
      <c r="F1848">
        <v>7</v>
      </c>
      <c r="G1848" t="s">
        <v>356</v>
      </c>
    </row>
    <row r="1849" spans="1:7">
      <c r="A1849" t="s">
        <v>4020</v>
      </c>
      <c r="C1849">
        <v>124</v>
      </c>
      <c r="D1849" s="260">
        <v>46177</v>
      </c>
      <c r="E1849" s="260">
        <v>46358</v>
      </c>
      <c r="F1849">
        <v>4</v>
      </c>
      <c r="G1849" t="s">
        <v>356</v>
      </c>
    </row>
    <row r="1850" spans="1:7">
      <c r="A1850" t="s">
        <v>4021</v>
      </c>
      <c r="B1850" t="s">
        <v>4022</v>
      </c>
      <c r="C1850">
        <v>20</v>
      </c>
      <c r="D1850" s="260">
        <v>46182</v>
      </c>
      <c r="E1850" s="260">
        <v>46209</v>
      </c>
      <c r="F1850">
        <v>90</v>
      </c>
      <c r="G1850" t="s">
        <v>356</v>
      </c>
    </row>
    <row r="1851" spans="1:7">
      <c r="A1851" t="s">
        <v>4023</v>
      </c>
      <c r="B1851" t="s">
        <v>4024</v>
      </c>
      <c r="C1851">
        <v>5</v>
      </c>
      <c r="D1851" s="260">
        <v>46224</v>
      </c>
      <c r="E1851" s="260">
        <v>46230</v>
      </c>
      <c r="F1851">
        <v>90</v>
      </c>
      <c r="G1851" t="s">
        <v>356</v>
      </c>
    </row>
    <row r="1852" spans="1:7">
      <c r="A1852" t="s">
        <v>4025</v>
      </c>
      <c r="B1852" t="s">
        <v>4026</v>
      </c>
      <c r="C1852">
        <v>20</v>
      </c>
      <c r="D1852" s="260">
        <v>46183</v>
      </c>
      <c r="E1852" s="260">
        <v>46210</v>
      </c>
      <c r="F1852">
        <v>0</v>
      </c>
      <c r="G1852" t="s">
        <v>356</v>
      </c>
    </row>
    <row r="1853" spans="1:7">
      <c r="A1853" t="s">
        <v>4027</v>
      </c>
      <c r="B1853" t="s">
        <v>4028</v>
      </c>
      <c r="C1853">
        <v>5</v>
      </c>
      <c r="D1853" s="260">
        <v>46225</v>
      </c>
      <c r="E1853" s="260">
        <v>46234</v>
      </c>
      <c r="F1853">
        <v>0</v>
      </c>
      <c r="G1853" t="s">
        <v>356</v>
      </c>
    </row>
    <row r="1854" spans="1:7">
      <c r="A1854" t="s">
        <v>4029</v>
      </c>
      <c r="B1854" t="s">
        <v>4030</v>
      </c>
      <c r="C1854">
        <v>20</v>
      </c>
      <c r="D1854" s="260">
        <v>46178</v>
      </c>
      <c r="E1854" s="260">
        <v>46205</v>
      </c>
      <c r="F1854">
        <v>42</v>
      </c>
      <c r="G1854" t="s">
        <v>356</v>
      </c>
    </row>
    <row r="1855" spans="1:7">
      <c r="A1855" t="s">
        <v>4031</v>
      </c>
      <c r="B1855" t="s">
        <v>4032</v>
      </c>
      <c r="C1855">
        <v>5</v>
      </c>
      <c r="D1855" s="260">
        <v>46220</v>
      </c>
      <c r="E1855" s="260">
        <v>46226</v>
      </c>
      <c r="F1855">
        <v>42</v>
      </c>
      <c r="G1855" t="s">
        <v>356</v>
      </c>
    </row>
    <row r="1856" spans="1:7">
      <c r="A1856" t="s">
        <v>4033</v>
      </c>
      <c r="B1856" t="s">
        <v>4034</v>
      </c>
      <c r="C1856">
        <v>18</v>
      </c>
      <c r="D1856" s="260">
        <v>46289</v>
      </c>
      <c r="E1856" s="260">
        <v>46315</v>
      </c>
      <c r="F1856">
        <v>19</v>
      </c>
      <c r="G1856" t="s">
        <v>356</v>
      </c>
    </row>
    <row r="1857" spans="1:7">
      <c r="A1857" t="s">
        <v>4035</v>
      </c>
      <c r="B1857" t="s">
        <v>4036</v>
      </c>
      <c r="C1857">
        <v>5</v>
      </c>
      <c r="D1857" s="260">
        <v>46331</v>
      </c>
      <c r="E1857" s="260">
        <v>46337</v>
      </c>
      <c r="F1857">
        <v>19</v>
      </c>
      <c r="G1857" t="s">
        <v>356</v>
      </c>
    </row>
    <row r="1858" spans="1:7">
      <c r="A1858" t="s">
        <v>4037</v>
      </c>
      <c r="B1858" t="s">
        <v>4038</v>
      </c>
      <c r="C1858">
        <v>18</v>
      </c>
      <c r="D1858" s="260">
        <v>46294</v>
      </c>
      <c r="E1858" s="260">
        <v>46321</v>
      </c>
      <c r="F1858">
        <v>16</v>
      </c>
      <c r="G1858" t="s">
        <v>356</v>
      </c>
    </row>
    <row r="1859" spans="1:7">
      <c r="A1859" t="s">
        <v>4039</v>
      </c>
      <c r="B1859" t="s">
        <v>4040</v>
      </c>
      <c r="C1859">
        <v>5</v>
      </c>
      <c r="D1859" s="260">
        <v>46336</v>
      </c>
      <c r="E1859" s="260">
        <v>46342</v>
      </c>
      <c r="F1859">
        <v>16</v>
      </c>
      <c r="G1859" t="s">
        <v>356</v>
      </c>
    </row>
    <row r="1860" spans="1:7">
      <c r="A1860" t="s">
        <v>4041</v>
      </c>
      <c r="B1860" t="s">
        <v>4042</v>
      </c>
      <c r="C1860">
        <v>20</v>
      </c>
      <c r="D1860" s="260">
        <v>46177</v>
      </c>
      <c r="E1860" s="260">
        <v>46204</v>
      </c>
      <c r="F1860">
        <v>93</v>
      </c>
      <c r="G1860" t="s">
        <v>356</v>
      </c>
    </row>
    <row r="1861" spans="1:7">
      <c r="A1861" t="s">
        <v>4043</v>
      </c>
      <c r="B1861" t="s">
        <v>4044</v>
      </c>
      <c r="C1861">
        <v>5</v>
      </c>
      <c r="D1861" s="260">
        <v>46219</v>
      </c>
      <c r="E1861" s="260">
        <v>46225</v>
      </c>
      <c r="F1861">
        <v>93</v>
      </c>
      <c r="G1861" t="s">
        <v>356</v>
      </c>
    </row>
    <row r="1862" spans="1:7">
      <c r="A1862" t="s">
        <v>4045</v>
      </c>
      <c r="B1862" t="s">
        <v>4046</v>
      </c>
      <c r="C1862">
        <v>19</v>
      </c>
      <c r="D1862" s="260">
        <v>46230</v>
      </c>
      <c r="E1862" s="260">
        <v>46260</v>
      </c>
      <c r="F1862">
        <v>57</v>
      </c>
      <c r="G1862" t="s">
        <v>356</v>
      </c>
    </row>
    <row r="1863" spans="1:7">
      <c r="A1863" t="s">
        <v>4047</v>
      </c>
      <c r="B1863" t="s">
        <v>4048</v>
      </c>
      <c r="C1863">
        <v>5</v>
      </c>
      <c r="D1863" s="260">
        <v>46275</v>
      </c>
      <c r="E1863" s="260">
        <v>46281</v>
      </c>
      <c r="F1863">
        <v>57</v>
      </c>
      <c r="G1863" t="s">
        <v>356</v>
      </c>
    </row>
    <row r="1864" spans="1:7">
      <c r="A1864" t="s">
        <v>4049</v>
      </c>
      <c r="B1864" t="s">
        <v>4050</v>
      </c>
      <c r="C1864">
        <v>17</v>
      </c>
      <c r="D1864" s="260">
        <v>46210</v>
      </c>
      <c r="E1864" s="260">
        <v>46237</v>
      </c>
      <c r="F1864">
        <v>0</v>
      </c>
      <c r="G1864" t="s">
        <v>356</v>
      </c>
    </row>
    <row r="1865" spans="1:7">
      <c r="A1865" t="s">
        <v>4051</v>
      </c>
      <c r="B1865" t="s">
        <v>4052</v>
      </c>
      <c r="C1865">
        <v>5</v>
      </c>
      <c r="D1865" s="260">
        <v>46253</v>
      </c>
      <c r="E1865" s="260">
        <v>46259</v>
      </c>
      <c r="F1865">
        <v>0</v>
      </c>
      <c r="G1865" t="s">
        <v>356</v>
      </c>
    </row>
    <row r="1866" spans="1:7">
      <c r="A1866" t="s">
        <v>4053</v>
      </c>
      <c r="B1866" t="s">
        <v>4054</v>
      </c>
      <c r="C1866">
        <v>19</v>
      </c>
      <c r="D1866" s="260">
        <v>46310</v>
      </c>
      <c r="E1866" s="260">
        <v>46337</v>
      </c>
      <c r="F1866">
        <v>4</v>
      </c>
      <c r="G1866" t="s">
        <v>356</v>
      </c>
    </row>
    <row r="1867" spans="1:7">
      <c r="A1867" t="s">
        <v>4055</v>
      </c>
      <c r="B1867" t="s">
        <v>4056</v>
      </c>
      <c r="C1867">
        <v>5</v>
      </c>
      <c r="D1867" s="260">
        <v>46352</v>
      </c>
      <c r="E1867" s="260">
        <v>46358</v>
      </c>
      <c r="F1867">
        <v>4</v>
      </c>
      <c r="G1867" t="s">
        <v>356</v>
      </c>
    </row>
    <row r="1868" spans="1:7">
      <c r="A1868" t="s">
        <v>4057</v>
      </c>
      <c r="B1868" t="s">
        <v>4058</v>
      </c>
      <c r="C1868">
        <v>19</v>
      </c>
      <c r="D1868" s="260">
        <v>46295</v>
      </c>
      <c r="E1868" s="260">
        <v>46323</v>
      </c>
      <c r="F1868">
        <v>14</v>
      </c>
      <c r="G1868" t="s">
        <v>356</v>
      </c>
    </row>
    <row r="1869" spans="1:7">
      <c r="A1869" t="s">
        <v>4059</v>
      </c>
      <c r="B1869" t="s">
        <v>4060</v>
      </c>
      <c r="C1869">
        <v>5</v>
      </c>
      <c r="D1869" s="260">
        <v>46338</v>
      </c>
      <c r="E1869" s="260">
        <v>46344</v>
      </c>
      <c r="F1869">
        <v>14</v>
      </c>
      <c r="G1869" t="s">
        <v>356</v>
      </c>
    </row>
    <row r="1870" spans="1:7">
      <c r="A1870" t="s">
        <v>4061</v>
      </c>
      <c r="B1870" t="s">
        <v>4062</v>
      </c>
      <c r="C1870">
        <v>19</v>
      </c>
      <c r="D1870" s="260">
        <v>46309</v>
      </c>
      <c r="E1870" s="260">
        <v>46336</v>
      </c>
      <c r="F1870">
        <v>5</v>
      </c>
      <c r="G1870" t="s">
        <v>356</v>
      </c>
    </row>
    <row r="1871" spans="1:7">
      <c r="A1871" t="s">
        <v>4063</v>
      </c>
      <c r="B1871" t="s">
        <v>4064</v>
      </c>
      <c r="C1871">
        <v>5</v>
      </c>
      <c r="D1871" s="260">
        <v>46351</v>
      </c>
      <c r="E1871" s="260">
        <v>46357</v>
      </c>
      <c r="F1871">
        <v>5</v>
      </c>
      <c r="G1871" t="s">
        <v>356</v>
      </c>
    </row>
    <row r="1872" spans="1:7">
      <c r="A1872" t="s">
        <v>4065</v>
      </c>
      <c r="B1872" t="s">
        <v>4066</v>
      </c>
      <c r="C1872">
        <v>19</v>
      </c>
      <c r="D1872" s="260">
        <v>46309</v>
      </c>
      <c r="E1872" s="260">
        <v>46336</v>
      </c>
      <c r="F1872">
        <v>5</v>
      </c>
      <c r="G1872" t="s">
        <v>356</v>
      </c>
    </row>
    <row r="1873" spans="1:7">
      <c r="A1873" t="s">
        <v>4067</v>
      </c>
      <c r="B1873" t="s">
        <v>4068</v>
      </c>
      <c r="C1873">
        <v>5</v>
      </c>
      <c r="D1873" s="260">
        <v>46351</v>
      </c>
      <c r="E1873" s="260">
        <v>46357</v>
      </c>
      <c r="F1873">
        <v>5</v>
      </c>
      <c r="G1873" t="s">
        <v>356</v>
      </c>
    </row>
    <row r="1874" spans="1:7">
      <c r="A1874" t="s">
        <v>4069</v>
      </c>
      <c r="B1874" t="s">
        <v>4070</v>
      </c>
      <c r="C1874">
        <v>19</v>
      </c>
      <c r="D1874" s="260">
        <v>46309</v>
      </c>
      <c r="E1874" s="260">
        <v>46336</v>
      </c>
      <c r="F1874">
        <v>5</v>
      </c>
      <c r="G1874" t="s">
        <v>356</v>
      </c>
    </row>
    <row r="1875" spans="1:7">
      <c r="A1875" t="s">
        <v>4071</v>
      </c>
      <c r="B1875" t="s">
        <v>4072</v>
      </c>
      <c r="C1875">
        <v>5</v>
      </c>
      <c r="D1875" s="260">
        <v>46351</v>
      </c>
      <c r="E1875" s="260">
        <v>46357</v>
      </c>
      <c r="F1875">
        <v>5</v>
      </c>
      <c r="G1875" t="s">
        <v>356</v>
      </c>
    </row>
    <row r="1876" spans="1:7">
      <c r="A1876" t="s">
        <v>4073</v>
      </c>
      <c r="B1876" t="s">
        <v>4074</v>
      </c>
      <c r="C1876">
        <v>19</v>
      </c>
      <c r="D1876" s="260">
        <v>46309</v>
      </c>
      <c r="E1876" s="260">
        <v>46336</v>
      </c>
      <c r="F1876">
        <v>5</v>
      </c>
      <c r="G1876" t="s">
        <v>356</v>
      </c>
    </row>
    <row r="1877" spans="1:7">
      <c r="A1877" t="s">
        <v>4075</v>
      </c>
      <c r="B1877" t="s">
        <v>4076</v>
      </c>
      <c r="C1877">
        <v>5</v>
      </c>
      <c r="D1877" s="260">
        <v>46351</v>
      </c>
      <c r="E1877" s="260">
        <v>46357</v>
      </c>
      <c r="F1877">
        <v>5</v>
      </c>
      <c r="G1877" t="s">
        <v>356</v>
      </c>
    </row>
    <row r="1878" spans="1:7">
      <c r="A1878" t="s">
        <v>4077</v>
      </c>
      <c r="B1878" t="s">
        <v>4078</v>
      </c>
      <c r="C1878">
        <v>19</v>
      </c>
      <c r="D1878" s="260">
        <v>46309</v>
      </c>
      <c r="E1878" s="260">
        <v>46336</v>
      </c>
      <c r="F1878">
        <v>5</v>
      </c>
      <c r="G1878" t="s">
        <v>356</v>
      </c>
    </row>
    <row r="1879" spans="1:7">
      <c r="A1879" t="s">
        <v>4079</v>
      </c>
      <c r="B1879" t="s">
        <v>4080</v>
      </c>
      <c r="C1879">
        <v>5</v>
      </c>
      <c r="D1879" s="260">
        <v>46351</v>
      </c>
      <c r="E1879" s="260">
        <v>46357</v>
      </c>
      <c r="F1879">
        <v>5</v>
      </c>
      <c r="G1879" t="s">
        <v>356</v>
      </c>
    </row>
    <row r="1880" spans="1:7">
      <c r="A1880" t="s">
        <v>4081</v>
      </c>
      <c r="B1880" t="s">
        <v>4082</v>
      </c>
      <c r="C1880">
        <v>19</v>
      </c>
      <c r="D1880" s="260">
        <v>46309</v>
      </c>
      <c r="E1880" s="260">
        <v>46336</v>
      </c>
      <c r="F1880">
        <v>5</v>
      </c>
      <c r="G1880" t="s">
        <v>356</v>
      </c>
    </row>
    <row r="1881" spans="1:7">
      <c r="A1881" t="s">
        <v>4083</v>
      </c>
      <c r="B1881" t="s">
        <v>4084</v>
      </c>
      <c r="C1881">
        <v>5</v>
      </c>
      <c r="D1881" s="260">
        <v>46351</v>
      </c>
      <c r="E1881" s="260">
        <v>46357</v>
      </c>
      <c r="F1881">
        <v>5</v>
      </c>
      <c r="G1881" t="s">
        <v>356</v>
      </c>
    </row>
    <row r="1882" spans="1:7">
      <c r="A1882" t="s">
        <v>4085</v>
      </c>
      <c r="B1882" t="s">
        <v>4086</v>
      </c>
      <c r="C1882">
        <v>19</v>
      </c>
      <c r="D1882" s="260">
        <v>46309</v>
      </c>
      <c r="E1882" s="260">
        <v>46336</v>
      </c>
      <c r="F1882">
        <v>5</v>
      </c>
      <c r="G1882" t="s">
        <v>356</v>
      </c>
    </row>
    <row r="1883" spans="1:7">
      <c r="A1883" t="s">
        <v>4087</v>
      </c>
      <c r="B1883" t="s">
        <v>4088</v>
      </c>
      <c r="C1883">
        <v>5</v>
      </c>
      <c r="D1883" s="260">
        <v>46351</v>
      </c>
      <c r="E1883" s="260">
        <v>46357</v>
      </c>
      <c r="F1883">
        <v>5</v>
      </c>
      <c r="G1883" t="s">
        <v>356</v>
      </c>
    </row>
    <row r="1884" spans="1:7">
      <c r="A1884" t="s">
        <v>4089</v>
      </c>
      <c r="B1884" t="s">
        <v>4090</v>
      </c>
      <c r="C1884">
        <v>19</v>
      </c>
      <c r="D1884" s="260">
        <v>46309</v>
      </c>
      <c r="E1884" s="260">
        <v>46336</v>
      </c>
      <c r="F1884">
        <v>5</v>
      </c>
      <c r="G1884" t="s">
        <v>356</v>
      </c>
    </row>
    <row r="1885" spans="1:7">
      <c r="A1885" t="s">
        <v>4091</v>
      </c>
      <c r="B1885" t="s">
        <v>4092</v>
      </c>
      <c r="C1885">
        <v>5</v>
      </c>
      <c r="D1885" s="260">
        <v>46351</v>
      </c>
      <c r="E1885" s="260">
        <v>46357</v>
      </c>
      <c r="F1885">
        <v>5</v>
      </c>
      <c r="G1885" t="s">
        <v>356</v>
      </c>
    </row>
    <row r="1886" spans="1:7">
      <c r="A1886" t="s">
        <v>4093</v>
      </c>
      <c r="B1886" t="s">
        <v>4094</v>
      </c>
      <c r="C1886">
        <v>19</v>
      </c>
      <c r="D1886" s="260">
        <v>46309</v>
      </c>
      <c r="E1886" s="260">
        <v>46336</v>
      </c>
      <c r="F1886">
        <v>5</v>
      </c>
      <c r="G1886" t="s">
        <v>356</v>
      </c>
    </row>
    <row r="1887" spans="1:7">
      <c r="A1887" t="s">
        <v>4095</v>
      </c>
      <c r="B1887" t="s">
        <v>4096</v>
      </c>
      <c r="C1887">
        <v>5</v>
      </c>
      <c r="D1887" s="260">
        <v>46351</v>
      </c>
      <c r="E1887" s="260">
        <v>46357</v>
      </c>
      <c r="F1887">
        <v>5</v>
      </c>
      <c r="G1887" t="s">
        <v>356</v>
      </c>
    </row>
    <row r="1888" spans="1:7">
      <c r="A1888" t="s">
        <v>4097</v>
      </c>
      <c r="B1888" t="s">
        <v>4098</v>
      </c>
      <c r="C1888">
        <v>20</v>
      </c>
      <c r="D1888" s="260">
        <v>46275</v>
      </c>
      <c r="E1888" s="260">
        <v>46302</v>
      </c>
      <c r="F1888">
        <v>27</v>
      </c>
      <c r="G1888" t="s">
        <v>356</v>
      </c>
    </row>
    <row r="1889" spans="1:7">
      <c r="A1889" t="s">
        <v>4099</v>
      </c>
      <c r="B1889" t="s">
        <v>4100</v>
      </c>
      <c r="C1889">
        <v>5</v>
      </c>
      <c r="D1889" s="260">
        <v>46321</v>
      </c>
      <c r="E1889" s="260">
        <v>46325</v>
      </c>
      <c r="F1889">
        <v>27</v>
      </c>
      <c r="G1889" t="s">
        <v>356</v>
      </c>
    </row>
    <row r="1890" spans="1:7">
      <c r="A1890" t="s">
        <v>4101</v>
      </c>
      <c r="B1890" t="s">
        <v>4102</v>
      </c>
      <c r="C1890">
        <v>20</v>
      </c>
      <c r="D1890" s="260">
        <v>46275</v>
      </c>
      <c r="E1890" s="260">
        <v>46302</v>
      </c>
      <c r="F1890">
        <v>27</v>
      </c>
      <c r="G1890" t="s">
        <v>356</v>
      </c>
    </row>
    <row r="1891" spans="1:7">
      <c r="A1891" t="s">
        <v>4103</v>
      </c>
      <c r="B1891" t="s">
        <v>4104</v>
      </c>
      <c r="C1891">
        <v>5</v>
      </c>
      <c r="D1891" s="260">
        <v>46321</v>
      </c>
      <c r="E1891" s="260">
        <v>46325</v>
      </c>
      <c r="F1891">
        <v>27</v>
      </c>
      <c r="G1891" t="s">
        <v>356</v>
      </c>
    </row>
    <row r="1892" spans="1:7">
      <c r="A1892" t="s">
        <v>4105</v>
      </c>
      <c r="B1892" t="s">
        <v>4106</v>
      </c>
      <c r="C1892">
        <v>19</v>
      </c>
      <c r="D1892" s="260">
        <v>46310</v>
      </c>
      <c r="E1892" s="260">
        <v>46337</v>
      </c>
      <c r="F1892">
        <v>4</v>
      </c>
      <c r="G1892" t="s">
        <v>356</v>
      </c>
    </row>
    <row r="1893" spans="1:7">
      <c r="A1893" t="s">
        <v>4107</v>
      </c>
      <c r="B1893" t="s">
        <v>4108</v>
      </c>
      <c r="C1893">
        <v>5</v>
      </c>
      <c r="D1893" s="260">
        <v>46352</v>
      </c>
      <c r="E1893" s="260">
        <v>46358</v>
      </c>
      <c r="F1893">
        <v>4</v>
      </c>
      <c r="G1893" t="s">
        <v>356</v>
      </c>
    </row>
    <row r="1894" spans="1:7">
      <c r="A1894" t="s">
        <v>4109</v>
      </c>
      <c r="B1894" t="s">
        <v>4110</v>
      </c>
      <c r="C1894">
        <v>20</v>
      </c>
      <c r="D1894" s="260">
        <v>46301</v>
      </c>
      <c r="E1894" s="260">
        <v>46330</v>
      </c>
      <c r="F1894">
        <v>16</v>
      </c>
      <c r="G1894" t="s">
        <v>356</v>
      </c>
    </row>
    <row r="1895" spans="1:7">
      <c r="A1895" t="s">
        <v>4111</v>
      </c>
      <c r="B1895" t="s">
        <v>4112</v>
      </c>
      <c r="C1895">
        <v>3</v>
      </c>
      <c r="D1895" s="260">
        <v>46338</v>
      </c>
      <c r="E1895" s="260">
        <v>46342</v>
      </c>
      <c r="F1895">
        <v>16</v>
      </c>
      <c r="G1895" t="s">
        <v>356</v>
      </c>
    </row>
    <row r="1896" spans="1:7">
      <c r="A1896" t="s">
        <v>4113</v>
      </c>
      <c r="B1896" t="s">
        <v>4114</v>
      </c>
      <c r="C1896">
        <v>19</v>
      </c>
      <c r="D1896" s="260">
        <v>46309</v>
      </c>
      <c r="E1896" s="260">
        <v>46336</v>
      </c>
      <c r="F1896">
        <v>5</v>
      </c>
      <c r="G1896" t="s">
        <v>356</v>
      </c>
    </row>
    <row r="1897" spans="1:7">
      <c r="A1897" t="s">
        <v>4115</v>
      </c>
      <c r="B1897" t="s">
        <v>4116</v>
      </c>
      <c r="C1897">
        <v>5</v>
      </c>
      <c r="D1897" s="260">
        <v>46351</v>
      </c>
      <c r="E1897" s="260">
        <v>46357</v>
      </c>
      <c r="F1897">
        <v>5</v>
      </c>
      <c r="G1897" t="s">
        <v>356</v>
      </c>
    </row>
    <row r="1898" spans="1:7">
      <c r="A1898" t="s">
        <v>4117</v>
      </c>
      <c r="B1898" t="s">
        <v>4118</v>
      </c>
      <c r="C1898">
        <v>19</v>
      </c>
      <c r="D1898" s="260">
        <v>46309</v>
      </c>
      <c r="E1898" s="260">
        <v>46336</v>
      </c>
      <c r="F1898">
        <v>5</v>
      </c>
      <c r="G1898" t="s">
        <v>356</v>
      </c>
    </row>
    <row r="1899" spans="1:7">
      <c r="A1899" t="s">
        <v>4119</v>
      </c>
      <c r="B1899" t="s">
        <v>4120</v>
      </c>
      <c r="C1899">
        <v>5</v>
      </c>
      <c r="D1899" s="260">
        <v>46351</v>
      </c>
      <c r="E1899" s="260">
        <v>46357</v>
      </c>
      <c r="F1899">
        <v>5</v>
      </c>
      <c r="G1899" t="s">
        <v>356</v>
      </c>
    </row>
    <row r="1900" spans="1:7">
      <c r="A1900" t="s">
        <v>4121</v>
      </c>
      <c r="B1900" t="s">
        <v>4122</v>
      </c>
      <c r="C1900">
        <v>19</v>
      </c>
      <c r="D1900" s="260">
        <v>46309</v>
      </c>
      <c r="E1900" s="260">
        <v>46336</v>
      </c>
      <c r="F1900">
        <v>5</v>
      </c>
      <c r="G1900" t="s">
        <v>356</v>
      </c>
    </row>
    <row r="1901" spans="1:7">
      <c r="A1901" t="s">
        <v>4123</v>
      </c>
      <c r="B1901" t="s">
        <v>4124</v>
      </c>
      <c r="C1901">
        <v>5</v>
      </c>
      <c r="D1901" s="260">
        <v>46351</v>
      </c>
      <c r="E1901" s="260">
        <v>46357</v>
      </c>
      <c r="F1901">
        <v>5</v>
      </c>
      <c r="G1901" t="s">
        <v>356</v>
      </c>
    </row>
    <row r="1902" spans="1:7">
      <c r="A1902" t="s">
        <v>4125</v>
      </c>
      <c r="B1902" t="s">
        <v>4126</v>
      </c>
      <c r="C1902">
        <v>19</v>
      </c>
      <c r="D1902" s="260">
        <v>46309</v>
      </c>
      <c r="E1902" s="260">
        <v>46336</v>
      </c>
      <c r="F1902">
        <v>5</v>
      </c>
      <c r="G1902" t="s">
        <v>356</v>
      </c>
    </row>
    <row r="1903" spans="1:7">
      <c r="A1903" t="s">
        <v>4127</v>
      </c>
      <c r="B1903" t="s">
        <v>4128</v>
      </c>
      <c r="C1903">
        <v>5</v>
      </c>
      <c r="D1903" s="260">
        <v>46351</v>
      </c>
      <c r="E1903" s="260">
        <v>46357</v>
      </c>
      <c r="F1903">
        <v>5</v>
      </c>
      <c r="G1903" t="s">
        <v>356</v>
      </c>
    </row>
    <row r="1904" spans="1:7">
      <c r="A1904" t="s">
        <v>4129</v>
      </c>
      <c r="B1904" t="s">
        <v>4130</v>
      </c>
      <c r="C1904">
        <v>15</v>
      </c>
      <c r="D1904" s="260">
        <v>46311</v>
      </c>
      <c r="E1904" s="260">
        <v>46332</v>
      </c>
      <c r="F1904">
        <v>7</v>
      </c>
      <c r="G1904" t="s">
        <v>356</v>
      </c>
    </row>
    <row r="1905" spans="1:7">
      <c r="A1905" t="s">
        <v>4131</v>
      </c>
      <c r="B1905" t="s">
        <v>4132</v>
      </c>
      <c r="C1905">
        <v>5</v>
      </c>
      <c r="D1905" s="260">
        <v>46349</v>
      </c>
      <c r="E1905" s="260">
        <v>46353</v>
      </c>
      <c r="F1905">
        <v>7</v>
      </c>
      <c r="G1905" t="s">
        <v>356</v>
      </c>
    </row>
    <row r="1906" spans="1:7">
      <c r="A1906" t="s">
        <v>4133</v>
      </c>
      <c r="C1906">
        <v>180</v>
      </c>
      <c r="D1906" s="260">
        <v>46106</v>
      </c>
      <c r="E1906" s="260">
        <v>46378</v>
      </c>
      <c r="F1906">
        <v>7</v>
      </c>
      <c r="G1906" t="s">
        <v>356</v>
      </c>
    </row>
    <row r="1907" spans="1:7">
      <c r="A1907" t="s">
        <v>4134</v>
      </c>
      <c r="B1907" t="s">
        <v>4135</v>
      </c>
      <c r="C1907">
        <v>10</v>
      </c>
      <c r="D1907" s="260">
        <v>46106</v>
      </c>
      <c r="E1907" s="260">
        <v>46120</v>
      </c>
      <c r="F1907">
        <v>-10</v>
      </c>
      <c r="G1907" t="s">
        <v>356</v>
      </c>
    </row>
    <row r="1908" spans="1:7">
      <c r="A1908" t="s">
        <v>4136</v>
      </c>
      <c r="B1908" t="s">
        <v>4137</v>
      </c>
      <c r="C1908">
        <v>10</v>
      </c>
      <c r="D1908" s="260">
        <v>46140</v>
      </c>
      <c r="E1908" s="260">
        <v>46154</v>
      </c>
      <c r="F1908">
        <v>142</v>
      </c>
      <c r="G1908" t="s">
        <v>356</v>
      </c>
    </row>
    <row r="1909" spans="1:7">
      <c r="A1909" t="s">
        <v>4138</v>
      </c>
      <c r="B1909" t="s">
        <v>4139</v>
      </c>
      <c r="C1909">
        <v>5</v>
      </c>
      <c r="D1909" s="260">
        <v>46169</v>
      </c>
      <c r="E1909" s="260">
        <v>46177</v>
      </c>
      <c r="F1909">
        <v>142</v>
      </c>
      <c r="G1909" t="s">
        <v>356</v>
      </c>
    </row>
    <row r="1910" spans="1:7">
      <c r="A1910" t="s">
        <v>4140</v>
      </c>
      <c r="B1910" t="s">
        <v>4141</v>
      </c>
      <c r="C1910">
        <v>10</v>
      </c>
      <c r="D1910" s="260">
        <v>46106</v>
      </c>
      <c r="E1910" s="260">
        <v>46120</v>
      </c>
      <c r="F1910">
        <v>-10</v>
      </c>
      <c r="G1910" t="s">
        <v>356</v>
      </c>
    </row>
    <row r="1911" spans="1:7">
      <c r="A1911" t="s">
        <v>4142</v>
      </c>
      <c r="B1911" t="s">
        <v>4143</v>
      </c>
      <c r="C1911">
        <v>5</v>
      </c>
      <c r="D1911" s="260">
        <v>46140</v>
      </c>
      <c r="E1911" s="260">
        <v>46147</v>
      </c>
      <c r="F1911">
        <v>28</v>
      </c>
      <c r="G1911" t="s">
        <v>356</v>
      </c>
    </row>
    <row r="1912" spans="1:7">
      <c r="A1912" t="s">
        <v>4144</v>
      </c>
      <c r="B1912" t="s">
        <v>4145</v>
      </c>
      <c r="C1912">
        <v>5</v>
      </c>
      <c r="D1912" s="260">
        <v>46162</v>
      </c>
      <c r="E1912" s="260">
        <v>46168</v>
      </c>
      <c r="F1912">
        <v>28</v>
      </c>
      <c r="G1912" t="s">
        <v>356</v>
      </c>
    </row>
    <row r="1913" spans="1:7">
      <c r="A1913" t="s">
        <v>4146</v>
      </c>
      <c r="B1913" t="s">
        <v>4147</v>
      </c>
      <c r="C1913">
        <v>15</v>
      </c>
      <c r="D1913" s="260">
        <v>46121</v>
      </c>
      <c r="E1913" s="260">
        <v>46147</v>
      </c>
      <c r="F1913">
        <v>-10</v>
      </c>
      <c r="G1913" t="s">
        <v>356</v>
      </c>
    </row>
    <row r="1914" spans="1:7">
      <c r="A1914" t="s">
        <v>4148</v>
      </c>
      <c r="B1914" t="s">
        <v>4149</v>
      </c>
      <c r="C1914">
        <v>5</v>
      </c>
      <c r="D1914" s="260">
        <v>46169</v>
      </c>
      <c r="E1914" s="260">
        <v>46177</v>
      </c>
      <c r="F1914">
        <v>28</v>
      </c>
      <c r="G1914" t="s">
        <v>356</v>
      </c>
    </row>
    <row r="1915" spans="1:7">
      <c r="A1915" t="s">
        <v>4150</v>
      </c>
      <c r="B1915" t="s">
        <v>4151</v>
      </c>
      <c r="C1915">
        <v>15</v>
      </c>
      <c r="D1915" s="260">
        <v>46121</v>
      </c>
      <c r="E1915" s="260">
        <v>46147</v>
      </c>
      <c r="F1915">
        <v>7</v>
      </c>
      <c r="G1915" t="s">
        <v>356</v>
      </c>
    </row>
    <row r="1916" spans="1:7">
      <c r="A1916" t="s">
        <v>4152</v>
      </c>
      <c r="B1916" t="s">
        <v>4153</v>
      </c>
      <c r="C1916">
        <v>5</v>
      </c>
      <c r="D1916" s="260">
        <v>46169</v>
      </c>
      <c r="E1916" s="260">
        <v>46177</v>
      </c>
      <c r="F1916">
        <v>87</v>
      </c>
      <c r="G1916" t="s">
        <v>356</v>
      </c>
    </row>
    <row r="1917" spans="1:7">
      <c r="A1917" t="s">
        <v>4154</v>
      </c>
      <c r="B1917" t="s">
        <v>4155</v>
      </c>
      <c r="C1917">
        <v>20</v>
      </c>
      <c r="D1917" s="260">
        <v>46148</v>
      </c>
      <c r="E1917" s="260">
        <v>46177</v>
      </c>
      <c r="F1917">
        <v>7</v>
      </c>
      <c r="G1917" t="s">
        <v>356</v>
      </c>
    </row>
    <row r="1918" spans="1:7">
      <c r="A1918" t="s">
        <v>4156</v>
      </c>
      <c r="B1918" t="s">
        <v>4157</v>
      </c>
      <c r="C1918">
        <v>10</v>
      </c>
      <c r="D1918" s="260">
        <v>46192</v>
      </c>
      <c r="E1918" s="260">
        <v>46205</v>
      </c>
      <c r="F1918">
        <v>42</v>
      </c>
      <c r="G1918" t="s">
        <v>356</v>
      </c>
    </row>
    <row r="1919" spans="1:7">
      <c r="A1919" t="s">
        <v>4158</v>
      </c>
      <c r="B1919" t="s">
        <v>4159</v>
      </c>
      <c r="C1919">
        <v>5</v>
      </c>
      <c r="D1919" s="260">
        <v>46220</v>
      </c>
      <c r="E1919" s="260">
        <v>46226</v>
      </c>
      <c r="F1919">
        <v>57</v>
      </c>
      <c r="G1919" t="s">
        <v>356</v>
      </c>
    </row>
    <row r="1920" spans="1:7">
      <c r="A1920" t="s">
        <v>4160</v>
      </c>
      <c r="B1920" t="s">
        <v>4161</v>
      </c>
      <c r="C1920">
        <v>20</v>
      </c>
      <c r="D1920" s="260">
        <v>46148</v>
      </c>
      <c r="E1920" s="260">
        <v>46177</v>
      </c>
      <c r="F1920">
        <v>7</v>
      </c>
      <c r="G1920" t="s">
        <v>356</v>
      </c>
    </row>
    <row r="1921" spans="1:7">
      <c r="A1921" t="s">
        <v>4162</v>
      </c>
      <c r="B1921" t="s">
        <v>4163</v>
      </c>
      <c r="C1921">
        <v>10</v>
      </c>
      <c r="D1921" s="260">
        <v>46192</v>
      </c>
      <c r="E1921" s="260">
        <v>46205</v>
      </c>
      <c r="F1921">
        <v>42</v>
      </c>
      <c r="G1921" t="s">
        <v>356</v>
      </c>
    </row>
    <row r="1922" spans="1:7">
      <c r="A1922" t="s">
        <v>4164</v>
      </c>
      <c r="B1922" t="s">
        <v>4165</v>
      </c>
      <c r="C1922">
        <v>5</v>
      </c>
      <c r="D1922" s="260">
        <v>46220</v>
      </c>
      <c r="E1922" s="260">
        <v>46226</v>
      </c>
      <c r="F1922">
        <v>57</v>
      </c>
      <c r="G1922" t="s">
        <v>356</v>
      </c>
    </row>
    <row r="1923" spans="1:7">
      <c r="A1923" t="s">
        <v>4166</v>
      </c>
      <c r="B1923" t="s">
        <v>4167</v>
      </c>
      <c r="C1923">
        <v>20</v>
      </c>
      <c r="D1923" s="260">
        <v>46162</v>
      </c>
      <c r="E1923" s="260">
        <v>46191</v>
      </c>
      <c r="F1923">
        <v>7</v>
      </c>
      <c r="G1923" t="s">
        <v>356</v>
      </c>
    </row>
    <row r="1924" spans="1:7">
      <c r="A1924" t="s">
        <v>4168</v>
      </c>
      <c r="B1924" t="s">
        <v>4169</v>
      </c>
      <c r="C1924">
        <v>10</v>
      </c>
      <c r="D1924" s="260">
        <v>46206</v>
      </c>
      <c r="E1924" s="260">
        <v>46219</v>
      </c>
      <c r="F1924">
        <v>32</v>
      </c>
      <c r="G1924" t="s">
        <v>356</v>
      </c>
    </row>
    <row r="1925" spans="1:7">
      <c r="A1925" t="s">
        <v>4170</v>
      </c>
      <c r="B1925" t="s">
        <v>4171</v>
      </c>
      <c r="C1925">
        <v>5</v>
      </c>
      <c r="D1925" s="260">
        <v>46239</v>
      </c>
      <c r="E1925" s="260">
        <v>46245</v>
      </c>
      <c r="F1925">
        <v>47</v>
      </c>
      <c r="G1925" t="s">
        <v>356</v>
      </c>
    </row>
    <row r="1926" spans="1:7">
      <c r="A1926" t="s">
        <v>4172</v>
      </c>
      <c r="B1926" t="s">
        <v>4173</v>
      </c>
      <c r="C1926">
        <v>20</v>
      </c>
      <c r="D1926" s="260">
        <v>46162</v>
      </c>
      <c r="E1926" s="260">
        <v>46191</v>
      </c>
      <c r="F1926">
        <v>7</v>
      </c>
      <c r="G1926" t="s">
        <v>356</v>
      </c>
    </row>
    <row r="1927" spans="1:7">
      <c r="A1927" t="s">
        <v>4174</v>
      </c>
      <c r="B1927" t="s">
        <v>4175</v>
      </c>
      <c r="C1927">
        <v>10</v>
      </c>
      <c r="D1927" s="260">
        <v>46206</v>
      </c>
      <c r="E1927" s="260">
        <v>46219</v>
      </c>
      <c r="F1927">
        <v>32</v>
      </c>
      <c r="G1927" t="s">
        <v>356</v>
      </c>
    </row>
    <row r="1928" spans="1:7">
      <c r="A1928" t="s">
        <v>4176</v>
      </c>
      <c r="B1928" t="s">
        <v>4177</v>
      </c>
      <c r="C1928">
        <v>5</v>
      </c>
      <c r="D1928" s="260">
        <v>46239</v>
      </c>
      <c r="E1928" s="260">
        <v>46245</v>
      </c>
      <c r="F1928">
        <v>47</v>
      </c>
      <c r="G1928" t="s">
        <v>356</v>
      </c>
    </row>
    <row r="1929" spans="1:7">
      <c r="A1929" t="s">
        <v>4178</v>
      </c>
      <c r="B1929" t="s">
        <v>4179</v>
      </c>
      <c r="C1929">
        <v>15</v>
      </c>
      <c r="D1929" s="260">
        <v>46192</v>
      </c>
      <c r="E1929" s="260">
        <v>46212</v>
      </c>
      <c r="F1929">
        <v>7</v>
      </c>
      <c r="G1929" t="s">
        <v>356</v>
      </c>
    </row>
    <row r="1930" spans="1:7">
      <c r="A1930" t="s">
        <v>4180</v>
      </c>
      <c r="B1930" t="s">
        <v>4181</v>
      </c>
      <c r="C1930">
        <v>10</v>
      </c>
      <c r="D1930" s="260">
        <v>46227</v>
      </c>
      <c r="E1930" s="260">
        <v>46245</v>
      </c>
      <c r="F1930">
        <v>27</v>
      </c>
      <c r="G1930" t="s">
        <v>356</v>
      </c>
    </row>
    <row r="1931" spans="1:7">
      <c r="A1931" t="s">
        <v>4182</v>
      </c>
      <c r="B1931" t="s">
        <v>4183</v>
      </c>
      <c r="C1931">
        <v>5</v>
      </c>
      <c r="D1931" s="260">
        <v>46261</v>
      </c>
      <c r="E1931" s="260">
        <v>46267</v>
      </c>
      <c r="F1931">
        <v>37</v>
      </c>
      <c r="G1931" t="s">
        <v>356</v>
      </c>
    </row>
    <row r="1932" spans="1:7">
      <c r="A1932" t="s">
        <v>4184</v>
      </c>
      <c r="B1932" t="s">
        <v>4185</v>
      </c>
      <c r="C1932">
        <v>15</v>
      </c>
      <c r="D1932" s="260">
        <v>46192</v>
      </c>
      <c r="E1932" s="260">
        <v>46212</v>
      </c>
      <c r="F1932">
        <v>62</v>
      </c>
      <c r="G1932" t="s">
        <v>356</v>
      </c>
    </row>
    <row r="1933" spans="1:7">
      <c r="A1933" t="s">
        <v>4186</v>
      </c>
      <c r="B1933" t="s">
        <v>4187</v>
      </c>
      <c r="C1933">
        <v>10</v>
      </c>
      <c r="D1933" s="260">
        <v>46227</v>
      </c>
      <c r="E1933" s="260">
        <v>46245</v>
      </c>
      <c r="F1933">
        <v>67</v>
      </c>
      <c r="G1933" t="s">
        <v>356</v>
      </c>
    </row>
    <row r="1934" spans="1:7">
      <c r="A1934" t="s">
        <v>4188</v>
      </c>
      <c r="B1934" t="s">
        <v>4189</v>
      </c>
      <c r="C1934">
        <v>10</v>
      </c>
      <c r="D1934" s="260">
        <v>46261</v>
      </c>
      <c r="E1934" s="260">
        <v>46274</v>
      </c>
      <c r="F1934">
        <v>67</v>
      </c>
      <c r="G1934" t="s">
        <v>356</v>
      </c>
    </row>
    <row r="1935" spans="1:7">
      <c r="A1935" t="s">
        <v>4190</v>
      </c>
      <c r="B1935" t="s">
        <v>4191</v>
      </c>
      <c r="C1935">
        <v>15</v>
      </c>
      <c r="D1935" s="260">
        <v>46192</v>
      </c>
      <c r="E1935" s="260">
        <v>46212</v>
      </c>
      <c r="F1935">
        <v>7</v>
      </c>
      <c r="G1935" t="s">
        <v>356</v>
      </c>
    </row>
    <row r="1936" spans="1:7">
      <c r="A1936" t="s">
        <v>4192</v>
      </c>
      <c r="B1936" t="s">
        <v>4193</v>
      </c>
      <c r="C1936">
        <v>10</v>
      </c>
      <c r="D1936" s="260">
        <v>46227</v>
      </c>
      <c r="E1936" s="260">
        <v>46245</v>
      </c>
      <c r="F1936">
        <v>27</v>
      </c>
      <c r="G1936" t="s">
        <v>356</v>
      </c>
    </row>
    <row r="1937" spans="1:7">
      <c r="A1937" t="s">
        <v>4194</v>
      </c>
      <c r="B1937" t="s">
        <v>4195</v>
      </c>
      <c r="C1937">
        <v>10</v>
      </c>
      <c r="D1937" s="260">
        <v>46261</v>
      </c>
      <c r="E1937" s="260">
        <v>46274</v>
      </c>
      <c r="F1937">
        <v>32</v>
      </c>
      <c r="G1937" t="s">
        <v>356</v>
      </c>
    </row>
    <row r="1938" spans="1:7">
      <c r="A1938" t="s">
        <v>4196</v>
      </c>
      <c r="B1938" t="s">
        <v>4197</v>
      </c>
      <c r="C1938">
        <v>15</v>
      </c>
      <c r="D1938" s="260">
        <v>46199</v>
      </c>
      <c r="E1938" s="260">
        <v>46219</v>
      </c>
      <c r="F1938">
        <v>7</v>
      </c>
      <c r="G1938" t="s">
        <v>356</v>
      </c>
    </row>
    <row r="1939" spans="1:7">
      <c r="A1939" t="s">
        <v>4198</v>
      </c>
      <c r="B1939" t="s">
        <v>4199</v>
      </c>
      <c r="C1939">
        <v>10</v>
      </c>
      <c r="D1939" s="260">
        <v>46247</v>
      </c>
      <c r="E1939" s="260">
        <v>46260</v>
      </c>
      <c r="F1939">
        <v>27</v>
      </c>
      <c r="G1939" t="s">
        <v>356</v>
      </c>
    </row>
    <row r="1940" spans="1:7">
      <c r="A1940" t="s">
        <v>4200</v>
      </c>
      <c r="B1940" t="s">
        <v>4201</v>
      </c>
      <c r="C1940">
        <v>10</v>
      </c>
      <c r="D1940" s="260">
        <v>46275</v>
      </c>
      <c r="E1940" s="260">
        <v>46288</v>
      </c>
      <c r="F1940">
        <v>32</v>
      </c>
      <c r="G1940" t="s">
        <v>356</v>
      </c>
    </row>
    <row r="1941" spans="1:7">
      <c r="A1941" t="s">
        <v>4202</v>
      </c>
      <c r="B1941" t="s">
        <v>4203</v>
      </c>
      <c r="C1941">
        <v>15</v>
      </c>
      <c r="D1941" s="260">
        <v>46199</v>
      </c>
      <c r="E1941" s="260">
        <v>46219</v>
      </c>
      <c r="F1941">
        <v>7</v>
      </c>
      <c r="G1941" t="s">
        <v>356</v>
      </c>
    </row>
    <row r="1942" spans="1:7">
      <c r="A1942" t="s">
        <v>4204</v>
      </c>
      <c r="B1942" t="s">
        <v>4205</v>
      </c>
      <c r="C1942">
        <v>10</v>
      </c>
      <c r="D1942" s="260">
        <v>46261</v>
      </c>
      <c r="E1942" s="260">
        <v>46274</v>
      </c>
      <c r="F1942">
        <v>27</v>
      </c>
      <c r="G1942" t="s">
        <v>356</v>
      </c>
    </row>
    <row r="1943" spans="1:7">
      <c r="A1943" t="s">
        <v>4206</v>
      </c>
      <c r="B1943" t="s">
        <v>4207</v>
      </c>
      <c r="C1943">
        <v>10</v>
      </c>
      <c r="D1943" s="260">
        <v>46289</v>
      </c>
      <c r="E1943" s="260">
        <v>46302</v>
      </c>
      <c r="F1943">
        <v>32</v>
      </c>
      <c r="G1943" t="s">
        <v>356</v>
      </c>
    </row>
    <row r="1944" spans="1:7">
      <c r="A1944" t="s">
        <v>4208</v>
      </c>
      <c r="B1944" t="s">
        <v>4209</v>
      </c>
      <c r="C1944">
        <v>20</v>
      </c>
      <c r="D1944" s="260">
        <v>46220</v>
      </c>
      <c r="E1944" s="260">
        <v>46253</v>
      </c>
      <c r="F1944">
        <v>7</v>
      </c>
      <c r="G1944" t="s">
        <v>356</v>
      </c>
    </row>
    <row r="1945" spans="1:7">
      <c r="A1945" t="s">
        <v>4210</v>
      </c>
      <c r="B1945" t="s">
        <v>4211</v>
      </c>
      <c r="C1945">
        <v>15</v>
      </c>
      <c r="D1945" s="260">
        <v>46268</v>
      </c>
      <c r="E1945" s="260">
        <v>46288</v>
      </c>
      <c r="F1945">
        <v>22</v>
      </c>
      <c r="G1945" t="s">
        <v>356</v>
      </c>
    </row>
    <row r="1946" spans="1:7">
      <c r="A1946" t="s">
        <v>4212</v>
      </c>
      <c r="B1946" t="s">
        <v>4213</v>
      </c>
      <c r="C1946">
        <v>15</v>
      </c>
      <c r="D1946" s="260">
        <v>46303</v>
      </c>
      <c r="E1946" s="260">
        <v>46325</v>
      </c>
      <c r="F1946">
        <v>22</v>
      </c>
      <c r="G1946" t="s">
        <v>356</v>
      </c>
    </row>
    <row r="1947" spans="1:7">
      <c r="A1947" t="s">
        <v>4214</v>
      </c>
      <c r="B1947" t="s">
        <v>4215</v>
      </c>
      <c r="C1947">
        <v>15</v>
      </c>
      <c r="D1947" s="260">
        <v>46254</v>
      </c>
      <c r="E1947" s="260">
        <v>46274</v>
      </c>
      <c r="F1947">
        <v>7</v>
      </c>
      <c r="G1947" t="s">
        <v>356</v>
      </c>
    </row>
    <row r="1948" spans="1:7">
      <c r="A1948" t="s">
        <v>4216</v>
      </c>
      <c r="B1948" t="s">
        <v>4217</v>
      </c>
      <c r="C1948">
        <v>10</v>
      </c>
      <c r="D1948" s="260">
        <v>46289</v>
      </c>
      <c r="E1948" s="260">
        <v>46302</v>
      </c>
      <c r="F1948">
        <v>22</v>
      </c>
      <c r="G1948" t="s">
        <v>356</v>
      </c>
    </row>
    <row r="1949" spans="1:7">
      <c r="A1949" t="s">
        <v>4218</v>
      </c>
      <c r="B1949" t="s">
        <v>4219</v>
      </c>
      <c r="C1949">
        <v>10</v>
      </c>
      <c r="D1949" s="260">
        <v>46321</v>
      </c>
      <c r="E1949" s="260">
        <v>46332</v>
      </c>
      <c r="F1949">
        <v>22</v>
      </c>
      <c r="G1949" t="s">
        <v>356</v>
      </c>
    </row>
    <row r="1950" spans="1:7">
      <c r="A1950" t="s">
        <v>4220</v>
      </c>
      <c r="B1950" t="s">
        <v>4221</v>
      </c>
      <c r="C1950">
        <v>15</v>
      </c>
      <c r="D1950" s="260">
        <v>46192</v>
      </c>
      <c r="E1950" s="260">
        <v>46212</v>
      </c>
      <c r="F1950">
        <v>77</v>
      </c>
      <c r="G1950" t="s">
        <v>356</v>
      </c>
    </row>
    <row r="1951" spans="1:7">
      <c r="A1951" t="s">
        <v>4222</v>
      </c>
      <c r="B1951" t="s">
        <v>4223</v>
      </c>
      <c r="C1951">
        <v>10</v>
      </c>
      <c r="D1951" s="260">
        <v>46227</v>
      </c>
      <c r="E1951" s="260">
        <v>46245</v>
      </c>
      <c r="F1951">
        <v>77</v>
      </c>
      <c r="G1951" t="s">
        <v>356</v>
      </c>
    </row>
    <row r="1952" spans="1:7">
      <c r="A1952" t="s">
        <v>4224</v>
      </c>
      <c r="B1952" t="s">
        <v>4225</v>
      </c>
      <c r="C1952">
        <v>10</v>
      </c>
      <c r="D1952" s="260">
        <v>46261</v>
      </c>
      <c r="E1952" s="260">
        <v>46274</v>
      </c>
      <c r="F1952">
        <v>77</v>
      </c>
      <c r="G1952" t="s">
        <v>356</v>
      </c>
    </row>
    <row r="1953" spans="1:7">
      <c r="A1953" t="s">
        <v>4226</v>
      </c>
      <c r="B1953" t="s">
        <v>4227</v>
      </c>
      <c r="C1953">
        <v>15</v>
      </c>
      <c r="D1953" s="260">
        <v>46199</v>
      </c>
      <c r="E1953" s="260">
        <v>46219</v>
      </c>
      <c r="F1953">
        <v>72</v>
      </c>
      <c r="G1953" t="s">
        <v>356</v>
      </c>
    </row>
    <row r="1954" spans="1:7">
      <c r="A1954" t="s">
        <v>4228</v>
      </c>
      <c r="B1954" t="s">
        <v>4229</v>
      </c>
      <c r="C1954">
        <v>10</v>
      </c>
      <c r="D1954" s="260">
        <v>46239</v>
      </c>
      <c r="E1954" s="260">
        <v>46253</v>
      </c>
      <c r="F1954">
        <v>72</v>
      </c>
      <c r="G1954" t="s">
        <v>356</v>
      </c>
    </row>
    <row r="1955" spans="1:7">
      <c r="A1955" t="s">
        <v>4230</v>
      </c>
      <c r="B1955" t="s">
        <v>4231</v>
      </c>
      <c r="C1955">
        <v>10</v>
      </c>
      <c r="D1955" s="260">
        <v>46268</v>
      </c>
      <c r="E1955" s="260">
        <v>46281</v>
      </c>
      <c r="F1955">
        <v>72</v>
      </c>
      <c r="G1955" t="s">
        <v>356</v>
      </c>
    </row>
    <row r="1956" spans="1:7">
      <c r="A1956" t="s">
        <v>4232</v>
      </c>
      <c r="B1956" t="s">
        <v>4233</v>
      </c>
      <c r="C1956">
        <v>15</v>
      </c>
      <c r="D1956" s="260">
        <v>46199</v>
      </c>
      <c r="E1956" s="260">
        <v>46219</v>
      </c>
      <c r="F1956">
        <v>72</v>
      </c>
      <c r="G1956" t="s">
        <v>356</v>
      </c>
    </row>
    <row r="1957" spans="1:7">
      <c r="A1957" t="s">
        <v>4234</v>
      </c>
      <c r="B1957" t="s">
        <v>4235</v>
      </c>
      <c r="C1957">
        <v>10</v>
      </c>
      <c r="D1957" s="260">
        <v>46239</v>
      </c>
      <c r="E1957" s="260">
        <v>46253</v>
      </c>
      <c r="F1957">
        <v>72</v>
      </c>
      <c r="G1957" t="s">
        <v>356</v>
      </c>
    </row>
    <row r="1958" spans="1:7">
      <c r="A1958" t="s">
        <v>4236</v>
      </c>
      <c r="B1958" t="s">
        <v>4237</v>
      </c>
      <c r="C1958">
        <v>10</v>
      </c>
      <c r="D1958" s="260">
        <v>46268</v>
      </c>
      <c r="E1958" s="260">
        <v>46281</v>
      </c>
      <c r="F1958">
        <v>72</v>
      </c>
      <c r="G1958" t="s">
        <v>356</v>
      </c>
    </row>
    <row r="1959" spans="1:7">
      <c r="A1959" t="s">
        <v>4238</v>
      </c>
      <c r="B1959" t="s">
        <v>4239</v>
      </c>
      <c r="C1959">
        <v>20</v>
      </c>
      <c r="D1959" s="260">
        <v>46220</v>
      </c>
      <c r="E1959" s="260">
        <v>46253</v>
      </c>
      <c r="F1959">
        <v>22</v>
      </c>
      <c r="G1959" t="s">
        <v>356</v>
      </c>
    </row>
    <row r="1960" spans="1:7">
      <c r="A1960" t="s">
        <v>4240</v>
      </c>
      <c r="B1960" t="s">
        <v>4241</v>
      </c>
      <c r="C1960">
        <v>15</v>
      </c>
      <c r="D1960" s="260">
        <v>46268</v>
      </c>
      <c r="E1960" s="260">
        <v>46288</v>
      </c>
      <c r="F1960">
        <v>22</v>
      </c>
      <c r="G1960" t="s">
        <v>356</v>
      </c>
    </row>
    <row r="1961" spans="1:7">
      <c r="A1961" t="s">
        <v>4242</v>
      </c>
      <c r="B1961" t="s">
        <v>4243</v>
      </c>
      <c r="C1961">
        <v>15</v>
      </c>
      <c r="D1961" s="260">
        <v>46303</v>
      </c>
      <c r="E1961" s="260">
        <v>46325</v>
      </c>
      <c r="F1961">
        <v>22</v>
      </c>
      <c r="G1961" t="s">
        <v>356</v>
      </c>
    </row>
    <row r="1962" spans="1:7">
      <c r="A1962" t="s">
        <v>4244</v>
      </c>
      <c r="B1962" t="s">
        <v>4245</v>
      </c>
      <c r="C1962">
        <v>15</v>
      </c>
      <c r="D1962" s="260">
        <v>46254</v>
      </c>
      <c r="E1962" s="260">
        <v>46274</v>
      </c>
      <c r="F1962">
        <v>7</v>
      </c>
      <c r="G1962" t="s">
        <v>356</v>
      </c>
    </row>
    <row r="1963" spans="1:7">
      <c r="A1963" t="s">
        <v>4246</v>
      </c>
      <c r="B1963" t="s">
        <v>4247</v>
      </c>
      <c r="C1963">
        <v>10</v>
      </c>
      <c r="D1963" s="260">
        <v>46289</v>
      </c>
      <c r="E1963" s="260">
        <v>46302</v>
      </c>
      <c r="F1963">
        <v>22</v>
      </c>
      <c r="G1963" t="s">
        <v>356</v>
      </c>
    </row>
    <row r="1964" spans="1:7">
      <c r="A1964" t="s">
        <v>4248</v>
      </c>
      <c r="B1964" t="s">
        <v>4249</v>
      </c>
      <c r="C1964">
        <v>10</v>
      </c>
      <c r="D1964" s="260">
        <v>46321</v>
      </c>
      <c r="E1964" s="260">
        <v>46332</v>
      </c>
      <c r="F1964">
        <v>22</v>
      </c>
      <c r="G1964" t="s">
        <v>356</v>
      </c>
    </row>
    <row r="1965" spans="1:7">
      <c r="A1965" t="s">
        <v>4250</v>
      </c>
      <c r="B1965" t="s">
        <v>4251</v>
      </c>
      <c r="C1965">
        <v>15</v>
      </c>
      <c r="D1965" s="260">
        <v>46192</v>
      </c>
      <c r="E1965" s="260">
        <v>46212</v>
      </c>
      <c r="F1965">
        <v>77</v>
      </c>
      <c r="G1965" t="s">
        <v>356</v>
      </c>
    </row>
    <row r="1966" spans="1:7">
      <c r="A1966" t="s">
        <v>4252</v>
      </c>
      <c r="B1966" t="s">
        <v>4253</v>
      </c>
      <c r="C1966">
        <v>10</v>
      </c>
      <c r="D1966" s="260">
        <v>46227</v>
      </c>
      <c r="E1966" s="260">
        <v>46245</v>
      </c>
      <c r="F1966">
        <v>77</v>
      </c>
      <c r="G1966" t="s">
        <v>356</v>
      </c>
    </row>
    <row r="1967" spans="1:7">
      <c r="A1967" t="s">
        <v>4254</v>
      </c>
      <c r="B1967" t="s">
        <v>4255</v>
      </c>
      <c r="C1967">
        <v>10</v>
      </c>
      <c r="D1967" s="260">
        <v>46261</v>
      </c>
      <c r="E1967" s="260">
        <v>46274</v>
      </c>
      <c r="F1967">
        <v>77</v>
      </c>
      <c r="G1967" t="s">
        <v>356</v>
      </c>
    </row>
    <row r="1968" spans="1:7">
      <c r="A1968" t="s">
        <v>4256</v>
      </c>
      <c r="B1968" t="s">
        <v>4257</v>
      </c>
      <c r="C1968">
        <v>15</v>
      </c>
      <c r="D1968" s="260">
        <v>46213</v>
      </c>
      <c r="E1968" s="260">
        <v>46238</v>
      </c>
      <c r="F1968">
        <v>62</v>
      </c>
      <c r="G1968" t="s">
        <v>356</v>
      </c>
    </row>
    <row r="1969" spans="1:7">
      <c r="A1969" t="s">
        <v>4258</v>
      </c>
      <c r="B1969" t="s">
        <v>4259</v>
      </c>
      <c r="C1969">
        <v>10</v>
      </c>
      <c r="D1969" s="260">
        <v>46254</v>
      </c>
      <c r="E1969" s="260">
        <v>46267</v>
      </c>
      <c r="F1969">
        <v>62</v>
      </c>
      <c r="G1969" t="s">
        <v>356</v>
      </c>
    </row>
    <row r="1970" spans="1:7">
      <c r="A1970" t="s">
        <v>4260</v>
      </c>
      <c r="B1970" t="s">
        <v>4261</v>
      </c>
      <c r="C1970">
        <v>10</v>
      </c>
      <c r="D1970" s="260">
        <v>46275</v>
      </c>
      <c r="E1970" s="260">
        <v>46288</v>
      </c>
      <c r="F1970">
        <v>67</v>
      </c>
      <c r="G1970" t="s">
        <v>356</v>
      </c>
    </row>
    <row r="1971" spans="1:7">
      <c r="A1971" t="s">
        <v>4262</v>
      </c>
      <c r="B1971" t="s">
        <v>4263</v>
      </c>
      <c r="C1971">
        <v>15</v>
      </c>
      <c r="D1971" s="260">
        <v>46220</v>
      </c>
      <c r="E1971" s="260">
        <v>46245</v>
      </c>
      <c r="F1971">
        <v>37</v>
      </c>
      <c r="G1971" t="s">
        <v>356</v>
      </c>
    </row>
    <row r="1972" spans="1:7">
      <c r="A1972" t="s">
        <v>4264</v>
      </c>
      <c r="B1972" t="s">
        <v>4265</v>
      </c>
      <c r="C1972">
        <v>10</v>
      </c>
      <c r="D1972" s="260">
        <v>46261</v>
      </c>
      <c r="E1972" s="260">
        <v>46274</v>
      </c>
      <c r="F1972">
        <v>37</v>
      </c>
      <c r="G1972" t="s">
        <v>356</v>
      </c>
    </row>
    <row r="1973" spans="1:7">
      <c r="A1973" t="s">
        <v>4266</v>
      </c>
      <c r="B1973" t="s">
        <v>4267</v>
      </c>
      <c r="C1973">
        <v>10</v>
      </c>
      <c r="D1973" s="260">
        <v>46289</v>
      </c>
      <c r="E1973" s="260">
        <v>46302</v>
      </c>
      <c r="F1973">
        <v>37</v>
      </c>
      <c r="G1973" t="s">
        <v>356</v>
      </c>
    </row>
    <row r="1974" spans="1:7">
      <c r="A1974" t="s">
        <v>4268</v>
      </c>
      <c r="B1974" t="s">
        <v>4269</v>
      </c>
      <c r="C1974">
        <v>15</v>
      </c>
      <c r="D1974" s="260">
        <v>46239</v>
      </c>
      <c r="E1974" s="260">
        <v>46260</v>
      </c>
      <c r="F1974">
        <v>37</v>
      </c>
      <c r="G1974" t="s">
        <v>356</v>
      </c>
    </row>
    <row r="1975" spans="1:7">
      <c r="A1975" t="s">
        <v>4270</v>
      </c>
      <c r="B1975" t="s">
        <v>4271</v>
      </c>
      <c r="C1975">
        <v>10</v>
      </c>
      <c r="D1975" s="260">
        <v>46275</v>
      </c>
      <c r="E1975" s="260">
        <v>46288</v>
      </c>
      <c r="F1975">
        <v>37</v>
      </c>
      <c r="G1975" t="s">
        <v>356</v>
      </c>
    </row>
    <row r="1976" spans="1:7">
      <c r="A1976" t="s">
        <v>4272</v>
      </c>
      <c r="B1976" t="s">
        <v>4273</v>
      </c>
      <c r="C1976">
        <v>10</v>
      </c>
      <c r="D1976" s="260">
        <v>46303</v>
      </c>
      <c r="E1976" s="260">
        <v>46317</v>
      </c>
      <c r="F1976">
        <v>37</v>
      </c>
      <c r="G1976" t="s">
        <v>356</v>
      </c>
    </row>
    <row r="1977" spans="1:7">
      <c r="A1977" t="s">
        <v>4274</v>
      </c>
      <c r="B1977" t="s">
        <v>4275</v>
      </c>
      <c r="C1977">
        <v>15</v>
      </c>
      <c r="D1977" s="260">
        <v>46239</v>
      </c>
      <c r="E1977" s="260">
        <v>46260</v>
      </c>
      <c r="F1977">
        <v>37</v>
      </c>
      <c r="G1977" t="s">
        <v>356</v>
      </c>
    </row>
    <row r="1978" spans="1:7">
      <c r="A1978" t="s">
        <v>4276</v>
      </c>
      <c r="B1978" t="s">
        <v>4277</v>
      </c>
      <c r="C1978">
        <v>10</v>
      </c>
      <c r="D1978" s="260">
        <v>46289</v>
      </c>
      <c r="E1978" s="260">
        <v>46302</v>
      </c>
      <c r="F1978">
        <v>37</v>
      </c>
      <c r="G1978" t="s">
        <v>356</v>
      </c>
    </row>
    <row r="1979" spans="1:7">
      <c r="A1979" t="s">
        <v>4278</v>
      </c>
      <c r="B1979" t="s">
        <v>4279</v>
      </c>
      <c r="C1979">
        <v>10</v>
      </c>
      <c r="D1979" s="260">
        <v>46321</v>
      </c>
      <c r="E1979" s="260">
        <v>46332</v>
      </c>
      <c r="F1979">
        <v>37</v>
      </c>
      <c r="G1979" t="s">
        <v>356</v>
      </c>
    </row>
    <row r="1980" spans="1:7">
      <c r="A1980" t="s">
        <v>4280</v>
      </c>
      <c r="B1980" t="s">
        <v>4281</v>
      </c>
      <c r="C1980">
        <v>15</v>
      </c>
      <c r="D1980" s="260">
        <v>46254</v>
      </c>
      <c r="E1980" s="260">
        <v>46274</v>
      </c>
      <c r="F1980">
        <v>37</v>
      </c>
      <c r="G1980" t="s">
        <v>356</v>
      </c>
    </row>
    <row r="1981" spans="1:7">
      <c r="A1981" t="s">
        <v>4282</v>
      </c>
      <c r="B1981" t="s">
        <v>4283</v>
      </c>
      <c r="C1981">
        <v>10</v>
      </c>
      <c r="D1981" s="260">
        <v>46289</v>
      </c>
      <c r="E1981" s="260">
        <v>46302</v>
      </c>
      <c r="F1981">
        <v>37</v>
      </c>
      <c r="G1981" t="s">
        <v>356</v>
      </c>
    </row>
    <row r="1982" spans="1:7">
      <c r="A1982" t="s">
        <v>4284</v>
      </c>
      <c r="B1982" t="s">
        <v>4285</v>
      </c>
      <c r="C1982">
        <v>10</v>
      </c>
      <c r="D1982" s="260">
        <v>46321</v>
      </c>
      <c r="E1982" s="260">
        <v>46332</v>
      </c>
      <c r="F1982">
        <v>37</v>
      </c>
      <c r="G1982" t="s">
        <v>356</v>
      </c>
    </row>
    <row r="1983" spans="1:7">
      <c r="A1983" t="s">
        <v>4286</v>
      </c>
      <c r="B1983" t="s">
        <v>4287</v>
      </c>
      <c r="C1983">
        <v>15</v>
      </c>
      <c r="D1983" s="260">
        <v>46254</v>
      </c>
      <c r="E1983" s="260">
        <v>46274</v>
      </c>
      <c r="F1983">
        <v>37</v>
      </c>
      <c r="G1983" t="s">
        <v>356</v>
      </c>
    </row>
    <row r="1984" spans="1:7">
      <c r="A1984" t="s">
        <v>4288</v>
      </c>
      <c r="B1984" t="s">
        <v>4289</v>
      </c>
      <c r="C1984">
        <v>10</v>
      </c>
      <c r="D1984" s="260">
        <v>46289</v>
      </c>
      <c r="E1984" s="260">
        <v>46302</v>
      </c>
      <c r="F1984">
        <v>37</v>
      </c>
      <c r="G1984" t="s">
        <v>356</v>
      </c>
    </row>
    <row r="1985" spans="1:7">
      <c r="A1985" t="s">
        <v>4290</v>
      </c>
      <c r="B1985" t="s">
        <v>4291</v>
      </c>
      <c r="C1985">
        <v>10</v>
      </c>
      <c r="D1985" s="260">
        <v>46321</v>
      </c>
      <c r="E1985" s="260">
        <v>46332</v>
      </c>
      <c r="F1985">
        <v>37</v>
      </c>
      <c r="G1985" t="s">
        <v>356</v>
      </c>
    </row>
    <row r="1986" spans="1:7">
      <c r="A1986" t="s">
        <v>4292</v>
      </c>
      <c r="B1986" t="s">
        <v>4293</v>
      </c>
      <c r="C1986">
        <v>15</v>
      </c>
      <c r="D1986" s="260">
        <v>46192</v>
      </c>
      <c r="E1986" s="260">
        <v>46212</v>
      </c>
      <c r="F1986">
        <v>77</v>
      </c>
      <c r="G1986" t="s">
        <v>356</v>
      </c>
    </row>
    <row r="1987" spans="1:7">
      <c r="A1987" t="s">
        <v>4294</v>
      </c>
      <c r="B1987" t="s">
        <v>4295</v>
      </c>
      <c r="C1987">
        <v>10</v>
      </c>
      <c r="D1987" s="260">
        <v>46227</v>
      </c>
      <c r="E1987" s="260">
        <v>46245</v>
      </c>
      <c r="F1987">
        <v>77</v>
      </c>
      <c r="G1987" t="s">
        <v>356</v>
      </c>
    </row>
    <row r="1988" spans="1:7">
      <c r="A1988" t="s">
        <v>4296</v>
      </c>
      <c r="B1988" t="s">
        <v>4297</v>
      </c>
      <c r="C1988">
        <v>10</v>
      </c>
      <c r="D1988" s="260">
        <v>46261</v>
      </c>
      <c r="E1988" s="260">
        <v>46274</v>
      </c>
      <c r="F1988">
        <v>77</v>
      </c>
      <c r="G1988" t="s">
        <v>356</v>
      </c>
    </row>
    <row r="1989" spans="1:7">
      <c r="A1989" t="s">
        <v>4298</v>
      </c>
      <c r="B1989" t="s">
        <v>4299</v>
      </c>
      <c r="C1989">
        <v>15</v>
      </c>
      <c r="D1989" s="260">
        <v>46213</v>
      </c>
      <c r="E1989" s="260">
        <v>46238</v>
      </c>
      <c r="F1989">
        <v>62</v>
      </c>
      <c r="G1989" t="s">
        <v>356</v>
      </c>
    </row>
    <row r="1990" spans="1:7">
      <c r="A1990" t="s">
        <v>4300</v>
      </c>
      <c r="B1990" t="s">
        <v>4301</v>
      </c>
      <c r="C1990">
        <v>10</v>
      </c>
      <c r="D1990" s="260">
        <v>46254</v>
      </c>
      <c r="E1990" s="260">
        <v>46267</v>
      </c>
      <c r="F1990">
        <v>62</v>
      </c>
      <c r="G1990" t="s">
        <v>356</v>
      </c>
    </row>
    <row r="1991" spans="1:7">
      <c r="A1991" t="s">
        <v>4302</v>
      </c>
      <c r="B1991" t="s">
        <v>4303</v>
      </c>
      <c r="C1991">
        <v>10</v>
      </c>
      <c r="D1991" s="260">
        <v>46282</v>
      </c>
      <c r="E1991" s="260">
        <v>46295</v>
      </c>
      <c r="F1991">
        <v>62</v>
      </c>
      <c r="G1991" t="s">
        <v>356</v>
      </c>
    </row>
    <row r="1992" spans="1:7">
      <c r="A1992" t="s">
        <v>4304</v>
      </c>
      <c r="B1992" t="s">
        <v>4305</v>
      </c>
      <c r="C1992">
        <v>15</v>
      </c>
      <c r="D1992" s="260">
        <v>46220</v>
      </c>
      <c r="E1992" s="260">
        <v>46245</v>
      </c>
      <c r="F1992">
        <v>57</v>
      </c>
      <c r="G1992" t="s">
        <v>356</v>
      </c>
    </row>
    <row r="1993" spans="1:7">
      <c r="A1993" t="s">
        <v>4306</v>
      </c>
      <c r="B1993" t="s">
        <v>4307</v>
      </c>
      <c r="C1993">
        <v>10</v>
      </c>
      <c r="D1993" s="260">
        <v>46261</v>
      </c>
      <c r="E1993" s="260">
        <v>46274</v>
      </c>
      <c r="F1993">
        <v>57</v>
      </c>
      <c r="G1993" t="s">
        <v>356</v>
      </c>
    </row>
    <row r="1994" spans="1:7">
      <c r="A1994" t="s">
        <v>4308</v>
      </c>
      <c r="B1994" t="s">
        <v>4309</v>
      </c>
      <c r="C1994">
        <v>10</v>
      </c>
      <c r="D1994" s="260">
        <v>46289</v>
      </c>
      <c r="E1994" s="260">
        <v>46302</v>
      </c>
      <c r="F1994">
        <v>57</v>
      </c>
      <c r="G1994" t="s">
        <v>356</v>
      </c>
    </row>
    <row r="1995" spans="1:7">
      <c r="A1995" t="s">
        <v>4310</v>
      </c>
      <c r="B1995" t="s">
        <v>4311</v>
      </c>
      <c r="C1995">
        <v>15</v>
      </c>
      <c r="D1995" s="260">
        <v>46239</v>
      </c>
      <c r="E1995" s="260">
        <v>46260</v>
      </c>
      <c r="F1995">
        <v>47</v>
      </c>
      <c r="G1995" t="s">
        <v>356</v>
      </c>
    </row>
    <row r="1996" spans="1:7">
      <c r="A1996" t="s">
        <v>4312</v>
      </c>
      <c r="B1996" t="s">
        <v>4313</v>
      </c>
      <c r="C1996">
        <v>10</v>
      </c>
      <c r="D1996" s="260">
        <v>46275</v>
      </c>
      <c r="E1996" s="260">
        <v>46288</v>
      </c>
      <c r="F1996">
        <v>47</v>
      </c>
      <c r="G1996" t="s">
        <v>356</v>
      </c>
    </row>
    <row r="1997" spans="1:7">
      <c r="A1997" t="s">
        <v>4314</v>
      </c>
      <c r="B1997" t="s">
        <v>4315</v>
      </c>
      <c r="C1997">
        <v>10</v>
      </c>
      <c r="D1997" s="260">
        <v>46303</v>
      </c>
      <c r="E1997" s="260">
        <v>46317</v>
      </c>
      <c r="F1997">
        <v>47</v>
      </c>
      <c r="G1997" t="s">
        <v>356</v>
      </c>
    </row>
    <row r="1998" spans="1:7">
      <c r="A1998" t="s">
        <v>4316</v>
      </c>
      <c r="B1998" t="s">
        <v>4317</v>
      </c>
      <c r="C1998">
        <v>15</v>
      </c>
      <c r="D1998" s="260">
        <v>46239</v>
      </c>
      <c r="E1998" s="260">
        <v>46260</v>
      </c>
      <c r="F1998">
        <v>47</v>
      </c>
      <c r="G1998" t="s">
        <v>356</v>
      </c>
    </row>
    <row r="1999" spans="1:7">
      <c r="A1999" t="s">
        <v>4318</v>
      </c>
      <c r="B1999" t="s">
        <v>4319</v>
      </c>
      <c r="C1999">
        <v>10</v>
      </c>
      <c r="D1999" s="260">
        <v>46289</v>
      </c>
      <c r="E1999" s="260">
        <v>46302</v>
      </c>
      <c r="F1999">
        <v>37</v>
      </c>
      <c r="G1999" t="s">
        <v>356</v>
      </c>
    </row>
    <row r="2000" spans="1:7">
      <c r="A2000" t="s">
        <v>4320</v>
      </c>
      <c r="B2000" t="s">
        <v>4321</v>
      </c>
      <c r="C2000">
        <v>10</v>
      </c>
      <c r="D2000" s="260">
        <v>46321</v>
      </c>
      <c r="E2000" s="260">
        <v>46332</v>
      </c>
      <c r="F2000">
        <v>37</v>
      </c>
      <c r="G2000" t="s">
        <v>356</v>
      </c>
    </row>
    <row r="2001" spans="1:7">
      <c r="A2001" t="s">
        <v>4322</v>
      </c>
      <c r="B2001" t="s">
        <v>4323</v>
      </c>
      <c r="C2001">
        <v>15</v>
      </c>
      <c r="D2001" s="260">
        <v>46254</v>
      </c>
      <c r="E2001" s="260">
        <v>46274</v>
      </c>
      <c r="F2001">
        <v>37</v>
      </c>
      <c r="G2001" t="s">
        <v>356</v>
      </c>
    </row>
    <row r="2002" spans="1:7">
      <c r="A2002" t="s">
        <v>4324</v>
      </c>
      <c r="B2002" t="s">
        <v>4325</v>
      </c>
      <c r="C2002">
        <v>10</v>
      </c>
      <c r="D2002" s="260">
        <v>46289</v>
      </c>
      <c r="E2002" s="260">
        <v>46302</v>
      </c>
      <c r="F2002">
        <v>37</v>
      </c>
      <c r="G2002" t="s">
        <v>356</v>
      </c>
    </row>
    <row r="2003" spans="1:7">
      <c r="A2003" t="s">
        <v>4326</v>
      </c>
      <c r="B2003" t="s">
        <v>4327</v>
      </c>
      <c r="C2003">
        <v>10</v>
      </c>
      <c r="D2003" s="260">
        <v>46321</v>
      </c>
      <c r="E2003" s="260">
        <v>46332</v>
      </c>
      <c r="F2003">
        <v>37</v>
      </c>
      <c r="G2003" t="s">
        <v>356</v>
      </c>
    </row>
    <row r="2004" spans="1:7">
      <c r="A2004" t="s">
        <v>4328</v>
      </c>
      <c r="B2004" t="s">
        <v>4329</v>
      </c>
      <c r="C2004">
        <v>15</v>
      </c>
      <c r="D2004" s="260">
        <v>46254</v>
      </c>
      <c r="E2004" s="260">
        <v>46274</v>
      </c>
      <c r="F2004">
        <v>37</v>
      </c>
      <c r="G2004" t="s">
        <v>356</v>
      </c>
    </row>
    <row r="2005" spans="1:7">
      <c r="A2005" t="s">
        <v>4330</v>
      </c>
      <c r="B2005" t="s">
        <v>4331</v>
      </c>
      <c r="C2005">
        <v>10</v>
      </c>
      <c r="D2005" s="260">
        <v>46289</v>
      </c>
      <c r="E2005" s="260">
        <v>46302</v>
      </c>
      <c r="F2005">
        <v>37</v>
      </c>
      <c r="G2005" t="s">
        <v>356</v>
      </c>
    </row>
    <row r="2006" spans="1:7">
      <c r="A2006" t="s">
        <v>4332</v>
      </c>
      <c r="B2006" t="s">
        <v>4333</v>
      </c>
      <c r="C2006">
        <v>10</v>
      </c>
      <c r="D2006" s="260">
        <v>46321</v>
      </c>
      <c r="E2006" s="260">
        <v>46332</v>
      </c>
      <c r="F2006">
        <v>37</v>
      </c>
      <c r="G2006" t="s">
        <v>356</v>
      </c>
    </row>
    <row r="2007" spans="1:7">
      <c r="A2007" t="s">
        <v>4334</v>
      </c>
      <c r="B2007" t="s">
        <v>4335</v>
      </c>
      <c r="C2007">
        <v>15</v>
      </c>
      <c r="D2007" s="260">
        <v>46275</v>
      </c>
      <c r="E2007" s="260">
        <v>46295</v>
      </c>
      <c r="F2007">
        <v>42</v>
      </c>
      <c r="G2007" t="s">
        <v>356</v>
      </c>
    </row>
    <row r="2008" spans="1:7">
      <c r="A2008" t="s">
        <v>4336</v>
      </c>
      <c r="B2008" t="s">
        <v>4337</v>
      </c>
      <c r="C2008">
        <v>10</v>
      </c>
      <c r="D2008" s="260">
        <v>46321</v>
      </c>
      <c r="E2008" s="260">
        <v>46332</v>
      </c>
      <c r="F2008">
        <v>37</v>
      </c>
      <c r="G2008" t="s">
        <v>356</v>
      </c>
    </row>
    <row r="2009" spans="1:7">
      <c r="A2009" t="s">
        <v>4338</v>
      </c>
      <c r="B2009" t="s">
        <v>4339</v>
      </c>
      <c r="C2009">
        <v>15</v>
      </c>
      <c r="D2009" s="260">
        <v>46275</v>
      </c>
      <c r="E2009" s="260">
        <v>46295</v>
      </c>
      <c r="F2009">
        <v>42</v>
      </c>
      <c r="G2009" t="s">
        <v>356</v>
      </c>
    </row>
    <row r="2010" spans="1:7">
      <c r="A2010" t="s">
        <v>4340</v>
      </c>
      <c r="B2010" t="s">
        <v>4341</v>
      </c>
      <c r="C2010">
        <v>10</v>
      </c>
      <c r="D2010" s="260">
        <v>46321</v>
      </c>
      <c r="E2010" s="260">
        <v>46332</v>
      </c>
      <c r="F2010">
        <v>37</v>
      </c>
      <c r="G2010" t="s">
        <v>356</v>
      </c>
    </row>
    <row r="2011" spans="1:7">
      <c r="A2011" t="s">
        <v>4342</v>
      </c>
      <c r="C2011">
        <v>135</v>
      </c>
      <c r="D2011" s="260">
        <v>46148</v>
      </c>
      <c r="E2011" s="260">
        <v>46346</v>
      </c>
      <c r="F2011">
        <v>27</v>
      </c>
      <c r="G2011" t="s">
        <v>356</v>
      </c>
    </row>
    <row r="2012" spans="1:7">
      <c r="A2012" t="s">
        <v>4343</v>
      </c>
      <c r="B2012" t="s">
        <v>4344</v>
      </c>
      <c r="C2012">
        <v>15</v>
      </c>
      <c r="D2012" s="260">
        <v>46239</v>
      </c>
      <c r="E2012" s="260">
        <v>46260</v>
      </c>
      <c r="F2012">
        <v>7</v>
      </c>
      <c r="G2012" t="s">
        <v>356</v>
      </c>
    </row>
    <row r="2013" spans="1:7">
      <c r="A2013" t="s">
        <v>4345</v>
      </c>
      <c r="B2013" t="s">
        <v>4346</v>
      </c>
      <c r="C2013">
        <v>10</v>
      </c>
      <c r="D2013" s="260">
        <v>46275</v>
      </c>
      <c r="E2013" s="260">
        <v>46288</v>
      </c>
      <c r="F2013">
        <v>42</v>
      </c>
      <c r="G2013" t="s">
        <v>356</v>
      </c>
    </row>
    <row r="2014" spans="1:7">
      <c r="A2014" t="s">
        <v>4347</v>
      </c>
      <c r="B2014" t="s">
        <v>4348</v>
      </c>
      <c r="C2014">
        <v>10</v>
      </c>
      <c r="D2014" s="260">
        <v>46335</v>
      </c>
      <c r="E2014" s="260">
        <v>46346</v>
      </c>
      <c r="F2014">
        <v>22</v>
      </c>
      <c r="G2014" t="s">
        <v>356</v>
      </c>
    </row>
    <row r="2015" spans="1:7">
      <c r="A2015" t="s">
        <v>4349</v>
      </c>
      <c r="B2015" t="s">
        <v>4350</v>
      </c>
      <c r="C2015">
        <v>15</v>
      </c>
      <c r="D2015" s="260">
        <v>46239</v>
      </c>
      <c r="E2015" s="260">
        <v>46260</v>
      </c>
      <c r="F2015">
        <v>7</v>
      </c>
      <c r="G2015" t="s">
        <v>356</v>
      </c>
    </row>
    <row r="2016" spans="1:7">
      <c r="A2016" t="s">
        <v>4351</v>
      </c>
      <c r="B2016" t="s">
        <v>4352</v>
      </c>
      <c r="C2016">
        <v>10</v>
      </c>
      <c r="D2016" s="260">
        <v>46275</v>
      </c>
      <c r="E2016" s="260">
        <v>46288</v>
      </c>
      <c r="F2016">
        <v>42</v>
      </c>
      <c r="G2016" t="s">
        <v>356</v>
      </c>
    </row>
    <row r="2017" spans="1:7">
      <c r="A2017" t="s">
        <v>4353</v>
      </c>
      <c r="B2017" t="s">
        <v>4354</v>
      </c>
      <c r="C2017">
        <v>10</v>
      </c>
      <c r="D2017" s="260">
        <v>46335</v>
      </c>
      <c r="E2017" s="260">
        <v>46346</v>
      </c>
      <c r="F2017">
        <v>22</v>
      </c>
      <c r="G2017" t="s">
        <v>356</v>
      </c>
    </row>
    <row r="2018" spans="1:7">
      <c r="A2018" t="s">
        <v>4355</v>
      </c>
      <c r="B2018" t="s">
        <v>4356</v>
      </c>
      <c r="C2018">
        <v>15</v>
      </c>
      <c r="D2018" s="260">
        <v>46239</v>
      </c>
      <c r="E2018" s="260">
        <v>46260</v>
      </c>
      <c r="F2018">
        <v>7</v>
      </c>
      <c r="G2018" t="s">
        <v>356</v>
      </c>
    </row>
    <row r="2019" spans="1:7">
      <c r="A2019" t="s">
        <v>4357</v>
      </c>
      <c r="B2019" t="s">
        <v>4358</v>
      </c>
      <c r="C2019">
        <v>10</v>
      </c>
      <c r="D2019" s="260">
        <v>46275</v>
      </c>
      <c r="E2019" s="260">
        <v>46288</v>
      </c>
      <c r="F2019">
        <v>42</v>
      </c>
      <c r="G2019" t="s">
        <v>356</v>
      </c>
    </row>
    <row r="2020" spans="1:7">
      <c r="A2020" t="s">
        <v>4359</v>
      </c>
      <c r="B2020" t="s">
        <v>4360</v>
      </c>
      <c r="C2020">
        <v>10</v>
      </c>
      <c r="D2020" s="260">
        <v>46335</v>
      </c>
      <c r="E2020" s="260">
        <v>46346</v>
      </c>
      <c r="F2020">
        <v>22</v>
      </c>
      <c r="G2020" t="s">
        <v>356</v>
      </c>
    </row>
    <row r="2021" spans="1:7">
      <c r="A2021" t="s">
        <v>4361</v>
      </c>
      <c r="B2021" t="s">
        <v>4362</v>
      </c>
      <c r="C2021">
        <v>15</v>
      </c>
      <c r="D2021" s="260">
        <v>46239</v>
      </c>
      <c r="E2021" s="260">
        <v>46260</v>
      </c>
      <c r="F2021">
        <v>7</v>
      </c>
      <c r="G2021" t="s">
        <v>356</v>
      </c>
    </row>
    <row r="2022" spans="1:7">
      <c r="A2022" t="s">
        <v>4363</v>
      </c>
      <c r="B2022" t="s">
        <v>4364</v>
      </c>
      <c r="C2022">
        <v>10</v>
      </c>
      <c r="D2022" s="260">
        <v>46275</v>
      </c>
      <c r="E2022" s="260">
        <v>46288</v>
      </c>
      <c r="F2022">
        <v>42</v>
      </c>
      <c r="G2022" t="s">
        <v>356</v>
      </c>
    </row>
    <row r="2023" spans="1:7">
      <c r="A2023" t="s">
        <v>4365</v>
      </c>
      <c r="B2023" t="s">
        <v>4366</v>
      </c>
      <c r="C2023">
        <v>10</v>
      </c>
      <c r="D2023" s="260">
        <v>46335</v>
      </c>
      <c r="E2023" s="260">
        <v>46346</v>
      </c>
      <c r="F2023">
        <v>22</v>
      </c>
      <c r="G2023" t="s">
        <v>356</v>
      </c>
    </row>
    <row r="2024" spans="1:7">
      <c r="A2024" t="s">
        <v>4367</v>
      </c>
      <c r="B2024" t="s">
        <v>4368</v>
      </c>
      <c r="C2024">
        <v>15</v>
      </c>
      <c r="D2024" s="260">
        <v>46239</v>
      </c>
      <c r="E2024" s="260">
        <v>46260</v>
      </c>
      <c r="F2024">
        <v>7</v>
      </c>
      <c r="G2024" t="s">
        <v>356</v>
      </c>
    </row>
    <row r="2025" spans="1:7">
      <c r="A2025" t="s">
        <v>4369</v>
      </c>
      <c r="B2025" t="s">
        <v>4370</v>
      </c>
      <c r="C2025">
        <v>10</v>
      </c>
      <c r="D2025" s="260">
        <v>46275</v>
      </c>
      <c r="E2025" s="260">
        <v>46288</v>
      </c>
      <c r="F2025">
        <v>42</v>
      </c>
      <c r="G2025" t="s">
        <v>356</v>
      </c>
    </row>
    <row r="2026" spans="1:7">
      <c r="A2026" t="s">
        <v>4371</v>
      </c>
      <c r="B2026" t="s">
        <v>4372</v>
      </c>
      <c r="C2026">
        <v>10</v>
      </c>
      <c r="D2026" s="260">
        <v>46335</v>
      </c>
      <c r="E2026" s="260">
        <v>46346</v>
      </c>
      <c r="F2026">
        <v>22</v>
      </c>
      <c r="G2026" t="s">
        <v>356</v>
      </c>
    </row>
    <row r="2027" spans="1:7">
      <c r="A2027" t="s">
        <v>4373</v>
      </c>
      <c r="B2027" t="s">
        <v>4374</v>
      </c>
      <c r="C2027">
        <v>10</v>
      </c>
      <c r="D2027" s="260">
        <v>46148</v>
      </c>
      <c r="E2027" s="260">
        <v>46161</v>
      </c>
      <c r="F2027">
        <v>-10</v>
      </c>
      <c r="G2027" t="s">
        <v>356</v>
      </c>
    </row>
    <row r="2028" spans="1:7">
      <c r="A2028" t="s">
        <v>4375</v>
      </c>
      <c r="B2028" t="s">
        <v>4376</v>
      </c>
      <c r="C2028">
        <v>10</v>
      </c>
      <c r="D2028" s="260">
        <v>46178</v>
      </c>
      <c r="E2028" s="260">
        <v>46191</v>
      </c>
      <c r="F2028">
        <v>5</v>
      </c>
      <c r="G2028" t="s">
        <v>356</v>
      </c>
    </row>
    <row r="2029" spans="1:7">
      <c r="A2029" t="s">
        <v>4377</v>
      </c>
      <c r="B2029" t="s">
        <v>4378</v>
      </c>
      <c r="C2029">
        <v>10</v>
      </c>
      <c r="D2029" s="260">
        <v>46219</v>
      </c>
      <c r="E2029" s="260">
        <v>46237</v>
      </c>
      <c r="F2029">
        <v>-1</v>
      </c>
      <c r="G2029" t="s">
        <v>356</v>
      </c>
    </row>
    <row r="2030" spans="1:7">
      <c r="A2030" t="s">
        <v>4379</v>
      </c>
      <c r="B2030" t="s">
        <v>4380</v>
      </c>
      <c r="C2030">
        <v>10</v>
      </c>
      <c r="D2030" s="260">
        <v>46275</v>
      </c>
      <c r="E2030" s="260">
        <v>46288</v>
      </c>
      <c r="F2030">
        <v>7</v>
      </c>
      <c r="G2030" t="s">
        <v>356</v>
      </c>
    </row>
    <row r="2031" spans="1:7">
      <c r="A2031" t="s">
        <v>4381</v>
      </c>
      <c r="B2031" t="s">
        <v>4382</v>
      </c>
      <c r="C2031">
        <v>10</v>
      </c>
      <c r="D2031" s="260">
        <v>46303</v>
      </c>
      <c r="E2031" s="260">
        <v>46317</v>
      </c>
      <c r="F2031">
        <v>22</v>
      </c>
      <c r="G2031" t="s">
        <v>356</v>
      </c>
    </row>
    <row r="2032" spans="1:7">
      <c r="A2032" t="s">
        <v>4383</v>
      </c>
      <c r="B2032" t="s">
        <v>4384</v>
      </c>
      <c r="C2032">
        <v>10</v>
      </c>
      <c r="D2032" s="260">
        <v>46335</v>
      </c>
      <c r="E2032" s="260">
        <v>46346</v>
      </c>
      <c r="F2032">
        <v>22</v>
      </c>
      <c r="G2032" t="s">
        <v>356</v>
      </c>
    </row>
    <row r="2033" spans="1:7">
      <c r="A2033" t="s">
        <v>4385</v>
      </c>
      <c r="B2033" t="s">
        <v>4386</v>
      </c>
      <c r="C2033">
        <v>15</v>
      </c>
      <c r="D2033" s="260">
        <v>46239</v>
      </c>
      <c r="E2033" s="260">
        <v>46260</v>
      </c>
      <c r="F2033">
        <v>47</v>
      </c>
      <c r="G2033" t="s">
        <v>356</v>
      </c>
    </row>
    <row r="2034" spans="1:7">
      <c r="A2034" t="s">
        <v>4387</v>
      </c>
      <c r="B2034" t="s">
        <v>4388</v>
      </c>
      <c r="C2034">
        <v>10</v>
      </c>
      <c r="D2034" s="260">
        <v>46275</v>
      </c>
      <c r="E2034" s="260">
        <v>46288</v>
      </c>
      <c r="F2034">
        <v>47</v>
      </c>
      <c r="G2034" t="s">
        <v>356</v>
      </c>
    </row>
    <row r="2035" spans="1:7">
      <c r="A2035" t="s">
        <v>4389</v>
      </c>
      <c r="B2035" t="s">
        <v>4390</v>
      </c>
      <c r="C2035">
        <v>10</v>
      </c>
      <c r="D2035" s="260">
        <v>46335</v>
      </c>
      <c r="E2035" s="260">
        <v>46346</v>
      </c>
      <c r="F2035">
        <v>27</v>
      </c>
      <c r="G2035" t="s">
        <v>356</v>
      </c>
    </row>
    <row r="2036" spans="1:7">
      <c r="A2036" t="s">
        <v>4391</v>
      </c>
      <c r="B2036" t="s">
        <v>4392</v>
      </c>
      <c r="C2036">
        <v>15</v>
      </c>
      <c r="D2036" s="260">
        <v>46239</v>
      </c>
      <c r="E2036" s="260">
        <v>46260</v>
      </c>
      <c r="F2036">
        <v>47</v>
      </c>
      <c r="G2036" t="s">
        <v>356</v>
      </c>
    </row>
    <row r="2037" spans="1:7">
      <c r="A2037" t="s">
        <v>4393</v>
      </c>
      <c r="B2037" t="s">
        <v>4394</v>
      </c>
      <c r="C2037">
        <v>10</v>
      </c>
      <c r="D2037" s="260">
        <v>46275</v>
      </c>
      <c r="E2037" s="260">
        <v>46288</v>
      </c>
      <c r="F2037">
        <v>47</v>
      </c>
      <c r="G2037" t="s">
        <v>356</v>
      </c>
    </row>
    <row r="2038" spans="1:7">
      <c r="A2038" t="s">
        <v>4395</v>
      </c>
      <c r="B2038" t="s">
        <v>4396</v>
      </c>
      <c r="C2038">
        <v>10</v>
      </c>
      <c r="D2038" s="260">
        <v>46335</v>
      </c>
      <c r="E2038" s="260">
        <v>46346</v>
      </c>
      <c r="F2038">
        <v>27</v>
      </c>
      <c r="G2038" t="s">
        <v>356</v>
      </c>
    </row>
    <row r="2039" spans="1:7">
      <c r="A2039" t="s">
        <v>4397</v>
      </c>
      <c r="B2039" t="s">
        <v>4398</v>
      </c>
      <c r="C2039">
        <v>15</v>
      </c>
      <c r="D2039" s="260">
        <v>46239</v>
      </c>
      <c r="E2039" s="260">
        <v>46260</v>
      </c>
      <c r="F2039">
        <v>47</v>
      </c>
      <c r="G2039" t="s">
        <v>356</v>
      </c>
    </row>
    <row r="2040" spans="1:7">
      <c r="A2040" t="s">
        <v>4399</v>
      </c>
      <c r="B2040" t="s">
        <v>4400</v>
      </c>
      <c r="C2040">
        <v>10</v>
      </c>
      <c r="D2040" s="260">
        <v>46275</v>
      </c>
      <c r="E2040" s="260">
        <v>46288</v>
      </c>
      <c r="F2040">
        <v>47</v>
      </c>
      <c r="G2040" t="s">
        <v>356</v>
      </c>
    </row>
    <row r="2041" spans="1:7">
      <c r="A2041" t="s">
        <v>4401</v>
      </c>
      <c r="B2041" t="s">
        <v>4402</v>
      </c>
      <c r="C2041">
        <v>10</v>
      </c>
      <c r="D2041" s="260">
        <v>46335</v>
      </c>
      <c r="E2041" s="260">
        <v>46346</v>
      </c>
      <c r="F2041">
        <v>27</v>
      </c>
      <c r="G2041" t="s">
        <v>356</v>
      </c>
    </row>
    <row r="2042" spans="1:7">
      <c r="A2042" t="s">
        <v>4403</v>
      </c>
      <c r="B2042" t="s">
        <v>4404</v>
      </c>
      <c r="C2042">
        <v>15</v>
      </c>
      <c r="D2042" s="260">
        <v>46239</v>
      </c>
      <c r="E2042" s="260">
        <v>46260</v>
      </c>
      <c r="F2042">
        <v>47</v>
      </c>
      <c r="G2042" t="s">
        <v>356</v>
      </c>
    </row>
    <row r="2043" spans="1:7">
      <c r="A2043" t="s">
        <v>4405</v>
      </c>
      <c r="B2043" t="s">
        <v>4406</v>
      </c>
      <c r="C2043">
        <v>10</v>
      </c>
      <c r="D2043" s="260">
        <v>46275</v>
      </c>
      <c r="E2043" s="260">
        <v>46288</v>
      </c>
      <c r="F2043">
        <v>47</v>
      </c>
      <c r="G2043" t="s">
        <v>356</v>
      </c>
    </row>
    <row r="2044" spans="1:7">
      <c r="A2044" t="s">
        <v>4407</v>
      </c>
      <c r="B2044" t="s">
        <v>4408</v>
      </c>
      <c r="C2044">
        <v>10</v>
      </c>
      <c r="D2044" s="260">
        <v>46335</v>
      </c>
      <c r="E2044" s="260">
        <v>46346</v>
      </c>
      <c r="F2044">
        <v>27</v>
      </c>
      <c r="G2044" t="s">
        <v>356</v>
      </c>
    </row>
    <row r="2045" spans="1:7">
      <c r="A2045" t="s">
        <v>4409</v>
      </c>
      <c r="B2045" t="s">
        <v>4410</v>
      </c>
      <c r="C2045">
        <v>15</v>
      </c>
      <c r="D2045" s="260">
        <v>46239</v>
      </c>
      <c r="E2045" s="260">
        <v>46260</v>
      </c>
      <c r="F2045">
        <v>47</v>
      </c>
      <c r="G2045" t="s">
        <v>356</v>
      </c>
    </row>
    <row r="2046" spans="1:7">
      <c r="A2046" t="s">
        <v>4411</v>
      </c>
      <c r="B2046" t="s">
        <v>4412</v>
      </c>
      <c r="C2046">
        <v>10</v>
      </c>
      <c r="D2046" s="260">
        <v>46275</v>
      </c>
      <c r="E2046" s="260">
        <v>46288</v>
      </c>
      <c r="F2046">
        <v>47</v>
      </c>
      <c r="G2046" t="s">
        <v>356</v>
      </c>
    </row>
    <row r="2047" spans="1:7">
      <c r="A2047" t="s">
        <v>4413</v>
      </c>
      <c r="B2047" t="s">
        <v>4414</v>
      </c>
      <c r="C2047">
        <v>10</v>
      </c>
      <c r="D2047" s="260">
        <v>46335</v>
      </c>
      <c r="E2047" s="260">
        <v>46346</v>
      </c>
      <c r="F2047">
        <v>27</v>
      </c>
      <c r="G2047" t="s">
        <v>356</v>
      </c>
    </row>
    <row r="2048" spans="1:7">
      <c r="A2048" t="s">
        <v>4415</v>
      </c>
      <c r="B2048" t="s">
        <v>4416</v>
      </c>
      <c r="C2048">
        <v>10</v>
      </c>
      <c r="D2048" s="260">
        <v>46148</v>
      </c>
      <c r="E2048" s="260">
        <v>46161</v>
      </c>
      <c r="F2048">
        <v>-10</v>
      </c>
      <c r="G2048" t="s">
        <v>356</v>
      </c>
    </row>
    <row r="2049" spans="1:7">
      <c r="A2049" t="s">
        <v>4417</v>
      </c>
      <c r="B2049" t="s">
        <v>4418</v>
      </c>
      <c r="C2049">
        <v>10</v>
      </c>
      <c r="D2049" s="260">
        <v>46178</v>
      </c>
      <c r="E2049" s="260">
        <v>46191</v>
      </c>
      <c r="F2049">
        <v>5</v>
      </c>
      <c r="G2049" t="s">
        <v>356</v>
      </c>
    </row>
    <row r="2050" spans="1:7">
      <c r="A2050" t="s">
        <v>4419</v>
      </c>
      <c r="B2050" t="s">
        <v>4420</v>
      </c>
      <c r="C2050">
        <v>10</v>
      </c>
      <c r="D2050" s="260">
        <v>46219</v>
      </c>
      <c r="E2050" s="260">
        <v>46237</v>
      </c>
      <c r="F2050">
        <v>-1</v>
      </c>
      <c r="G2050" t="s">
        <v>356</v>
      </c>
    </row>
    <row r="2051" spans="1:7">
      <c r="A2051" t="s">
        <v>4421</v>
      </c>
      <c r="B2051" t="s">
        <v>4422</v>
      </c>
      <c r="C2051">
        <v>10</v>
      </c>
      <c r="D2051" s="260">
        <v>46275</v>
      </c>
      <c r="E2051" s="260">
        <v>46288</v>
      </c>
      <c r="F2051">
        <v>7</v>
      </c>
      <c r="G2051" t="s">
        <v>356</v>
      </c>
    </row>
    <row r="2052" spans="1:7">
      <c r="A2052" t="s">
        <v>4423</v>
      </c>
      <c r="B2052" t="s">
        <v>4424</v>
      </c>
      <c r="C2052">
        <v>10</v>
      </c>
      <c r="D2052" s="260">
        <v>46303</v>
      </c>
      <c r="E2052" s="260">
        <v>46317</v>
      </c>
      <c r="F2052">
        <v>22</v>
      </c>
      <c r="G2052" t="s">
        <v>356</v>
      </c>
    </row>
    <row r="2053" spans="1:7">
      <c r="A2053" t="s">
        <v>4425</v>
      </c>
      <c r="B2053" t="s">
        <v>4426</v>
      </c>
      <c r="C2053">
        <v>10</v>
      </c>
      <c r="D2053" s="260">
        <v>46335</v>
      </c>
      <c r="E2053" s="260">
        <v>46346</v>
      </c>
      <c r="F2053">
        <v>22</v>
      </c>
      <c r="G2053" t="s">
        <v>356</v>
      </c>
    </row>
    <row r="2054" spans="1:7">
      <c r="A2054" t="s">
        <v>4427</v>
      </c>
      <c r="C2054">
        <v>153</v>
      </c>
      <c r="D2054" s="260">
        <v>46150</v>
      </c>
      <c r="E2054" s="260">
        <v>46378</v>
      </c>
      <c r="F2054">
        <v>7</v>
      </c>
      <c r="G2054" t="s">
        <v>356</v>
      </c>
    </row>
    <row r="2055" spans="1:7">
      <c r="A2055" t="s">
        <v>4428</v>
      </c>
      <c r="B2055" t="s">
        <v>4429</v>
      </c>
      <c r="C2055">
        <v>10</v>
      </c>
      <c r="D2055" s="260">
        <v>46150</v>
      </c>
      <c r="E2055" s="260">
        <v>46163</v>
      </c>
      <c r="F2055">
        <v>-10</v>
      </c>
      <c r="G2055" t="s">
        <v>356</v>
      </c>
    </row>
    <row r="2056" spans="1:7">
      <c r="A2056" t="s">
        <v>4430</v>
      </c>
      <c r="B2056" t="s">
        <v>4431</v>
      </c>
      <c r="C2056">
        <v>10</v>
      </c>
      <c r="D2056" s="260">
        <v>46192</v>
      </c>
      <c r="E2056" s="260">
        <v>46205</v>
      </c>
      <c r="F2056">
        <v>5</v>
      </c>
      <c r="G2056" t="s">
        <v>356</v>
      </c>
    </row>
    <row r="2057" spans="1:7">
      <c r="A2057" t="s">
        <v>4432</v>
      </c>
      <c r="B2057" t="s">
        <v>4433</v>
      </c>
      <c r="C2057">
        <v>5</v>
      </c>
      <c r="D2057" s="260">
        <v>46245</v>
      </c>
      <c r="E2057" s="260">
        <v>46252</v>
      </c>
      <c r="F2057">
        <v>-10</v>
      </c>
      <c r="G2057" t="s">
        <v>356</v>
      </c>
    </row>
    <row r="2058" spans="1:7">
      <c r="A2058" t="s">
        <v>4434</v>
      </c>
      <c r="B2058" t="s">
        <v>4435</v>
      </c>
      <c r="C2058">
        <v>15</v>
      </c>
      <c r="D2058" s="260">
        <v>46261</v>
      </c>
      <c r="E2058" s="260">
        <v>46281</v>
      </c>
      <c r="F2058">
        <v>7</v>
      </c>
      <c r="G2058" t="s">
        <v>356</v>
      </c>
    </row>
    <row r="2059" spans="1:7">
      <c r="A2059" t="s">
        <v>4436</v>
      </c>
      <c r="B2059" t="s">
        <v>4437</v>
      </c>
      <c r="C2059">
        <v>5</v>
      </c>
      <c r="D2059" s="260">
        <v>46372</v>
      </c>
      <c r="E2059" s="260">
        <v>46378</v>
      </c>
      <c r="F2059">
        <v>7</v>
      </c>
      <c r="G2059" t="s">
        <v>356</v>
      </c>
    </row>
    <row r="2060" spans="1:7">
      <c r="A2060" t="s">
        <v>4438</v>
      </c>
      <c r="B2060" t="s">
        <v>4439</v>
      </c>
      <c r="C2060">
        <v>10</v>
      </c>
      <c r="D2060" s="260">
        <v>46275</v>
      </c>
      <c r="E2060" s="260">
        <v>46288</v>
      </c>
      <c r="F2060">
        <v>7</v>
      </c>
      <c r="G2060" t="s">
        <v>356</v>
      </c>
    </row>
    <row r="2061" spans="1:7">
      <c r="A2061" t="s">
        <v>4440</v>
      </c>
      <c r="B2061" t="s">
        <v>4441</v>
      </c>
      <c r="C2061">
        <v>5</v>
      </c>
      <c r="D2061" s="260">
        <v>46372</v>
      </c>
      <c r="E2061" s="260">
        <v>46378</v>
      </c>
      <c r="F2061">
        <v>7</v>
      </c>
      <c r="G2061" t="s">
        <v>356</v>
      </c>
    </row>
    <row r="2062" spans="1:7">
      <c r="A2062" t="s">
        <v>4442</v>
      </c>
      <c r="C2062">
        <v>111</v>
      </c>
      <c r="D2062" s="260">
        <v>46191</v>
      </c>
      <c r="E2062" s="260">
        <v>46353</v>
      </c>
      <c r="F2062">
        <v>7</v>
      </c>
      <c r="G2062" t="s">
        <v>356</v>
      </c>
    </row>
    <row r="2063" spans="1:7">
      <c r="A2063" t="s">
        <v>4443</v>
      </c>
      <c r="B2063" t="s">
        <v>4444</v>
      </c>
      <c r="C2063">
        <v>20</v>
      </c>
      <c r="D2063" s="260">
        <v>46191</v>
      </c>
      <c r="E2063" s="260">
        <v>46218</v>
      </c>
      <c r="F2063">
        <v>-10</v>
      </c>
      <c r="G2063" t="s">
        <v>356</v>
      </c>
    </row>
    <row r="2064" spans="1:7">
      <c r="A2064" t="s">
        <v>4445</v>
      </c>
      <c r="B2064" t="s">
        <v>4446</v>
      </c>
      <c r="C2064">
        <v>5</v>
      </c>
      <c r="D2064" s="260">
        <v>46238</v>
      </c>
      <c r="E2064" s="260">
        <v>46244</v>
      </c>
      <c r="F2064">
        <v>-10</v>
      </c>
      <c r="G2064" t="s">
        <v>356</v>
      </c>
    </row>
    <row r="2065" spans="1:7">
      <c r="A2065" t="s">
        <v>4447</v>
      </c>
      <c r="B2065" t="s">
        <v>4448</v>
      </c>
      <c r="C2065">
        <v>20</v>
      </c>
      <c r="D2065" s="260">
        <v>46303</v>
      </c>
      <c r="E2065" s="260">
        <v>46332</v>
      </c>
      <c r="F2065">
        <v>7</v>
      </c>
      <c r="G2065" t="s">
        <v>356</v>
      </c>
    </row>
    <row r="2066" spans="1:7">
      <c r="A2066" t="s">
        <v>4449</v>
      </c>
      <c r="B2066" t="s">
        <v>4450</v>
      </c>
      <c r="C2066">
        <v>5</v>
      </c>
      <c r="D2066" s="260">
        <v>46349</v>
      </c>
      <c r="E2066" s="260">
        <v>46353</v>
      </c>
      <c r="F2066">
        <v>7</v>
      </c>
      <c r="G2066" t="s">
        <v>356</v>
      </c>
    </row>
    <row r="2067" spans="1:7">
      <c r="A2067" t="s">
        <v>4451</v>
      </c>
      <c r="B2067" t="s">
        <v>4452</v>
      </c>
      <c r="C2067">
        <v>20</v>
      </c>
      <c r="D2067" s="260">
        <v>46303</v>
      </c>
      <c r="E2067" s="260">
        <v>46332</v>
      </c>
      <c r="F2067">
        <v>7</v>
      </c>
      <c r="G2067" t="s">
        <v>356</v>
      </c>
    </row>
    <row r="2068" spans="1:7">
      <c r="A2068" t="s">
        <v>4453</v>
      </c>
      <c r="B2068" t="s">
        <v>4454</v>
      </c>
      <c r="C2068">
        <v>5</v>
      </c>
      <c r="D2068" s="260">
        <v>46349</v>
      </c>
      <c r="E2068" s="260">
        <v>46353</v>
      </c>
      <c r="F2068">
        <v>7</v>
      </c>
      <c r="G2068" t="s">
        <v>356</v>
      </c>
    </row>
    <row r="2069" spans="1:7">
      <c r="A2069" t="s">
        <v>4455</v>
      </c>
      <c r="C2069">
        <v>180</v>
      </c>
      <c r="D2069" s="260">
        <v>46085</v>
      </c>
      <c r="E2069" s="260">
        <v>46353</v>
      </c>
      <c r="F2069">
        <v>22</v>
      </c>
      <c r="G2069" t="s">
        <v>356</v>
      </c>
    </row>
    <row r="2070" spans="1:7">
      <c r="A2070" t="s">
        <v>4456</v>
      </c>
      <c r="B2070" t="s">
        <v>4457</v>
      </c>
      <c r="C2070">
        <v>20</v>
      </c>
      <c r="D2070" s="260">
        <v>46085</v>
      </c>
      <c r="E2070" s="260">
        <v>46112</v>
      </c>
      <c r="F2070">
        <v>52</v>
      </c>
      <c r="G2070" t="s">
        <v>356</v>
      </c>
    </row>
    <row r="2071" spans="1:7">
      <c r="A2071" t="s">
        <v>4458</v>
      </c>
      <c r="B2071" t="s">
        <v>4459</v>
      </c>
      <c r="C2071">
        <v>10</v>
      </c>
      <c r="D2071" s="260">
        <v>46133</v>
      </c>
      <c r="E2071" s="260">
        <v>46147</v>
      </c>
      <c r="F2071">
        <v>142</v>
      </c>
      <c r="G2071" t="s">
        <v>356</v>
      </c>
    </row>
    <row r="2072" spans="1:7">
      <c r="A2072" t="s">
        <v>4460</v>
      </c>
      <c r="B2072" t="s">
        <v>4461</v>
      </c>
      <c r="C2072">
        <v>10</v>
      </c>
      <c r="D2072" s="260">
        <v>46162</v>
      </c>
      <c r="E2072" s="260">
        <v>46177</v>
      </c>
      <c r="F2072">
        <v>142</v>
      </c>
      <c r="G2072" t="s">
        <v>356</v>
      </c>
    </row>
    <row r="2073" spans="1:7">
      <c r="A2073" t="s">
        <v>4462</v>
      </c>
      <c r="B2073" t="s">
        <v>4463</v>
      </c>
      <c r="C2073">
        <v>20</v>
      </c>
      <c r="D2073" s="260">
        <v>46112</v>
      </c>
      <c r="E2073" s="260">
        <v>46146</v>
      </c>
      <c r="F2073">
        <v>143</v>
      </c>
      <c r="G2073" t="s">
        <v>356</v>
      </c>
    </row>
    <row r="2074" spans="1:7">
      <c r="A2074" t="s">
        <v>4464</v>
      </c>
      <c r="B2074" t="s">
        <v>4465</v>
      </c>
      <c r="C2074">
        <v>10</v>
      </c>
      <c r="D2074" s="260">
        <v>46161</v>
      </c>
      <c r="E2074" s="260">
        <v>46175</v>
      </c>
      <c r="F2074">
        <v>143</v>
      </c>
      <c r="G2074" t="s">
        <v>356</v>
      </c>
    </row>
    <row r="2075" spans="1:7">
      <c r="A2075" t="s">
        <v>4466</v>
      </c>
      <c r="B2075" t="s">
        <v>4467</v>
      </c>
      <c r="C2075">
        <v>20</v>
      </c>
      <c r="D2075" s="260">
        <v>46111</v>
      </c>
      <c r="E2075" s="260">
        <v>46142</v>
      </c>
      <c r="F2075">
        <v>101</v>
      </c>
      <c r="G2075" t="s">
        <v>356</v>
      </c>
    </row>
    <row r="2076" spans="1:7">
      <c r="A2076" t="s">
        <v>4468</v>
      </c>
      <c r="B2076" t="s">
        <v>4469</v>
      </c>
      <c r="C2076">
        <v>10</v>
      </c>
      <c r="D2076" s="260">
        <v>46160</v>
      </c>
      <c r="E2076" s="260">
        <v>46171</v>
      </c>
      <c r="F2076">
        <v>144</v>
      </c>
      <c r="G2076" t="s">
        <v>356</v>
      </c>
    </row>
    <row r="2077" spans="1:7">
      <c r="A2077" t="s">
        <v>4470</v>
      </c>
      <c r="B2077" t="s">
        <v>4471</v>
      </c>
      <c r="C2077">
        <v>30</v>
      </c>
      <c r="D2077" s="260">
        <v>46163</v>
      </c>
      <c r="E2077" s="260">
        <v>46206</v>
      </c>
      <c r="F2077">
        <v>101</v>
      </c>
      <c r="G2077" t="s">
        <v>356</v>
      </c>
    </row>
    <row r="2078" spans="1:7">
      <c r="A2078" t="s">
        <v>4472</v>
      </c>
      <c r="B2078" t="s">
        <v>4473</v>
      </c>
      <c r="C2078">
        <v>10</v>
      </c>
      <c r="D2078" s="260">
        <v>46223</v>
      </c>
      <c r="E2078" s="260">
        <v>46239</v>
      </c>
      <c r="F2078">
        <v>101</v>
      </c>
      <c r="G2078" t="s">
        <v>356</v>
      </c>
    </row>
    <row r="2079" spans="1:7">
      <c r="A2079" t="s">
        <v>4474</v>
      </c>
      <c r="B2079" t="s">
        <v>4475</v>
      </c>
      <c r="C2079">
        <v>10</v>
      </c>
      <c r="D2079" s="260">
        <v>46121</v>
      </c>
      <c r="E2079" s="260">
        <v>46139</v>
      </c>
      <c r="F2079">
        <v>152</v>
      </c>
      <c r="G2079" t="s">
        <v>356</v>
      </c>
    </row>
    <row r="2080" spans="1:7">
      <c r="A2080" t="s">
        <v>4476</v>
      </c>
      <c r="B2080" t="s">
        <v>4477</v>
      </c>
      <c r="C2080">
        <v>5</v>
      </c>
      <c r="D2080" s="260">
        <v>46155</v>
      </c>
      <c r="E2080" s="260">
        <v>46161</v>
      </c>
      <c r="F2080">
        <v>152</v>
      </c>
      <c r="G2080" t="s">
        <v>356</v>
      </c>
    </row>
    <row r="2081" spans="1:7">
      <c r="A2081" t="s">
        <v>4478</v>
      </c>
      <c r="B2081" t="s">
        <v>4479</v>
      </c>
      <c r="C2081">
        <v>10</v>
      </c>
      <c r="D2081" s="260">
        <v>46164</v>
      </c>
      <c r="E2081" s="260">
        <v>46181</v>
      </c>
      <c r="F2081">
        <v>105</v>
      </c>
      <c r="G2081" t="s">
        <v>356</v>
      </c>
    </row>
    <row r="2082" spans="1:7">
      <c r="A2082" t="s">
        <v>4480</v>
      </c>
      <c r="B2082" t="s">
        <v>4481</v>
      </c>
      <c r="C2082">
        <v>5</v>
      </c>
      <c r="D2082" s="260">
        <v>46196</v>
      </c>
      <c r="E2082" s="260">
        <v>46202</v>
      </c>
      <c r="F2082">
        <v>105</v>
      </c>
      <c r="G2082" t="s">
        <v>356</v>
      </c>
    </row>
    <row r="2083" spans="1:7">
      <c r="A2083" t="s">
        <v>4482</v>
      </c>
      <c r="B2083" t="s">
        <v>4483</v>
      </c>
      <c r="C2083">
        <v>5</v>
      </c>
      <c r="D2083" s="260">
        <v>46203</v>
      </c>
      <c r="E2083" s="260">
        <v>46209</v>
      </c>
      <c r="F2083">
        <v>105</v>
      </c>
      <c r="G2083" t="s">
        <v>356</v>
      </c>
    </row>
    <row r="2084" spans="1:7">
      <c r="A2084" t="s">
        <v>4484</v>
      </c>
      <c r="B2084" t="s">
        <v>4485</v>
      </c>
      <c r="C2084">
        <v>10</v>
      </c>
      <c r="D2084" s="260">
        <v>46121</v>
      </c>
      <c r="E2084" s="260">
        <v>46139</v>
      </c>
      <c r="F2084">
        <v>152</v>
      </c>
      <c r="G2084" t="s">
        <v>356</v>
      </c>
    </row>
    <row r="2085" spans="1:7">
      <c r="A2085" t="s">
        <v>4486</v>
      </c>
      <c r="B2085" t="s">
        <v>4487</v>
      </c>
      <c r="C2085">
        <v>5</v>
      </c>
      <c r="D2085" s="260">
        <v>46155</v>
      </c>
      <c r="E2085" s="260">
        <v>46161</v>
      </c>
      <c r="F2085">
        <v>152</v>
      </c>
      <c r="G2085" t="s">
        <v>356</v>
      </c>
    </row>
    <row r="2086" spans="1:7">
      <c r="A2086" t="s">
        <v>4488</v>
      </c>
      <c r="B2086" t="s">
        <v>4489</v>
      </c>
      <c r="C2086">
        <v>15</v>
      </c>
      <c r="D2086" s="260">
        <v>46185</v>
      </c>
      <c r="E2086" s="260">
        <v>46205</v>
      </c>
      <c r="F2086">
        <v>97</v>
      </c>
      <c r="G2086" t="s">
        <v>356</v>
      </c>
    </row>
    <row r="2087" spans="1:7">
      <c r="A2087" t="s">
        <v>4490</v>
      </c>
      <c r="B2087" t="s">
        <v>4491</v>
      </c>
      <c r="C2087">
        <v>10</v>
      </c>
      <c r="D2087" s="260">
        <v>46220</v>
      </c>
      <c r="E2087" s="260">
        <v>46238</v>
      </c>
      <c r="F2087">
        <v>97</v>
      </c>
      <c r="G2087" t="s">
        <v>356</v>
      </c>
    </row>
    <row r="2088" spans="1:7">
      <c r="A2088" t="s">
        <v>4492</v>
      </c>
      <c r="B2088" t="s">
        <v>4493</v>
      </c>
      <c r="C2088">
        <v>5</v>
      </c>
      <c r="D2088" s="260">
        <v>46239</v>
      </c>
      <c r="E2088" s="260">
        <v>46245</v>
      </c>
      <c r="F2088">
        <v>97</v>
      </c>
      <c r="G2088" t="s">
        <v>356</v>
      </c>
    </row>
    <row r="2089" spans="1:7">
      <c r="A2089" t="s">
        <v>4494</v>
      </c>
      <c r="B2089" t="s">
        <v>4495</v>
      </c>
      <c r="C2089">
        <v>10</v>
      </c>
      <c r="D2089" s="260">
        <v>46148</v>
      </c>
      <c r="E2089" s="260">
        <v>46161</v>
      </c>
      <c r="F2089">
        <v>67</v>
      </c>
      <c r="G2089" t="s">
        <v>356</v>
      </c>
    </row>
    <row r="2090" spans="1:7">
      <c r="A2090" t="s">
        <v>4496</v>
      </c>
      <c r="B2090" t="s">
        <v>4497</v>
      </c>
      <c r="C2090">
        <v>5</v>
      </c>
      <c r="D2090" s="260">
        <v>46178</v>
      </c>
      <c r="E2090" s="260">
        <v>46184</v>
      </c>
      <c r="F2090">
        <v>132</v>
      </c>
      <c r="G2090" t="s">
        <v>356</v>
      </c>
    </row>
    <row r="2091" spans="1:7">
      <c r="A2091" t="s">
        <v>4498</v>
      </c>
      <c r="B2091" t="s">
        <v>4499</v>
      </c>
      <c r="C2091">
        <v>10</v>
      </c>
      <c r="D2091" s="260">
        <v>46196</v>
      </c>
      <c r="E2091" s="260">
        <v>46209</v>
      </c>
      <c r="F2091">
        <v>75</v>
      </c>
      <c r="G2091" t="s">
        <v>356</v>
      </c>
    </row>
    <row r="2092" spans="1:7">
      <c r="A2092" t="s">
        <v>4500</v>
      </c>
      <c r="B2092" t="s">
        <v>4501</v>
      </c>
      <c r="C2092">
        <v>10</v>
      </c>
      <c r="D2092" s="260">
        <v>46224</v>
      </c>
      <c r="E2092" s="260">
        <v>46240</v>
      </c>
      <c r="F2092">
        <v>90</v>
      </c>
      <c r="G2092" t="s">
        <v>356</v>
      </c>
    </row>
    <row r="2093" spans="1:7">
      <c r="A2093" t="s">
        <v>4502</v>
      </c>
      <c r="B2093" t="s">
        <v>4503</v>
      </c>
      <c r="C2093">
        <v>10</v>
      </c>
      <c r="D2093" s="260">
        <v>46210</v>
      </c>
      <c r="E2093" s="260">
        <v>46223</v>
      </c>
      <c r="F2093">
        <v>75</v>
      </c>
      <c r="G2093" t="s">
        <v>356</v>
      </c>
    </row>
    <row r="2094" spans="1:7">
      <c r="A2094" t="s">
        <v>4504</v>
      </c>
      <c r="B2094" t="s">
        <v>4505</v>
      </c>
      <c r="C2094">
        <v>5</v>
      </c>
      <c r="D2094" s="260">
        <v>46241</v>
      </c>
      <c r="E2094" s="260">
        <v>46248</v>
      </c>
      <c r="F2094">
        <v>75</v>
      </c>
      <c r="G2094" t="s">
        <v>356</v>
      </c>
    </row>
    <row r="2095" spans="1:7">
      <c r="A2095" t="s">
        <v>4506</v>
      </c>
      <c r="B2095" t="s">
        <v>4507</v>
      </c>
      <c r="C2095">
        <v>5</v>
      </c>
      <c r="D2095" s="260">
        <v>46265</v>
      </c>
      <c r="E2095" s="260">
        <v>46269</v>
      </c>
      <c r="F2095">
        <v>75</v>
      </c>
      <c r="G2095" t="s">
        <v>356</v>
      </c>
    </row>
    <row r="2096" spans="1:7">
      <c r="A2096" t="s">
        <v>4508</v>
      </c>
      <c r="B2096" t="s">
        <v>4509</v>
      </c>
      <c r="C2096">
        <v>5</v>
      </c>
      <c r="D2096" s="260">
        <v>46272</v>
      </c>
      <c r="E2096" s="260">
        <v>46276</v>
      </c>
      <c r="F2096">
        <v>75</v>
      </c>
      <c r="G2096" t="s">
        <v>356</v>
      </c>
    </row>
    <row r="2097" spans="1:7">
      <c r="A2097" t="s">
        <v>4510</v>
      </c>
      <c r="B2097" t="s">
        <v>4511</v>
      </c>
      <c r="C2097">
        <v>10</v>
      </c>
      <c r="D2097" s="260">
        <v>46185</v>
      </c>
      <c r="E2097" s="260">
        <v>46198</v>
      </c>
      <c r="F2097">
        <v>52</v>
      </c>
      <c r="G2097" t="s">
        <v>356</v>
      </c>
    </row>
    <row r="2098" spans="1:7">
      <c r="A2098" t="s">
        <v>4512</v>
      </c>
      <c r="B2098" t="s">
        <v>4513</v>
      </c>
      <c r="C2098">
        <v>5</v>
      </c>
      <c r="D2098" s="260">
        <v>46213</v>
      </c>
      <c r="E2098" s="260">
        <v>46219</v>
      </c>
      <c r="F2098">
        <v>112</v>
      </c>
      <c r="G2098" t="s">
        <v>356</v>
      </c>
    </row>
    <row r="2099" spans="1:7">
      <c r="A2099" t="s">
        <v>4514</v>
      </c>
      <c r="B2099" t="s">
        <v>4515</v>
      </c>
      <c r="C2099">
        <v>15</v>
      </c>
      <c r="D2099" s="260">
        <v>46261</v>
      </c>
      <c r="E2099" s="260">
        <v>46281</v>
      </c>
      <c r="F2099">
        <v>52</v>
      </c>
      <c r="G2099" t="s">
        <v>356</v>
      </c>
    </row>
    <row r="2100" spans="1:7">
      <c r="A2100" t="s">
        <v>4516</v>
      </c>
      <c r="B2100" t="s">
        <v>4517</v>
      </c>
      <c r="C2100">
        <v>10</v>
      </c>
      <c r="D2100" s="260">
        <v>46296</v>
      </c>
      <c r="E2100" s="260">
        <v>46310</v>
      </c>
      <c r="F2100">
        <v>52</v>
      </c>
      <c r="G2100" t="s">
        <v>356</v>
      </c>
    </row>
    <row r="2101" spans="1:7">
      <c r="A2101" t="s">
        <v>4518</v>
      </c>
      <c r="B2101" t="s">
        <v>4519</v>
      </c>
      <c r="C2101">
        <v>15</v>
      </c>
      <c r="D2101" s="260">
        <v>46185</v>
      </c>
      <c r="E2101" s="260">
        <v>46205</v>
      </c>
      <c r="F2101">
        <v>82</v>
      </c>
      <c r="G2101" t="s">
        <v>356</v>
      </c>
    </row>
    <row r="2102" spans="1:7">
      <c r="A2102" t="s">
        <v>4520</v>
      </c>
      <c r="B2102" t="s">
        <v>4521</v>
      </c>
      <c r="C2102">
        <v>10</v>
      </c>
      <c r="D2102" s="260">
        <v>46220</v>
      </c>
      <c r="E2102" s="260">
        <v>46238</v>
      </c>
      <c r="F2102">
        <v>82</v>
      </c>
      <c r="G2102" t="s">
        <v>356</v>
      </c>
    </row>
    <row r="2103" spans="1:7">
      <c r="A2103" t="s">
        <v>4522</v>
      </c>
      <c r="B2103" t="s">
        <v>4523</v>
      </c>
      <c r="C2103">
        <v>10</v>
      </c>
      <c r="D2103" s="260">
        <v>46254</v>
      </c>
      <c r="E2103" s="260">
        <v>46267</v>
      </c>
      <c r="F2103">
        <v>82</v>
      </c>
      <c r="G2103" t="s">
        <v>356</v>
      </c>
    </row>
    <row r="2104" spans="1:7">
      <c r="A2104" t="s">
        <v>4524</v>
      </c>
      <c r="B2104" t="s">
        <v>4525</v>
      </c>
      <c r="C2104">
        <v>30</v>
      </c>
      <c r="D2104" s="260">
        <v>46160</v>
      </c>
      <c r="E2104" s="260">
        <v>46203</v>
      </c>
      <c r="F2104">
        <v>84</v>
      </c>
      <c r="G2104" t="s">
        <v>356</v>
      </c>
    </row>
    <row r="2105" spans="1:7">
      <c r="A2105" t="s">
        <v>4526</v>
      </c>
      <c r="B2105" t="s">
        <v>4527</v>
      </c>
      <c r="C2105">
        <v>10</v>
      </c>
      <c r="D2105" s="260">
        <v>46218</v>
      </c>
      <c r="E2105" s="260">
        <v>46234</v>
      </c>
      <c r="F2105">
        <v>84</v>
      </c>
      <c r="G2105" t="s">
        <v>356</v>
      </c>
    </row>
    <row r="2106" spans="1:7">
      <c r="A2106" t="s">
        <v>4528</v>
      </c>
      <c r="B2106" t="s">
        <v>4529</v>
      </c>
      <c r="C2106">
        <v>10</v>
      </c>
      <c r="D2106" s="260">
        <v>46275</v>
      </c>
      <c r="E2106" s="260">
        <v>46288</v>
      </c>
      <c r="F2106">
        <v>67</v>
      </c>
      <c r="G2106" t="s">
        <v>356</v>
      </c>
    </row>
    <row r="2107" spans="1:7">
      <c r="A2107" t="s">
        <v>4530</v>
      </c>
      <c r="B2107" t="s">
        <v>4531</v>
      </c>
      <c r="C2107">
        <v>40</v>
      </c>
      <c r="D2107" s="260">
        <v>46153</v>
      </c>
      <c r="E2107" s="260">
        <v>46210</v>
      </c>
      <c r="F2107">
        <v>79</v>
      </c>
      <c r="G2107" t="s">
        <v>356</v>
      </c>
    </row>
    <row r="2108" spans="1:7">
      <c r="A2108" t="s">
        <v>4532</v>
      </c>
      <c r="B2108" t="s">
        <v>4533</v>
      </c>
      <c r="C2108">
        <v>10</v>
      </c>
      <c r="D2108" s="260">
        <v>46225</v>
      </c>
      <c r="E2108" s="260">
        <v>46241</v>
      </c>
      <c r="F2108">
        <v>79</v>
      </c>
      <c r="G2108" t="s">
        <v>356</v>
      </c>
    </row>
    <row r="2109" spans="1:7">
      <c r="A2109" t="s">
        <v>4534</v>
      </c>
      <c r="B2109" t="s">
        <v>4535</v>
      </c>
      <c r="C2109">
        <v>10</v>
      </c>
      <c r="D2109" s="260">
        <v>46259</v>
      </c>
      <c r="E2109" s="260">
        <v>46272</v>
      </c>
      <c r="F2109">
        <v>79</v>
      </c>
      <c r="G2109" t="s">
        <v>356</v>
      </c>
    </row>
    <row r="2110" spans="1:7">
      <c r="A2110" t="s">
        <v>4536</v>
      </c>
      <c r="B2110" t="s">
        <v>4537</v>
      </c>
      <c r="C2110">
        <v>30</v>
      </c>
      <c r="D2110" s="260">
        <v>46218</v>
      </c>
      <c r="E2110" s="260">
        <v>46265</v>
      </c>
      <c r="F2110">
        <v>44</v>
      </c>
      <c r="G2110" t="s">
        <v>356</v>
      </c>
    </row>
    <row r="2111" spans="1:7">
      <c r="A2111" t="s">
        <v>4538</v>
      </c>
      <c r="B2111" t="s">
        <v>4539</v>
      </c>
      <c r="C2111">
        <v>10</v>
      </c>
      <c r="D2111" s="260">
        <v>46280</v>
      </c>
      <c r="E2111" s="260">
        <v>46293</v>
      </c>
      <c r="F2111">
        <v>44</v>
      </c>
      <c r="G2111" t="s">
        <v>356</v>
      </c>
    </row>
    <row r="2112" spans="1:7">
      <c r="A2112" t="s">
        <v>4540</v>
      </c>
      <c r="B2112" t="s">
        <v>4541</v>
      </c>
      <c r="C2112">
        <v>10</v>
      </c>
      <c r="D2112" s="260">
        <v>46309</v>
      </c>
      <c r="E2112" s="260">
        <v>46323</v>
      </c>
      <c r="F2112">
        <v>44</v>
      </c>
      <c r="G2112" t="s">
        <v>356</v>
      </c>
    </row>
    <row r="2113" spans="1:7">
      <c r="A2113" t="s">
        <v>4542</v>
      </c>
      <c r="B2113" t="s">
        <v>4543</v>
      </c>
      <c r="C2113">
        <v>30</v>
      </c>
      <c r="D2113" s="260">
        <v>46218</v>
      </c>
      <c r="E2113" s="260">
        <v>46265</v>
      </c>
      <c r="F2113">
        <v>44</v>
      </c>
      <c r="G2113" t="s">
        <v>356</v>
      </c>
    </row>
    <row r="2114" spans="1:7">
      <c r="A2114" t="s">
        <v>4544</v>
      </c>
      <c r="B2114" t="s">
        <v>4545</v>
      </c>
      <c r="C2114">
        <v>10</v>
      </c>
      <c r="D2114" s="260">
        <v>46280</v>
      </c>
      <c r="E2114" s="260">
        <v>46293</v>
      </c>
      <c r="F2114">
        <v>44</v>
      </c>
      <c r="G2114" t="s">
        <v>356</v>
      </c>
    </row>
    <row r="2115" spans="1:7">
      <c r="A2115" t="s">
        <v>4546</v>
      </c>
      <c r="B2115" t="s">
        <v>4547</v>
      </c>
      <c r="C2115">
        <v>10</v>
      </c>
      <c r="D2115" s="260">
        <v>46309</v>
      </c>
      <c r="E2115" s="260">
        <v>46323</v>
      </c>
      <c r="F2115">
        <v>44</v>
      </c>
      <c r="G2115" t="s">
        <v>356</v>
      </c>
    </row>
    <row r="2116" spans="1:7">
      <c r="A2116" t="s">
        <v>4548</v>
      </c>
      <c r="B2116" t="s">
        <v>4549</v>
      </c>
      <c r="C2116">
        <v>40</v>
      </c>
      <c r="D2116" s="260">
        <v>46182</v>
      </c>
      <c r="E2116" s="260">
        <v>46240</v>
      </c>
      <c r="F2116">
        <v>60</v>
      </c>
      <c r="G2116" t="s">
        <v>356</v>
      </c>
    </row>
    <row r="2117" spans="1:7">
      <c r="A2117" t="s">
        <v>4550</v>
      </c>
      <c r="B2117" t="s">
        <v>4551</v>
      </c>
      <c r="C2117">
        <v>10</v>
      </c>
      <c r="D2117" s="260">
        <v>46258</v>
      </c>
      <c r="E2117" s="260">
        <v>46269</v>
      </c>
      <c r="F2117">
        <v>60</v>
      </c>
      <c r="G2117" t="s">
        <v>356</v>
      </c>
    </row>
    <row r="2118" spans="1:7">
      <c r="A2118" t="s">
        <v>4552</v>
      </c>
      <c r="B2118" t="s">
        <v>4553</v>
      </c>
      <c r="C2118">
        <v>10</v>
      </c>
      <c r="D2118" s="260">
        <v>46286</v>
      </c>
      <c r="E2118" s="260">
        <v>46297</v>
      </c>
      <c r="F2118">
        <v>60</v>
      </c>
      <c r="G2118" t="s">
        <v>356</v>
      </c>
    </row>
    <row r="2119" spans="1:7">
      <c r="A2119" t="s">
        <v>4554</v>
      </c>
      <c r="B2119" t="s">
        <v>4555</v>
      </c>
      <c r="C2119">
        <v>15</v>
      </c>
      <c r="D2119" s="260">
        <v>46185</v>
      </c>
      <c r="E2119" s="260">
        <v>46205</v>
      </c>
      <c r="F2119">
        <v>82</v>
      </c>
      <c r="G2119" t="s">
        <v>356</v>
      </c>
    </row>
    <row r="2120" spans="1:7">
      <c r="A2120" t="s">
        <v>4556</v>
      </c>
      <c r="B2120" t="s">
        <v>4557</v>
      </c>
      <c r="C2120">
        <v>10</v>
      </c>
      <c r="D2120" s="260">
        <v>46220</v>
      </c>
      <c r="E2120" s="260">
        <v>46238</v>
      </c>
      <c r="F2120">
        <v>82</v>
      </c>
      <c r="G2120" t="s">
        <v>356</v>
      </c>
    </row>
    <row r="2121" spans="1:7">
      <c r="A2121" t="s">
        <v>4558</v>
      </c>
      <c r="B2121" t="s">
        <v>4559</v>
      </c>
      <c r="C2121">
        <v>10</v>
      </c>
      <c r="D2121" s="260">
        <v>46254</v>
      </c>
      <c r="E2121" s="260">
        <v>46267</v>
      </c>
      <c r="F2121">
        <v>82</v>
      </c>
      <c r="G2121" t="s">
        <v>356</v>
      </c>
    </row>
    <row r="2122" spans="1:7">
      <c r="A2122" t="s">
        <v>4560</v>
      </c>
      <c r="B2122" t="s">
        <v>4561</v>
      </c>
      <c r="C2122">
        <v>20</v>
      </c>
      <c r="D2122" s="260">
        <v>46182</v>
      </c>
      <c r="E2122" s="260">
        <v>46209</v>
      </c>
      <c r="F2122">
        <v>80</v>
      </c>
      <c r="G2122" t="s">
        <v>356</v>
      </c>
    </row>
    <row r="2123" spans="1:7">
      <c r="A2123" t="s">
        <v>4562</v>
      </c>
      <c r="B2123" t="s">
        <v>4563</v>
      </c>
      <c r="C2123">
        <v>10</v>
      </c>
      <c r="D2123" s="260">
        <v>46224</v>
      </c>
      <c r="E2123" s="260">
        <v>46240</v>
      </c>
      <c r="F2123">
        <v>80</v>
      </c>
      <c r="G2123" t="s">
        <v>356</v>
      </c>
    </row>
    <row r="2124" spans="1:7">
      <c r="A2124" t="s">
        <v>4564</v>
      </c>
      <c r="B2124" t="s">
        <v>4565</v>
      </c>
      <c r="C2124">
        <v>10</v>
      </c>
      <c r="D2124" s="260">
        <v>46258</v>
      </c>
      <c r="E2124" s="260">
        <v>46269</v>
      </c>
      <c r="F2124">
        <v>80</v>
      </c>
      <c r="G2124" t="s">
        <v>356</v>
      </c>
    </row>
    <row r="2125" spans="1:7">
      <c r="A2125" t="s">
        <v>4566</v>
      </c>
      <c r="B2125" t="s">
        <v>4567</v>
      </c>
      <c r="C2125">
        <v>30</v>
      </c>
      <c r="D2125" s="260">
        <v>46282</v>
      </c>
      <c r="E2125" s="260">
        <v>46325</v>
      </c>
      <c r="F2125">
        <v>22</v>
      </c>
      <c r="G2125" t="s">
        <v>356</v>
      </c>
    </row>
    <row r="2126" spans="1:7">
      <c r="A2126" t="s">
        <v>4568</v>
      </c>
      <c r="B2126" t="s">
        <v>4569</v>
      </c>
      <c r="C2126">
        <v>10</v>
      </c>
      <c r="D2126" s="260">
        <v>46342</v>
      </c>
      <c r="E2126" s="260">
        <v>46353</v>
      </c>
      <c r="F2126">
        <v>22</v>
      </c>
      <c r="G2126" t="s">
        <v>356</v>
      </c>
    </row>
    <row r="2127" spans="1:7">
      <c r="A2127" t="s">
        <v>4570</v>
      </c>
      <c r="B2127" t="s">
        <v>4571</v>
      </c>
      <c r="C2127">
        <v>15</v>
      </c>
      <c r="D2127" s="260">
        <v>46185</v>
      </c>
      <c r="E2127" s="260">
        <v>46205</v>
      </c>
      <c r="F2127">
        <v>102</v>
      </c>
      <c r="G2127" t="s">
        <v>356</v>
      </c>
    </row>
    <row r="2128" spans="1:7">
      <c r="A2128" t="s">
        <v>4572</v>
      </c>
      <c r="B2128" t="s">
        <v>4573</v>
      </c>
      <c r="C2128">
        <v>10</v>
      </c>
      <c r="D2128" s="260">
        <v>46220</v>
      </c>
      <c r="E2128" s="260">
        <v>46238</v>
      </c>
      <c r="F2128">
        <v>102</v>
      </c>
      <c r="G2128" t="s">
        <v>356</v>
      </c>
    </row>
    <row r="2129" spans="1:7">
      <c r="A2129" t="s">
        <v>4574</v>
      </c>
      <c r="B2129" t="s">
        <v>4575</v>
      </c>
      <c r="C2129">
        <v>20</v>
      </c>
      <c r="D2129" s="260">
        <v>46113</v>
      </c>
      <c r="E2129" s="260">
        <v>46147</v>
      </c>
      <c r="F2129">
        <v>52</v>
      </c>
      <c r="G2129" t="s">
        <v>356</v>
      </c>
    </row>
    <row r="2130" spans="1:7">
      <c r="A2130" t="s">
        <v>4576</v>
      </c>
      <c r="B2130" t="s">
        <v>4577</v>
      </c>
      <c r="C2130">
        <v>10</v>
      </c>
      <c r="D2130" s="260">
        <v>46162</v>
      </c>
      <c r="E2130" s="260">
        <v>46177</v>
      </c>
      <c r="F2130">
        <v>117</v>
      </c>
      <c r="G2130" t="s">
        <v>356</v>
      </c>
    </row>
    <row r="2131" spans="1:7">
      <c r="A2131" t="s">
        <v>4578</v>
      </c>
      <c r="B2131" t="s">
        <v>4579</v>
      </c>
      <c r="C2131">
        <v>5</v>
      </c>
      <c r="D2131" s="260">
        <v>46192</v>
      </c>
      <c r="E2131" s="260">
        <v>46198</v>
      </c>
      <c r="F2131">
        <v>117</v>
      </c>
      <c r="G2131" t="s">
        <v>356</v>
      </c>
    </row>
    <row r="2132" spans="1:7">
      <c r="A2132" t="s">
        <v>4580</v>
      </c>
      <c r="B2132" t="s">
        <v>4581</v>
      </c>
      <c r="C2132">
        <v>20</v>
      </c>
      <c r="D2132" s="260">
        <v>46113</v>
      </c>
      <c r="E2132" s="260">
        <v>46147</v>
      </c>
      <c r="F2132">
        <v>52</v>
      </c>
      <c r="G2132" t="s">
        <v>356</v>
      </c>
    </row>
    <row r="2133" spans="1:7">
      <c r="A2133" t="s">
        <v>4582</v>
      </c>
      <c r="B2133" t="s">
        <v>4583</v>
      </c>
      <c r="C2133">
        <v>10</v>
      </c>
      <c r="D2133" s="260">
        <v>46162</v>
      </c>
      <c r="E2133" s="260">
        <v>46177</v>
      </c>
      <c r="F2133">
        <v>132</v>
      </c>
      <c r="G2133" t="s">
        <v>356</v>
      </c>
    </row>
    <row r="2134" spans="1:7">
      <c r="A2134" t="s">
        <v>4584</v>
      </c>
      <c r="B2134" t="s">
        <v>4585</v>
      </c>
      <c r="C2134">
        <v>20</v>
      </c>
      <c r="D2134" s="260">
        <v>46113</v>
      </c>
      <c r="E2134" s="260">
        <v>46147</v>
      </c>
      <c r="F2134">
        <v>52</v>
      </c>
      <c r="G2134" t="s">
        <v>356</v>
      </c>
    </row>
    <row r="2135" spans="1:7">
      <c r="A2135" t="s">
        <v>4586</v>
      </c>
      <c r="B2135" t="s">
        <v>4587</v>
      </c>
      <c r="C2135">
        <v>10</v>
      </c>
      <c r="D2135" s="260">
        <v>46162</v>
      </c>
      <c r="E2135" s="260">
        <v>46177</v>
      </c>
      <c r="F2135">
        <v>132</v>
      </c>
      <c r="G2135" t="s">
        <v>356</v>
      </c>
    </row>
    <row r="2136" spans="1:7">
      <c r="A2136" t="s">
        <v>4588</v>
      </c>
      <c r="B2136" t="s">
        <v>4589</v>
      </c>
      <c r="C2136">
        <v>15</v>
      </c>
      <c r="D2136" s="260">
        <v>46162</v>
      </c>
      <c r="E2136" s="260">
        <v>46184</v>
      </c>
      <c r="F2136">
        <v>27</v>
      </c>
      <c r="G2136" t="s">
        <v>356</v>
      </c>
    </row>
    <row r="2137" spans="1:7">
      <c r="A2137" t="s">
        <v>4590</v>
      </c>
      <c r="B2137" t="s">
        <v>4591</v>
      </c>
      <c r="C2137">
        <v>10</v>
      </c>
      <c r="D2137" s="260">
        <v>46199</v>
      </c>
      <c r="E2137" s="260">
        <v>46212</v>
      </c>
      <c r="F2137">
        <v>97</v>
      </c>
      <c r="G2137" t="s">
        <v>356</v>
      </c>
    </row>
    <row r="2138" spans="1:7">
      <c r="A2138" t="s">
        <v>4592</v>
      </c>
      <c r="B2138" t="s">
        <v>4593</v>
      </c>
      <c r="C2138">
        <v>10</v>
      </c>
      <c r="D2138" s="260">
        <v>46227</v>
      </c>
      <c r="E2138" s="260">
        <v>46245</v>
      </c>
      <c r="F2138">
        <v>97</v>
      </c>
      <c r="G2138" t="s">
        <v>356</v>
      </c>
    </row>
    <row r="2139" spans="1:7">
      <c r="A2139" t="s">
        <v>4594</v>
      </c>
      <c r="B2139" t="s">
        <v>4595</v>
      </c>
      <c r="C2139">
        <v>10</v>
      </c>
      <c r="D2139" s="260">
        <v>46140</v>
      </c>
      <c r="E2139" s="260">
        <v>46154</v>
      </c>
      <c r="F2139">
        <v>102</v>
      </c>
      <c r="G2139" t="s">
        <v>356</v>
      </c>
    </row>
    <row r="2140" spans="1:7">
      <c r="A2140" t="s">
        <v>4596</v>
      </c>
      <c r="B2140" t="s">
        <v>4597</v>
      </c>
      <c r="C2140">
        <v>10</v>
      </c>
      <c r="D2140" s="260">
        <v>46171</v>
      </c>
      <c r="E2140" s="260">
        <v>46188</v>
      </c>
      <c r="F2140">
        <v>105</v>
      </c>
      <c r="G2140" t="s">
        <v>356</v>
      </c>
    </row>
    <row r="2141" spans="1:7">
      <c r="A2141" t="s">
        <v>4598</v>
      </c>
      <c r="B2141" t="s">
        <v>4599</v>
      </c>
      <c r="C2141">
        <v>5</v>
      </c>
      <c r="D2141" s="260">
        <v>46203</v>
      </c>
      <c r="E2141" s="260">
        <v>46209</v>
      </c>
      <c r="F2141">
        <v>110</v>
      </c>
      <c r="G2141" t="s">
        <v>356</v>
      </c>
    </row>
    <row r="2142" spans="1:7">
      <c r="A2142" t="s">
        <v>4600</v>
      </c>
      <c r="B2142" t="s">
        <v>4601</v>
      </c>
      <c r="C2142">
        <v>15</v>
      </c>
      <c r="D2142" s="260">
        <v>46155</v>
      </c>
      <c r="E2142" s="260">
        <v>46177</v>
      </c>
      <c r="F2142">
        <v>102</v>
      </c>
      <c r="G2142" t="s">
        <v>356</v>
      </c>
    </row>
    <row r="2143" spans="1:7">
      <c r="A2143" t="s">
        <v>4602</v>
      </c>
      <c r="B2143" t="s">
        <v>4603</v>
      </c>
      <c r="C2143">
        <v>10</v>
      </c>
      <c r="D2143" s="260">
        <v>46192</v>
      </c>
      <c r="E2143" s="260">
        <v>46205</v>
      </c>
      <c r="F2143">
        <v>102</v>
      </c>
      <c r="G2143" t="s">
        <v>356</v>
      </c>
    </row>
    <row r="2144" spans="1:7">
      <c r="A2144" t="s">
        <v>4604</v>
      </c>
      <c r="B2144" t="s">
        <v>4605</v>
      </c>
      <c r="C2144">
        <v>10</v>
      </c>
      <c r="D2144" s="260">
        <v>46220</v>
      </c>
      <c r="E2144" s="260">
        <v>46238</v>
      </c>
      <c r="F2144">
        <v>102</v>
      </c>
      <c r="G2144" t="s">
        <v>356</v>
      </c>
    </row>
    <row r="2145" spans="1:7">
      <c r="A2145" t="s">
        <v>4606</v>
      </c>
      <c r="B2145" t="s">
        <v>4607</v>
      </c>
      <c r="C2145">
        <v>15</v>
      </c>
      <c r="D2145" s="260">
        <v>46155</v>
      </c>
      <c r="E2145" s="260">
        <v>46177</v>
      </c>
      <c r="F2145">
        <v>102</v>
      </c>
      <c r="G2145" t="s">
        <v>356</v>
      </c>
    </row>
    <row r="2146" spans="1:7">
      <c r="A2146" t="s">
        <v>4608</v>
      </c>
      <c r="B2146" t="s">
        <v>4609</v>
      </c>
      <c r="C2146">
        <v>10</v>
      </c>
      <c r="D2146" s="260">
        <v>46192</v>
      </c>
      <c r="E2146" s="260">
        <v>46205</v>
      </c>
      <c r="F2146">
        <v>102</v>
      </c>
      <c r="G2146" t="s">
        <v>356</v>
      </c>
    </row>
    <row r="2147" spans="1:7">
      <c r="A2147" t="s">
        <v>4610</v>
      </c>
      <c r="B2147" t="s">
        <v>4611</v>
      </c>
      <c r="C2147">
        <v>10</v>
      </c>
      <c r="D2147" s="260">
        <v>46220</v>
      </c>
      <c r="E2147" s="260">
        <v>46238</v>
      </c>
      <c r="F2147">
        <v>102</v>
      </c>
      <c r="G2147" t="s">
        <v>356</v>
      </c>
    </row>
    <row r="2148" spans="1:7">
      <c r="A2148" t="s">
        <v>4612</v>
      </c>
      <c r="B2148" t="s">
        <v>4613</v>
      </c>
      <c r="C2148">
        <v>15</v>
      </c>
      <c r="D2148" s="260">
        <v>46155</v>
      </c>
      <c r="E2148" s="260">
        <v>46177</v>
      </c>
      <c r="F2148">
        <v>102</v>
      </c>
      <c r="G2148" t="s">
        <v>356</v>
      </c>
    </row>
    <row r="2149" spans="1:7">
      <c r="A2149" t="s">
        <v>4614</v>
      </c>
      <c r="B2149" t="s">
        <v>4615</v>
      </c>
      <c r="C2149">
        <v>10</v>
      </c>
      <c r="D2149" s="260">
        <v>46192</v>
      </c>
      <c r="E2149" s="260">
        <v>46205</v>
      </c>
      <c r="F2149">
        <v>102</v>
      </c>
      <c r="G2149" t="s">
        <v>356</v>
      </c>
    </row>
    <row r="2150" spans="1:7">
      <c r="A2150" t="s">
        <v>4616</v>
      </c>
      <c r="B2150" t="s">
        <v>4617</v>
      </c>
      <c r="C2150">
        <v>10</v>
      </c>
      <c r="D2150" s="260">
        <v>46220</v>
      </c>
      <c r="E2150" s="260">
        <v>46238</v>
      </c>
      <c r="F2150">
        <v>102</v>
      </c>
      <c r="G2150" t="s">
        <v>356</v>
      </c>
    </row>
    <row r="2151" spans="1:7">
      <c r="A2151" t="s">
        <v>4618</v>
      </c>
      <c r="B2151" t="s">
        <v>4619</v>
      </c>
      <c r="C2151">
        <v>15</v>
      </c>
      <c r="D2151" s="260">
        <v>46155</v>
      </c>
      <c r="E2151" s="260">
        <v>46177</v>
      </c>
      <c r="F2151">
        <v>102</v>
      </c>
      <c r="G2151" t="s">
        <v>356</v>
      </c>
    </row>
    <row r="2152" spans="1:7">
      <c r="A2152" t="s">
        <v>4620</v>
      </c>
      <c r="B2152" t="s">
        <v>4621</v>
      </c>
      <c r="C2152">
        <v>10</v>
      </c>
      <c r="D2152" s="260">
        <v>46192</v>
      </c>
      <c r="E2152" s="260">
        <v>46205</v>
      </c>
      <c r="F2152">
        <v>102</v>
      </c>
      <c r="G2152" t="s">
        <v>356</v>
      </c>
    </row>
    <row r="2153" spans="1:7">
      <c r="A2153" t="s">
        <v>4622</v>
      </c>
      <c r="B2153" t="s">
        <v>4623</v>
      </c>
      <c r="C2153">
        <v>10</v>
      </c>
      <c r="D2153" s="260">
        <v>46220</v>
      </c>
      <c r="E2153" s="260">
        <v>46238</v>
      </c>
      <c r="F2153">
        <v>102</v>
      </c>
      <c r="G2153" t="s">
        <v>356</v>
      </c>
    </row>
    <row r="2154" spans="1:7">
      <c r="A2154" t="s">
        <v>4624</v>
      </c>
      <c r="B2154" t="s">
        <v>4625</v>
      </c>
      <c r="C2154">
        <v>15</v>
      </c>
      <c r="D2154" s="260">
        <v>46169</v>
      </c>
      <c r="E2154" s="260">
        <v>46191</v>
      </c>
      <c r="F2154">
        <v>92</v>
      </c>
      <c r="G2154" t="s">
        <v>356</v>
      </c>
    </row>
    <row r="2155" spans="1:7">
      <c r="A2155" t="s">
        <v>4626</v>
      </c>
      <c r="B2155" t="s">
        <v>4627</v>
      </c>
      <c r="C2155">
        <v>10</v>
      </c>
      <c r="D2155" s="260">
        <v>46213</v>
      </c>
      <c r="E2155" s="260">
        <v>46226</v>
      </c>
      <c r="F2155">
        <v>87</v>
      </c>
      <c r="G2155" t="s">
        <v>356</v>
      </c>
    </row>
    <row r="2156" spans="1:7">
      <c r="A2156" t="s">
        <v>4628</v>
      </c>
      <c r="B2156" t="s">
        <v>4629</v>
      </c>
      <c r="C2156">
        <v>10</v>
      </c>
      <c r="D2156" s="260">
        <v>46275</v>
      </c>
      <c r="E2156" s="260">
        <v>46288</v>
      </c>
      <c r="F2156">
        <v>67</v>
      </c>
      <c r="G2156" t="s">
        <v>356</v>
      </c>
    </row>
    <row r="2157" spans="1:7">
      <c r="A2157" t="s">
        <v>4630</v>
      </c>
      <c r="B2157" t="s">
        <v>4631</v>
      </c>
      <c r="C2157">
        <v>15</v>
      </c>
      <c r="D2157" s="260">
        <v>46169</v>
      </c>
      <c r="E2157" s="260">
        <v>46191</v>
      </c>
      <c r="F2157">
        <v>92</v>
      </c>
      <c r="G2157" t="s">
        <v>356</v>
      </c>
    </row>
    <row r="2158" spans="1:7">
      <c r="A2158" t="s">
        <v>4632</v>
      </c>
      <c r="B2158" t="s">
        <v>4633</v>
      </c>
      <c r="C2158">
        <v>10</v>
      </c>
      <c r="D2158" s="260">
        <v>46213</v>
      </c>
      <c r="E2158" s="260">
        <v>46226</v>
      </c>
      <c r="F2158">
        <v>87</v>
      </c>
      <c r="G2158" t="s">
        <v>356</v>
      </c>
    </row>
    <row r="2159" spans="1:7">
      <c r="A2159" t="s">
        <v>4634</v>
      </c>
      <c r="B2159" t="s">
        <v>4635</v>
      </c>
      <c r="C2159">
        <v>10</v>
      </c>
      <c r="D2159" s="260">
        <v>46275</v>
      </c>
      <c r="E2159" s="260">
        <v>46288</v>
      </c>
      <c r="F2159">
        <v>67</v>
      </c>
      <c r="G2159" t="s">
        <v>356</v>
      </c>
    </row>
    <row r="2160" spans="1:7">
      <c r="A2160" t="s">
        <v>4636</v>
      </c>
      <c r="B2160" t="s">
        <v>4637</v>
      </c>
      <c r="C2160">
        <v>15</v>
      </c>
      <c r="D2160" s="260">
        <v>46169</v>
      </c>
      <c r="E2160" s="260">
        <v>46191</v>
      </c>
      <c r="F2160">
        <v>32</v>
      </c>
      <c r="G2160" t="s">
        <v>356</v>
      </c>
    </row>
    <row r="2161" spans="1:7">
      <c r="A2161" t="s">
        <v>4638</v>
      </c>
      <c r="B2161" t="s">
        <v>4639</v>
      </c>
      <c r="C2161">
        <v>10</v>
      </c>
      <c r="D2161" s="260">
        <v>46213</v>
      </c>
      <c r="E2161" s="260">
        <v>46226</v>
      </c>
      <c r="F2161">
        <v>77</v>
      </c>
      <c r="G2161" t="s">
        <v>356</v>
      </c>
    </row>
    <row r="2162" spans="1:7">
      <c r="A2162" t="s">
        <v>4640</v>
      </c>
      <c r="B2162" t="s">
        <v>4641</v>
      </c>
      <c r="C2162">
        <v>10</v>
      </c>
      <c r="D2162" s="260">
        <v>46275</v>
      </c>
      <c r="E2162" s="260">
        <v>46288</v>
      </c>
      <c r="F2162">
        <v>67</v>
      </c>
      <c r="G2162" t="s">
        <v>356</v>
      </c>
    </row>
    <row r="2163" spans="1:7">
      <c r="A2163" t="s">
        <v>4642</v>
      </c>
      <c r="B2163" t="s">
        <v>4643</v>
      </c>
      <c r="C2163">
        <v>15</v>
      </c>
      <c r="D2163" s="260">
        <v>46169</v>
      </c>
      <c r="E2163" s="260">
        <v>46191</v>
      </c>
      <c r="F2163">
        <v>77</v>
      </c>
      <c r="G2163" t="s">
        <v>356</v>
      </c>
    </row>
    <row r="2164" spans="1:7">
      <c r="A2164" t="s">
        <v>4644</v>
      </c>
      <c r="B2164" t="s">
        <v>4645</v>
      </c>
      <c r="C2164">
        <v>10</v>
      </c>
      <c r="D2164" s="260">
        <v>46213</v>
      </c>
      <c r="E2164" s="260">
        <v>46226</v>
      </c>
      <c r="F2164">
        <v>77</v>
      </c>
      <c r="G2164" t="s">
        <v>356</v>
      </c>
    </row>
    <row r="2165" spans="1:7">
      <c r="A2165" t="s">
        <v>4646</v>
      </c>
      <c r="B2165" t="s">
        <v>4647</v>
      </c>
      <c r="C2165">
        <v>10</v>
      </c>
      <c r="D2165" s="260">
        <v>46275</v>
      </c>
      <c r="E2165" s="260">
        <v>46288</v>
      </c>
      <c r="F2165">
        <v>67</v>
      </c>
      <c r="G2165" t="s">
        <v>356</v>
      </c>
    </row>
    <row r="2166" spans="1:7">
      <c r="A2166" t="s">
        <v>4648</v>
      </c>
      <c r="B2166" t="s">
        <v>4649</v>
      </c>
      <c r="C2166">
        <v>15</v>
      </c>
      <c r="D2166" s="260">
        <v>46192</v>
      </c>
      <c r="E2166" s="260">
        <v>46212</v>
      </c>
      <c r="F2166">
        <v>32</v>
      </c>
      <c r="G2166" t="s">
        <v>356</v>
      </c>
    </row>
    <row r="2167" spans="1:7">
      <c r="A2167" t="s">
        <v>4650</v>
      </c>
      <c r="B2167" t="s">
        <v>4651</v>
      </c>
      <c r="C2167">
        <v>10</v>
      </c>
      <c r="D2167" s="260">
        <v>46227</v>
      </c>
      <c r="E2167" s="260">
        <v>46245</v>
      </c>
      <c r="F2167">
        <v>77</v>
      </c>
      <c r="G2167" t="s">
        <v>356</v>
      </c>
    </row>
    <row r="2168" spans="1:7">
      <c r="A2168" t="s">
        <v>4652</v>
      </c>
      <c r="B2168" t="s">
        <v>4653</v>
      </c>
      <c r="C2168">
        <v>10</v>
      </c>
      <c r="D2168" s="260">
        <v>46261</v>
      </c>
      <c r="E2168" s="260">
        <v>46274</v>
      </c>
      <c r="F2168">
        <v>77</v>
      </c>
      <c r="G2168" t="s">
        <v>356</v>
      </c>
    </row>
    <row r="2169" spans="1:7">
      <c r="A2169" t="s">
        <v>4654</v>
      </c>
      <c r="B2169" t="s">
        <v>4655</v>
      </c>
      <c r="C2169">
        <v>15</v>
      </c>
      <c r="D2169" s="260">
        <v>46192</v>
      </c>
      <c r="E2169" s="260">
        <v>46212</v>
      </c>
      <c r="F2169">
        <v>77</v>
      </c>
      <c r="G2169" t="s">
        <v>356</v>
      </c>
    </row>
    <row r="2170" spans="1:7">
      <c r="A2170" t="s">
        <v>4656</v>
      </c>
      <c r="B2170" t="s">
        <v>4657</v>
      </c>
      <c r="C2170">
        <v>10</v>
      </c>
      <c r="D2170" s="260">
        <v>46227</v>
      </c>
      <c r="E2170" s="260">
        <v>46245</v>
      </c>
      <c r="F2170">
        <v>77</v>
      </c>
      <c r="G2170" t="s">
        <v>356</v>
      </c>
    </row>
    <row r="2171" spans="1:7">
      <c r="A2171" t="s">
        <v>4658</v>
      </c>
      <c r="B2171" t="s">
        <v>4659</v>
      </c>
      <c r="C2171">
        <v>10</v>
      </c>
      <c r="D2171" s="260">
        <v>46261</v>
      </c>
      <c r="E2171" s="260">
        <v>46274</v>
      </c>
      <c r="F2171">
        <v>77</v>
      </c>
      <c r="G2171" t="s">
        <v>356</v>
      </c>
    </row>
    <row r="2172" spans="1:7">
      <c r="A2172" t="s">
        <v>4660</v>
      </c>
      <c r="B2172" t="s">
        <v>4661</v>
      </c>
      <c r="C2172">
        <v>15</v>
      </c>
      <c r="D2172" s="260">
        <v>46192</v>
      </c>
      <c r="E2172" s="260">
        <v>46212</v>
      </c>
      <c r="F2172">
        <v>32</v>
      </c>
      <c r="G2172" t="s">
        <v>356</v>
      </c>
    </row>
    <row r="2173" spans="1:7">
      <c r="A2173" t="s">
        <v>4662</v>
      </c>
      <c r="B2173" t="s">
        <v>4663</v>
      </c>
      <c r="C2173">
        <v>10</v>
      </c>
      <c r="D2173" s="260">
        <v>46227</v>
      </c>
      <c r="E2173" s="260">
        <v>46245</v>
      </c>
      <c r="F2173">
        <v>62</v>
      </c>
      <c r="G2173" t="s">
        <v>356</v>
      </c>
    </row>
    <row r="2174" spans="1:7">
      <c r="A2174" t="s">
        <v>4664</v>
      </c>
      <c r="B2174" t="s">
        <v>4665</v>
      </c>
      <c r="C2174">
        <v>10</v>
      </c>
      <c r="D2174" s="260">
        <v>46261</v>
      </c>
      <c r="E2174" s="260">
        <v>46274</v>
      </c>
      <c r="F2174">
        <v>62</v>
      </c>
      <c r="G2174" t="s">
        <v>356</v>
      </c>
    </row>
    <row r="2175" spans="1:7">
      <c r="A2175" t="s">
        <v>4666</v>
      </c>
      <c r="B2175" t="s">
        <v>4667</v>
      </c>
      <c r="C2175">
        <v>15</v>
      </c>
      <c r="D2175" s="260">
        <v>46192</v>
      </c>
      <c r="E2175" s="260">
        <v>46212</v>
      </c>
      <c r="F2175">
        <v>32</v>
      </c>
      <c r="G2175" t="s">
        <v>356</v>
      </c>
    </row>
    <row r="2176" spans="1:7">
      <c r="A2176" t="s">
        <v>4668</v>
      </c>
      <c r="B2176" t="s">
        <v>4669</v>
      </c>
      <c r="C2176">
        <v>10</v>
      </c>
      <c r="D2176" s="260">
        <v>46227</v>
      </c>
      <c r="E2176" s="260">
        <v>46245</v>
      </c>
      <c r="F2176">
        <v>62</v>
      </c>
      <c r="G2176" t="s">
        <v>356</v>
      </c>
    </row>
    <row r="2177" spans="1:7">
      <c r="A2177" t="s">
        <v>4670</v>
      </c>
      <c r="B2177" t="s">
        <v>4671</v>
      </c>
      <c r="C2177">
        <v>10</v>
      </c>
      <c r="D2177" s="260">
        <v>46261</v>
      </c>
      <c r="E2177" s="260">
        <v>46274</v>
      </c>
      <c r="F2177">
        <v>62</v>
      </c>
      <c r="G2177" t="s">
        <v>356</v>
      </c>
    </row>
    <row r="2178" spans="1:7">
      <c r="A2178" t="s">
        <v>4672</v>
      </c>
      <c r="C2178">
        <v>85</v>
      </c>
      <c r="D2178" s="260">
        <v>46185</v>
      </c>
      <c r="E2178" s="260">
        <v>46310</v>
      </c>
      <c r="F2178">
        <v>52</v>
      </c>
      <c r="G2178" t="s">
        <v>356</v>
      </c>
    </row>
    <row r="2179" spans="1:7">
      <c r="A2179" t="s">
        <v>4673</v>
      </c>
      <c r="B2179" t="s">
        <v>4674</v>
      </c>
      <c r="C2179">
        <v>15</v>
      </c>
      <c r="D2179" s="260">
        <v>46185</v>
      </c>
      <c r="E2179" s="260">
        <v>46205</v>
      </c>
      <c r="F2179">
        <v>27</v>
      </c>
      <c r="G2179" t="s">
        <v>356</v>
      </c>
    </row>
    <row r="2180" spans="1:7">
      <c r="A2180" t="s">
        <v>4675</v>
      </c>
      <c r="B2180" t="s">
        <v>4676</v>
      </c>
      <c r="C2180">
        <v>10</v>
      </c>
      <c r="D2180" s="260">
        <v>46296</v>
      </c>
      <c r="E2180" s="260">
        <v>46310</v>
      </c>
      <c r="F2180">
        <v>52</v>
      </c>
      <c r="G2180" t="s">
        <v>356</v>
      </c>
    </row>
    <row r="2181" spans="1:7">
      <c r="A2181" t="s">
        <v>4677</v>
      </c>
      <c r="B2181" t="s">
        <v>4678</v>
      </c>
      <c r="C2181">
        <v>15</v>
      </c>
      <c r="D2181" s="260">
        <v>46185</v>
      </c>
      <c r="E2181" s="260">
        <v>46205</v>
      </c>
      <c r="F2181">
        <v>27</v>
      </c>
      <c r="G2181" t="s">
        <v>356</v>
      </c>
    </row>
    <row r="2182" spans="1:7">
      <c r="A2182" t="s">
        <v>4679</v>
      </c>
      <c r="B2182" t="s">
        <v>4680</v>
      </c>
      <c r="C2182">
        <v>10</v>
      </c>
      <c r="D2182" s="260">
        <v>46296</v>
      </c>
      <c r="E2182" s="260">
        <v>46310</v>
      </c>
      <c r="F2182">
        <v>52</v>
      </c>
      <c r="G2182" t="s">
        <v>356</v>
      </c>
    </row>
    <row r="2183" spans="1:7">
      <c r="A2183" t="s">
        <v>4681</v>
      </c>
      <c r="B2183" t="s">
        <v>4682</v>
      </c>
      <c r="C2183">
        <v>15</v>
      </c>
      <c r="D2183" s="260">
        <v>46185</v>
      </c>
      <c r="E2183" s="260">
        <v>46205</v>
      </c>
      <c r="F2183">
        <v>27</v>
      </c>
      <c r="G2183" t="s">
        <v>356</v>
      </c>
    </row>
    <row r="2184" spans="1:7">
      <c r="A2184" t="s">
        <v>4683</v>
      </c>
      <c r="B2184" t="s">
        <v>4684</v>
      </c>
      <c r="C2184">
        <v>10</v>
      </c>
      <c r="D2184" s="260">
        <v>46296</v>
      </c>
      <c r="E2184" s="260">
        <v>46310</v>
      </c>
      <c r="F2184">
        <v>52</v>
      </c>
      <c r="G2184" t="s">
        <v>356</v>
      </c>
    </row>
    <row r="2185" spans="1:7">
      <c r="A2185" t="s">
        <v>4685</v>
      </c>
      <c r="C2185">
        <v>95</v>
      </c>
      <c r="D2185" s="260">
        <v>46206</v>
      </c>
      <c r="E2185" s="260">
        <v>46346</v>
      </c>
      <c r="F2185">
        <v>27</v>
      </c>
      <c r="G2185" t="s">
        <v>356</v>
      </c>
    </row>
    <row r="2186" spans="1:7">
      <c r="A2186" t="s">
        <v>4686</v>
      </c>
      <c r="B2186" t="s">
        <v>4687</v>
      </c>
      <c r="C2186">
        <v>10</v>
      </c>
      <c r="D2186" s="260">
        <v>46206</v>
      </c>
      <c r="E2186" s="260">
        <v>46219</v>
      </c>
      <c r="F2186">
        <v>27</v>
      </c>
      <c r="G2186" t="s">
        <v>356</v>
      </c>
    </row>
    <row r="2187" spans="1:7">
      <c r="A2187" t="s">
        <v>4688</v>
      </c>
      <c r="B2187" t="s">
        <v>4689</v>
      </c>
      <c r="C2187">
        <v>5</v>
      </c>
      <c r="D2187" s="260">
        <v>46342</v>
      </c>
      <c r="E2187" s="260">
        <v>46346</v>
      </c>
      <c r="F2187">
        <v>27</v>
      </c>
      <c r="G2187" t="s">
        <v>356</v>
      </c>
    </row>
    <row r="2188" spans="1:7">
      <c r="A2188" t="s">
        <v>4690</v>
      </c>
      <c r="B2188" t="s">
        <v>4691</v>
      </c>
      <c r="C2188">
        <v>10</v>
      </c>
      <c r="D2188" s="260">
        <v>46206</v>
      </c>
      <c r="E2188" s="260">
        <v>46219</v>
      </c>
      <c r="F2188">
        <v>27</v>
      </c>
      <c r="G2188" t="s">
        <v>356</v>
      </c>
    </row>
    <row r="2189" spans="1:7">
      <c r="A2189" t="s">
        <v>4692</v>
      </c>
      <c r="B2189" t="s">
        <v>4693</v>
      </c>
      <c r="C2189">
        <v>5</v>
      </c>
      <c r="D2189" s="260">
        <v>46342</v>
      </c>
      <c r="E2189" s="260">
        <v>46346</v>
      </c>
      <c r="F2189">
        <v>27</v>
      </c>
      <c r="G2189" t="s">
        <v>356</v>
      </c>
    </row>
    <row r="2190" spans="1:7">
      <c r="A2190" t="s">
        <v>4694</v>
      </c>
      <c r="B2190" t="s">
        <v>4695</v>
      </c>
      <c r="C2190">
        <v>10</v>
      </c>
      <c r="D2190" s="260">
        <v>46206</v>
      </c>
      <c r="E2190" s="260">
        <v>46219</v>
      </c>
      <c r="F2190">
        <v>27</v>
      </c>
      <c r="G2190" t="s">
        <v>356</v>
      </c>
    </row>
    <row r="2191" spans="1:7">
      <c r="A2191" t="s">
        <v>4696</v>
      </c>
      <c r="B2191" t="s">
        <v>4697</v>
      </c>
      <c r="C2191">
        <v>5</v>
      </c>
      <c r="D2191" s="260">
        <v>46342</v>
      </c>
      <c r="E2191" s="260">
        <v>46346</v>
      </c>
      <c r="F2191">
        <v>27</v>
      </c>
      <c r="G2191" t="s">
        <v>356</v>
      </c>
    </row>
    <row r="2192" spans="1:7">
      <c r="A2192" t="s">
        <v>4698</v>
      </c>
      <c r="C2192">
        <v>60</v>
      </c>
      <c r="D2192" s="260">
        <v>46254</v>
      </c>
      <c r="E2192" s="260">
        <v>46339</v>
      </c>
      <c r="F2192">
        <v>27</v>
      </c>
      <c r="G2192" t="s">
        <v>356</v>
      </c>
    </row>
    <row r="2193" spans="1:7">
      <c r="A2193" t="s">
        <v>4699</v>
      </c>
      <c r="B2193" t="s">
        <v>4700</v>
      </c>
      <c r="C2193">
        <v>20</v>
      </c>
      <c r="D2193" s="260">
        <v>46254</v>
      </c>
      <c r="E2193" s="260">
        <v>46281</v>
      </c>
      <c r="F2193">
        <v>27</v>
      </c>
      <c r="G2193" t="s">
        <v>356</v>
      </c>
    </row>
    <row r="2194" spans="1:7">
      <c r="A2194" t="s">
        <v>4701</v>
      </c>
      <c r="B2194" t="s">
        <v>4702</v>
      </c>
      <c r="C2194">
        <v>10</v>
      </c>
      <c r="D2194" s="260">
        <v>46296</v>
      </c>
      <c r="E2194" s="260">
        <v>46310</v>
      </c>
      <c r="F2194">
        <v>27</v>
      </c>
      <c r="G2194" t="s">
        <v>356</v>
      </c>
    </row>
    <row r="2195" spans="1:7">
      <c r="A2195" t="s">
        <v>4703</v>
      </c>
      <c r="B2195" t="s">
        <v>4704</v>
      </c>
      <c r="C2195">
        <v>10</v>
      </c>
      <c r="D2195" s="260">
        <v>46328</v>
      </c>
      <c r="E2195" s="260">
        <v>46339</v>
      </c>
      <c r="F2195">
        <v>27</v>
      </c>
      <c r="G2195" t="s">
        <v>356</v>
      </c>
    </row>
    <row r="2196" spans="1:7">
      <c r="A2196" t="s">
        <v>4705</v>
      </c>
      <c r="B2196" t="s">
        <v>4706</v>
      </c>
      <c r="C2196">
        <v>20</v>
      </c>
      <c r="D2196" s="260">
        <v>46254</v>
      </c>
      <c r="E2196" s="260">
        <v>46281</v>
      </c>
      <c r="F2196">
        <v>27</v>
      </c>
      <c r="G2196" t="s">
        <v>356</v>
      </c>
    </row>
    <row r="2197" spans="1:7">
      <c r="A2197" t="s">
        <v>4707</v>
      </c>
      <c r="B2197" t="s">
        <v>4708</v>
      </c>
      <c r="C2197">
        <v>10</v>
      </c>
      <c r="D2197" s="260">
        <v>46296</v>
      </c>
      <c r="E2197" s="260">
        <v>46310</v>
      </c>
      <c r="F2197">
        <v>27</v>
      </c>
      <c r="G2197" t="s">
        <v>356</v>
      </c>
    </row>
    <row r="2198" spans="1:7">
      <c r="A2198" t="s">
        <v>4709</v>
      </c>
      <c r="B2198" t="s">
        <v>4710</v>
      </c>
      <c r="C2198">
        <v>10</v>
      </c>
      <c r="D2198" s="260">
        <v>46328</v>
      </c>
      <c r="E2198" s="260">
        <v>46339</v>
      </c>
      <c r="F2198">
        <v>27</v>
      </c>
      <c r="G2198" t="s">
        <v>356</v>
      </c>
    </row>
    <row r="2199" spans="1:7">
      <c r="A2199" t="s">
        <v>4711</v>
      </c>
      <c r="B2199" t="s">
        <v>4712</v>
      </c>
      <c r="C2199">
        <v>20</v>
      </c>
      <c r="D2199" s="260">
        <v>46254</v>
      </c>
      <c r="E2199" s="260">
        <v>46281</v>
      </c>
      <c r="F2199">
        <v>27</v>
      </c>
      <c r="G2199" t="s">
        <v>356</v>
      </c>
    </row>
    <row r="2200" spans="1:7">
      <c r="A2200" t="s">
        <v>4713</v>
      </c>
      <c r="B2200" t="s">
        <v>4714</v>
      </c>
      <c r="C2200">
        <v>10</v>
      </c>
      <c r="D2200" s="260">
        <v>46296</v>
      </c>
      <c r="E2200" s="260">
        <v>46310</v>
      </c>
      <c r="F2200">
        <v>27</v>
      </c>
      <c r="G2200" t="s">
        <v>356</v>
      </c>
    </row>
    <row r="2201" spans="1:7">
      <c r="A2201" t="s">
        <v>4715</v>
      </c>
      <c r="B2201" t="s">
        <v>4716</v>
      </c>
      <c r="C2201">
        <v>10</v>
      </c>
      <c r="D2201" s="260">
        <v>46328</v>
      </c>
      <c r="E2201" s="260">
        <v>46339</v>
      </c>
      <c r="F2201">
        <v>27</v>
      </c>
      <c r="G2201" t="s">
        <v>356</v>
      </c>
    </row>
    <row r="2202" spans="1:7">
      <c r="A2202" t="s">
        <v>680</v>
      </c>
      <c r="C2202">
        <v>10</v>
      </c>
      <c r="D2202" s="260">
        <v>46167</v>
      </c>
      <c r="E2202" s="260">
        <v>46182</v>
      </c>
      <c r="F2202">
        <v>99</v>
      </c>
      <c r="G2202" t="s">
        <v>356</v>
      </c>
    </row>
    <row r="2203" spans="1:7">
      <c r="A2203" t="s">
        <v>4717</v>
      </c>
      <c r="B2203" t="s">
        <v>4718</v>
      </c>
      <c r="C2203">
        <v>10</v>
      </c>
      <c r="D2203" s="260">
        <v>46167</v>
      </c>
      <c r="E2203" s="260">
        <v>46182</v>
      </c>
      <c r="F2203">
        <v>99</v>
      </c>
      <c r="G2203" t="s">
        <v>356</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W247"/>
  <sheetViews>
    <sheetView view="pageBreakPreview" zoomScale="85" zoomScaleNormal="55" workbookViewId="0">
      <pane xSplit="10" ySplit="16" topLeftCell="R23" activePane="bottomRight" state="frozen"/>
      <selection pane="topRight"/>
      <selection pane="bottomLeft"/>
      <selection pane="bottomRight" activeCell="Y35" sqref="Y35:Y37"/>
    </sheetView>
  </sheetViews>
  <sheetFormatPr defaultColWidth="10.69921875" defaultRowHeight="18"/>
  <cols>
    <col min="1" max="1" width="3.796875" style="170" customWidth="1"/>
    <col min="2" max="2" width="11.09765625" style="170" customWidth="1"/>
    <col min="3" max="3" width="10.69921875" style="24" customWidth="1"/>
    <col min="4" max="4" width="19.796875" style="24" customWidth="1"/>
    <col min="5" max="5" width="17.796875" style="24" customWidth="1"/>
    <col min="6" max="6" width="11.796875" style="24" customWidth="1"/>
    <col min="7" max="7" width="10.796875" style="171" customWidth="1"/>
    <col min="8" max="9" width="10.3984375" style="172" customWidth="1"/>
    <col min="10" max="10" width="8.3984375" style="172" customWidth="1"/>
    <col min="11" max="11" width="11" style="172" customWidth="1"/>
    <col min="12" max="15" width="11" style="173" customWidth="1"/>
    <col min="16" max="16" width="11" style="174" customWidth="1"/>
    <col min="17" max="17" width="11" style="175" customWidth="1"/>
    <col min="18" max="21" width="11" style="173" customWidth="1"/>
    <col min="22" max="22" width="10.3984375" style="173" customWidth="1"/>
    <col min="23" max="23" width="10.3984375" style="176" customWidth="1"/>
    <col min="24" max="25" width="10.3984375" style="173" customWidth="1"/>
    <col min="26" max="27" width="10.3984375" style="177" customWidth="1"/>
    <col min="28" max="28" width="10.3984375" style="178" customWidth="1"/>
    <col min="29" max="39" width="10.69921875" style="172" customWidth="1"/>
    <col min="40" max="40" width="10.69921875" style="172"/>
    <col min="41" max="41" width="10.69921875" style="172" customWidth="1"/>
    <col min="42" max="44" width="11" style="173" customWidth="1"/>
    <col min="45" max="45" width="10.3984375" style="179" customWidth="1"/>
    <col min="46" max="47" width="10.69921875" style="172" customWidth="1"/>
    <col min="48" max="48" width="10.69921875" style="172"/>
    <col min="49" max="49" width="10.69921875" style="180" customWidth="1"/>
    <col min="50" max="16384" width="10.69921875" style="172"/>
  </cols>
  <sheetData>
    <row r="1" spans="1:49" ht="53.1" customHeight="1">
      <c r="A1" s="35" t="s">
        <v>4719</v>
      </c>
      <c r="B1" s="35"/>
      <c r="G1" s="25"/>
      <c r="H1" s="25"/>
      <c r="I1" s="25" t="s">
        <v>4720</v>
      </c>
      <c r="J1" s="38"/>
      <c r="K1" s="38"/>
      <c r="L1" s="181"/>
      <c r="M1" s="181"/>
      <c r="N1" s="181"/>
      <c r="O1" s="181"/>
      <c r="P1" s="182"/>
      <c r="Q1" s="183"/>
      <c r="R1" s="181"/>
      <c r="S1" s="181"/>
      <c r="T1" s="181"/>
      <c r="U1" s="181"/>
      <c r="V1" s="181"/>
      <c r="W1" s="184"/>
      <c r="X1" s="185"/>
      <c r="Y1" s="186"/>
      <c r="Z1" s="187"/>
      <c r="AA1" s="187"/>
      <c r="AB1" s="188"/>
      <c r="AP1" s="181"/>
      <c r="AQ1" s="181"/>
      <c r="AR1" s="181"/>
      <c r="AS1" s="189"/>
    </row>
    <row r="2" spans="1:49" ht="53.1" hidden="1" customHeight="1">
      <c r="A2" s="35"/>
      <c r="B2" s="35"/>
      <c r="G2" s="25"/>
      <c r="H2" s="25"/>
      <c r="I2" s="25"/>
      <c r="J2" s="38"/>
      <c r="K2" s="38"/>
      <c r="L2" s="181"/>
      <c r="M2" s="181"/>
      <c r="N2" s="181"/>
      <c r="O2" s="181"/>
      <c r="P2" s="182"/>
      <c r="Q2" s="183"/>
      <c r="R2" s="181"/>
      <c r="S2" s="181"/>
      <c r="T2" s="181"/>
      <c r="U2" s="181"/>
      <c r="V2" s="181"/>
      <c r="W2" s="184"/>
      <c r="X2" s="185"/>
      <c r="Y2" s="186"/>
      <c r="Z2" s="187"/>
      <c r="AA2" s="187"/>
      <c r="AB2" s="188"/>
      <c r="AP2" s="181"/>
      <c r="AQ2" s="181"/>
      <c r="AR2" s="181"/>
      <c r="AS2" s="189"/>
    </row>
    <row r="3" spans="1:49" ht="53.1" hidden="1" customHeight="1">
      <c r="A3" s="35"/>
      <c r="B3" s="35"/>
      <c r="G3" s="25"/>
      <c r="H3" s="25"/>
      <c r="I3" s="25"/>
      <c r="J3" s="38"/>
      <c r="K3" s="38"/>
      <c r="L3" s="181"/>
      <c r="M3" s="181"/>
      <c r="N3" s="181"/>
      <c r="O3" s="181"/>
      <c r="P3" s="182"/>
      <c r="Q3" s="183"/>
      <c r="R3" s="181"/>
      <c r="S3" s="181"/>
      <c r="T3" s="181"/>
      <c r="U3" s="181"/>
      <c r="V3" s="181"/>
      <c r="W3" s="184"/>
      <c r="X3" s="185"/>
      <c r="Y3" s="186"/>
      <c r="Z3" s="187"/>
      <c r="AA3" s="187"/>
      <c r="AB3" s="188"/>
      <c r="AP3" s="181"/>
      <c r="AQ3" s="181"/>
      <c r="AR3" s="181"/>
      <c r="AS3" s="189"/>
    </row>
    <row r="4" spans="1:49" ht="53.1" hidden="1" customHeight="1">
      <c r="A4" s="35"/>
      <c r="B4" s="35"/>
      <c r="G4" s="25"/>
      <c r="H4" s="25"/>
      <c r="I4" s="25"/>
      <c r="J4" s="38"/>
      <c r="K4" s="38"/>
      <c r="L4" s="181"/>
      <c r="M4" s="181"/>
      <c r="N4" s="181"/>
      <c r="O4" s="181"/>
      <c r="P4" s="182"/>
      <c r="Q4" s="183"/>
      <c r="R4" s="181"/>
      <c r="S4" s="181"/>
      <c r="T4" s="181"/>
      <c r="U4" s="181"/>
      <c r="V4" s="181"/>
      <c r="W4" s="184"/>
      <c r="X4" s="185"/>
      <c r="Y4" s="186"/>
      <c r="Z4" s="187"/>
      <c r="AA4" s="187"/>
      <c r="AB4" s="188"/>
      <c r="AP4" s="181"/>
      <c r="AQ4" s="181"/>
      <c r="AR4" s="181"/>
      <c r="AS4" s="189"/>
    </row>
    <row r="5" spans="1:49" ht="53.1" hidden="1" customHeight="1">
      <c r="A5" s="35"/>
      <c r="B5" s="35"/>
      <c r="G5" s="25"/>
      <c r="H5" s="25"/>
      <c r="I5" s="25"/>
      <c r="J5" s="38"/>
      <c r="K5" s="38"/>
      <c r="L5" s="181"/>
      <c r="M5" s="181"/>
      <c r="N5" s="181"/>
      <c r="O5" s="181"/>
      <c r="P5" s="182"/>
      <c r="Q5" s="183"/>
      <c r="R5" s="181"/>
      <c r="S5" s="181"/>
      <c r="T5" s="181"/>
      <c r="U5" s="181"/>
      <c r="V5" s="181"/>
      <c r="W5" s="184"/>
      <c r="X5" s="185"/>
      <c r="Y5" s="186"/>
      <c r="Z5" s="187"/>
      <c r="AA5" s="187"/>
      <c r="AB5" s="188"/>
      <c r="AP5" s="181"/>
      <c r="AQ5" s="181"/>
      <c r="AR5" s="181"/>
      <c r="AS5" s="189"/>
    </row>
    <row r="6" spans="1:49" ht="53.1" hidden="1" customHeight="1">
      <c r="A6" s="35"/>
      <c r="B6" s="35"/>
      <c r="G6" s="25"/>
      <c r="H6" s="25"/>
      <c r="I6" s="25"/>
      <c r="J6" s="38"/>
      <c r="K6" s="38"/>
      <c r="L6" s="181"/>
      <c r="M6" s="181"/>
      <c r="N6" s="181"/>
      <c r="O6" s="181"/>
      <c r="P6" s="182"/>
      <c r="Q6" s="183"/>
      <c r="R6" s="181"/>
      <c r="S6" s="181"/>
      <c r="T6" s="181"/>
      <c r="U6" s="181"/>
      <c r="V6" s="181"/>
      <c r="W6" s="184"/>
      <c r="X6" s="185"/>
      <c r="Y6" s="186"/>
      <c r="Z6" s="187"/>
      <c r="AA6" s="187"/>
      <c r="AB6" s="188"/>
      <c r="AP6" s="181"/>
      <c r="AQ6" s="181"/>
      <c r="AR6" s="181"/>
      <c r="AS6" s="189"/>
    </row>
    <row r="7" spans="1:49" ht="53.1" hidden="1" customHeight="1">
      <c r="A7" s="35"/>
      <c r="B7" s="35"/>
      <c r="G7" s="25"/>
      <c r="H7" s="25"/>
      <c r="I7" s="25"/>
      <c r="J7" s="38"/>
      <c r="K7" s="38"/>
      <c r="L7" s="181"/>
      <c r="M7" s="181"/>
      <c r="N7" s="181"/>
      <c r="O7" s="181"/>
      <c r="P7" s="182"/>
      <c r="Q7" s="183"/>
      <c r="R7" s="181"/>
      <c r="S7" s="181"/>
      <c r="T7" s="181"/>
      <c r="U7" s="181"/>
      <c r="V7" s="181"/>
      <c r="W7" s="184"/>
      <c r="X7" s="185"/>
      <c r="Y7" s="186"/>
      <c r="Z7" s="187"/>
      <c r="AA7" s="187"/>
      <c r="AB7" s="188"/>
      <c r="AP7" s="181"/>
      <c r="AQ7" s="181"/>
      <c r="AR7" s="181"/>
      <c r="AS7" s="189"/>
    </row>
    <row r="8" spans="1:49" ht="53.1" hidden="1" customHeight="1">
      <c r="A8" s="35"/>
      <c r="B8" s="35"/>
      <c r="G8" s="25"/>
      <c r="H8" s="25"/>
      <c r="I8" s="25"/>
      <c r="J8" s="38"/>
      <c r="K8" s="38"/>
      <c r="L8" s="181"/>
      <c r="M8" s="181"/>
      <c r="N8" s="181"/>
      <c r="O8" s="181"/>
      <c r="P8" s="182"/>
      <c r="Q8" s="183"/>
      <c r="R8" s="181"/>
      <c r="S8" s="181"/>
      <c r="T8" s="181"/>
      <c r="U8" s="181"/>
      <c r="V8" s="181"/>
      <c r="W8" s="184"/>
      <c r="X8" s="185"/>
      <c r="Y8" s="186"/>
      <c r="Z8" s="187"/>
      <c r="AA8" s="187"/>
      <c r="AB8" s="188"/>
      <c r="AP8" s="181"/>
      <c r="AQ8" s="181"/>
      <c r="AR8" s="181"/>
      <c r="AS8" s="189"/>
    </row>
    <row r="9" spans="1:49" ht="53.1" hidden="1" customHeight="1">
      <c r="A9" s="35"/>
      <c r="B9" s="35"/>
      <c r="G9" s="25"/>
      <c r="H9" s="25"/>
      <c r="I9" s="25"/>
      <c r="J9" s="38"/>
      <c r="K9" s="38"/>
      <c r="L9" s="181"/>
      <c r="M9" s="181"/>
      <c r="N9" s="181"/>
      <c r="O9" s="181"/>
      <c r="P9" s="182"/>
      <c r="Q9" s="183"/>
      <c r="R9" s="181"/>
      <c r="S9" s="181"/>
      <c r="T9" s="181"/>
      <c r="U9" s="181"/>
      <c r="V9" s="181"/>
      <c r="W9" s="184"/>
      <c r="X9" s="185"/>
      <c r="Y9" s="186"/>
      <c r="Z9" s="187"/>
      <c r="AA9" s="187"/>
      <c r="AB9" s="188"/>
      <c r="AP9" s="181"/>
      <c r="AQ9" s="181"/>
      <c r="AR9" s="181"/>
      <c r="AS9" s="189"/>
    </row>
    <row r="10" spans="1:49" ht="53.1" hidden="1" customHeight="1">
      <c r="A10" s="35"/>
      <c r="B10" s="35"/>
      <c r="G10" s="25"/>
      <c r="H10" s="25"/>
      <c r="I10" s="25"/>
      <c r="J10" s="38"/>
      <c r="K10" s="38"/>
      <c r="L10" s="181"/>
      <c r="M10" s="181"/>
      <c r="N10" s="181"/>
      <c r="O10" s="181"/>
      <c r="P10" s="182"/>
      <c r="Q10" s="183"/>
      <c r="R10" s="181"/>
      <c r="S10" s="181"/>
      <c r="T10" s="181"/>
      <c r="U10" s="181"/>
      <c r="V10" s="181"/>
      <c r="W10" s="184"/>
      <c r="X10" s="185"/>
      <c r="Y10" s="186"/>
      <c r="Z10" s="187"/>
      <c r="AA10" s="187"/>
      <c r="AB10" s="188"/>
      <c r="AP10" s="181"/>
      <c r="AQ10" s="181"/>
      <c r="AR10" s="181"/>
      <c r="AS10" s="189"/>
    </row>
    <row r="11" spans="1:49" ht="6" customHeight="1">
      <c r="A11" s="35"/>
      <c r="B11" s="35"/>
      <c r="G11" s="25"/>
      <c r="H11" s="25"/>
      <c r="I11" s="25"/>
      <c r="J11" s="38"/>
      <c r="K11" s="38"/>
      <c r="L11" s="181"/>
      <c r="M11" s="181"/>
      <c r="N11" s="181"/>
      <c r="O11" s="181"/>
      <c r="P11" s="182"/>
      <c r="Q11" s="183"/>
      <c r="R11" s="181"/>
      <c r="S11" s="181"/>
      <c r="T11" s="181"/>
      <c r="U11" s="181"/>
      <c r="V11" s="181"/>
      <c r="W11" s="184"/>
      <c r="X11" s="185"/>
      <c r="Y11" s="186"/>
      <c r="Z11" s="187"/>
      <c r="AA11" s="187"/>
      <c r="AB11" s="188"/>
      <c r="AP11" s="181"/>
      <c r="AQ11" s="181"/>
      <c r="AR11" s="181"/>
      <c r="AS11" s="189"/>
    </row>
    <row r="12" spans="1:49" ht="12" customHeight="1">
      <c r="A12" s="44"/>
      <c r="B12" s="44"/>
      <c r="G12" s="25"/>
      <c r="H12" s="190"/>
      <c r="I12" s="190" t="s">
        <v>6</v>
      </c>
      <c r="J12" s="38"/>
      <c r="K12" s="38"/>
      <c r="L12" s="191">
        <v>1</v>
      </c>
      <c r="M12" s="191">
        <v>5</v>
      </c>
      <c r="N12" s="192">
        <v>1</v>
      </c>
      <c r="O12" s="191">
        <v>5</v>
      </c>
      <c r="P12" s="193"/>
      <c r="Q12" s="194"/>
      <c r="R12" s="192">
        <v>10</v>
      </c>
      <c r="S12" s="191">
        <v>20</v>
      </c>
      <c r="T12" s="191">
        <v>3</v>
      </c>
      <c r="U12" s="192">
        <v>10</v>
      </c>
      <c r="V12" s="192">
        <v>2</v>
      </c>
      <c r="W12" s="195">
        <f>SUM(L12:V12)</f>
        <v>57</v>
      </c>
      <c r="X12" s="186"/>
      <c r="Y12" s="186"/>
      <c r="Z12" s="187"/>
      <c r="AA12" s="187"/>
      <c r="AB12" s="188"/>
      <c r="AP12" s="192">
        <v>2</v>
      </c>
      <c r="AQ12" s="192">
        <v>4</v>
      </c>
      <c r="AR12" s="192">
        <v>5</v>
      </c>
      <c r="AS12" s="189"/>
    </row>
    <row r="13" spans="1:49" ht="12" customHeight="1">
      <c r="A13" s="46"/>
      <c r="B13" s="46"/>
      <c r="G13" s="25"/>
      <c r="H13" s="45"/>
      <c r="I13" s="45" t="s">
        <v>7</v>
      </c>
      <c r="J13" s="38"/>
      <c r="K13" s="38"/>
      <c r="L13" s="191">
        <v>1</v>
      </c>
      <c r="M13" s="191">
        <v>5</v>
      </c>
      <c r="N13" s="192">
        <v>1</v>
      </c>
      <c r="O13" s="191">
        <v>5</v>
      </c>
      <c r="P13" s="193"/>
      <c r="Q13" s="194"/>
      <c r="R13" s="192">
        <v>10</v>
      </c>
      <c r="S13" s="191">
        <v>20</v>
      </c>
      <c r="T13" s="191">
        <v>3</v>
      </c>
      <c r="U13" s="192">
        <v>10</v>
      </c>
      <c r="V13" s="192">
        <v>2</v>
      </c>
      <c r="W13" s="195">
        <f>SUM(L13:V13)</f>
        <v>57</v>
      </c>
      <c r="X13" s="186"/>
      <c r="Y13" s="186"/>
      <c r="Z13" s="187"/>
      <c r="AA13" s="187"/>
      <c r="AB13" s="188"/>
      <c r="AP13" s="192">
        <v>2</v>
      </c>
      <c r="AQ13" s="192">
        <v>4</v>
      </c>
      <c r="AR13" s="192">
        <v>5</v>
      </c>
      <c r="AS13" s="189"/>
    </row>
    <row r="14" spans="1:49" ht="12" customHeight="1">
      <c r="A14" s="46"/>
      <c r="B14" s="46"/>
      <c r="G14" s="25"/>
      <c r="H14" s="45"/>
      <c r="I14" s="45" t="s">
        <v>8</v>
      </c>
      <c r="J14" s="38"/>
      <c r="K14" s="38"/>
      <c r="L14" s="191">
        <v>3</v>
      </c>
      <c r="M14" s="191">
        <v>10</v>
      </c>
      <c r="N14" s="192">
        <v>1</v>
      </c>
      <c r="O14" s="191">
        <v>10</v>
      </c>
      <c r="P14" s="193"/>
      <c r="Q14" s="194"/>
      <c r="R14" s="192">
        <v>10</v>
      </c>
      <c r="S14" s="191">
        <v>15</v>
      </c>
      <c r="T14" s="191">
        <v>10</v>
      </c>
      <c r="U14" s="192">
        <v>10</v>
      </c>
      <c r="V14" s="192">
        <v>2</v>
      </c>
      <c r="W14" s="195">
        <f>SUM(L14:V14)</f>
        <v>71</v>
      </c>
      <c r="X14" s="186"/>
      <c r="Y14" s="186"/>
      <c r="Z14" s="187"/>
      <c r="AA14" s="187"/>
      <c r="AB14" s="188"/>
      <c r="AP14" s="192">
        <v>2</v>
      </c>
      <c r="AQ14" s="192">
        <v>2</v>
      </c>
      <c r="AR14" s="192">
        <v>5</v>
      </c>
      <c r="AS14" s="189"/>
    </row>
    <row r="15" spans="1:49" s="164" customFormat="1" ht="21.75" customHeight="1">
      <c r="A15" s="46"/>
      <c r="B15" s="46"/>
      <c r="C15" s="24"/>
      <c r="D15" s="24"/>
      <c r="E15" s="24"/>
      <c r="F15" s="24"/>
      <c r="G15" s="25"/>
      <c r="H15" s="45"/>
      <c r="I15" s="45" t="s">
        <v>9</v>
      </c>
      <c r="J15" s="196"/>
      <c r="K15" s="196"/>
      <c r="L15" s="191">
        <v>3</v>
      </c>
      <c r="M15" s="191">
        <v>5</v>
      </c>
      <c r="N15" s="192">
        <v>1</v>
      </c>
      <c r="O15" s="191">
        <v>3</v>
      </c>
      <c r="P15" s="193"/>
      <c r="Q15" s="194"/>
      <c r="R15" s="192">
        <v>5</v>
      </c>
      <c r="S15" s="191">
        <v>7</v>
      </c>
      <c r="T15" s="191">
        <v>2</v>
      </c>
      <c r="U15" s="192">
        <v>5</v>
      </c>
      <c r="V15" s="192">
        <v>2</v>
      </c>
      <c r="W15" s="195">
        <f>SUM(L15:V15)</f>
        <v>33</v>
      </c>
      <c r="X15" s="192"/>
      <c r="Y15" s="192"/>
      <c r="Z15" s="197"/>
      <c r="AA15" s="197"/>
      <c r="AB15" s="198"/>
      <c r="AP15" s="192">
        <v>2</v>
      </c>
      <c r="AQ15" s="192">
        <v>2</v>
      </c>
      <c r="AR15" s="192">
        <v>5</v>
      </c>
      <c r="AS15" s="199"/>
      <c r="AW15" s="200"/>
    </row>
    <row r="16" spans="1:49" s="165" customFormat="1" ht="42" customHeight="1">
      <c r="A16" s="201" t="s">
        <v>12</v>
      </c>
      <c r="B16" s="201" t="s">
        <v>4721</v>
      </c>
      <c r="C16" s="202" t="s">
        <v>13</v>
      </c>
      <c r="D16" s="202" t="s">
        <v>14</v>
      </c>
      <c r="E16" s="202" t="s">
        <v>4722</v>
      </c>
      <c r="F16" s="202" t="s">
        <v>20</v>
      </c>
      <c r="G16" s="202" t="s">
        <v>21</v>
      </c>
      <c r="H16" s="201" t="s">
        <v>22</v>
      </c>
      <c r="I16" s="201" t="s">
        <v>23</v>
      </c>
      <c r="J16" s="201"/>
      <c r="K16" s="202" t="s">
        <v>24</v>
      </c>
      <c r="L16" s="203" t="s">
        <v>4723</v>
      </c>
      <c r="M16" s="203" t="s">
        <v>26</v>
      </c>
      <c r="N16" s="203" t="s">
        <v>27</v>
      </c>
      <c r="O16" s="203" t="s">
        <v>28</v>
      </c>
      <c r="P16" s="204" t="s">
        <v>4724</v>
      </c>
      <c r="Q16" s="205" t="s">
        <v>29</v>
      </c>
      <c r="R16" s="203" t="s">
        <v>30</v>
      </c>
      <c r="S16" s="203" t="s">
        <v>31</v>
      </c>
      <c r="T16" s="203" t="s">
        <v>32</v>
      </c>
      <c r="U16" s="203" t="s">
        <v>33</v>
      </c>
      <c r="V16" s="203" t="s">
        <v>34</v>
      </c>
      <c r="W16" s="206" t="s">
        <v>16</v>
      </c>
      <c r="X16" s="203" t="s">
        <v>4725</v>
      </c>
      <c r="Y16" s="207" t="s">
        <v>4726</v>
      </c>
      <c r="Z16" s="207" t="s">
        <v>48</v>
      </c>
      <c r="AA16" s="207" t="s">
        <v>4727</v>
      </c>
      <c r="AB16" s="207" t="s">
        <v>4728</v>
      </c>
      <c r="AC16" s="208">
        <v>40329</v>
      </c>
      <c r="AD16" s="209">
        <v>40359</v>
      </c>
      <c r="AE16" s="209">
        <v>40390</v>
      </c>
      <c r="AF16" s="209">
        <v>40421</v>
      </c>
      <c r="AG16" s="209">
        <v>40451</v>
      </c>
      <c r="AH16" s="209">
        <v>40482</v>
      </c>
      <c r="AI16" s="209">
        <v>40512</v>
      </c>
      <c r="AJ16" s="209">
        <v>40543</v>
      </c>
      <c r="AK16" s="209">
        <v>40574</v>
      </c>
      <c r="AL16" s="209">
        <v>40602</v>
      </c>
      <c r="AM16" s="209">
        <f ca="1">TODAY()</f>
        <v>46209</v>
      </c>
      <c r="AP16" s="207" t="s">
        <v>4729</v>
      </c>
      <c r="AQ16" s="207" t="s">
        <v>4730</v>
      </c>
      <c r="AR16" s="207" t="s">
        <v>4731</v>
      </c>
      <c r="AS16" s="210" t="s">
        <v>4732</v>
      </c>
      <c r="AW16" s="211"/>
    </row>
    <row r="17" spans="1:49" s="166" customFormat="1" ht="18" customHeight="1">
      <c r="A17" s="596">
        <v>1</v>
      </c>
      <c r="B17" s="598"/>
      <c r="C17" s="601" t="s">
        <v>4733</v>
      </c>
      <c r="D17" s="601" t="s">
        <v>58</v>
      </c>
      <c r="E17" s="606"/>
      <c r="F17" s="610" t="s">
        <v>59</v>
      </c>
      <c r="G17" s="601" t="str">
        <f>IF(_xlfn.XLOOKUP(C17,'[35]Before Award'!D:D,'[35]Before Award'!AV:AV,"N/A")="N/A","N","Y")</f>
        <v>N</v>
      </c>
      <c r="H17" s="606"/>
      <c r="I17" s="212" t="s">
        <v>6</v>
      </c>
      <c r="J17" s="214" t="s">
        <v>61</v>
      </c>
      <c r="K17" s="215">
        <f>WORKDAY(L17,-INDEX(L$12:L$15,MATCH($I17,$I$12:$I$15,0)))</f>
        <v>46140</v>
      </c>
      <c r="L17" s="215">
        <f>WORKDAY(M17,-INDEX(M$12:M$15,MATCH($I17,$I$12:$I$15,0)))</f>
        <v>46141</v>
      </c>
      <c r="M17" s="215">
        <f>WORKDAY(N17,-INDEX(N$12:N$15,MATCH($I17,$I$12:$I$15,0)))</f>
        <v>46148</v>
      </c>
      <c r="N17" s="215">
        <f>WORKDAY(O17,-INDEX(O$12:O$15,MATCH($I17,$I$12:$I$15,0)))</f>
        <v>46149</v>
      </c>
      <c r="O17" s="215">
        <f>WORKDAY(R17,-INDEX(R$12:R$15,MATCH($I17,$I$12:$I$15,0)))</f>
        <v>46156</v>
      </c>
      <c r="P17" s="216">
        <f>U17-L17</f>
        <v>76</v>
      </c>
      <c r="Q17" s="217"/>
      <c r="R17" s="215">
        <f>WORKDAY(S17,-INDEX(S$12:S$15,MATCH($I17,$I$12:$I$15,0)))</f>
        <v>46170</v>
      </c>
      <c r="S17" s="215">
        <f>WORKDAY(T17,-INDEX(T$12:T$15,MATCH($I17,$I$12:$I$15,0)))</f>
        <v>46198</v>
      </c>
      <c r="T17" s="215">
        <f>WORKDAY(U17,-INDEX(U$12:U$15,MATCH($I17,$I$12:$I$15,0)))</f>
        <v>46203</v>
      </c>
      <c r="U17" s="215">
        <f>X17-Y17</f>
        <v>46217</v>
      </c>
      <c r="V17" s="215">
        <f>WORKDAY(U17,INDEX(V$12:V$15,MATCH($I17,$I$12:$I$15,0)))</f>
        <v>46219</v>
      </c>
      <c r="W17" s="218">
        <f>Y17/7</f>
        <v>50</v>
      </c>
      <c r="X17" s="215">
        <f>Z17</f>
        <v>46567</v>
      </c>
      <c r="Y17" s="628">
        <v>350</v>
      </c>
      <c r="Z17" s="632">
        <v>46567</v>
      </c>
      <c r="AA17" s="633">
        <v>46567</v>
      </c>
      <c r="AB17" s="637">
        <f>Z17-X18</f>
        <v>0</v>
      </c>
      <c r="AC17" s="220">
        <f>IF(ISERROR(LOOKUP(AC$16,$L17:$X17,#REF!)),0,(LOOKUP(AC$16,$L17:$X17,#REF!)))</f>
        <v>0</v>
      </c>
      <c r="AD17" s="221">
        <f>IF(ISERROR(LOOKUP(AD$16,$L17:$X17,#REF!)),0,(LOOKUP(AD$16,$L17:$X17,#REF!)))</f>
        <v>0</v>
      </c>
      <c r="AE17" s="221">
        <f>IF(ISERROR(LOOKUP(AE$16,$L17:$X17,#REF!)),0,(LOOKUP(AE$16,$L17:$X17,#REF!)))</f>
        <v>0</v>
      </c>
      <c r="AF17" s="221">
        <f>IF(ISERROR(LOOKUP(AF$16,$L17:$X17,#REF!)),0,(LOOKUP(AF$16,$L17:$X17,#REF!)))</f>
        <v>0</v>
      </c>
      <c r="AG17" s="221">
        <f>IF(ISERROR(LOOKUP(AG$16,$L17:$X17,#REF!)),0,(LOOKUP(AG$16,$L17:$X17,#REF!)))</f>
        <v>0</v>
      </c>
      <c r="AH17" s="221">
        <f>IF(ISERROR(LOOKUP(AH$16,$L17:$X17,#REF!)),0,(LOOKUP(AH$16,$L17:$X17,#REF!)))</f>
        <v>0</v>
      </c>
      <c r="AI17" s="221">
        <f>IF(ISERROR(LOOKUP(AI$16,$L17:$X17,#REF!)),0,(LOOKUP(AI$16,$L17:$X17,#REF!)))</f>
        <v>0</v>
      </c>
      <c r="AJ17" s="221">
        <f>IF(ISERROR(LOOKUP(AJ$16,$L17:$X17,#REF!)),0,(LOOKUP(AJ$16,$L17:$X17,#REF!)))</f>
        <v>0</v>
      </c>
      <c r="AK17" s="221">
        <f>IF(ISERROR(LOOKUP(AK$16,$L17:$X17,#REF!)),0,(LOOKUP(AK$16,$L17:$X17,#REF!)))</f>
        <v>0</v>
      </c>
      <c r="AL17" s="221">
        <f>IF(ISERROR(LOOKUP(AL$16,$L17:$X17,#REF!)),0,(LOOKUP(AL$16,$L17:$X17,#REF!)))</f>
        <v>0</v>
      </c>
      <c r="AM17" s="221">
        <f ca="1">IF(ISERROR(LOOKUP(AM$16,$L17:$X17,#REF!)),0,(LOOKUP(AM$16,$L17:$X17,#REF!)))</f>
        <v>0</v>
      </c>
      <c r="AO17" s="166">
        <f t="shared" ref="AO17:AO48" si="0">U17-T17</f>
        <v>14</v>
      </c>
      <c r="AP17" s="215" t="e">
        <f>WORKDAY(AQ17,-INDEX(AQ$12:AQ$15,MATCH($I17,$I$12:$I$15,0)),$AW$17:$AW$148)</f>
        <v>#REF!</v>
      </c>
      <c r="AQ17" s="215" t="e">
        <f>WORKDAY(U17,-INDEX(U$12:U$15,MATCH($I17,$I$12:$I$15,0)),$AW$17:$AW$148)</f>
        <v>#REF!</v>
      </c>
      <c r="AR17" s="215" t="e">
        <f>WORKDAY(U17,-INDEX(U$12:U$15,MATCH($I17,$I$12:$I$15,0)),$AW$17:$AW$148)</f>
        <v>#REF!</v>
      </c>
      <c r="AS17" s="638">
        <v>14</v>
      </c>
      <c r="AW17" s="223" t="e" cm="1">
        <f t="array" ref="AW17:AW95">'[35]Equipment List and MR List (3)'!$A$2:$A$80</f>
        <v>#REF!</v>
      </c>
    </row>
    <row r="18" spans="1:49" s="166" customFormat="1" ht="18" customHeight="1">
      <c r="A18" s="596"/>
      <c r="B18" s="599"/>
      <c r="C18" s="601" t="str">
        <f t="shared" ref="C18" si="1">C17</f>
        <v>RFQ-001</v>
      </c>
      <c r="D18" s="601" t="str">
        <f t="shared" ref="D18" si="2">D17</f>
        <v>Pedestal Crane</v>
      </c>
      <c r="E18" s="607"/>
      <c r="F18" s="611"/>
      <c r="G18" s="601"/>
      <c r="H18" s="607"/>
      <c r="I18" s="212" t="str">
        <f>I17</f>
        <v>LA</v>
      </c>
      <c r="J18" s="214" t="s">
        <v>65</v>
      </c>
      <c r="K18" s="215">
        <f>K17</f>
        <v>46140</v>
      </c>
      <c r="L18" s="215">
        <f>WORKDAY(IF(K19="",K18,K19),INDEX(L$12:L$15,MATCH($I17,$I$12:$I$15,0)))</f>
        <v>46141</v>
      </c>
      <c r="M18" s="215">
        <f>WORKDAY(IF(L19="",L18,L19),INDEX(M$12:M$15,MATCH($I17,$I$12:$I$15,0)))</f>
        <v>46148</v>
      </c>
      <c r="N18" s="215">
        <f>WORKDAY(IF(M19="",M18,M19),INDEX(N$12:N$15,MATCH($I17,$I$12:$I$15,0)))</f>
        <v>46149</v>
      </c>
      <c r="O18" s="215">
        <f>WORKDAY(IF(N19="",N18,N19),INDEX(O$12:O$15,MATCH($I17,$I$12:$I$15,0)))</f>
        <v>46156</v>
      </c>
      <c r="P18" s="216"/>
      <c r="Q18" s="217"/>
      <c r="R18" s="215">
        <f>WORKDAY(IF(O19="",O18,O19),INDEX(R$12:R$15,MATCH($I17,$I$12:$I$15,0)))</f>
        <v>46170</v>
      </c>
      <c r="S18" s="215">
        <f>WORKDAY(IF(R19="",R18,R19),INDEX(S$12:S$15,MATCH($I17,$I$12:$I$15,0)))</f>
        <v>46198</v>
      </c>
      <c r="T18" s="215">
        <f>WORKDAY(IF(S19="",S18,S19),INDEX(T$12:T$15,MATCH($I17,$I$12:$I$15,0)))</f>
        <v>46203</v>
      </c>
      <c r="U18" s="215">
        <f>WORKDAY(IF(T19="",T18,T19),INDEX(U$12:U$15,MATCH($I17,$I$12:$I$15,0)))</f>
        <v>46217</v>
      </c>
      <c r="V18" s="215">
        <f>WORKDAY(IF(U19="",U18,U19),INDEX(V$12:V$15,MATCH($I17,$I$12:$I$15,0)))</f>
        <v>46219</v>
      </c>
      <c r="W18" s="218"/>
      <c r="X18" s="215">
        <f>U18+Y17</f>
        <v>46567</v>
      </c>
      <c r="Y18" s="628"/>
      <c r="Z18" s="632"/>
      <c r="AA18" s="633"/>
      <c r="AB18" s="637"/>
      <c r="AC18" s="220">
        <f>IF(ISERROR(LOOKUP(AC$16,$L18:$X18,#REF!)),0,(LOOKUP(AC$16,$L18:$X18,#REF!)))</f>
        <v>0</v>
      </c>
      <c r="AD18" s="221">
        <f>IF(ISERROR(LOOKUP(AD$16,$L18:$X18,#REF!)),0,(LOOKUP(AD$16,$L18:$X18,#REF!)))</f>
        <v>0</v>
      </c>
      <c r="AE18" s="221">
        <f>IF(ISERROR(LOOKUP(AE$16,$L18:$X18,#REF!)),0,(LOOKUP(AE$16,$L18:$X18,#REF!)))</f>
        <v>0</v>
      </c>
      <c r="AF18" s="221">
        <f>IF(ISERROR(LOOKUP(AF$16,$L18:$X18,#REF!)),0,(LOOKUP(AF$16,$L18:$X18,#REF!)))</f>
        <v>0</v>
      </c>
      <c r="AG18" s="221">
        <f>IF(ISERROR(LOOKUP(AG$16,$L18:$X18,#REF!)),0,(LOOKUP(AG$16,$L18:$X18,#REF!)))</f>
        <v>0</v>
      </c>
      <c r="AH18" s="221">
        <f>IF(ISERROR(LOOKUP(AH$16,$L18:$X18,#REF!)),0,(LOOKUP(AH$16,$L18:$X18,#REF!)))</f>
        <v>0</v>
      </c>
      <c r="AI18" s="221">
        <f>IF(ISERROR(LOOKUP(AI$16,$L18:$X18,#REF!)),0,(LOOKUP(AI$16,$L18:$X18,#REF!)))</f>
        <v>0</v>
      </c>
      <c r="AJ18" s="221">
        <f>IF(ISERROR(LOOKUP(AJ$16,$L18:$X18,#REF!)),0,(LOOKUP(AJ$16,$L18:$X18,#REF!)))</f>
        <v>0</v>
      </c>
      <c r="AK18" s="221">
        <f>IF(ISERROR(LOOKUP(AK$16,$L18:$X18,#REF!)),0,(LOOKUP(AK$16,$L18:$X18,#REF!)))</f>
        <v>0</v>
      </c>
      <c r="AL18" s="221">
        <f>IF(ISERROR(LOOKUP(AL$16,$L18:$X18,#REF!)),0,(LOOKUP(AL$16,$L18:$X18,#REF!)))</f>
        <v>0</v>
      </c>
      <c r="AM18" s="221">
        <f ca="1">IF(ISERROR(LOOKUP(AM$16,$L18:$X18,#REF!)),0,(LOOKUP(AM$16,$L18:$X18,#REF!)))</f>
        <v>0</v>
      </c>
      <c r="AO18" s="166">
        <f t="shared" si="0"/>
        <v>14</v>
      </c>
      <c r="AP18" s="215" t="e">
        <f>WORKDAY(IF(T19="",T18,T19),INDEX(AP$12:AP$15,MATCH($I17,$I$12:$I$15,0)),$AW$17:$AW$148)</f>
        <v>#REF!</v>
      </c>
      <c r="AQ18" s="215" t="e">
        <f>WORKDAY(IF(AP19="",AP18,AP19),INDEX(AQ$12:AQ$15,MATCH($I17,$I$12:$I$15,0)),$AW$17:$AW$148)</f>
        <v>#REF!</v>
      </c>
      <c r="AR18" s="215" t="e">
        <f>WORKDAY(IF(AQ19="",AQ18,AQ19),INDEX(AR$12:AR$15,MATCH($I17,$I$12:$I$15,0)),$AW$17:$AW$148)</f>
        <v>#REF!</v>
      </c>
      <c r="AS18" s="638"/>
      <c r="AW18" s="223" t="e">
        <v>#REF!</v>
      </c>
    </row>
    <row r="19" spans="1:49" s="166" customFormat="1" ht="18" customHeight="1">
      <c r="A19" s="596"/>
      <c r="B19" s="600"/>
      <c r="C19" s="601" t="str">
        <f t="shared" ref="C19" si="3">C17</f>
        <v>RFQ-001</v>
      </c>
      <c r="D19" s="601" t="str">
        <f t="shared" ref="D19" si="4">D17</f>
        <v>Pedestal Crane</v>
      </c>
      <c r="E19" s="608"/>
      <c r="F19" s="612"/>
      <c r="G19" s="601"/>
      <c r="H19" s="608"/>
      <c r="I19" s="212" t="str">
        <f>I17</f>
        <v>LA</v>
      </c>
      <c r="J19" s="214" t="s">
        <v>67</v>
      </c>
      <c r="K19" s="212"/>
      <c r="L19" s="212"/>
      <c r="M19" s="212"/>
      <c r="N19" s="212"/>
      <c r="O19" s="212"/>
      <c r="P19" s="226"/>
      <c r="Q19" s="227"/>
      <c r="R19" s="212"/>
      <c r="S19" s="212"/>
      <c r="T19" s="212"/>
      <c r="U19" s="212"/>
      <c r="V19" s="212"/>
      <c r="W19" s="228"/>
      <c r="X19" s="212"/>
      <c r="Y19" s="628"/>
      <c r="Z19" s="632"/>
      <c r="AA19" s="633"/>
      <c r="AB19" s="637"/>
      <c r="AC19" s="229">
        <f>IF(ISERROR(LOOKUP(AC$16,$L19:$X19,#REF!)),0,(LOOKUP(AC$16,$L19:$X19,#REF!)))</f>
        <v>0</v>
      </c>
      <c r="AD19" s="230">
        <f>IF(ISERROR(LOOKUP(AD$16,$L19:$X19,#REF!)),0,(LOOKUP(AD$16,$L19:$X19,#REF!)))</f>
        <v>0</v>
      </c>
      <c r="AE19" s="230">
        <f>IF(ISERROR(LOOKUP(AE$16,$L19:$X19,#REF!)),0,(LOOKUP(AE$16,$L19:$X19,#REF!)))</f>
        <v>0</v>
      </c>
      <c r="AF19" s="230">
        <f>IF(ISERROR(LOOKUP(AF$16,$L19:$X19,#REF!)),0,(LOOKUP(AF$16,$L19:$X19,#REF!)))</f>
        <v>0</v>
      </c>
      <c r="AG19" s="230">
        <f>IF(ISERROR(LOOKUP(AG$16,$L19:$X19,#REF!)),0,(LOOKUP(AG$16,$L19:$X19,#REF!)))</f>
        <v>0</v>
      </c>
      <c r="AH19" s="230">
        <f>IF(ISERROR(LOOKUP(AH$16,$L19:$X19,#REF!)),0,(LOOKUP(AH$16,$L19:$X19,#REF!)))</f>
        <v>0</v>
      </c>
      <c r="AI19" s="230">
        <f>IF(ISERROR(LOOKUP(AI$16,$L19:$X19,#REF!)),0,(LOOKUP(AI$16,$L19:$X19,#REF!)))</f>
        <v>0</v>
      </c>
      <c r="AJ19" s="230">
        <f>IF(ISERROR(LOOKUP(AJ$16,$L19:$X19,#REF!)),0,(LOOKUP(AJ$16,$L19:$X19,#REF!)))</f>
        <v>0</v>
      </c>
      <c r="AK19" s="230">
        <f>IF(ISERROR(LOOKUP(AK$16,$L19:$X19,#REF!)),0,(LOOKUP(AK$16,$L19:$X19,#REF!)))</f>
        <v>0</v>
      </c>
      <c r="AL19" s="230">
        <f>IF(ISERROR(LOOKUP(AL$16,$L19:$X19,#REF!)),0,(LOOKUP(AL$16,$L19:$X19,#REF!)))</f>
        <v>0</v>
      </c>
      <c r="AM19" s="230">
        <f ca="1">IF(ISERROR(LOOKUP(AM$16,$L19:$X19,#REF!)),0,(LOOKUP(AM$16,$L19:$X19,#REF!)))</f>
        <v>0</v>
      </c>
      <c r="AO19" s="166">
        <f t="shared" si="0"/>
        <v>0</v>
      </c>
      <c r="AP19" s="212"/>
      <c r="AQ19" s="212"/>
      <c r="AR19" s="212"/>
      <c r="AS19" s="638"/>
      <c r="AW19" s="223" t="e">
        <v>#REF!</v>
      </c>
    </row>
    <row r="20" spans="1:49" s="167" customFormat="1" ht="18" customHeight="1">
      <c r="A20" s="597">
        <f>A17+1</f>
        <v>2</v>
      </c>
      <c r="B20" s="598"/>
      <c r="C20" s="602" t="s">
        <v>4734</v>
      </c>
      <c r="D20" s="602" t="s">
        <v>70</v>
      </c>
      <c r="E20" s="606"/>
      <c r="F20" s="613" t="s">
        <v>59</v>
      </c>
      <c r="G20" s="602" t="s">
        <v>71</v>
      </c>
      <c r="H20" s="625"/>
      <c r="I20" s="45" t="s">
        <v>8</v>
      </c>
      <c r="J20" s="233" t="s">
        <v>61</v>
      </c>
      <c r="K20" s="215">
        <f>WORKDAY(L20,-INDEX(L$12:L$15,MATCH($I20,$I$12:$I$15,0)))</f>
        <v>46296</v>
      </c>
      <c r="L20" s="215">
        <f>WORKDAY(M20,-INDEX(M$12:M$15,MATCH($I20,$I$12:$I$15,0)))</f>
        <v>46301</v>
      </c>
      <c r="M20" s="215">
        <f>WORKDAY(N20,-INDEX(N$12:N$15,MATCH($I20,$I$12:$I$15,0)))</f>
        <v>46315</v>
      </c>
      <c r="N20" s="215">
        <f>WORKDAY(O20,-INDEX(O$12:O$15,MATCH($I20,$I$12:$I$15,0)))</f>
        <v>46316</v>
      </c>
      <c r="O20" s="215">
        <f>WORKDAY(R20,-INDEX(R$12:R$15,MATCH($I20,$I$12:$I$15,0)))</f>
        <v>46330</v>
      </c>
      <c r="P20" s="216">
        <f>U20-L20</f>
        <v>92</v>
      </c>
      <c r="Q20" s="217"/>
      <c r="R20" s="215">
        <f>WORKDAY(S20,-INDEX(S$12:S$15,MATCH($I20,$I$12:$I$15,0)))</f>
        <v>46344</v>
      </c>
      <c r="S20" s="215">
        <f>WORKDAY(T20,-INDEX(T$12:T$15,MATCH($I20,$I$12:$I$15,0)))</f>
        <v>46365</v>
      </c>
      <c r="T20" s="215">
        <f>WORKDAY(U20,-INDEX(U$12:U$15,MATCH($I20,$I$12:$I$15,0)))</f>
        <v>46379</v>
      </c>
      <c r="U20" s="215">
        <f>X20-Y20</f>
        <v>46393</v>
      </c>
      <c r="V20" s="215">
        <f>WORKDAY(U20,INDEX(V$12:V$15,MATCH($I20,$I$12:$I$15,0)))</f>
        <v>46395</v>
      </c>
      <c r="W20" s="218">
        <f>Y20/7</f>
        <v>25</v>
      </c>
      <c r="X20" s="215">
        <f>Z20</f>
        <v>46568</v>
      </c>
      <c r="Y20" s="628">
        <v>175</v>
      </c>
      <c r="Z20" s="632">
        <v>46568</v>
      </c>
      <c r="AA20" s="633">
        <v>46568</v>
      </c>
      <c r="AB20" s="637">
        <f t="shared" ref="AB20" si="5">Z20-X21</f>
        <v>0</v>
      </c>
      <c r="AC20" s="234">
        <f>IF(ISERROR(LOOKUP(AC$16,$L20:$X20,#REF!)),0,(LOOKUP(AC$16,$L20:$X20,#REF!)))</f>
        <v>0</v>
      </c>
      <c r="AD20" s="235">
        <f>IF(ISERROR(LOOKUP(AD$16,$L20:$X20,#REF!)),0,(LOOKUP(AD$16,$L20:$X20,#REF!)))</f>
        <v>0</v>
      </c>
      <c r="AE20" s="235">
        <f>IF(ISERROR(LOOKUP(AE$16,$L20:$X20,#REF!)),0,(LOOKUP(AE$16,$L20:$X20,#REF!)))</f>
        <v>0</v>
      </c>
      <c r="AF20" s="235">
        <f>IF(ISERROR(LOOKUP(AF$16,$L20:$X20,#REF!)),0,(LOOKUP(AF$16,$L20:$X20,#REF!)))</f>
        <v>0</v>
      </c>
      <c r="AG20" s="235">
        <f>IF(ISERROR(LOOKUP(AG$16,$L20:$X20,#REF!)),0,(LOOKUP(AG$16,$L20:$X20,#REF!)))</f>
        <v>0</v>
      </c>
      <c r="AH20" s="235">
        <f>IF(ISERROR(LOOKUP(AH$16,$L20:$X20,#REF!)),0,(LOOKUP(AH$16,$L20:$X20,#REF!)))</f>
        <v>0</v>
      </c>
      <c r="AI20" s="235">
        <f>IF(ISERROR(LOOKUP(AI$16,$L20:$X20,#REF!)),0,(LOOKUP(AI$16,$L20:$X20,#REF!)))</f>
        <v>0</v>
      </c>
      <c r="AJ20" s="235">
        <f>IF(ISERROR(LOOKUP(AJ$16,$L20:$X20,#REF!)),0,(LOOKUP(AJ$16,$L20:$X20,#REF!)))</f>
        <v>0</v>
      </c>
      <c r="AK20" s="235">
        <f>IF(ISERROR(LOOKUP(AK$16,$L20:$X20,#REF!)),0,(LOOKUP(AK$16,$L20:$X20,#REF!)))</f>
        <v>0</v>
      </c>
      <c r="AL20" s="235">
        <f>IF(ISERROR(LOOKUP(AL$16,$L20:$X20,#REF!)),0,(LOOKUP(AL$16,$L20:$X20,#REF!)))</f>
        <v>0</v>
      </c>
      <c r="AM20" s="235">
        <f ca="1">IF(ISERROR(LOOKUP(AM$16,$L20:$X20,#REF!)),0,(LOOKUP(AM$16,$L20:$X20,#REF!)))</f>
        <v>0</v>
      </c>
      <c r="AO20" s="166">
        <f t="shared" si="0"/>
        <v>14</v>
      </c>
      <c r="AP20" s="215" t="e">
        <f>WORKDAY(AQ20,-INDEX(AQ$12:AQ$15,MATCH($I20,$I$12:$I$15,0)),$AW$17:$AW$148)</f>
        <v>#REF!</v>
      </c>
      <c r="AQ20" s="215" t="e">
        <f>WORKDAY(U20,-INDEX(U$12:U$15,MATCH($I20,$I$12:$I$15,0)),$AW$17:$AW$148)</f>
        <v>#REF!</v>
      </c>
      <c r="AR20" s="215" t="e">
        <f>WORKDAY(U20,-INDEX(U$12:U$15,MATCH($I20,$I$12:$I$15,0)),$AW$17:$AW$148)</f>
        <v>#REF!</v>
      </c>
      <c r="AS20" s="638">
        <v>14</v>
      </c>
      <c r="AW20" s="236" t="e">
        <v>#REF!</v>
      </c>
    </row>
    <row r="21" spans="1:49" s="167" customFormat="1" ht="18" customHeight="1">
      <c r="A21" s="597"/>
      <c r="B21" s="599"/>
      <c r="C21" s="602" t="str">
        <f>C20</f>
        <v>RFQ-002</v>
      </c>
      <c r="D21" s="602" t="str">
        <f t="shared" ref="D21" si="6">D20</f>
        <v>Material Handling Equipment</v>
      </c>
      <c r="E21" s="607"/>
      <c r="F21" s="614"/>
      <c r="G21" s="602" t="str">
        <f t="shared" ref="G21" si="7">G20</f>
        <v>N</v>
      </c>
      <c r="H21" s="626"/>
      <c r="I21" s="231" t="str">
        <f>I20</f>
        <v>LC</v>
      </c>
      <c r="J21" s="233" t="s">
        <v>65</v>
      </c>
      <c r="K21" s="215">
        <f>K20</f>
        <v>46296</v>
      </c>
      <c r="L21" s="215">
        <f>WORKDAY(IF(K22="",K21,K22),INDEX(L$12:L$15,MATCH($I20,$I$12:$I$15,0)))</f>
        <v>46301</v>
      </c>
      <c r="M21" s="215">
        <f>WORKDAY(IF(L22="",L21,L22),INDEX(M$12:M$15,MATCH($I20,$I$12:$I$15,0)))</f>
        <v>46315</v>
      </c>
      <c r="N21" s="215">
        <f>WORKDAY(IF(M22="",M21,M22),INDEX(N$12:N$15,MATCH($I20,$I$12:$I$15,0)))</f>
        <v>46316</v>
      </c>
      <c r="O21" s="215">
        <f>WORKDAY(IF(N22="",N21,N22),INDEX(O$12:O$15,MATCH($I20,$I$12:$I$15,0)))</f>
        <v>46330</v>
      </c>
      <c r="P21" s="216"/>
      <c r="Q21" s="217"/>
      <c r="R21" s="215">
        <f>WORKDAY(IF(O22="",O21,O22),INDEX(R$12:R$15,MATCH($I20,$I$12:$I$15,0)))</f>
        <v>46344</v>
      </c>
      <c r="S21" s="215">
        <f>WORKDAY(IF(R22="",R21,R22),INDEX(S$12:S$15,MATCH($I20,$I$12:$I$15,0)))</f>
        <v>46365</v>
      </c>
      <c r="T21" s="215">
        <f>WORKDAY(IF(S22="",S21,S22),INDEX(T$12:T$15,MATCH($I20,$I$12:$I$15,0)))</f>
        <v>46379</v>
      </c>
      <c r="U21" s="215">
        <f>WORKDAY(IF(T22="",T21,T22),INDEX(U$12:U$15,MATCH($I20,$I$12:$I$15,0)))</f>
        <v>46393</v>
      </c>
      <c r="V21" s="215">
        <f>WORKDAY(IF(U22="",U21,U22),INDEX(V$12:V$15,MATCH($I20,$I$12:$I$15,0)))</f>
        <v>46395</v>
      </c>
      <c r="W21" s="218"/>
      <c r="X21" s="215">
        <f>U21+Y20</f>
        <v>46568</v>
      </c>
      <c r="Y21" s="628"/>
      <c r="Z21" s="632"/>
      <c r="AA21" s="633"/>
      <c r="AB21" s="637"/>
      <c r="AC21" s="234">
        <f>IF(ISERROR(LOOKUP(AC$16,$L21:$X21,#REF!)),0,(LOOKUP(AC$16,$L21:$X21,#REF!)))</f>
        <v>0</v>
      </c>
      <c r="AD21" s="235">
        <f>IF(ISERROR(LOOKUP(AD$16,$L21:$X21,#REF!)),0,(LOOKUP(AD$16,$L21:$X21,#REF!)))</f>
        <v>0</v>
      </c>
      <c r="AE21" s="235">
        <f>IF(ISERROR(LOOKUP(AE$16,$L21:$X21,#REF!)),0,(LOOKUP(AE$16,$L21:$X21,#REF!)))</f>
        <v>0</v>
      </c>
      <c r="AF21" s="235">
        <f>IF(ISERROR(LOOKUP(AF$16,$L21:$X21,#REF!)),0,(LOOKUP(AF$16,$L21:$X21,#REF!)))</f>
        <v>0</v>
      </c>
      <c r="AG21" s="235">
        <f>IF(ISERROR(LOOKUP(AG$16,$L21:$X21,#REF!)),0,(LOOKUP(AG$16,$L21:$X21,#REF!)))</f>
        <v>0</v>
      </c>
      <c r="AH21" s="235">
        <f>IF(ISERROR(LOOKUP(AH$16,$L21:$X21,#REF!)),0,(LOOKUP(AH$16,$L21:$X21,#REF!)))</f>
        <v>0</v>
      </c>
      <c r="AI21" s="235">
        <f>IF(ISERROR(LOOKUP(AI$16,$L21:$X21,#REF!)),0,(LOOKUP(AI$16,$L21:$X21,#REF!)))</f>
        <v>0</v>
      </c>
      <c r="AJ21" s="235">
        <f>IF(ISERROR(LOOKUP(AJ$16,$L21:$X21,#REF!)),0,(LOOKUP(AJ$16,$L21:$X21,#REF!)))</f>
        <v>0</v>
      </c>
      <c r="AK21" s="235">
        <f>IF(ISERROR(LOOKUP(AK$16,$L21:$X21,#REF!)),0,(LOOKUP(AK$16,$L21:$X21,#REF!)))</f>
        <v>0</v>
      </c>
      <c r="AL21" s="235">
        <f>IF(ISERROR(LOOKUP(AL$16,$L21:$X21,#REF!)),0,(LOOKUP(AL$16,$L21:$X21,#REF!)))</f>
        <v>0</v>
      </c>
      <c r="AM21" s="235">
        <f ca="1">IF(ISERROR(LOOKUP(AM$16,$L21:$X21,#REF!)),0,(LOOKUP(AM$16,$L21:$X21,#REF!)))</f>
        <v>0</v>
      </c>
      <c r="AO21" s="166">
        <f t="shared" si="0"/>
        <v>14</v>
      </c>
      <c r="AP21" s="215" t="e">
        <f>WORKDAY(IF(T22="",T21,T22),INDEX(AP$12:AP$15,MATCH($I20,$I$12:$I$15,0)),$AW$17:$AW$148)</f>
        <v>#REF!</v>
      </c>
      <c r="AQ21" s="215" t="e">
        <f>WORKDAY(IF(AP22="",AP21,AP22),INDEX(AQ$12:AQ$15,MATCH($I20,$I$12:$I$15,0)),$AW$17:$AW$148)</f>
        <v>#REF!</v>
      </c>
      <c r="AR21" s="215" t="e">
        <f>WORKDAY(IF(AQ22="",AQ21,AQ22),INDEX(AR$12:AR$15,MATCH($I20,$I$12:$I$15,0)),$AW$17:$AW$148)</f>
        <v>#REF!</v>
      </c>
      <c r="AS21" s="638"/>
      <c r="AW21" s="236" t="e">
        <v>#REF!</v>
      </c>
    </row>
    <row r="22" spans="1:49" s="167" customFormat="1" ht="18" customHeight="1">
      <c r="A22" s="597"/>
      <c r="B22" s="600"/>
      <c r="C22" s="602" t="str">
        <f>C20</f>
        <v>RFQ-002</v>
      </c>
      <c r="D22" s="602" t="str">
        <f t="shared" ref="D22" si="8">D20</f>
        <v>Material Handling Equipment</v>
      </c>
      <c r="E22" s="608"/>
      <c r="F22" s="615"/>
      <c r="G22" s="602" t="str">
        <f t="shared" ref="G22" si="9">G20</f>
        <v>N</v>
      </c>
      <c r="H22" s="627"/>
      <c r="I22" s="231" t="str">
        <f>I20</f>
        <v>LC</v>
      </c>
      <c r="J22" s="233" t="s">
        <v>67</v>
      </c>
      <c r="K22" s="212"/>
      <c r="L22" s="212"/>
      <c r="M22" s="212"/>
      <c r="N22" s="212"/>
      <c r="O22" s="212"/>
      <c r="P22" s="226"/>
      <c r="Q22" s="227"/>
      <c r="R22" s="212"/>
      <c r="S22" s="212"/>
      <c r="T22" s="212"/>
      <c r="U22" s="212"/>
      <c r="V22" s="212"/>
      <c r="W22" s="228"/>
      <c r="X22" s="212"/>
      <c r="Y22" s="628"/>
      <c r="Z22" s="632"/>
      <c r="AA22" s="633"/>
      <c r="AB22" s="637"/>
      <c r="AC22" s="239">
        <f>IF(ISERROR(LOOKUP(AC$16,$L22:$X22,#REF!)),0,(LOOKUP(AC$16,$L22:$X22,#REF!)))</f>
        <v>0</v>
      </c>
      <c r="AD22" s="240">
        <f>IF(ISERROR(LOOKUP(AD$16,$L22:$X22,#REF!)),0,(LOOKUP(AD$16,$L22:$X22,#REF!)))</f>
        <v>0</v>
      </c>
      <c r="AE22" s="240">
        <f>IF(ISERROR(LOOKUP(AE$16,$L22:$X22,#REF!)),0,(LOOKUP(AE$16,$L22:$X22,#REF!)))</f>
        <v>0</v>
      </c>
      <c r="AF22" s="240">
        <f>IF(ISERROR(LOOKUP(AF$16,$L22:$X22,#REF!)),0,(LOOKUP(AF$16,$L22:$X22,#REF!)))</f>
        <v>0</v>
      </c>
      <c r="AG22" s="240">
        <f>IF(ISERROR(LOOKUP(AG$16,$L22:$X22,#REF!)),0,(LOOKUP(AG$16,$L22:$X22,#REF!)))</f>
        <v>0</v>
      </c>
      <c r="AH22" s="240">
        <f>IF(ISERROR(LOOKUP(AH$16,$L22:$X22,#REF!)),0,(LOOKUP(AH$16,$L22:$X22,#REF!)))</f>
        <v>0</v>
      </c>
      <c r="AI22" s="240">
        <f>IF(ISERROR(LOOKUP(AI$16,$L22:$X22,#REF!)),0,(LOOKUP(AI$16,$L22:$X22,#REF!)))</f>
        <v>0</v>
      </c>
      <c r="AJ22" s="240">
        <f>IF(ISERROR(LOOKUP(AJ$16,$L22:$X22,#REF!)),0,(LOOKUP(AJ$16,$L22:$X22,#REF!)))</f>
        <v>0</v>
      </c>
      <c r="AK22" s="240">
        <f>IF(ISERROR(LOOKUP(AK$16,$L22:$X22,#REF!)),0,(LOOKUP(AK$16,$L22:$X22,#REF!)))</f>
        <v>0</v>
      </c>
      <c r="AL22" s="240">
        <f>IF(ISERROR(LOOKUP(AL$16,$L22:$X22,#REF!)),0,(LOOKUP(AL$16,$L22:$X22,#REF!)))</f>
        <v>0</v>
      </c>
      <c r="AM22" s="240">
        <f ca="1">IF(ISERROR(LOOKUP(AM$16,$L22:$X22,#REF!)),0,(LOOKUP(AM$16,$L22:$X22,#REF!)))</f>
        <v>0</v>
      </c>
      <c r="AO22" s="166">
        <f t="shared" si="0"/>
        <v>0</v>
      </c>
      <c r="AP22" s="212"/>
      <c r="AQ22" s="212"/>
      <c r="AR22" s="212"/>
      <c r="AS22" s="638"/>
      <c r="AW22" s="236" t="e">
        <v>#REF!</v>
      </c>
    </row>
    <row r="23" spans="1:49" s="167" customFormat="1" ht="18" customHeight="1">
      <c r="A23" s="597">
        <f t="shared" ref="A23" si="10">A20+1</f>
        <v>3</v>
      </c>
      <c r="B23" s="598"/>
      <c r="C23" s="603" t="s">
        <v>4735</v>
      </c>
      <c r="D23" s="603" t="s">
        <v>75</v>
      </c>
      <c r="E23" s="606"/>
      <c r="F23" s="616" t="s">
        <v>59</v>
      </c>
      <c r="G23" s="602" t="s">
        <v>60</v>
      </c>
      <c r="H23" s="625"/>
      <c r="I23" s="231" t="s">
        <v>6</v>
      </c>
      <c r="J23" s="233" t="s">
        <v>61</v>
      </c>
      <c r="K23" s="215">
        <f>WORKDAY(L23,-INDEX(L$12:L$15,MATCH($I23,$I$12:$I$15,0)))</f>
        <v>46209</v>
      </c>
      <c r="L23" s="215">
        <f>WORKDAY(M23,-INDEX(M$12:M$15,MATCH($I23,$I$12:$I$15,0)))</f>
        <v>46210</v>
      </c>
      <c r="M23" s="215">
        <f>WORKDAY(N23,-INDEX(N$12:N$15,MATCH($I23,$I$12:$I$15,0)))</f>
        <v>46217</v>
      </c>
      <c r="N23" s="215">
        <f>WORKDAY(O23,-INDEX(O$12:O$15,MATCH($I23,$I$12:$I$15,0)))</f>
        <v>46218</v>
      </c>
      <c r="O23" s="215">
        <f>WORKDAY(R23,-INDEX(R$12:R$15,MATCH($I23,$I$12:$I$15,0)))</f>
        <v>46225</v>
      </c>
      <c r="P23" s="216">
        <f>U23-L23</f>
        <v>76</v>
      </c>
      <c r="Q23" s="217"/>
      <c r="R23" s="215">
        <f>WORKDAY(S23,-INDEX(S$12:S$15,MATCH($I23,$I$12:$I$15,0)))</f>
        <v>46239</v>
      </c>
      <c r="S23" s="215">
        <f>WORKDAY(T23,-INDEX(T$12:T$15,MATCH($I23,$I$12:$I$15,0)))</f>
        <v>46267</v>
      </c>
      <c r="T23" s="215">
        <f>WORKDAY(U23,-INDEX(U$12:U$15,MATCH($I23,$I$12:$I$15,0)))</f>
        <v>46272</v>
      </c>
      <c r="U23" s="215">
        <f>X23-Y23</f>
        <v>46286</v>
      </c>
      <c r="V23" s="215">
        <f>WORKDAY(U23,INDEX(V$12:V$15,MATCH($I23,$I$12:$I$15,0)))</f>
        <v>46288</v>
      </c>
      <c r="W23" s="218">
        <f>Y23/7</f>
        <v>25.714285714285701</v>
      </c>
      <c r="X23" s="215">
        <f>Z23</f>
        <v>46466</v>
      </c>
      <c r="Y23" s="628">
        <v>180</v>
      </c>
      <c r="Z23" s="633">
        <v>46466</v>
      </c>
      <c r="AA23" s="633">
        <v>46466</v>
      </c>
      <c r="AB23" s="637">
        <f t="shared" ref="AB23" si="11">Z23-X24</f>
        <v>0</v>
      </c>
      <c r="AC23" s="234">
        <f>IF(ISERROR(LOOKUP(AC$16,$L23:$X23,#REF!)),0,(LOOKUP(AC$16,$L23:$X23,#REF!)))</f>
        <v>0</v>
      </c>
      <c r="AD23" s="235">
        <f>IF(ISERROR(LOOKUP(AD$16,$L23:$X23,#REF!)),0,(LOOKUP(AD$16,$L23:$X23,#REF!)))</f>
        <v>0</v>
      </c>
      <c r="AE23" s="235">
        <f>IF(ISERROR(LOOKUP(AE$16,$L23:$X23,#REF!)),0,(LOOKUP(AE$16,$L23:$X23,#REF!)))</f>
        <v>0</v>
      </c>
      <c r="AF23" s="235">
        <f>IF(ISERROR(LOOKUP(AF$16,$L23:$X23,#REF!)),0,(LOOKUP(AF$16,$L23:$X23,#REF!)))</f>
        <v>0</v>
      </c>
      <c r="AG23" s="235">
        <f>IF(ISERROR(LOOKUP(AG$16,$L23:$X23,#REF!)),0,(LOOKUP(AG$16,$L23:$X23,#REF!)))</f>
        <v>0</v>
      </c>
      <c r="AH23" s="235">
        <f>IF(ISERROR(LOOKUP(AH$16,$L23:$X23,#REF!)),0,(LOOKUP(AH$16,$L23:$X23,#REF!)))</f>
        <v>0</v>
      </c>
      <c r="AI23" s="235">
        <f>IF(ISERROR(LOOKUP(AI$16,$L23:$X23,#REF!)),0,(LOOKUP(AI$16,$L23:$X23,#REF!)))</f>
        <v>0</v>
      </c>
      <c r="AJ23" s="235">
        <f>IF(ISERROR(LOOKUP(AJ$16,$L23:$X23,#REF!)),0,(LOOKUP(AJ$16,$L23:$X23,#REF!)))</f>
        <v>0</v>
      </c>
      <c r="AK23" s="235">
        <f>IF(ISERROR(LOOKUP(AK$16,$L23:$X23,#REF!)),0,(LOOKUP(AK$16,$L23:$X23,#REF!)))</f>
        <v>0</v>
      </c>
      <c r="AL23" s="235">
        <f>IF(ISERROR(LOOKUP(AL$16,$L23:$X23,#REF!)),0,(LOOKUP(AL$16,$L23:$X23,#REF!)))</f>
        <v>0</v>
      </c>
      <c r="AM23" s="235">
        <f ca="1">IF(ISERROR(LOOKUP(AM$16,$L23:$X23,#REF!)),0,(LOOKUP(AM$16,$L23:$X23,#REF!)))</f>
        <v>0</v>
      </c>
      <c r="AO23" s="166">
        <f t="shared" si="0"/>
        <v>14</v>
      </c>
      <c r="AP23" s="215" t="e">
        <f>WORKDAY(AQ23,-INDEX(AQ$12:AQ$15,MATCH($I23,$I$12:$I$15,0)),$AW$17:$AW$148)</f>
        <v>#REF!</v>
      </c>
      <c r="AQ23" s="215" t="e">
        <f>WORKDAY(U23,-INDEX(U$12:U$15,MATCH($I23,$I$12:$I$15,0)),$AW$17:$AW$148)</f>
        <v>#REF!</v>
      </c>
      <c r="AR23" s="215" t="e">
        <f>WORKDAY(U23,-INDEX(U$12:U$15,MATCH($I23,$I$12:$I$15,0)),$AW$17:$AW$148)</f>
        <v>#REF!</v>
      </c>
      <c r="AS23" s="638">
        <v>7</v>
      </c>
      <c r="AW23" s="236" t="e">
        <v>#REF!</v>
      </c>
    </row>
    <row r="24" spans="1:49" s="167" customFormat="1" ht="18" customHeight="1">
      <c r="A24" s="597"/>
      <c r="B24" s="599"/>
      <c r="C24" s="603" t="str">
        <f t="shared" ref="C24" si="12">C23</f>
        <v>RFQ-003</v>
      </c>
      <c r="D24" s="603" t="str">
        <f t="shared" ref="D24" si="13">D23</f>
        <v>Instrument Gas Filter Coalescer</v>
      </c>
      <c r="E24" s="607"/>
      <c r="F24" s="617"/>
      <c r="G24" s="602" t="str">
        <f>G23</f>
        <v>Y</v>
      </c>
      <c r="H24" s="626"/>
      <c r="I24" s="231" t="str">
        <f>I23</f>
        <v>LA</v>
      </c>
      <c r="J24" s="233" t="s">
        <v>65</v>
      </c>
      <c r="K24" s="215">
        <f>K23</f>
        <v>46209</v>
      </c>
      <c r="L24" s="215">
        <f>WORKDAY(IF(K25="",K24,K25),INDEX(L$12:L$15,MATCH($I23,$I$12:$I$15,0)))</f>
        <v>46210</v>
      </c>
      <c r="M24" s="215">
        <f>WORKDAY(IF(L25="",L24,L25),INDEX(M$12:M$15,MATCH($I23,$I$12:$I$15,0)))</f>
        <v>46217</v>
      </c>
      <c r="N24" s="215">
        <f>WORKDAY(IF(M25="",M24,M25),INDEX(N$12:N$15,MATCH($I23,$I$12:$I$15,0)))</f>
        <v>46218</v>
      </c>
      <c r="O24" s="215">
        <f>WORKDAY(IF(N25="",N24,N25),INDEX(O$12:O$15,MATCH($I23,$I$12:$I$15,0)))</f>
        <v>46225</v>
      </c>
      <c r="P24" s="216"/>
      <c r="Q24" s="217"/>
      <c r="R24" s="215">
        <f>WORKDAY(IF(O25="",O24,O25),INDEX(R$12:R$15,MATCH($I23,$I$12:$I$15,0)))</f>
        <v>46239</v>
      </c>
      <c r="S24" s="215">
        <f>WORKDAY(IF(R25="",R24,R25),INDEX(S$12:S$15,MATCH($I23,$I$12:$I$15,0)))</f>
        <v>46267</v>
      </c>
      <c r="T24" s="215">
        <f>WORKDAY(IF(S25="",S24,S25),INDEX(T$12:T$15,MATCH($I23,$I$12:$I$15,0)))</f>
        <v>46272</v>
      </c>
      <c r="U24" s="215">
        <f>WORKDAY(IF(T25="",T24,T25),INDEX(U$12:U$15,MATCH($I23,$I$12:$I$15,0)))</f>
        <v>46286</v>
      </c>
      <c r="V24" s="215">
        <f>WORKDAY(IF(U25="",U24,U25),INDEX(V$12:V$15,MATCH($I23,$I$12:$I$15,0)))</f>
        <v>46288</v>
      </c>
      <c r="W24" s="218"/>
      <c r="X24" s="215">
        <f>U24+Y23</f>
        <v>46466</v>
      </c>
      <c r="Y24" s="628"/>
      <c r="Z24" s="633"/>
      <c r="AA24" s="633"/>
      <c r="AB24" s="637"/>
      <c r="AC24" s="234">
        <f>IF(ISERROR(LOOKUP(AC$16,$L24:$X24,#REF!)),0,(LOOKUP(AC$16,$L24:$X24,#REF!)))</f>
        <v>0</v>
      </c>
      <c r="AD24" s="235">
        <f>IF(ISERROR(LOOKUP(AD$16,$L24:$X24,#REF!)),0,(LOOKUP(AD$16,$L24:$X24,#REF!)))</f>
        <v>0</v>
      </c>
      <c r="AE24" s="235">
        <f>IF(ISERROR(LOOKUP(AE$16,$L24:$X24,#REF!)),0,(LOOKUP(AE$16,$L24:$X24,#REF!)))</f>
        <v>0</v>
      </c>
      <c r="AF24" s="235">
        <f>IF(ISERROR(LOOKUP(AF$16,$L24:$X24,#REF!)),0,(LOOKUP(AF$16,$L24:$X24,#REF!)))</f>
        <v>0</v>
      </c>
      <c r="AG24" s="235">
        <f>IF(ISERROR(LOOKUP(AG$16,$L24:$X24,#REF!)),0,(LOOKUP(AG$16,$L24:$X24,#REF!)))</f>
        <v>0</v>
      </c>
      <c r="AH24" s="235">
        <f>IF(ISERROR(LOOKUP(AH$16,$L24:$X24,#REF!)),0,(LOOKUP(AH$16,$L24:$X24,#REF!)))</f>
        <v>0</v>
      </c>
      <c r="AI24" s="235">
        <f>IF(ISERROR(LOOKUP(AI$16,$L24:$X24,#REF!)),0,(LOOKUP(AI$16,$L24:$X24,#REF!)))</f>
        <v>0</v>
      </c>
      <c r="AJ24" s="235">
        <f>IF(ISERROR(LOOKUP(AJ$16,$L24:$X24,#REF!)),0,(LOOKUP(AJ$16,$L24:$X24,#REF!)))</f>
        <v>0</v>
      </c>
      <c r="AK24" s="235">
        <f>IF(ISERROR(LOOKUP(AK$16,$L24:$X24,#REF!)),0,(LOOKUP(AK$16,$L24:$X24,#REF!)))</f>
        <v>0</v>
      </c>
      <c r="AL24" s="235">
        <f>IF(ISERROR(LOOKUP(AL$16,$L24:$X24,#REF!)),0,(LOOKUP(AL$16,$L24:$X24,#REF!)))</f>
        <v>0</v>
      </c>
      <c r="AM24" s="235">
        <f ca="1">IF(ISERROR(LOOKUP(AM$16,$L24:$X24,#REF!)),0,(LOOKUP(AM$16,$L24:$X24,#REF!)))</f>
        <v>0</v>
      </c>
      <c r="AO24" s="166">
        <f t="shared" si="0"/>
        <v>14</v>
      </c>
      <c r="AP24" s="215" t="e">
        <f>WORKDAY(IF(T25="",T24,T25),INDEX(AP$12:AP$15,MATCH($I23,$I$12:$I$15,0)),$AW$17:$AW$148)</f>
        <v>#REF!</v>
      </c>
      <c r="AQ24" s="215" t="e">
        <f>WORKDAY(IF(AP25="",AP24,AP25),INDEX(AQ$12:AQ$15,MATCH($I23,$I$12:$I$15,0)),$AW$17:$AW$148)</f>
        <v>#REF!</v>
      </c>
      <c r="AR24" s="215" t="e">
        <f>WORKDAY(IF(AQ25="",AQ24,AQ25),INDEX(AR$12:AR$15,MATCH($I23,$I$12:$I$15,0)),$AW$17:$AW$148)</f>
        <v>#REF!</v>
      </c>
      <c r="AS24" s="638"/>
      <c r="AW24" s="236" t="e">
        <v>#REF!</v>
      </c>
    </row>
    <row r="25" spans="1:49" s="167" customFormat="1" ht="18" customHeight="1">
      <c r="A25" s="597"/>
      <c r="B25" s="600"/>
      <c r="C25" s="603" t="str">
        <f>C23</f>
        <v>RFQ-003</v>
      </c>
      <c r="D25" s="603" t="str">
        <f t="shared" ref="D25" si="14">D23</f>
        <v>Instrument Gas Filter Coalescer</v>
      </c>
      <c r="E25" s="608"/>
      <c r="F25" s="618"/>
      <c r="G25" s="602" t="str">
        <f t="shared" ref="G25" si="15">G23</f>
        <v>Y</v>
      </c>
      <c r="H25" s="627"/>
      <c r="I25" s="231" t="str">
        <f>I23</f>
        <v>LA</v>
      </c>
      <c r="J25" s="233" t="s">
        <v>67</v>
      </c>
      <c r="K25" s="212"/>
      <c r="L25" s="212"/>
      <c r="M25" s="212"/>
      <c r="N25" s="212"/>
      <c r="O25" s="212"/>
      <c r="P25" s="226"/>
      <c r="Q25" s="227"/>
      <c r="R25" s="212"/>
      <c r="S25" s="212"/>
      <c r="T25" s="212"/>
      <c r="U25" s="212"/>
      <c r="V25" s="212"/>
      <c r="W25" s="228"/>
      <c r="X25" s="212"/>
      <c r="Y25" s="628"/>
      <c r="Z25" s="633"/>
      <c r="AA25" s="633"/>
      <c r="AB25" s="637"/>
      <c r="AC25" s="239">
        <f>IF(ISERROR(LOOKUP(AC$16,$L25:$X25,#REF!)),0,(LOOKUP(AC$16,$L25:$X25,#REF!)))</f>
        <v>0</v>
      </c>
      <c r="AD25" s="240">
        <f>IF(ISERROR(LOOKUP(AD$16,$L25:$X25,#REF!)),0,(LOOKUP(AD$16,$L25:$X25,#REF!)))</f>
        <v>0</v>
      </c>
      <c r="AE25" s="240">
        <f>IF(ISERROR(LOOKUP(AE$16,$L25:$X25,#REF!)),0,(LOOKUP(AE$16,$L25:$X25,#REF!)))</f>
        <v>0</v>
      </c>
      <c r="AF25" s="240">
        <f>IF(ISERROR(LOOKUP(AF$16,$L25:$X25,#REF!)),0,(LOOKUP(AF$16,$L25:$X25,#REF!)))</f>
        <v>0</v>
      </c>
      <c r="AG25" s="240">
        <f>IF(ISERROR(LOOKUP(AG$16,$L25:$X25,#REF!)),0,(LOOKUP(AG$16,$L25:$X25,#REF!)))</f>
        <v>0</v>
      </c>
      <c r="AH25" s="240">
        <f>IF(ISERROR(LOOKUP(AH$16,$L25:$X25,#REF!)),0,(LOOKUP(AH$16,$L25:$X25,#REF!)))</f>
        <v>0</v>
      </c>
      <c r="AI25" s="240">
        <f>IF(ISERROR(LOOKUP(AI$16,$L25:$X25,#REF!)),0,(LOOKUP(AI$16,$L25:$X25,#REF!)))</f>
        <v>0</v>
      </c>
      <c r="AJ25" s="240">
        <f>IF(ISERROR(LOOKUP(AJ$16,$L25:$X25,#REF!)),0,(LOOKUP(AJ$16,$L25:$X25,#REF!)))</f>
        <v>0</v>
      </c>
      <c r="AK25" s="240">
        <f>IF(ISERROR(LOOKUP(AK$16,$L25:$X25,#REF!)),0,(LOOKUP(AK$16,$L25:$X25,#REF!)))</f>
        <v>0</v>
      </c>
      <c r="AL25" s="240">
        <f>IF(ISERROR(LOOKUP(AL$16,$L25:$X25,#REF!)),0,(LOOKUP(AL$16,$L25:$X25,#REF!)))</f>
        <v>0</v>
      </c>
      <c r="AM25" s="240">
        <f ca="1">IF(ISERROR(LOOKUP(AM$16,$L25:$X25,#REF!)),0,(LOOKUP(AM$16,$L25:$X25,#REF!)))</f>
        <v>0</v>
      </c>
      <c r="AO25" s="166">
        <f t="shared" si="0"/>
        <v>0</v>
      </c>
      <c r="AP25" s="212"/>
      <c r="AQ25" s="212"/>
      <c r="AR25" s="212"/>
      <c r="AS25" s="638"/>
      <c r="AW25" s="236" t="e">
        <v>#REF!</v>
      </c>
    </row>
    <row r="26" spans="1:49" s="168" customFormat="1" ht="16.5" customHeight="1">
      <c r="A26" s="597">
        <f t="shared" ref="A26" si="16">A23+1</f>
        <v>4</v>
      </c>
      <c r="B26" s="598"/>
      <c r="C26" s="604" t="s">
        <v>4736</v>
      </c>
      <c r="D26" s="604" t="s">
        <v>79</v>
      </c>
      <c r="E26" s="606"/>
      <c r="F26" s="604" t="s">
        <v>59</v>
      </c>
      <c r="G26" s="601" t="str">
        <f>IF(_xlfn.XLOOKUP(C26,'[35]Before Award'!D:D,'[35]Before Award'!AV:AV,"N/A")="N/A","N","Y")</f>
        <v>N</v>
      </c>
      <c r="H26" s="606"/>
      <c r="I26" s="212" t="s">
        <v>6</v>
      </c>
      <c r="J26" s="214" t="s">
        <v>61</v>
      </c>
      <c r="K26" s="215">
        <v>46211</v>
      </c>
      <c r="L26" s="215">
        <v>46212</v>
      </c>
      <c r="M26" s="215">
        <v>46217</v>
      </c>
      <c r="N26" s="215">
        <v>46218</v>
      </c>
      <c r="O26" s="215">
        <v>46223</v>
      </c>
      <c r="P26" s="216">
        <f>U26-L26</f>
        <v>71</v>
      </c>
      <c r="Q26" s="217"/>
      <c r="R26" s="215">
        <v>46237</v>
      </c>
      <c r="S26" s="215">
        <v>46265</v>
      </c>
      <c r="T26" s="215">
        <v>46268</v>
      </c>
      <c r="U26" s="215">
        <v>46283</v>
      </c>
      <c r="V26" s="215">
        <v>46290</v>
      </c>
      <c r="W26" s="218">
        <v>26</v>
      </c>
      <c r="X26" s="215">
        <v>46466</v>
      </c>
      <c r="Y26" s="628">
        <f>W26*7</f>
        <v>182</v>
      </c>
      <c r="Z26" s="633">
        <v>46466</v>
      </c>
      <c r="AA26" s="634">
        <v>46466</v>
      </c>
      <c r="AB26" s="637">
        <f t="shared" ref="AB26" si="17">Z26-X27</f>
        <v>0</v>
      </c>
      <c r="AC26" s="242">
        <f>IF(ISERROR(LOOKUP(AC$16,$L26:$X26,#REF!)),0,(LOOKUP(AC$16,$L26:$X26,#REF!)))</f>
        <v>0</v>
      </c>
      <c r="AD26" s="243">
        <f>IF(ISERROR(LOOKUP(AD$16,$L26:$X26,#REF!)),0,(LOOKUP(AD$16,$L26:$X26,#REF!)))</f>
        <v>0</v>
      </c>
      <c r="AE26" s="243">
        <f>IF(ISERROR(LOOKUP(AE$16,$L26:$X26,#REF!)),0,(LOOKUP(AE$16,$L26:$X26,#REF!)))</f>
        <v>0</v>
      </c>
      <c r="AF26" s="243">
        <f>IF(ISERROR(LOOKUP(AF$16,$L26:$X26,#REF!)),0,(LOOKUP(AF$16,$L26:$X26,#REF!)))</f>
        <v>0</v>
      </c>
      <c r="AG26" s="243">
        <f>IF(ISERROR(LOOKUP(AG$16,$L26:$X26,#REF!)),0,(LOOKUP(AG$16,$L26:$X26,#REF!)))</f>
        <v>0</v>
      </c>
      <c r="AH26" s="243">
        <f>IF(ISERROR(LOOKUP(AH$16,$L26:$X26,#REF!)),0,(LOOKUP(AH$16,$L26:$X26,#REF!)))</f>
        <v>0</v>
      </c>
      <c r="AI26" s="243">
        <f>IF(ISERROR(LOOKUP(AI$16,$L26:$X26,#REF!)),0,(LOOKUP(AI$16,$L26:$X26,#REF!)))</f>
        <v>0</v>
      </c>
      <c r="AJ26" s="243">
        <f>IF(ISERROR(LOOKUP(AJ$16,$L26:$X26,#REF!)),0,(LOOKUP(AJ$16,$L26:$X26,#REF!)))</f>
        <v>0</v>
      </c>
      <c r="AK26" s="243">
        <f>IF(ISERROR(LOOKUP(AK$16,$L26:$X26,#REF!)),0,(LOOKUP(AK$16,$L26:$X26,#REF!)))</f>
        <v>0</v>
      </c>
      <c r="AL26" s="243">
        <f>IF(ISERROR(LOOKUP(AL$16,$L26:$X26,#REF!)),0,(LOOKUP(AL$16,$L26:$X26,#REF!)))</f>
        <v>0</v>
      </c>
      <c r="AM26" s="243">
        <f ca="1">IF(ISERROR(LOOKUP(AM$16,$L26:$X26,#REF!)),0,(LOOKUP(AM$16,$L26:$X26,#REF!)))</f>
        <v>0</v>
      </c>
      <c r="AO26" s="166">
        <f t="shared" si="0"/>
        <v>15</v>
      </c>
      <c r="AP26" s="215">
        <v>46272</v>
      </c>
      <c r="AQ26" s="215">
        <v>46276</v>
      </c>
      <c r="AR26" s="215">
        <v>46276</v>
      </c>
      <c r="AS26" s="638">
        <v>14</v>
      </c>
      <c r="AW26" s="244" t="e">
        <v>#REF!</v>
      </c>
    </row>
    <row r="27" spans="1:49" s="168" customFormat="1" ht="16.5" customHeight="1">
      <c r="A27" s="597"/>
      <c r="B27" s="599"/>
      <c r="C27" s="604" t="str">
        <f t="shared" ref="C27" si="18">C26</f>
        <v>RFQ-004</v>
      </c>
      <c r="D27" s="604" t="str">
        <f t="shared" ref="D27" si="19">D26</f>
        <v>Production &amp; Test Seperator</v>
      </c>
      <c r="E27" s="607"/>
      <c r="F27" s="604"/>
      <c r="G27" s="601" t="str">
        <f>G26</f>
        <v>N</v>
      </c>
      <c r="H27" s="607"/>
      <c r="I27" s="212" t="str">
        <f>I26</f>
        <v>LA</v>
      </c>
      <c r="J27" s="214" t="s">
        <v>65</v>
      </c>
      <c r="K27" s="215">
        <v>46211</v>
      </c>
      <c r="L27" s="215">
        <v>46212</v>
      </c>
      <c r="M27" s="215">
        <v>46217</v>
      </c>
      <c r="N27" s="215">
        <v>46218</v>
      </c>
      <c r="O27" s="215">
        <v>46223</v>
      </c>
      <c r="P27" s="216"/>
      <c r="Q27" s="217"/>
      <c r="R27" s="215">
        <v>46237</v>
      </c>
      <c r="S27" s="215">
        <v>46265</v>
      </c>
      <c r="T27" s="215">
        <v>46268</v>
      </c>
      <c r="U27" s="215">
        <v>46283</v>
      </c>
      <c r="V27" s="215">
        <v>46290</v>
      </c>
      <c r="W27" s="218"/>
      <c r="X27" s="215">
        <v>46466</v>
      </c>
      <c r="Y27" s="628"/>
      <c r="Z27" s="633"/>
      <c r="AA27" s="635"/>
      <c r="AB27" s="637"/>
      <c r="AC27" s="242">
        <f>IF(ISERROR(LOOKUP(AC$16,$L27:$X27,#REF!)),0,(LOOKUP(AC$16,$L27:$X27,#REF!)))</f>
        <v>0</v>
      </c>
      <c r="AD27" s="243">
        <f>IF(ISERROR(LOOKUP(AD$16,$L27:$X27,#REF!)),0,(LOOKUP(AD$16,$L27:$X27,#REF!)))</f>
        <v>0</v>
      </c>
      <c r="AE27" s="243">
        <f>IF(ISERROR(LOOKUP(AE$16,$L27:$X27,#REF!)),0,(LOOKUP(AE$16,$L27:$X27,#REF!)))</f>
        <v>0</v>
      </c>
      <c r="AF27" s="243">
        <f>IF(ISERROR(LOOKUP(AF$16,$L27:$X27,#REF!)),0,(LOOKUP(AF$16,$L27:$X27,#REF!)))</f>
        <v>0</v>
      </c>
      <c r="AG27" s="243">
        <f>IF(ISERROR(LOOKUP(AG$16,$L27:$X27,#REF!)),0,(LOOKUP(AG$16,$L27:$X27,#REF!)))</f>
        <v>0</v>
      </c>
      <c r="AH27" s="243">
        <f>IF(ISERROR(LOOKUP(AH$16,$L27:$X27,#REF!)),0,(LOOKUP(AH$16,$L27:$X27,#REF!)))</f>
        <v>0</v>
      </c>
      <c r="AI27" s="243">
        <f>IF(ISERROR(LOOKUP(AI$16,$L27:$X27,#REF!)),0,(LOOKUP(AI$16,$L27:$X27,#REF!)))</f>
        <v>0</v>
      </c>
      <c r="AJ27" s="243">
        <f>IF(ISERROR(LOOKUP(AJ$16,$L27:$X27,#REF!)),0,(LOOKUP(AJ$16,$L27:$X27,#REF!)))</f>
        <v>0</v>
      </c>
      <c r="AK27" s="243">
        <f>IF(ISERROR(LOOKUP(AK$16,$L27:$X27,#REF!)),0,(LOOKUP(AK$16,$L27:$X27,#REF!)))</f>
        <v>0</v>
      </c>
      <c r="AL27" s="243">
        <f>IF(ISERROR(LOOKUP(AL$16,$L27:$X27,#REF!)),0,(LOOKUP(AL$16,$L27:$X27,#REF!)))</f>
        <v>0</v>
      </c>
      <c r="AM27" s="243">
        <f ca="1">IF(ISERROR(LOOKUP(AM$16,$L27:$X27,#REF!)),0,(LOOKUP(AM$16,$L27:$X27,#REF!)))</f>
        <v>0</v>
      </c>
      <c r="AO27" s="166">
        <f t="shared" si="0"/>
        <v>15</v>
      </c>
      <c r="AP27" s="215">
        <v>46272</v>
      </c>
      <c r="AQ27" s="215">
        <v>46276</v>
      </c>
      <c r="AR27" s="215">
        <v>46283</v>
      </c>
      <c r="AS27" s="638"/>
      <c r="AW27" s="244" t="e">
        <v>#REF!</v>
      </c>
    </row>
    <row r="28" spans="1:49" s="168" customFormat="1" ht="16.5" customHeight="1">
      <c r="A28" s="597"/>
      <c r="B28" s="600"/>
      <c r="C28" s="605" t="str">
        <f>C26</f>
        <v>RFQ-004</v>
      </c>
      <c r="D28" s="605" t="str">
        <f t="shared" ref="D28" si="20">D26</f>
        <v>Production &amp; Test Seperator</v>
      </c>
      <c r="E28" s="608"/>
      <c r="F28" s="605"/>
      <c r="G28" s="601" t="str">
        <f t="shared" ref="G28" si="21">G26</f>
        <v>N</v>
      </c>
      <c r="H28" s="608"/>
      <c r="I28" s="212" t="str">
        <f>I26</f>
        <v>LA</v>
      </c>
      <c r="J28" s="214" t="s">
        <v>67</v>
      </c>
      <c r="K28" s="212"/>
      <c r="L28" s="212"/>
      <c r="M28" s="212"/>
      <c r="N28" s="212"/>
      <c r="O28" s="212"/>
      <c r="P28" s="226"/>
      <c r="Q28" s="227"/>
      <c r="R28" s="212"/>
      <c r="S28" s="212"/>
      <c r="T28" s="212"/>
      <c r="U28" s="219"/>
      <c r="V28" s="212"/>
      <c r="W28" s="228"/>
      <c r="X28" s="212"/>
      <c r="Y28" s="628"/>
      <c r="Z28" s="633"/>
      <c r="AA28" s="636"/>
      <c r="AB28" s="637"/>
      <c r="AC28" s="246">
        <f>IF(ISERROR(LOOKUP(AC$16,$L28:$X28,#REF!)),0,(LOOKUP(AC$16,$L28:$X28,#REF!)))</f>
        <v>0</v>
      </c>
      <c r="AD28" s="247">
        <f>IF(ISERROR(LOOKUP(AD$16,$L28:$X28,#REF!)),0,(LOOKUP(AD$16,$L28:$X28,#REF!)))</f>
        <v>0</v>
      </c>
      <c r="AE28" s="247">
        <f>IF(ISERROR(LOOKUP(AE$16,$L28:$X28,#REF!)),0,(LOOKUP(AE$16,$L28:$X28,#REF!)))</f>
        <v>0</v>
      </c>
      <c r="AF28" s="247">
        <f>IF(ISERROR(LOOKUP(AF$16,$L28:$X28,#REF!)),0,(LOOKUP(AF$16,$L28:$X28,#REF!)))</f>
        <v>0</v>
      </c>
      <c r="AG28" s="247">
        <f>IF(ISERROR(LOOKUP(AG$16,$L28:$X28,#REF!)),0,(LOOKUP(AG$16,$L28:$X28,#REF!)))</f>
        <v>0</v>
      </c>
      <c r="AH28" s="247">
        <f>IF(ISERROR(LOOKUP(AH$16,$L28:$X28,#REF!)),0,(LOOKUP(AH$16,$L28:$X28,#REF!)))</f>
        <v>0</v>
      </c>
      <c r="AI28" s="247">
        <f>IF(ISERROR(LOOKUP(AI$16,$L28:$X28,#REF!)),0,(LOOKUP(AI$16,$L28:$X28,#REF!)))</f>
        <v>0</v>
      </c>
      <c r="AJ28" s="247">
        <f>IF(ISERROR(LOOKUP(AJ$16,$L28:$X28,#REF!)),0,(LOOKUP(AJ$16,$L28:$X28,#REF!)))</f>
        <v>0</v>
      </c>
      <c r="AK28" s="247">
        <f>IF(ISERROR(LOOKUP(AK$16,$L28:$X28,#REF!)),0,(LOOKUP(AK$16,$L28:$X28,#REF!)))</f>
        <v>0</v>
      </c>
      <c r="AL28" s="247">
        <f>IF(ISERROR(LOOKUP(AL$16,$L28:$X28,#REF!)),0,(LOOKUP(AL$16,$L28:$X28,#REF!)))</f>
        <v>0</v>
      </c>
      <c r="AM28" s="247">
        <f ca="1">IF(ISERROR(LOOKUP(AM$16,$L28:$X28,#REF!)),0,(LOOKUP(AM$16,$L28:$X28,#REF!)))</f>
        <v>0</v>
      </c>
      <c r="AO28" s="166">
        <f t="shared" si="0"/>
        <v>0</v>
      </c>
      <c r="AP28" s="212"/>
      <c r="AQ28" s="212"/>
      <c r="AR28" s="212"/>
      <c r="AS28" s="638"/>
      <c r="AW28" s="244" t="e">
        <v>#REF!</v>
      </c>
    </row>
    <row r="29" spans="1:49" s="168" customFormat="1" ht="16.5" customHeight="1">
      <c r="A29" s="597">
        <f t="shared" ref="A29" si="22">A26+1</f>
        <v>5</v>
      </c>
      <c r="B29" s="598"/>
      <c r="C29" s="604" t="s">
        <v>4737</v>
      </c>
      <c r="D29" s="604" t="s">
        <v>4738</v>
      </c>
      <c r="E29" s="606"/>
      <c r="F29" s="604" t="s">
        <v>83</v>
      </c>
      <c r="G29" s="601" t="s">
        <v>60</v>
      </c>
      <c r="H29" s="606"/>
      <c r="I29" s="212" t="s">
        <v>6</v>
      </c>
      <c r="J29" s="214" t="s">
        <v>61</v>
      </c>
      <c r="K29" s="215">
        <v>46176</v>
      </c>
      <c r="L29" s="215">
        <v>46177</v>
      </c>
      <c r="M29" s="215">
        <v>46182</v>
      </c>
      <c r="N29" s="215">
        <v>46183</v>
      </c>
      <c r="O29" s="215">
        <v>46188</v>
      </c>
      <c r="P29" s="216">
        <f>U29-L29</f>
        <v>71</v>
      </c>
      <c r="Q29" s="217"/>
      <c r="R29" s="215">
        <v>46202</v>
      </c>
      <c r="S29" s="215">
        <v>46230</v>
      </c>
      <c r="T29" s="215">
        <v>46233</v>
      </c>
      <c r="U29" s="215">
        <v>46248</v>
      </c>
      <c r="V29" s="215">
        <v>46255</v>
      </c>
      <c r="W29" s="218">
        <v>32</v>
      </c>
      <c r="X29" s="215">
        <v>46472</v>
      </c>
      <c r="Y29" s="628">
        <f>W29*7</f>
        <v>224</v>
      </c>
      <c r="Z29" s="633">
        <v>46472</v>
      </c>
      <c r="AA29" s="633">
        <v>46472</v>
      </c>
      <c r="AB29" s="637">
        <f t="shared" ref="AB29" si="23">Z29-X30</f>
        <v>0</v>
      </c>
      <c r="AC29" s="242">
        <f>IF(ISERROR(LOOKUP(AC$16,$L29:$X29,#REF!)),0,(LOOKUP(AC$16,$L29:$X29,#REF!)))</f>
        <v>0</v>
      </c>
      <c r="AD29" s="243">
        <f>IF(ISERROR(LOOKUP(AD$16,$L29:$X29,#REF!)),0,(LOOKUP(AD$16,$L29:$X29,#REF!)))</f>
        <v>0</v>
      </c>
      <c r="AE29" s="243">
        <f>IF(ISERROR(LOOKUP(AE$16,$L29:$X29,#REF!)),0,(LOOKUP(AE$16,$L29:$X29,#REF!)))</f>
        <v>0</v>
      </c>
      <c r="AF29" s="243">
        <f>IF(ISERROR(LOOKUP(AF$16,$L29:$X29,#REF!)),0,(LOOKUP(AF$16,$L29:$X29,#REF!)))</f>
        <v>0</v>
      </c>
      <c r="AG29" s="243">
        <f>IF(ISERROR(LOOKUP(AG$16,$L29:$X29,#REF!)),0,(LOOKUP(AG$16,$L29:$X29,#REF!)))</f>
        <v>0</v>
      </c>
      <c r="AH29" s="243">
        <f>IF(ISERROR(LOOKUP(AH$16,$L29:$X29,#REF!)),0,(LOOKUP(AH$16,$L29:$X29,#REF!)))</f>
        <v>0</v>
      </c>
      <c r="AI29" s="243">
        <f>IF(ISERROR(LOOKUP(AI$16,$L29:$X29,#REF!)),0,(LOOKUP(AI$16,$L29:$X29,#REF!)))</f>
        <v>0</v>
      </c>
      <c r="AJ29" s="243">
        <f>IF(ISERROR(LOOKUP(AJ$16,$L29:$X29,#REF!)),0,(LOOKUP(AJ$16,$L29:$X29,#REF!)))</f>
        <v>0</v>
      </c>
      <c r="AK29" s="243">
        <f>IF(ISERROR(LOOKUP(AK$16,$L29:$X29,#REF!)),0,(LOOKUP(AK$16,$L29:$X29,#REF!)))</f>
        <v>0</v>
      </c>
      <c r="AL29" s="243">
        <f>IF(ISERROR(LOOKUP(AL$16,$L29:$X29,#REF!)),0,(LOOKUP(AL$16,$L29:$X29,#REF!)))</f>
        <v>0</v>
      </c>
      <c r="AM29" s="243">
        <f ca="1">IF(ISERROR(LOOKUP(AM$16,$L29:$X29,#REF!)),0,(LOOKUP(AM$16,$L29:$X29,#REF!)))</f>
        <v>0</v>
      </c>
      <c r="AO29" s="166">
        <f t="shared" si="0"/>
        <v>15</v>
      </c>
      <c r="AP29" s="215">
        <v>46237</v>
      </c>
      <c r="AQ29" s="215">
        <v>46241</v>
      </c>
      <c r="AR29" s="215">
        <v>46241</v>
      </c>
      <c r="AS29" s="638">
        <v>14</v>
      </c>
      <c r="AW29" s="244" t="e">
        <v>#REF!</v>
      </c>
    </row>
    <row r="30" spans="1:49" s="168" customFormat="1" ht="16.5" customHeight="1">
      <c r="A30" s="597"/>
      <c r="B30" s="599"/>
      <c r="C30" s="604" t="str">
        <f t="shared" ref="C30" si="24">C29</f>
        <v>RFQ-005</v>
      </c>
      <c r="D30" s="604" t="str">
        <f t="shared" ref="D30" si="25">D29</f>
        <v>Pig Launcher and Receiver</v>
      </c>
      <c r="E30" s="607"/>
      <c r="F30" s="604" t="str">
        <f>F29</f>
        <v>Piping</v>
      </c>
      <c r="G30" s="601" t="str">
        <f>G29</f>
        <v>Y</v>
      </c>
      <c r="H30" s="607"/>
      <c r="I30" s="212" t="str">
        <f>I29</f>
        <v>LA</v>
      </c>
      <c r="J30" s="214" t="s">
        <v>65</v>
      </c>
      <c r="K30" s="215">
        <v>46176</v>
      </c>
      <c r="L30" s="215">
        <v>46177</v>
      </c>
      <c r="M30" s="215">
        <v>46182</v>
      </c>
      <c r="N30" s="215">
        <v>46183</v>
      </c>
      <c r="O30" s="215">
        <v>46188</v>
      </c>
      <c r="P30" s="216"/>
      <c r="Q30" s="217"/>
      <c r="R30" s="215">
        <v>46202</v>
      </c>
      <c r="S30" s="215">
        <v>46230</v>
      </c>
      <c r="T30" s="215">
        <v>46233</v>
      </c>
      <c r="U30" s="215">
        <v>46248</v>
      </c>
      <c r="V30" s="215">
        <v>46255</v>
      </c>
      <c r="W30" s="218"/>
      <c r="X30" s="215">
        <v>46472</v>
      </c>
      <c r="Y30" s="628"/>
      <c r="Z30" s="633"/>
      <c r="AA30" s="633"/>
      <c r="AB30" s="637"/>
      <c r="AC30" s="242">
        <f>IF(ISERROR(LOOKUP(AC$16,$L30:$X30,#REF!)),0,(LOOKUP(AC$16,$L30:$X30,#REF!)))</f>
        <v>0</v>
      </c>
      <c r="AD30" s="243">
        <f>IF(ISERROR(LOOKUP(AD$16,$L30:$X30,#REF!)),0,(LOOKUP(AD$16,$L30:$X30,#REF!)))</f>
        <v>0</v>
      </c>
      <c r="AE30" s="243">
        <f>IF(ISERROR(LOOKUP(AE$16,$L30:$X30,#REF!)),0,(LOOKUP(AE$16,$L30:$X30,#REF!)))</f>
        <v>0</v>
      </c>
      <c r="AF30" s="243">
        <f>IF(ISERROR(LOOKUP(AF$16,$L30:$X30,#REF!)),0,(LOOKUP(AF$16,$L30:$X30,#REF!)))</f>
        <v>0</v>
      </c>
      <c r="AG30" s="243">
        <f>IF(ISERROR(LOOKUP(AG$16,$L30:$X30,#REF!)),0,(LOOKUP(AG$16,$L30:$X30,#REF!)))</f>
        <v>0</v>
      </c>
      <c r="AH30" s="243">
        <f>IF(ISERROR(LOOKUP(AH$16,$L30:$X30,#REF!)),0,(LOOKUP(AH$16,$L30:$X30,#REF!)))</f>
        <v>0</v>
      </c>
      <c r="AI30" s="243">
        <f>IF(ISERROR(LOOKUP(AI$16,$L30:$X30,#REF!)),0,(LOOKUP(AI$16,$L30:$X30,#REF!)))</f>
        <v>0</v>
      </c>
      <c r="AJ30" s="243">
        <f>IF(ISERROR(LOOKUP(AJ$16,$L30:$X30,#REF!)),0,(LOOKUP(AJ$16,$L30:$X30,#REF!)))</f>
        <v>0</v>
      </c>
      <c r="AK30" s="243">
        <f>IF(ISERROR(LOOKUP(AK$16,$L30:$X30,#REF!)),0,(LOOKUP(AK$16,$L30:$X30,#REF!)))</f>
        <v>0</v>
      </c>
      <c r="AL30" s="243">
        <f>IF(ISERROR(LOOKUP(AL$16,$L30:$X30,#REF!)),0,(LOOKUP(AL$16,$L30:$X30,#REF!)))</f>
        <v>0</v>
      </c>
      <c r="AM30" s="243">
        <f ca="1">IF(ISERROR(LOOKUP(AM$16,$L30:$X30,#REF!)),0,(LOOKUP(AM$16,$L30:$X30,#REF!)))</f>
        <v>0</v>
      </c>
      <c r="AO30" s="166">
        <f t="shared" si="0"/>
        <v>15</v>
      </c>
      <c r="AP30" s="215">
        <v>46237</v>
      </c>
      <c r="AQ30" s="215">
        <v>46241</v>
      </c>
      <c r="AR30" s="215">
        <v>46248</v>
      </c>
      <c r="AS30" s="638"/>
      <c r="AW30" s="244" t="e">
        <v>#REF!</v>
      </c>
    </row>
    <row r="31" spans="1:49" s="168" customFormat="1" ht="16.5" customHeight="1">
      <c r="A31" s="597"/>
      <c r="B31" s="600"/>
      <c r="C31" s="605" t="str">
        <f>C29</f>
        <v>RFQ-005</v>
      </c>
      <c r="D31" s="605" t="str">
        <f t="shared" ref="D31" si="26">D29</f>
        <v>Pig Launcher and Receiver</v>
      </c>
      <c r="E31" s="608"/>
      <c r="F31" s="605" t="str">
        <f>F29</f>
        <v>Piping</v>
      </c>
      <c r="G31" s="601" t="str">
        <f t="shared" ref="G31" si="27">G29</f>
        <v>Y</v>
      </c>
      <c r="H31" s="608"/>
      <c r="I31" s="212" t="str">
        <f>I29</f>
        <v>LA</v>
      </c>
      <c r="J31" s="214" t="s">
        <v>67</v>
      </c>
      <c r="K31" s="212"/>
      <c r="L31" s="212"/>
      <c r="M31" s="212"/>
      <c r="N31" s="212"/>
      <c r="O31" s="212"/>
      <c r="P31" s="226"/>
      <c r="Q31" s="227"/>
      <c r="R31" s="212"/>
      <c r="S31" s="212"/>
      <c r="T31" s="212"/>
      <c r="U31" s="212"/>
      <c r="V31" s="212"/>
      <c r="W31" s="228"/>
      <c r="X31" s="212"/>
      <c r="Y31" s="628"/>
      <c r="Z31" s="633"/>
      <c r="AA31" s="633"/>
      <c r="AB31" s="637"/>
      <c r="AC31" s="246">
        <f>IF(ISERROR(LOOKUP(AC$16,$L31:$X31,#REF!)),0,(LOOKUP(AC$16,$L31:$X31,#REF!)))</f>
        <v>0</v>
      </c>
      <c r="AD31" s="247">
        <f>IF(ISERROR(LOOKUP(AD$16,$L31:$X31,#REF!)),0,(LOOKUP(AD$16,$L31:$X31,#REF!)))</f>
        <v>0</v>
      </c>
      <c r="AE31" s="247">
        <f>IF(ISERROR(LOOKUP(AE$16,$L31:$X31,#REF!)),0,(LOOKUP(AE$16,$L31:$X31,#REF!)))</f>
        <v>0</v>
      </c>
      <c r="AF31" s="247">
        <f>IF(ISERROR(LOOKUP(AF$16,$L31:$X31,#REF!)),0,(LOOKUP(AF$16,$L31:$X31,#REF!)))</f>
        <v>0</v>
      </c>
      <c r="AG31" s="247">
        <f>IF(ISERROR(LOOKUP(AG$16,$L31:$X31,#REF!)),0,(LOOKUP(AG$16,$L31:$X31,#REF!)))</f>
        <v>0</v>
      </c>
      <c r="AH31" s="247">
        <f>IF(ISERROR(LOOKUP(AH$16,$L31:$X31,#REF!)),0,(LOOKUP(AH$16,$L31:$X31,#REF!)))</f>
        <v>0</v>
      </c>
      <c r="AI31" s="247">
        <f>IF(ISERROR(LOOKUP(AI$16,$L31:$X31,#REF!)),0,(LOOKUP(AI$16,$L31:$X31,#REF!)))</f>
        <v>0</v>
      </c>
      <c r="AJ31" s="247">
        <f>IF(ISERROR(LOOKUP(AJ$16,$L31:$X31,#REF!)),0,(LOOKUP(AJ$16,$L31:$X31,#REF!)))</f>
        <v>0</v>
      </c>
      <c r="AK31" s="247">
        <f>IF(ISERROR(LOOKUP(AK$16,$L31:$X31,#REF!)),0,(LOOKUP(AK$16,$L31:$X31,#REF!)))</f>
        <v>0</v>
      </c>
      <c r="AL31" s="247">
        <f>IF(ISERROR(LOOKUP(AL$16,$L31:$X31,#REF!)),0,(LOOKUP(AL$16,$L31:$X31,#REF!)))</f>
        <v>0</v>
      </c>
      <c r="AM31" s="247">
        <f ca="1">IF(ISERROR(LOOKUP(AM$16,$L31:$X31,#REF!)),0,(LOOKUP(AM$16,$L31:$X31,#REF!)))</f>
        <v>0</v>
      </c>
      <c r="AO31" s="166">
        <f t="shared" si="0"/>
        <v>0</v>
      </c>
      <c r="AP31" s="212"/>
      <c r="AQ31" s="212"/>
      <c r="AR31" s="212"/>
      <c r="AS31" s="638"/>
      <c r="AW31" s="244" t="e">
        <v>#REF!</v>
      </c>
    </row>
    <row r="32" spans="1:49" s="166" customFormat="1" ht="18" customHeight="1">
      <c r="A32" s="596">
        <f t="shared" ref="A32" si="28">A29+1</f>
        <v>6</v>
      </c>
      <c r="B32" s="598"/>
      <c r="C32" s="606" t="s">
        <v>4739</v>
      </c>
      <c r="D32" s="606" t="s">
        <v>4740</v>
      </c>
      <c r="E32" s="213"/>
      <c r="F32" s="610" t="s">
        <v>59</v>
      </c>
      <c r="G32" s="601" t="s">
        <v>71</v>
      </c>
      <c r="H32" s="606"/>
      <c r="I32" s="212" t="s">
        <v>6</v>
      </c>
      <c r="J32" s="214" t="s">
        <v>61</v>
      </c>
      <c r="K32" s="215">
        <f>WORKDAY(L32,-INDEX(L$12:L$15,MATCH($I32,$I$12:$I$15,0)))</f>
        <v>46143</v>
      </c>
      <c r="L32" s="215">
        <f>WORKDAY(M32,-INDEX(M$12:M$15,MATCH($I32,$I$12:$I$15,0)))</f>
        <v>46146</v>
      </c>
      <c r="M32" s="215">
        <f>WORKDAY(N32,-INDEX(N$12:N$15,MATCH($I32,$I$12:$I$15,0)))</f>
        <v>46153</v>
      </c>
      <c r="N32" s="215">
        <f>WORKDAY(O32,-INDEX(O$12:O$15,MATCH($I32,$I$12:$I$15,0)))</f>
        <v>46154</v>
      </c>
      <c r="O32" s="215">
        <f>WORKDAY(R32,-INDEX(R$12:R$15,MATCH($I32,$I$12:$I$15,0)))</f>
        <v>46161</v>
      </c>
      <c r="P32" s="216">
        <f>U32-L32</f>
        <v>74</v>
      </c>
      <c r="Q32" s="217"/>
      <c r="R32" s="215">
        <f>WORKDAY(S32,-INDEX(S$12:S$15,MATCH($I32,$I$12:$I$15,0)))</f>
        <v>46175</v>
      </c>
      <c r="S32" s="215">
        <f>WORKDAY(T32,-INDEX(T$12:T$15,MATCH($I32,$I$12:$I$15,0)))</f>
        <v>46203</v>
      </c>
      <c r="T32" s="215">
        <f>WORKDAY(U32,-INDEX(U$12:U$15,MATCH($I32,$I$12:$I$15,0)))</f>
        <v>46206</v>
      </c>
      <c r="U32" s="215">
        <f>X32-Y32</f>
        <v>46220</v>
      </c>
      <c r="V32" s="215">
        <f>WORKDAY(U32,INDEX(V$12:V$15,MATCH($I32,$I$12:$I$15,0)))</f>
        <v>46224</v>
      </c>
      <c r="W32" s="218">
        <f>Y32/7</f>
        <v>32</v>
      </c>
      <c r="X32" s="215">
        <f>Z32</f>
        <v>46444</v>
      </c>
      <c r="Y32" s="629">
        <f>32*7</f>
        <v>224</v>
      </c>
      <c r="Z32" s="633">
        <v>46444</v>
      </c>
      <c r="AA32" s="633">
        <v>46444</v>
      </c>
      <c r="AB32" s="637">
        <f t="shared" ref="AB32" si="29">Z32-X33</f>
        <v>0</v>
      </c>
      <c r="AC32" s="220">
        <f>IF(ISERROR(LOOKUP(AC$16,$L32:$X32,#REF!)),0,(LOOKUP(AC$16,$L32:$X32,#REF!)))</f>
        <v>0</v>
      </c>
      <c r="AD32" s="221">
        <f>IF(ISERROR(LOOKUP(AD$16,$L32:$X32,#REF!)),0,(LOOKUP(AD$16,$L32:$X32,#REF!)))</f>
        <v>0</v>
      </c>
      <c r="AE32" s="221">
        <f>IF(ISERROR(LOOKUP(AE$16,$L32:$X32,#REF!)),0,(LOOKUP(AE$16,$L32:$X32,#REF!)))</f>
        <v>0</v>
      </c>
      <c r="AF32" s="221">
        <f>IF(ISERROR(LOOKUP(AF$16,$L32:$X32,#REF!)),0,(LOOKUP(AF$16,$L32:$X32,#REF!)))</f>
        <v>0</v>
      </c>
      <c r="AG32" s="221">
        <f>IF(ISERROR(LOOKUP(AG$16,$L32:$X32,#REF!)),0,(LOOKUP(AG$16,$L32:$X32,#REF!)))</f>
        <v>0</v>
      </c>
      <c r="AH32" s="221">
        <f>IF(ISERROR(LOOKUP(AH$16,$L32:$X32,#REF!)),0,(LOOKUP(AH$16,$L32:$X32,#REF!)))</f>
        <v>0</v>
      </c>
      <c r="AI32" s="221">
        <f>IF(ISERROR(LOOKUP(AI$16,$L32:$X32,#REF!)),0,(LOOKUP(AI$16,$L32:$X32,#REF!)))</f>
        <v>0</v>
      </c>
      <c r="AJ32" s="221">
        <f>IF(ISERROR(LOOKUP(AJ$16,$L32:$X32,#REF!)),0,(LOOKUP(AJ$16,$L32:$X32,#REF!)))</f>
        <v>0</v>
      </c>
      <c r="AK32" s="221">
        <f>IF(ISERROR(LOOKUP(AK$16,$L32:$X32,#REF!)),0,(LOOKUP(AK$16,$L32:$X32,#REF!)))</f>
        <v>0</v>
      </c>
      <c r="AL32" s="221">
        <f>IF(ISERROR(LOOKUP(AL$16,$L32:$X32,#REF!)),0,(LOOKUP(AL$16,$L32:$X32,#REF!)))</f>
        <v>0</v>
      </c>
      <c r="AM32" s="221">
        <f ca="1">IF(ISERROR(LOOKUP(AM$16,$L32:$X32,#REF!)),0,(LOOKUP(AM$16,$L32:$X32,#REF!)))</f>
        <v>0</v>
      </c>
      <c r="AO32" s="166">
        <f t="shared" si="0"/>
        <v>14</v>
      </c>
      <c r="AP32" s="215" t="e">
        <f>WORKDAY(AQ32,-INDEX(AQ$12:AQ$15,MATCH($I32,$I$12:$I$15,0)),$AW$17:$AW$148)</f>
        <v>#REF!</v>
      </c>
      <c r="AQ32" s="215" t="e">
        <f>WORKDAY(U32,-INDEX(U$12:U$15,MATCH($I32,$I$12:$I$15,0)),$AW$17:$AW$148)</f>
        <v>#REF!</v>
      </c>
      <c r="AR32" s="215" t="e">
        <f>WORKDAY(U32,-INDEX(U$12:U$15,MATCH($I32,$I$12:$I$15,0)),$AW$17:$AW$148)</f>
        <v>#REF!</v>
      </c>
      <c r="AS32" s="638">
        <v>14</v>
      </c>
      <c r="AW32" s="223" t="e">
        <v>#REF!</v>
      </c>
    </row>
    <row r="33" spans="1:49" s="166" customFormat="1" ht="18" customHeight="1">
      <c r="A33" s="596"/>
      <c r="B33" s="599"/>
      <c r="C33" s="607" t="str">
        <f t="shared" ref="C33" si="30">C32</f>
        <v>RFQ-006</v>
      </c>
      <c r="D33" s="607"/>
      <c r="E33" s="224"/>
      <c r="F33" s="611"/>
      <c r="G33" s="601" t="str">
        <f>G32</f>
        <v>N</v>
      </c>
      <c r="H33" s="607"/>
      <c r="I33" s="212" t="str">
        <f>I32</f>
        <v>LA</v>
      </c>
      <c r="J33" s="214" t="s">
        <v>65</v>
      </c>
      <c r="K33" s="215">
        <f>K32</f>
        <v>46143</v>
      </c>
      <c r="L33" s="215">
        <f>WORKDAY(IF(K34="",K33,K34),INDEX(L$12:L$15,MATCH($I32,$I$12:$I$15,0)))</f>
        <v>46146</v>
      </c>
      <c r="M33" s="215">
        <f>WORKDAY(IF(L34="",L33,L34),INDEX(M$12:M$15,MATCH($I32,$I$12:$I$15,0)))</f>
        <v>46153</v>
      </c>
      <c r="N33" s="215">
        <f>WORKDAY(IF(M34="",M33,M34),INDEX(N$12:N$15,MATCH($I32,$I$12:$I$15,0)))</f>
        <v>46154</v>
      </c>
      <c r="O33" s="215">
        <f>WORKDAY(IF(N34="",N33,N34),INDEX(O$12:O$15,MATCH($I32,$I$12:$I$15,0)))</f>
        <v>46161</v>
      </c>
      <c r="P33" s="216"/>
      <c r="Q33" s="217"/>
      <c r="R33" s="215">
        <f>WORKDAY(IF(O34="",O33,O34),INDEX(R$12:R$15,MATCH($I32,$I$12:$I$15,0)))</f>
        <v>46175</v>
      </c>
      <c r="S33" s="215">
        <f>WORKDAY(IF(R34="",R33,R34),INDEX(S$12:S$15,MATCH($I32,$I$12:$I$15,0)))</f>
        <v>46203</v>
      </c>
      <c r="T33" s="215">
        <f>WORKDAY(IF(S34="",S33,S34),INDEX(T$12:T$15,MATCH($I32,$I$12:$I$15,0)))</f>
        <v>46206</v>
      </c>
      <c r="U33" s="215">
        <f>WORKDAY(IF(T34="",T33,T34),INDEX(U$12:U$15,MATCH($I32,$I$12:$I$15,0)))</f>
        <v>46220</v>
      </c>
      <c r="V33" s="215">
        <f>WORKDAY(IF(U34="",U33,U34),INDEX(V$12:V$15,MATCH($I32,$I$12:$I$15,0)))</f>
        <v>46224</v>
      </c>
      <c r="W33" s="218"/>
      <c r="X33" s="215">
        <f>U33+Y32</f>
        <v>46444</v>
      </c>
      <c r="Y33" s="630"/>
      <c r="Z33" s="633"/>
      <c r="AA33" s="633"/>
      <c r="AB33" s="637"/>
      <c r="AC33" s="220">
        <f>IF(ISERROR(LOOKUP(AC$16,$L33:$X33,#REF!)),0,(LOOKUP(AC$16,$L33:$X33,#REF!)))</f>
        <v>0</v>
      </c>
      <c r="AD33" s="221">
        <f>IF(ISERROR(LOOKUP(AD$16,$L33:$X33,#REF!)),0,(LOOKUP(AD$16,$L33:$X33,#REF!)))</f>
        <v>0</v>
      </c>
      <c r="AE33" s="221">
        <f>IF(ISERROR(LOOKUP(AE$16,$L33:$X33,#REF!)),0,(LOOKUP(AE$16,$L33:$X33,#REF!)))</f>
        <v>0</v>
      </c>
      <c r="AF33" s="221">
        <f>IF(ISERROR(LOOKUP(AF$16,$L33:$X33,#REF!)),0,(LOOKUP(AF$16,$L33:$X33,#REF!)))</f>
        <v>0</v>
      </c>
      <c r="AG33" s="221">
        <f>IF(ISERROR(LOOKUP(AG$16,$L33:$X33,#REF!)),0,(LOOKUP(AG$16,$L33:$X33,#REF!)))</f>
        <v>0</v>
      </c>
      <c r="AH33" s="221">
        <f>IF(ISERROR(LOOKUP(AH$16,$L33:$X33,#REF!)),0,(LOOKUP(AH$16,$L33:$X33,#REF!)))</f>
        <v>0</v>
      </c>
      <c r="AI33" s="221">
        <f>IF(ISERROR(LOOKUP(AI$16,$L33:$X33,#REF!)),0,(LOOKUP(AI$16,$L33:$X33,#REF!)))</f>
        <v>0</v>
      </c>
      <c r="AJ33" s="221">
        <f>IF(ISERROR(LOOKUP(AJ$16,$L33:$X33,#REF!)),0,(LOOKUP(AJ$16,$L33:$X33,#REF!)))</f>
        <v>0</v>
      </c>
      <c r="AK33" s="221">
        <f>IF(ISERROR(LOOKUP(AK$16,$L33:$X33,#REF!)),0,(LOOKUP(AK$16,$L33:$X33,#REF!)))</f>
        <v>0</v>
      </c>
      <c r="AL33" s="221">
        <f>IF(ISERROR(LOOKUP(AL$16,$L33:$X33,#REF!)),0,(LOOKUP(AL$16,$L33:$X33,#REF!)))</f>
        <v>0</v>
      </c>
      <c r="AM33" s="221">
        <f ca="1">IF(ISERROR(LOOKUP(AM$16,$L33:$X33,#REF!)),0,(LOOKUP(AM$16,$L33:$X33,#REF!)))</f>
        <v>0</v>
      </c>
      <c r="AO33" s="166">
        <f t="shared" si="0"/>
        <v>14</v>
      </c>
      <c r="AP33" s="215" t="e">
        <f>WORKDAY(IF(T34="",T33,T34),INDEX(AP$12:AP$15,MATCH($I32,$I$12:$I$15,0)),$AW$17:$AW$148)</f>
        <v>#REF!</v>
      </c>
      <c r="AQ33" s="215" t="e">
        <f>WORKDAY(IF(AP34="",AP33,AP34),INDEX(AQ$12:AQ$15,MATCH($I32,$I$12:$I$15,0)),$AW$17:$AW$148)</f>
        <v>#REF!</v>
      </c>
      <c r="AR33" s="215" t="e">
        <f>WORKDAY(IF(AQ34="",AQ33,AQ34),INDEX(AR$12:AR$15,MATCH($I32,$I$12:$I$15,0)),$AW$17:$AW$148)</f>
        <v>#REF!</v>
      </c>
      <c r="AS33" s="638"/>
      <c r="AW33" s="223" t="e">
        <v>#REF!</v>
      </c>
    </row>
    <row r="34" spans="1:49" s="166" customFormat="1" ht="18" customHeight="1">
      <c r="A34" s="596"/>
      <c r="B34" s="600"/>
      <c r="C34" s="608" t="str">
        <f>C32</f>
        <v>RFQ-006</v>
      </c>
      <c r="D34" s="608"/>
      <c r="E34" s="225"/>
      <c r="F34" s="612"/>
      <c r="G34" s="601" t="str">
        <f t="shared" ref="G34" si="31">G32</f>
        <v>N</v>
      </c>
      <c r="H34" s="608"/>
      <c r="I34" s="212" t="str">
        <f>I32</f>
        <v>LA</v>
      </c>
      <c r="J34" s="214" t="s">
        <v>67</v>
      </c>
      <c r="K34" s="212"/>
      <c r="L34" s="212"/>
      <c r="M34" s="212"/>
      <c r="N34" s="212"/>
      <c r="O34" s="212"/>
      <c r="P34" s="226"/>
      <c r="Q34" s="227"/>
      <c r="R34" s="212"/>
      <c r="S34" s="212"/>
      <c r="T34" s="212"/>
      <c r="U34" s="212"/>
      <c r="V34" s="212"/>
      <c r="W34" s="228"/>
      <c r="X34" s="212"/>
      <c r="Y34" s="631"/>
      <c r="Z34" s="633"/>
      <c r="AA34" s="633"/>
      <c r="AB34" s="637"/>
      <c r="AC34" s="229">
        <f>IF(ISERROR(LOOKUP(AC$16,$L34:$X34,#REF!)),0,(LOOKUP(AC$16,$L34:$X34,#REF!)))</f>
        <v>0</v>
      </c>
      <c r="AD34" s="230">
        <f>IF(ISERROR(LOOKUP(AD$16,$L34:$X34,#REF!)),0,(LOOKUP(AD$16,$L34:$X34,#REF!)))</f>
        <v>0</v>
      </c>
      <c r="AE34" s="230">
        <f>IF(ISERROR(LOOKUP(AE$16,$L34:$X34,#REF!)),0,(LOOKUP(AE$16,$L34:$X34,#REF!)))</f>
        <v>0</v>
      </c>
      <c r="AF34" s="230">
        <f>IF(ISERROR(LOOKUP(AF$16,$L34:$X34,#REF!)),0,(LOOKUP(AF$16,$L34:$X34,#REF!)))</f>
        <v>0</v>
      </c>
      <c r="AG34" s="230">
        <f>IF(ISERROR(LOOKUP(AG$16,$L34:$X34,#REF!)),0,(LOOKUP(AG$16,$L34:$X34,#REF!)))</f>
        <v>0</v>
      </c>
      <c r="AH34" s="230">
        <f>IF(ISERROR(LOOKUP(AH$16,$L34:$X34,#REF!)),0,(LOOKUP(AH$16,$L34:$X34,#REF!)))</f>
        <v>0</v>
      </c>
      <c r="AI34" s="230">
        <f>IF(ISERROR(LOOKUP(AI$16,$L34:$X34,#REF!)),0,(LOOKUP(AI$16,$L34:$X34,#REF!)))</f>
        <v>0</v>
      </c>
      <c r="AJ34" s="230">
        <f>IF(ISERROR(LOOKUP(AJ$16,$L34:$X34,#REF!)),0,(LOOKUP(AJ$16,$L34:$X34,#REF!)))</f>
        <v>0</v>
      </c>
      <c r="AK34" s="230">
        <f>IF(ISERROR(LOOKUP(AK$16,$L34:$X34,#REF!)),0,(LOOKUP(AK$16,$L34:$X34,#REF!)))</f>
        <v>0</v>
      </c>
      <c r="AL34" s="230">
        <f>IF(ISERROR(LOOKUP(AL$16,$L34:$X34,#REF!)),0,(LOOKUP(AL$16,$L34:$X34,#REF!)))</f>
        <v>0</v>
      </c>
      <c r="AM34" s="230">
        <f ca="1">IF(ISERROR(LOOKUP(AM$16,$L34:$X34,#REF!)),0,(LOOKUP(AM$16,$L34:$X34,#REF!)))</f>
        <v>0</v>
      </c>
      <c r="AO34" s="166">
        <f t="shared" si="0"/>
        <v>0</v>
      </c>
      <c r="AP34" s="212"/>
      <c r="AQ34" s="212"/>
      <c r="AR34" s="212"/>
      <c r="AS34" s="638"/>
      <c r="AW34" s="223" t="e">
        <v>#REF!</v>
      </c>
    </row>
    <row r="35" spans="1:49" s="167" customFormat="1" ht="18" customHeight="1">
      <c r="A35" s="597">
        <f t="shared" ref="A35" si="32">A32+1</f>
        <v>7</v>
      </c>
      <c r="B35" s="598"/>
      <c r="C35" s="602" t="s">
        <v>4741</v>
      </c>
      <c r="D35" s="602" t="s">
        <v>4742</v>
      </c>
      <c r="E35" s="606"/>
      <c r="F35" s="613" t="s">
        <v>59</v>
      </c>
      <c r="G35" s="601" t="s">
        <v>71</v>
      </c>
      <c r="H35" s="606"/>
      <c r="I35" s="212" t="s">
        <v>6</v>
      </c>
      <c r="J35" s="214" t="s">
        <v>61</v>
      </c>
      <c r="K35" s="215">
        <f>WORKDAY(L35,-INDEX(L$12:L$15,MATCH($I35,$I$12:$I$15,0)))</f>
        <v>46176</v>
      </c>
      <c r="L35" s="215">
        <f>WORKDAY(M35,-INDEX(M$12:M$15,MATCH($I35,$I$12:$I$15,0)))</f>
        <v>46177</v>
      </c>
      <c r="M35" s="215">
        <f>WORKDAY(N35,-INDEX(N$12:N$15,MATCH($I35,$I$12:$I$15,0)))</f>
        <v>46184</v>
      </c>
      <c r="N35" s="215">
        <f>WORKDAY(O35,-INDEX(O$12:O$15,MATCH($I35,$I$12:$I$15,0)))</f>
        <v>46185</v>
      </c>
      <c r="O35" s="215">
        <f>WORKDAY(R35,-INDEX(R$12:R$15,MATCH($I35,$I$12:$I$15,0)))</f>
        <v>46192</v>
      </c>
      <c r="P35" s="216">
        <f>U35-L35</f>
        <v>76</v>
      </c>
      <c r="Q35" s="217"/>
      <c r="R35" s="215">
        <f>WORKDAY(S35,-INDEX(S$12:S$15,MATCH($I35,$I$12:$I$15,0)))</f>
        <v>46206</v>
      </c>
      <c r="S35" s="215">
        <f>WORKDAY(T35,-INDEX(T$12:T$15,MATCH($I35,$I$12:$I$15,0)))</f>
        <v>46234</v>
      </c>
      <c r="T35" s="215">
        <f>WORKDAY(U35,-INDEX(U$12:U$15,MATCH($I35,$I$12:$I$15,0)))</f>
        <v>46239</v>
      </c>
      <c r="U35" s="215">
        <f>X35-Y35</f>
        <v>46253</v>
      </c>
      <c r="V35" s="215">
        <f>WORKDAY(U35,INDEX(V$12:V$15,MATCH($I35,$I$12:$I$15,0)))</f>
        <v>46255</v>
      </c>
      <c r="W35" s="218">
        <f>Y35/7</f>
        <v>32</v>
      </c>
      <c r="X35" s="215">
        <f>Z35</f>
        <v>46477</v>
      </c>
      <c r="Y35" s="628">
        <f>32*7</f>
        <v>224</v>
      </c>
      <c r="Z35" s="633">
        <v>46477</v>
      </c>
      <c r="AA35" s="633">
        <v>46477</v>
      </c>
      <c r="AB35" s="637">
        <f t="shared" ref="AB35" si="33">Z35-X36</f>
        <v>0</v>
      </c>
      <c r="AC35" s="234">
        <f>IF(ISERROR(LOOKUP(AC$16,$L35:$X35,#REF!)),0,(LOOKUP(AC$16,$L35:$X35,#REF!)))</f>
        <v>0</v>
      </c>
      <c r="AD35" s="235">
        <f>IF(ISERROR(LOOKUP(AD$16,$L35:$X35,#REF!)),0,(LOOKUP(AD$16,$L35:$X35,#REF!)))</f>
        <v>0</v>
      </c>
      <c r="AE35" s="235">
        <f>IF(ISERROR(LOOKUP(AE$16,$L35:$X35,#REF!)),0,(LOOKUP(AE$16,$L35:$X35,#REF!)))</f>
        <v>0</v>
      </c>
      <c r="AF35" s="235">
        <f>IF(ISERROR(LOOKUP(AF$16,$L35:$X35,#REF!)),0,(LOOKUP(AF$16,$L35:$X35,#REF!)))</f>
        <v>0</v>
      </c>
      <c r="AG35" s="235">
        <f>IF(ISERROR(LOOKUP(AG$16,$L35:$X35,#REF!)),0,(LOOKUP(AG$16,$L35:$X35,#REF!)))</f>
        <v>0</v>
      </c>
      <c r="AH35" s="235">
        <f>IF(ISERROR(LOOKUP(AH$16,$L35:$X35,#REF!)),0,(LOOKUP(AH$16,$L35:$X35,#REF!)))</f>
        <v>0</v>
      </c>
      <c r="AI35" s="235">
        <f>IF(ISERROR(LOOKUP(AI$16,$L35:$X35,#REF!)),0,(LOOKUP(AI$16,$L35:$X35,#REF!)))</f>
        <v>0</v>
      </c>
      <c r="AJ35" s="235">
        <f>IF(ISERROR(LOOKUP(AJ$16,$L35:$X35,#REF!)),0,(LOOKUP(AJ$16,$L35:$X35,#REF!)))</f>
        <v>0</v>
      </c>
      <c r="AK35" s="235">
        <f>IF(ISERROR(LOOKUP(AK$16,$L35:$X35,#REF!)),0,(LOOKUP(AK$16,$L35:$X35,#REF!)))</f>
        <v>0</v>
      </c>
      <c r="AL35" s="235">
        <f>IF(ISERROR(LOOKUP(AL$16,$L35:$X35,#REF!)),0,(LOOKUP(AL$16,$L35:$X35,#REF!)))</f>
        <v>0</v>
      </c>
      <c r="AM35" s="235">
        <f ca="1">IF(ISERROR(LOOKUP(AM$16,$L35:$X35,#REF!)),0,(LOOKUP(AM$16,$L35:$X35,#REF!)))</f>
        <v>0</v>
      </c>
      <c r="AO35" s="166">
        <f t="shared" si="0"/>
        <v>14</v>
      </c>
      <c r="AP35" s="215" t="e">
        <f>WORKDAY(AQ35,-INDEX(AQ$12:AQ$15,MATCH($I35,$I$12:$I$15,0)),$AW$17:$AW$148)</f>
        <v>#REF!</v>
      </c>
      <c r="AQ35" s="215" t="e">
        <f>WORKDAY(U35,-INDEX(U$12:U$15,MATCH($I35,$I$12:$I$15,0)),$AW$17:$AW$148)</f>
        <v>#REF!</v>
      </c>
      <c r="AR35" s="215" t="e">
        <f>WORKDAY(U35,-INDEX(U$12:U$15,MATCH($I35,$I$12:$I$15,0)),$AW$17:$AW$148)</f>
        <v>#REF!</v>
      </c>
      <c r="AS35" s="638">
        <v>14</v>
      </c>
      <c r="AW35" s="236" t="e">
        <v>#REF!</v>
      </c>
    </row>
    <row r="36" spans="1:49" s="167" customFormat="1" ht="18" customHeight="1">
      <c r="A36" s="597"/>
      <c r="B36" s="599"/>
      <c r="C36" s="602" t="str">
        <f t="shared" ref="C36" si="34">C35</f>
        <v>RFQ-007</v>
      </c>
      <c r="D36" s="602" t="str">
        <f t="shared" ref="D36" si="35">D35</f>
        <v>Demulsifier/Water Clarifier Injection Pump</v>
      </c>
      <c r="E36" s="607"/>
      <c r="F36" s="614"/>
      <c r="G36" s="601" t="str">
        <f>G35</f>
        <v>N</v>
      </c>
      <c r="H36" s="607"/>
      <c r="I36" s="212" t="str">
        <f>I35</f>
        <v>LA</v>
      </c>
      <c r="J36" s="214" t="s">
        <v>65</v>
      </c>
      <c r="K36" s="215">
        <f>K35</f>
        <v>46176</v>
      </c>
      <c r="L36" s="215">
        <f>WORKDAY(IF(K37="",K36,K37),INDEX(L$12:L$15,MATCH($I35,$I$12:$I$15,0)))</f>
        <v>46177</v>
      </c>
      <c r="M36" s="215">
        <f>WORKDAY(IF(L37="",L36,L37),INDEX(M$12:M$15,MATCH($I35,$I$12:$I$15,0)))</f>
        <v>46184</v>
      </c>
      <c r="N36" s="215">
        <f>WORKDAY(IF(M37="",M36,M37),INDEX(N$12:N$15,MATCH($I35,$I$12:$I$15,0)))</f>
        <v>46185</v>
      </c>
      <c r="O36" s="215">
        <f>WORKDAY(IF(N37="",N36,N37),INDEX(O$12:O$15,MATCH($I35,$I$12:$I$15,0)))</f>
        <v>46192</v>
      </c>
      <c r="P36" s="216"/>
      <c r="Q36" s="217"/>
      <c r="R36" s="215">
        <f>WORKDAY(IF(O37="",O36,O37),INDEX(R$12:R$15,MATCH($I35,$I$12:$I$15,0)))</f>
        <v>46206</v>
      </c>
      <c r="S36" s="215">
        <f>WORKDAY(IF(R37="",R36,R37),INDEX(S$12:S$15,MATCH($I35,$I$12:$I$15,0)))</f>
        <v>46234</v>
      </c>
      <c r="T36" s="215">
        <f>WORKDAY(IF(S37="",S36,S37),INDEX(T$12:T$15,MATCH($I35,$I$12:$I$15,0)))</f>
        <v>46239</v>
      </c>
      <c r="U36" s="215">
        <f>WORKDAY(IF(T37="",T36,T37),INDEX(U$12:U$15,MATCH($I35,$I$12:$I$15,0)))</f>
        <v>46253</v>
      </c>
      <c r="V36" s="215">
        <f>WORKDAY(IF(U37="",U36,U37),INDEX(V$12:V$15,MATCH($I35,$I$12:$I$15,0)))</f>
        <v>46255</v>
      </c>
      <c r="W36" s="218"/>
      <c r="X36" s="215">
        <f>U36+Y35</f>
        <v>46477</v>
      </c>
      <c r="Y36" s="628"/>
      <c r="Z36" s="633"/>
      <c r="AA36" s="633"/>
      <c r="AB36" s="637"/>
      <c r="AC36" s="234">
        <f>IF(ISERROR(LOOKUP(AC$16,$L36:$X36,#REF!)),0,(LOOKUP(AC$16,$L36:$X36,#REF!)))</f>
        <v>0</v>
      </c>
      <c r="AD36" s="235">
        <f>IF(ISERROR(LOOKUP(AD$16,$L36:$X36,#REF!)),0,(LOOKUP(AD$16,$L36:$X36,#REF!)))</f>
        <v>0</v>
      </c>
      <c r="AE36" s="235">
        <f>IF(ISERROR(LOOKUP(AE$16,$L36:$X36,#REF!)),0,(LOOKUP(AE$16,$L36:$X36,#REF!)))</f>
        <v>0</v>
      </c>
      <c r="AF36" s="235">
        <f>IF(ISERROR(LOOKUP(AF$16,$L36:$X36,#REF!)),0,(LOOKUP(AF$16,$L36:$X36,#REF!)))</f>
        <v>0</v>
      </c>
      <c r="AG36" s="235">
        <f>IF(ISERROR(LOOKUP(AG$16,$L36:$X36,#REF!)),0,(LOOKUP(AG$16,$L36:$X36,#REF!)))</f>
        <v>0</v>
      </c>
      <c r="AH36" s="235">
        <f>IF(ISERROR(LOOKUP(AH$16,$L36:$X36,#REF!)),0,(LOOKUP(AH$16,$L36:$X36,#REF!)))</f>
        <v>0</v>
      </c>
      <c r="AI36" s="235">
        <f>IF(ISERROR(LOOKUP(AI$16,$L36:$X36,#REF!)),0,(LOOKUP(AI$16,$L36:$X36,#REF!)))</f>
        <v>0</v>
      </c>
      <c r="AJ36" s="235">
        <f>IF(ISERROR(LOOKUP(AJ$16,$L36:$X36,#REF!)),0,(LOOKUP(AJ$16,$L36:$X36,#REF!)))</f>
        <v>0</v>
      </c>
      <c r="AK36" s="235">
        <f>IF(ISERROR(LOOKUP(AK$16,$L36:$X36,#REF!)),0,(LOOKUP(AK$16,$L36:$X36,#REF!)))</f>
        <v>0</v>
      </c>
      <c r="AL36" s="235">
        <f>IF(ISERROR(LOOKUP(AL$16,$L36:$X36,#REF!)),0,(LOOKUP(AL$16,$L36:$X36,#REF!)))</f>
        <v>0</v>
      </c>
      <c r="AM36" s="235">
        <f ca="1">IF(ISERROR(LOOKUP(AM$16,$L36:$X36,#REF!)),0,(LOOKUP(AM$16,$L36:$X36,#REF!)))</f>
        <v>0</v>
      </c>
      <c r="AO36" s="166">
        <f t="shared" si="0"/>
        <v>14</v>
      </c>
      <c r="AP36" s="215" t="e">
        <f>WORKDAY(IF(T37="",T36,T37),INDEX(AP$12:AP$15,MATCH($I35,$I$12:$I$15,0)),$AW$17:$AW$148)</f>
        <v>#REF!</v>
      </c>
      <c r="AQ36" s="215" t="e">
        <f>WORKDAY(IF(AP37="",AP36,AP37),INDEX(AQ$12:AQ$15,MATCH($I35,$I$12:$I$15,0)),$AW$17:$AW$148)</f>
        <v>#REF!</v>
      </c>
      <c r="AR36" s="215" t="e">
        <f>WORKDAY(IF(AQ37="",AQ36,AQ37),INDEX(AR$12:AR$15,MATCH($I35,$I$12:$I$15,0)),$AW$17:$AW$148)</f>
        <v>#REF!</v>
      </c>
      <c r="AS36" s="638"/>
      <c r="AW36" s="236" t="e">
        <v>#REF!</v>
      </c>
    </row>
    <row r="37" spans="1:49" s="167" customFormat="1" ht="18" customHeight="1">
      <c r="A37" s="597"/>
      <c r="B37" s="600"/>
      <c r="C37" s="602" t="str">
        <f>C35</f>
        <v>RFQ-007</v>
      </c>
      <c r="D37" s="602" t="str">
        <f t="shared" ref="D37" si="36">D35</f>
        <v>Demulsifier/Water Clarifier Injection Pump</v>
      </c>
      <c r="E37" s="608"/>
      <c r="F37" s="615"/>
      <c r="G37" s="601" t="str">
        <f t="shared" ref="G37" si="37">G35</f>
        <v>N</v>
      </c>
      <c r="H37" s="608"/>
      <c r="I37" s="212" t="str">
        <f>I35</f>
        <v>LA</v>
      </c>
      <c r="J37" s="214" t="s">
        <v>67</v>
      </c>
      <c r="K37" s="212"/>
      <c r="L37" s="212"/>
      <c r="M37" s="212"/>
      <c r="N37" s="212"/>
      <c r="O37" s="212"/>
      <c r="P37" s="226"/>
      <c r="Q37" s="227"/>
      <c r="R37" s="212"/>
      <c r="S37" s="212"/>
      <c r="T37" s="212"/>
      <c r="U37" s="212"/>
      <c r="V37" s="212"/>
      <c r="W37" s="228"/>
      <c r="X37" s="212"/>
      <c r="Y37" s="628"/>
      <c r="Z37" s="633"/>
      <c r="AA37" s="633"/>
      <c r="AB37" s="637"/>
      <c r="AC37" s="239">
        <f>IF(ISERROR(LOOKUP(AC$16,$L37:$X37,#REF!)),0,(LOOKUP(AC$16,$L37:$X37,#REF!)))</f>
        <v>0</v>
      </c>
      <c r="AD37" s="240">
        <f>IF(ISERROR(LOOKUP(AD$16,$L37:$X37,#REF!)),0,(LOOKUP(AD$16,$L37:$X37,#REF!)))</f>
        <v>0</v>
      </c>
      <c r="AE37" s="240">
        <f>IF(ISERROR(LOOKUP(AE$16,$L37:$X37,#REF!)),0,(LOOKUP(AE$16,$L37:$X37,#REF!)))</f>
        <v>0</v>
      </c>
      <c r="AF37" s="240">
        <f>IF(ISERROR(LOOKUP(AF$16,$L37:$X37,#REF!)),0,(LOOKUP(AF$16,$L37:$X37,#REF!)))</f>
        <v>0</v>
      </c>
      <c r="AG37" s="240">
        <f>IF(ISERROR(LOOKUP(AG$16,$L37:$X37,#REF!)),0,(LOOKUP(AG$16,$L37:$X37,#REF!)))</f>
        <v>0</v>
      </c>
      <c r="AH37" s="240">
        <f>IF(ISERROR(LOOKUP(AH$16,$L37:$X37,#REF!)),0,(LOOKUP(AH$16,$L37:$X37,#REF!)))</f>
        <v>0</v>
      </c>
      <c r="AI37" s="240">
        <f>IF(ISERROR(LOOKUP(AI$16,$L37:$X37,#REF!)),0,(LOOKUP(AI$16,$L37:$X37,#REF!)))</f>
        <v>0</v>
      </c>
      <c r="AJ37" s="240">
        <f>IF(ISERROR(LOOKUP(AJ$16,$L37:$X37,#REF!)),0,(LOOKUP(AJ$16,$L37:$X37,#REF!)))</f>
        <v>0</v>
      </c>
      <c r="AK37" s="240">
        <f>IF(ISERROR(LOOKUP(AK$16,$L37:$X37,#REF!)),0,(LOOKUP(AK$16,$L37:$X37,#REF!)))</f>
        <v>0</v>
      </c>
      <c r="AL37" s="240">
        <f>IF(ISERROR(LOOKUP(AL$16,$L37:$X37,#REF!)),0,(LOOKUP(AL$16,$L37:$X37,#REF!)))</f>
        <v>0</v>
      </c>
      <c r="AM37" s="240">
        <f ca="1">IF(ISERROR(LOOKUP(AM$16,$L37:$X37,#REF!)),0,(LOOKUP(AM$16,$L37:$X37,#REF!)))</f>
        <v>0</v>
      </c>
      <c r="AO37" s="166">
        <f t="shared" si="0"/>
        <v>0</v>
      </c>
      <c r="AP37" s="212"/>
      <c r="AQ37" s="212"/>
      <c r="AR37" s="212"/>
      <c r="AS37" s="638"/>
      <c r="AW37" s="236" t="e">
        <v>#REF!</v>
      </c>
    </row>
    <row r="38" spans="1:49" s="168" customFormat="1" ht="18" customHeight="1">
      <c r="A38" s="597">
        <f t="shared" ref="A38" si="38">A35+1</f>
        <v>8</v>
      </c>
      <c r="B38" s="598"/>
      <c r="C38" s="604" t="s">
        <v>4743</v>
      </c>
      <c r="D38" s="604" t="s">
        <v>93</v>
      </c>
      <c r="E38" s="606"/>
      <c r="F38" s="604" t="s">
        <v>59</v>
      </c>
      <c r="G38" s="601" t="str">
        <f>IF(_xlfn.XLOOKUP(C38,'[35]Before Award'!D:D,'[35]Before Award'!AV:AV,"N/A")="N/A","N","Y")</f>
        <v>N</v>
      </c>
      <c r="H38" s="606"/>
      <c r="I38" s="212" t="s">
        <v>4744</v>
      </c>
      <c r="J38" s="214" t="s">
        <v>61</v>
      </c>
      <c r="K38" s="215">
        <v>46162</v>
      </c>
      <c r="L38" s="215">
        <v>46163</v>
      </c>
      <c r="M38" s="215">
        <v>46168</v>
      </c>
      <c r="N38" s="215">
        <v>46169</v>
      </c>
      <c r="O38" s="215">
        <v>46174</v>
      </c>
      <c r="P38" s="216">
        <f>U38-L38</f>
        <v>71</v>
      </c>
      <c r="Q38" s="217"/>
      <c r="R38" s="215">
        <v>46188</v>
      </c>
      <c r="S38" s="215">
        <v>46216</v>
      </c>
      <c r="T38" s="215">
        <v>46219</v>
      </c>
      <c r="U38" s="215">
        <v>46234</v>
      </c>
      <c r="V38" s="215">
        <v>46241</v>
      </c>
      <c r="W38" s="218">
        <v>26</v>
      </c>
      <c r="X38" s="215">
        <v>46416</v>
      </c>
      <c r="Y38" s="628">
        <f>W38*7</f>
        <v>182</v>
      </c>
      <c r="Z38" s="633">
        <v>46416</v>
      </c>
      <c r="AA38" s="633">
        <v>46416</v>
      </c>
      <c r="AB38" s="637">
        <f t="shared" ref="AB38" si="39">Z38-X39</f>
        <v>0</v>
      </c>
      <c r="AC38" s="242">
        <f>IF(ISERROR(LOOKUP(AC$16,$L38:$X38,#REF!)),0,(LOOKUP(AC$16,$L38:$X38,#REF!)))</f>
        <v>0</v>
      </c>
      <c r="AD38" s="243">
        <f>IF(ISERROR(LOOKUP(AD$16,$L38:$X38,#REF!)),0,(LOOKUP(AD$16,$L38:$X38,#REF!)))</f>
        <v>0</v>
      </c>
      <c r="AE38" s="243">
        <f>IF(ISERROR(LOOKUP(AE$16,$L38:$X38,#REF!)),0,(LOOKUP(AE$16,$L38:$X38,#REF!)))</f>
        <v>0</v>
      </c>
      <c r="AF38" s="243">
        <f>IF(ISERROR(LOOKUP(AF$16,$L38:$X38,#REF!)),0,(LOOKUP(AF$16,$L38:$X38,#REF!)))</f>
        <v>0</v>
      </c>
      <c r="AG38" s="243">
        <f>IF(ISERROR(LOOKUP(AG$16,$L38:$X38,#REF!)),0,(LOOKUP(AG$16,$L38:$X38,#REF!)))</f>
        <v>0</v>
      </c>
      <c r="AH38" s="243">
        <f>IF(ISERROR(LOOKUP(AH$16,$L38:$X38,#REF!)),0,(LOOKUP(AH$16,$L38:$X38,#REF!)))</f>
        <v>0</v>
      </c>
      <c r="AI38" s="243">
        <f>IF(ISERROR(LOOKUP(AI$16,$L38:$X38,#REF!)),0,(LOOKUP(AI$16,$L38:$X38,#REF!)))</f>
        <v>0</v>
      </c>
      <c r="AJ38" s="243">
        <f>IF(ISERROR(LOOKUP(AJ$16,$L38:$X38,#REF!)),0,(LOOKUP(AJ$16,$L38:$X38,#REF!)))</f>
        <v>0</v>
      </c>
      <c r="AK38" s="243">
        <f>IF(ISERROR(LOOKUP(AK$16,$L38:$X38,#REF!)),0,(LOOKUP(AK$16,$L38:$X38,#REF!)))</f>
        <v>0</v>
      </c>
      <c r="AL38" s="243">
        <f>IF(ISERROR(LOOKUP(AL$16,$L38:$X38,#REF!)),0,(LOOKUP(AL$16,$L38:$X38,#REF!)))</f>
        <v>0</v>
      </c>
      <c r="AM38" s="243">
        <f ca="1">IF(ISERROR(LOOKUP(AM$16,$L38:$X38,#REF!)),0,(LOOKUP(AM$16,$L38:$X38,#REF!)))</f>
        <v>0</v>
      </c>
      <c r="AO38" s="166">
        <f t="shared" si="0"/>
        <v>15</v>
      </c>
      <c r="AP38" s="215">
        <v>46223</v>
      </c>
      <c r="AQ38" s="215">
        <v>46227</v>
      </c>
      <c r="AR38" s="215">
        <v>46227</v>
      </c>
      <c r="AS38" s="638">
        <v>14</v>
      </c>
      <c r="AW38" s="244" t="e">
        <v>#REF!</v>
      </c>
    </row>
    <row r="39" spans="1:49" s="168" customFormat="1" ht="18" customHeight="1">
      <c r="A39" s="597"/>
      <c r="B39" s="599"/>
      <c r="C39" s="604" t="str">
        <f t="shared" ref="C39" si="40">C38</f>
        <v>RFQ-008</v>
      </c>
      <c r="D39" s="604" t="str">
        <f t="shared" ref="D39" si="41">D38</f>
        <v>De-Oiler Hydrocyclone</v>
      </c>
      <c r="E39" s="607"/>
      <c r="F39" s="604"/>
      <c r="G39" s="601" t="str">
        <f>G38</f>
        <v>N</v>
      </c>
      <c r="H39" s="607"/>
      <c r="I39" s="212" t="str">
        <f>I38</f>
        <v/>
      </c>
      <c r="J39" s="214" t="s">
        <v>65</v>
      </c>
      <c r="K39" s="215">
        <v>46162</v>
      </c>
      <c r="L39" s="215">
        <v>46163</v>
      </c>
      <c r="M39" s="215">
        <v>46168</v>
      </c>
      <c r="N39" s="215">
        <v>46169</v>
      </c>
      <c r="O39" s="215">
        <v>46174</v>
      </c>
      <c r="P39" s="216"/>
      <c r="Q39" s="217"/>
      <c r="R39" s="215">
        <v>46188</v>
      </c>
      <c r="S39" s="215">
        <v>46216</v>
      </c>
      <c r="T39" s="215">
        <v>46219</v>
      </c>
      <c r="U39" s="215">
        <v>46234</v>
      </c>
      <c r="V39" s="215">
        <v>46241</v>
      </c>
      <c r="W39" s="218"/>
      <c r="X39" s="215">
        <v>46416</v>
      </c>
      <c r="Y39" s="628"/>
      <c r="Z39" s="633"/>
      <c r="AA39" s="633"/>
      <c r="AB39" s="637"/>
      <c r="AC39" s="242">
        <f>IF(ISERROR(LOOKUP(AC$16,$L39:$X39,#REF!)),0,(LOOKUP(AC$16,$L39:$X39,#REF!)))</f>
        <v>0</v>
      </c>
      <c r="AD39" s="243">
        <f>IF(ISERROR(LOOKUP(AD$16,$L39:$X39,#REF!)),0,(LOOKUP(AD$16,$L39:$X39,#REF!)))</f>
        <v>0</v>
      </c>
      <c r="AE39" s="243">
        <f>IF(ISERROR(LOOKUP(AE$16,$L39:$X39,#REF!)),0,(LOOKUP(AE$16,$L39:$X39,#REF!)))</f>
        <v>0</v>
      </c>
      <c r="AF39" s="243">
        <f>IF(ISERROR(LOOKUP(AF$16,$L39:$X39,#REF!)),0,(LOOKUP(AF$16,$L39:$X39,#REF!)))</f>
        <v>0</v>
      </c>
      <c r="AG39" s="243">
        <f>IF(ISERROR(LOOKUP(AG$16,$L39:$X39,#REF!)),0,(LOOKUP(AG$16,$L39:$X39,#REF!)))</f>
        <v>0</v>
      </c>
      <c r="AH39" s="243">
        <f>IF(ISERROR(LOOKUP(AH$16,$L39:$X39,#REF!)),0,(LOOKUP(AH$16,$L39:$X39,#REF!)))</f>
        <v>0</v>
      </c>
      <c r="AI39" s="243">
        <f>IF(ISERROR(LOOKUP(AI$16,$L39:$X39,#REF!)),0,(LOOKUP(AI$16,$L39:$X39,#REF!)))</f>
        <v>0</v>
      </c>
      <c r="AJ39" s="243">
        <f>IF(ISERROR(LOOKUP(AJ$16,$L39:$X39,#REF!)),0,(LOOKUP(AJ$16,$L39:$X39,#REF!)))</f>
        <v>0</v>
      </c>
      <c r="AK39" s="243">
        <f>IF(ISERROR(LOOKUP(AK$16,$L39:$X39,#REF!)),0,(LOOKUP(AK$16,$L39:$X39,#REF!)))</f>
        <v>0</v>
      </c>
      <c r="AL39" s="243">
        <f>IF(ISERROR(LOOKUP(AL$16,$L39:$X39,#REF!)),0,(LOOKUP(AL$16,$L39:$X39,#REF!)))</f>
        <v>0</v>
      </c>
      <c r="AM39" s="243">
        <f ca="1">IF(ISERROR(LOOKUP(AM$16,$L39:$X39,#REF!)),0,(LOOKUP(AM$16,$L39:$X39,#REF!)))</f>
        <v>0</v>
      </c>
      <c r="AO39" s="166">
        <f t="shared" si="0"/>
        <v>15</v>
      </c>
      <c r="AP39" s="215">
        <v>46223</v>
      </c>
      <c r="AQ39" s="215">
        <v>46227</v>
      </c>
      <c r="AR39" s="215">
        <v>46234</v>
      </c>
      <c r="AS39" s="638"/>
      <c r="AW39" s="244" t="e">
        <v>#REF!</v>
      </c>
    </row>
    <row r="40" spans="1:49" s="168" customFormat="1" ht="18" customHeight="1">
      <c r="A40" s="597"/>
      <c r="B40" s="600"/>
      <c r="C40" s="605" t="str">
        <f>C38</f>
        <v>RFQ-008</v>
      </c>
      <c r="D40" s="605" t="str">
        <f t="shared" ref="D40" si="42">D38</f>
        <v>De-Oiler Hydrocyclone</v>
      </c>
      <c r="E40" s="608"/>
      <c r="F40" s="605"/>
      <c r="G40" s="601" t="str">
        <f t="shared" ref="G40" si="43">G38</f>
        <v>N</v>
      </c>
      <c r="H40" s="608"/>
      <c r="I40" s="212" t="str">
        <f>I38</f>
        <v/>
      </c>
      <c r="J40" s="214" t="s">
        <v>67</v>
      </c>
      <c r="K40" s="212"/>
      <c r="L40" s="212"/>
      <c r="M40" s="212"/>
      <c r="N40" s="212"/>
      <c r="O40" s="212"/>
      <c r="P40" s="226"/>
      <c r="Q40" s="227"/>
      <c r="R40" s="212"/>
      <c r="S40" s="212"/>
      <c r="T40" s="212"/>
      <c r="U40" s="212"/>
      <c r="V40" s="212"/>
      <c r="W40" s="228"/>
      <c r="X40" s="212"/>
      <c r="Y40" s="628"/>
      <c r="Z40" s="633"/>
      <c r="AA40" s="633"/>
      <c r="AB40" s="637"/>
      <c r="AC40" s="246">
        <f>IF(ISERROR(LOOKUP(AC$16,$L40:$X40,#REF!)),0,(LOOKUP(AC$16,$L40:$X40,#REF!)))</f>
        <v>0</v>
      </c>
      <c r="AD40" s="247">
        <f>IF(ISERROR(LOOKUP(AD$16,$L40:$X40,#REF!)),0,(LOOKUP(AD$16,$L40:$X40,#REF!)))</f>
        <v>0</v>
      </c>
      <c r="AE40" s="247">
        <f>IF(ISERROR(LOOKUP(AE$16,$L40:$X40,#REF!)),0,(LOOKUP(AE$16,$L40:$X40,#REF!)))</f>
        <v>0</v>
      </c>
      <c r="AF40" s="247">
        <f>IF(ISERROR(LOOKUP(AF$16,$L40:$X40,#REF!)),0,(LOOKUP(AF$16,$L40:$X40,#REF!)))</f>
        <v>0</v>
      </c>
      <c r="AG40" s="247">
        <f>IF(ISERROR(LOOKUP(AG$16,$L40:$X40,#REF!)),0,(LOOKUP(AG$16,$L40:$X40,#REF!)))</f>
        <v>0</v>
      </c>
      <c r="AH40" s="247">
        <f>IF(ISERROR(LOOKUP(AH$16,$L40:$X40,#REF!)),0,(LOOKUP(AH$16,$L40:$X40,#REF!)))</f>
        <v>0</v>
      </c>
      <c r="AI40" s="247">
        <f>IF(ISERROR(LOOKUP(AI$16,$L40:$X40,#REF!)),0,(LOOKUP(AI$16,$L40:$X40,#REF!)))</f>
        <v>0</v>
      </c>
      <c r="AJ40" s="247">
        <f>IF(ISERROR(LOOKUP(AJ$16,$L40:$X40,#REF!)),0,(LOOKUP(AJ$16,$L40:$X40,#REF!)))</f>
        <v>0</v>
      </c>
      <c r="AK40" s="247">
        <f>IF(ISERROR(LOOKUP(AK$16,$L40:$X40,#REF!)),0,(LOOKUP(AK$16,$L40:$X40,#REF!)))</f>
        <v>0</v>
      </c>
      <c r="AL40" s="247">
        <f>IF(ISERROR(LOOKUP(AL$16,$L40:$X40,#REF!)),0,(LOOKUP(AL$16,$L40:$X40,#REF!)))</f>
        <v>0</v>
      </c>
      <c r="AM40" s="247">
        <f ca="1">IF(ISERROR(LOOKUP(AM$16,$L40:$X40,#REF!)),0,(LOOKUP(AM$16,$L40:$X40,#REF!)))</f>
        <v>0</v>
      </c>
      <c r="AO40" s="166">
        <f t="shared" si="0"/>
        <v>0</v>
      </c>
      <c r="AP40" s="212"/>
      <c r="AQ40" s="212"/>
      <c r="AR40" s="212"/>
      <c r="AS40" s="638"/>
      <c r="AW40" s="244" t="e">
        <v>#REF!</v>
      </c>
    </row>
    <row r="41" spans="1:49" s="168" customFormat="1" ht="18" customHeight="1">
      <c r="A41" s="597">
        <f t="shared" ref="A41" si="44">A38+1</f>
        <v>9</v>
      </c>
      <c r="B41" s="598"/>
      <c r="C41" s="604" t="s">
        <v>4745</v>
      </c>
      <c r="D41" s="604" t="s">
        <v>98</v>
      </c>
      <c r="E41" s="606"/>
      <c r="F41" s="604" t="s">
        <v>59</v>
      </c>
      <c r="G41" s="601" t="str">
        <f>IF(_xlfn.XLOOKUP(C41,'[35]Before Award'!D:D,'[35]Before Award'!AV:AV,"N/A")="N/A","N","Y")</f>
        <v>N</v>
      </c>
      <c r="H41" s="606"/>
      <c r="I41" s="212" t="s">
        <v>6</v>
      </c>
      <c r="J41" s="214" t="s">
        <v>61</v>
      </c>
      <c r="K41" s="215">
        <v>46162</v>
      </c>
      <c r="L41" s="215">
        <v>46163</v>
      </c>
      <c r="M41" s="215">
        <v>46168</v>
      </c>
      <c r="N41" s="215">
        <v>46169</v>
      </c>
      <c r="O41" s="215">
        <v>46174</v>
      </c>
      <c r="P41" s="216">
        <f>U41-L41</f>
        <v>71</v>
      </c>
      <c r="Q41" s="217"/>
      <c r="R41" s="215">
        <v>46188</v>
      </c>
      <c r="S41" s="215">
        <v>46216</v>
      </c>
      <c r="T41" s="215">
        <v>46219</v>
      </c>
      <c r="U41" s="215">
        <v>46234</v>
      </c>
      <c r="V41" s="215">
        <v>46241</v>
      </c>
      <c r="W41" s="218">
        <v>26</v>
      </c>
      <c r="X41" s="215">
        <v>46416</v>
      </c>
      <c r="Y41" s="628">
        <f>W41*7</f>
        <v>182</v>
      </c>
      <c r="Z41" s="633">
        <v>46416</v>
      </c>
      <c r="AA41" s="633">
        <v>46416</v>
      </c>
      <c r="AB41" s="637">
        <f t="shared" ref="AB41" si="45">Z41-X42</f>
        <v>0</v>
      </c>
      <c r="AC41" s="242">
        <f>IF(ISERROR(LOOKUP(AC$16,$L41:$X41,#REF!)),0,(LOOKUP(AC$16,$L41:$X41,#REF!)))</f>
        <v>0</v>
      </c>
      <c r="AD41" s="243">
        <f>IF(ISERROR(LOOKUP(AD$16,$L41:$X41,#REF!)),0,(LOOKUP(AD$16,$L41:$X41,#REF!)))</f>
        <v>0</v>
      </c>
      <c r="AE41" s="243">
        <f>IF(ISERROR(LOOKUP(AE$16,$L41:$X41,#REF!)),0,(LOOKUP(AE$16,$L41:$X41,#REF!)))</f>
        <v>0</v>
      </c>
      <c r="AF41" s="243">
        <f>IF(ISERROR(LOOKUP(AF$16,$L41:$X41,#REF!)),0,(LOOKUP(AF$16,$L41:$X41,#REF!)))</f>
        <v>0</v>
      </c>
      <c r="AG41" s="243">
        <f>IF(ISERROR(LOOKUP(AG$16,$L41:$X41,#REF!)),0,(LOOKUP(AG$16,$L41:$X41,#REF!)))</f>
        <v>0</v>
      </c>
      <c r="AH41" s="243">
        <f>IF(ISERROR(LOOKUP(AH$16,$L41:$X41,#REF!)),0,(LOOKUP(AH$16,$L41:$X41,#REF!)))</f>
        <v>0</v>
      </c>
      <c r="AI41" s="243">
        <f>IF(ISERROR(LOOKUP(AI$16,$L41:$X41,#REF!)),0,(LOOKUP(AI$16,$L41:$X41,#REF!)))</f>
        <v>0</v>
      </c>
      <c r="AJ41" s="243">
        <f>IF(ISERROR(LOOKUP(AJ$16,$L41:$X41,#REF!)),0,(LOOKUP(AJ$16,$L41:$X41,#REF!)))</f>
        <v>0</v>
      </c>
      <c r="AK41" s="243">
        <f>IF(ISERROR(LOOKUP(AK$16,$L41:$X41,#REF!)),0,(LOOKUP(AK$16,$L41:$X41,#REF!)))</f>
        <v>0</v>
      </c>
      <c r="AL41" s="243">
        <f>IF(ISERROR(LOOKUP(AL$16,$L41:$X41,#REF!)),0,(LOOKUP(AL$16,$L41:$X41,#REF!)))</f>
        <v>0</v>
      </c>
      <c r="AM41" s="243">
        <f ca="1">IF(ISERROR(LOOKUP(AM$16,$L41:$X41,#REF!)),0,(LOOKUP(AM$16,$L41:$X41,#REF!)))</f>
        <v>0</v>
      </c>
      <c r="AO41" s="166">
        <f t="shared" si="0"/>
        <v>15</v>
      </c>
      <c r="AP41" s="215">
        <v>46223</v>
      </c>
      <c r="AQ41" s="215">
        <v>46227</v>
      </c>
      <c r="AR41" s="215">
        <v>46227</v>
      </c>
      <c r="AS41" s="638">
        <v>14</v>
      </c>
      <c r="AW41" s="244" t="e">
        <v>#REF!</v>
      </c>
    </row>
    <row r="42" spans="1:49" s="168" customFormat="1" ht="18" customHeight="1">
      <c r="A42" s="597"/>
      <c r="B42" s="599"/>
      <c r="C42" s="604" t="str">
        <f t="shared" ref="C42" si="46">C41</f>
        <v>RFQ-009</v>
      </c>
      <c r="D42" s="604" t="str">
        <f t="shared" ref="D42" si="47">D41</f>
        <v>Degasser</v>
      </c>
      <c r="E42" s="607"/>
      <c r="F42" s="604"/>
      <c r="G42" s="601" t="str">
        <f>G41</f>
        <v>N</v>
      </c>
      <c r="H42" s="607"/>
      <c r="I42" s="212" t="str">
        <f>I41</f>
        <v>LA</v>
      </c>
      <c r="J42" s="214" t="s">
        <v>65</v>
      </c>
      <c r="K42" s="215">
        <v>46162</v>
      </c>
      <c r="L42" s="215">
        <v>46163</v>
      </c>
      <c r="M42" s="215">
        <v>46168</v>
      </c>
      <c r="N42" s="215">
        <v>46169</v>
      </c>
      <c r="O42" s="215">
        <v>46174</v>
      </c>
      <c r="P42" s="216"/>
      <c r="Q42" s="217"/>
      <c r="R42" s="215">
        <v>46188</v>
      </c>
      <c r="S42" s="215">
        <v>46216</v>
      </c>
      <c r="T42" s="215">
        <v>46219</v>
      </c>
      <c r="U42" s="215">
        <v>46234</v>
      </c>
      <c r="V42" s="215">
        <v>46241</v>
      </c>
      <c r="W42" s="218"/>
      <c r="X42" s="215">
        <v>46416</v>
      </c>
      <c r="Y42" s="628"/>
      <c r="Z42" s="633"/>
      <c r="AA42" s="633"/>
      <c r="AB42" s="637"/>
      <c r="AC42" s="242">
        <f>IF(ISERROR(LOOKUP(AC$16,$L42:$X42,#REF!)),0,(LOOKUP(AC$16,$L42:$X42,#REF!)))</f>
        <v>0</v>
      </c>
      <c r="AD42" s="243">
        <f>IF(ISERROR(LOOKUP(AD$16,$L42:$X42,#REF!)),0,(LOOKUP(AD$16,$L42:$X42,#REF!)))</f>
        <v>0</v>
      </c>
      <c r="AE42" s="243">
        <f>IF(ISERROR(LOOKUP(AE$16,$L42:$X42,#REF!)),0,(LOOKUP(AE$16,$L42:$X42,#REF!)))</f>
        <v>0</v>
      </c>
      <c r="AF42" s="243">
        <f>IF(ISERROR(LOOKUP(AF$16,$L42:$X42,#REF!)),0,(LOOKUP(AF$16,$L42:$X42,#REF!)))</f>
        <v>0</v>
      </c>
      <c r="AG42" s="243">
        <f>IF(ISERROR(LOOKUP(AG$16,$L42:$X42,#REF!)),0,(LOOKUP(AG$16,$L42:$X42,#REF!)))</f>
        <v>0</v>
      </c>
      <c r="AH42" s="243">
        <f>IF(ISERROR(LOOKUP(AH$16,$L42:$X42,#REF!)),0,(LOOKUP(AH$16,$L42:$X42,#REF!)))</f>
        <v>0</v>
      </c>
      <c r="AI42" s="243">
        <f>IF(ISERROR(LOOKUP(AI$16,$L42:$X42,#REF!)),0,(LOOKUP(AI$16,$L42:$X42,#REF!)))</f>
        <v>0</v>
      </c>
      <c r="AJ42" s="243">
        <f>IF(ISERROR(LOOKUP(AJ$16,$L42:$X42,#REF!)),0,(LOOKUP(AJ$16,$L42:$X42,#REF!)))</f>
        <v>0</v>
      </c>
      <c r="AK42" s="243">
        <f>IF(ISERROR(LOOKUP(AK$16,$L42:$X42,#REF!)),0,(LOOKUP(AK$16,$L42:$X42,#REF!)))</f>
        <v>0</v>
      </c>
      <c r="AL42" s="243">
        <f>IF(ISERROR(LOOKUP(AL$16,$L42:$X42,#REF!)),0,(LOOKUP(AL$16,$L42:$X42,#REF!)))</f>
        <v>0</v>
      </c>
      <c r="AM42" s="243">
        <f ca="1">IF(ISERROR(LOOKUP(AM$16,$L42:$X42,#REF!)),0,(LOOKUP(AM$16,$L42:$X42,#REF!)))</f>
        <v>0</v>
      </c>
      <c r="AO42" s="166">
        <f t="shared" si="0"/>
        <v>15</v>
      </c>
      <c r="AP42" s="215">
        <v>46223</v>
      </c>
      <c r="AQ42" s="215">
        <v>46227</v>
      </c>
      <c r="AR42" s="215">
        <v>46234</v>
      </c>
      <c r="AS42" s="638"/>
      <c r="AW42" s="244" t="e">
        <v>#REF!</v>
      </c>
    </row>
    <row r="43" spans="1:49" s="168" customFormat="1" ht="18" customHeight="1">
      <c r="A43" s="597"/>
      <c r="B43" s="600"/>
      <c r="C43" s="605" t="str">
        <f>C41</f>
        <v>RFQ-009</v>
      </c>
      <c r="D43" s="605" t="str">
        <f t="shared" ref="D43" si="48">D41</f>
        <v>Degasser</v>
      </c>
      <c r="E43" s="608"/>
      <c r="F43" s="605"/>
      <c r="G43" s="601" t="str">
        <f t="shared" ref="G43" si="49">G41</f>
        <v>N</v>
      </c>
      <c r="H43" s="608"/>
      <c r="I43" s="212" t="str">
        <f>I41</f>
        <v>LA</v>
      </c>
      <c r="J43" s="214" t="s">
        <v>67</v>
      </c>
      <c r="K43" s="212"/>
      <c r="L43" s="212"/>
      <c r="M43" s="212"/>
      <c r="N43" s="212"/>
      <c r="O43" s="212"/>
      <c r="P43" s="226"/>
      <c r="Q43" s="227"/>
      <c r="R43" s="212"/>
      <c r="S43" s="212"/>
      <c r="T43" s="212"/>
      <c r="U43" s="212"/>
      <c r="V43" s="212"/>
      <c r="W43" s="228"/>
      <c r="X43" s="212"/>
      <c r="Y43" s="628"/>
      <c r="Z43" s="633"/>
      <c r="AA43" s="633"/>
      <c r="AB43" s="637"/>
      <c r="AC43" s="246">
        <f>IF(ISERROR(LOOKUP(AC$16,$L43:$X43,#REF!)),0,(LOOKUP(AC$16,$L43:$X43,#REF!)))</f>
        <v>0</v>
      </c>
      <c r="AD43" s="247">
        <f>IF(ISERROR(LOOKUP(AD$16,$L43:$X43,#REF!)),0,(LOOKUP(AD$16,$L43:$X43,#REF!)))</f>
        <v>0</v>
      </c>
      <c r="AE43" s="247">
        <f>IF(ISERROR(LOOKUP(AE$16,$L43:$X43,#REF!)),0,(LOOKUP(AE$16,$L43:$X43,#REF!)))</f>
        <v>0</v>
      </c>
      <c r="AF43" s="247">
        <f>IF(ISERROR(LOOKUP(AF$16,$L43:$X43,#REF!)),0,(LOOKUP(AF$16,$L43:$X43,#REF!)))</f>
        <v>0</v>
      </c>
      <c r="AG43" s="247">
        <f>IF(ISERROR(LOOKUP(AG$16,$L43:$X43,#REF!)),0,(LOOKUP(AG$16,$L43:$X43,#REF!)))</f>
        <v>0</v>
      </c>
      <c r="AH43" s="247">
        <f>IF(ISERROR(LOOKUP(AH$16,$L43:$X43,#REF!)),0,(LOOKUP(AH$16,$L43:$X43,#REF!)))</f>
        <v>0</v>
      </c>
      <c r="AI43" s="247">
        <f>IF(ISERROR(LOOKUP(AI$16,$L43:$X43,#REF!)),0,(LOOKUP(AI$16,$L43:$X43,#REF!)))</f>
        <v>0</v>
      </c>
      <c r="AJ43" s="247">
        <f>IF(ISERROR(LOOKUP(AJ$16,$L43:$X43,#REF!)),0,(LOOKUP(AJ$16,$L43:$X43,#REF!)))</f>
        <v>0</v>
      </c>
      <c r="AK43" s="247">
        <f>IF(ISERROR(LOOKUP(AK$16,$L43:$X43,#REF!)),0,(LOOKUP(AK$16,$L43:$X43,#REF!)))</f>
        <v>0</v>
      </c>
      <c r="AL43" s="247">
        <f>IF(ISERROR(LOOKUP(AL$16,$L43:$X43,#REF!)),0,(LOOKUP(AL$16,$L43:$X43,#REF!)))</f>
        <v>0</v>
      </c>
      <c r="AM43" s="247">
        <f ca="1">IF(ISERROR(LOOKUP(AM$16,$L43:$X43,#REF!)),0,(LOOKUP(AM$16,$L43:$X43,#REF!)))</f>
        <v>0</v>
      </c>
      <c r="AO43" s="166">
        <f t="shared" si="0"/>
        <v>0</v>
      </c>
      <c r="AP43" s="212"/>
      <c r="AQ43" s="212"/>
      <c r="AR43" s="212"/>
      <c r="AS43" s="638"/>
      <c r="AW43" s="244" t="e">
        <v>#REF!</v>
      </c>
    </row>
    <row r="44" spans="1:49" s="168" customFormat="1" ht="18.600000000000001" customHeight="1">
      <c r="A44" s="597">
        <f t="shared" ref="A44" si="50">A41+1</f>
        <v>10</v>
      </c>
      <c r="B44" s="598"/>
      <c r="C44" s="604" t="s">
        <v>4746</v>
      </c>
      <c r="D44" s="604" t="s">
        <v>101</v>
      </c>
      <c r="E44" s="606"/>
      <c r="F44" s="604" t="s">
        <v>59</v>
      </c>
      <c r="G44" s="601" t="str">
        <f>IF(_xlfn.XLOOKUP(C44,'[35]Before Award'!D:D,'[35]Before Award'!AV:AV,"N/A")="N/A","N","Y")</f>
        <v>N</v>
      </c>
      <c r="H44" s="606"/>
      <c r="I44" s="212" t="s">
        <v>6</v>
      </c>
      <c r="J44" s="214" t="s">
        <v>61</v>
      </c>
      <c r="K44" s="215">
        <v>46162</v>
      </c>
      <c r="L44" s="215">
        <v>46163</v>
      </c>
      <c r="M44" s="215">
        <v>46168</v>
      </c>
      <c r="N44" s="215">
        <v>46169</v>
      </c>
      <c r="O44" s="215">
        <v>46174</v>
      </c>
      <c r="P44" s="216">
        <f>U44-L44</f>
        <v>71</v>
      </c>
      <c r="Q44" s="217"/>
      <c r="R44" s="215">
        <v>46188</v>
      </c>
      <c r="S44" s="215">
        <v>46216</v>
      </c>
      <c r="T44" s="215">
        <v>46219</v>
      </c>
      <c r="U44" s="215">
        <v>46234</v>
      </c>
      <c r="V44" s="215">
        <v>46241</v>
      </c>
      <c r="W44" s="218">
        <v>26</v>
      </c>
      <c r="X44" s="215">
        <v>46416</v>
      </c>
      <c r="Y44" s="628">
        <f>W44*7</f>
        <v>182</v>
      </c>
      <c r="Z44" s="633">
        <v>46416</v>
      </c>
      <c r="AA44" s="633">
        <v>46416</v>
      </c>
      <c r="AB44" s="637">
        <f t="shared" ref="AB44" si="51">Z44-X45</f>
        <v>0</v>
      </c>
      <c r="AC44" s="242">
        <f>IF(ISERROR(LOOKUP(AC$16,$L44:$X44,#REF!)),0,(LOOKUP(AC$16,$L44:$X44,#REF!)))</f>
        <v>0</v>
      </c>
      <c r="AD44" s="243">
        <f>IF(ISERROR(LOOKUP(AD$16,$L44:$X44,#REF!)),0,(LOOKUP(AD$16,$L44:$X44,#REF!)))</f>
        <v>0</v>
      </c>
      <c r="AE44" s="243">
        <f>IF(ISERROR(LOOKUP(AE$16,$L44:$X44,#REF!)),0,(LOOKUP(AE$16,$L44:$X44,#REF!)))</f>
        <v>0</v>
      </c>
      <c r="AF44" s="243">
        <f>IF(ISERROR(LOOKUP(AF$16,$L44:$X44,#REF!)),0,(LOOKUP(AF$16,$L44:$X44,#REF!)))</f>
        <v>0</v>
      </c>
      <c r="AG44" s="243">
        <f>IF(ISERROR(LOOKUP(AG$16,$L44:$X44,#REF!)),0,(LOOKUP(AG$16,$L44:$X44,#REF!)))</f>
        <v>0</v>
      </c>
      <c r="AH44" s="243">
        <f>IF(ISERROR(LOOKUP(AH$16,$L44:$X44,#REF!)),0,(LOOKUP(AH$16,$L44:$X44,#REF!)))</f>
        <v>0</v>
      </c>
      <c r="AI44" s="243">
        <f>IF(ISERROR(LOOKUP(AI$16,$L44:$X44,#REF!)),0,(LOOKUP(AI$16,$L44:$X44,#REF!)))</f>
        <v>0</v>
      </c>
      <c r="AJ44" s="243">
        <f>IF(ISERROR(LOOKUP(AJ$16,$L44:$X44,#REF!)),0,(LOOKUP(AJ$16,$L44:$X44,#REF!)))</f>
        <v>0</v>
      </c>
      <c r="AK44" s="243">
        <f>IF(ISERROR(LOOKUP(AK$16,$L44:$X44,#REF!)),0,(LOOKUP(AK$16,$L44:$X44,#REF!)))</f>
        <v>0</v>
      </c>
      <c r="AL44" s="243">
        <f>IF(ISERROR(LOOKUP(AL$16,$L44:$X44,#REF!)),0,(LOOKUP(AL$16,$L44:$X44,#REF!)))</f>
        <v>0</v>
      </c>
      <c r="AM44" s="243">
        <f ca="1">IF(ISERROR(LOOKUP(AM$16,$L44:$X44,#REF!)),0,(LOOKUP(AM$16,$L44:$X44,#REF!)))</f>
        <v>0</v>
      </c>
      <c r="AO44" s="166">
        <f t="shared" si="0"/>
        <v>15</v>
      </c>
      <c r="AP44" s="215">
        <v>46223</v>
      </c>
      <c r="AQ44" s="215">
        <v>46227</v>
      </c>
      <c r="AR44" s="215">
        <v>46227</v>
      </c>
      <c r="AS44" s="638">
        <v>14</v>
      </c>
      <c r="AW44" s="244" t="e">
        <v>#REF!</v>
      </c>
    </row>
    <row r="45" spans="1:49" s="168" customFormat="1" ht="18.600000000000001" customHeight="1">
      <c r="A45" s="597"/>
      <c r="B45" s="599"/>
      <c r="C45" s="604" t="str">
        <f t="shared" ref="C45" si="52">C44</f>
        <v>RFQ-010</v>
      </c>
      <c r="D45" s="604" t="str">
        <f t="shared" ref="D45" si="53">D44</f>
        <v>Skim Tank Vessel</v>
      </c>
      <c r="E45" s="607"/>
      <c r="F45" s="604"/>
      <c r="G45" s="601" t="str">
        <f>G44</f>
        <v>N</v>
      </c>
      <c r="H45" s="607"/>
      <c r="I45" s="212" t="str">
        <f>I44</f>
        <v>LA</v>
      </c>
      <c r="J45" s="214" t="s">
        <v>65</v>
      </c>
      <c r="K45" s="215">
        <v>46162</v>
      </c>
      <c r="L45" s="215">
        <v>46163</v>
      </c>
      <c r="M45" s="215">
        <v>46168</v>
      </c>
      <c r="N45" s="215">
        <v>46169</v>
      </c>
      <c r="O45" s="215">
        <v>46174</v>
      </c>
      <c r="P45" s="216"/>
      <c r="Q45" s="217"/>
      <c r="R45" s="215">
        <v>46188</v>
      </c>
      <c r="S45" s="215">
        <v>46216</v>
      </c>
      <c r="T45" s="215">
        <v>46219</v>
      </c>
      <c r="U45" s="215">
        <v>46234</v>
      </c>
      <c r="V45" s="215">
        <v>46241</v>
      </c>
      <c r="W45" s="218"/>
      <c r="X45" s="215">
        <v>46416</v>
      </c>
      <c r="Y45" s="628"/>
      <c r="Z45" s="633"/>
      <c r="AA45" s="633"/>
      <c r="AB45" s="637"/>
      <c r="AC45" s="242">
        <f>IF(ISERROR(LOOKUP(AC$16,$L45:$X45,#REF!)),0,(LOOKUP(AC$16,$L45:$X45,#REF!)))</f>
        <v>0</v>
      </c>
      <c r="AD45" s="243">
        <f>IF(ISERROR(LOOKUP(AD$16,$L45:$X45,#REF!)),0,(LOOKUP(AD$16,$L45:$X45,#REF!)))</f>
        <v>0</v>
      </c>
      <c r="AE45" s="243">
        <f>IF(ISERROR(LOOKUP(AE$16,$L45:$X45,#REF!)),0,(LOOKUP(AE$16,$L45:$X45,#REF!)))</f>
        <v>0</v>
      </c>
      <c r="AF45" s="243">
        <f>IF(ISERROR(LOOKUP(AF$16,$L45:$X45,#REF!)),0,(LOOKUP(AF$16,$L45:$X45,#REF!)))</f>
        <v>0</v>
      </c>
      <c r="AG45" s="243">
        <f>IF(ISERROR(LOOKUP(AG$16,$L45:$X45,#REF!)),0,(LOOKUP(AG$16,$L45:$X45,#REF!)))</f>
        <v>0</v>
      </c>
      <c r="AH45" s="243">
        <f>IF(ISERROR(LOOKUP(AH$16,$L45:$X45,#REF!)),0,(LOOKUP(AH$16,$L45:$X45,#REF!)))</f>
        <v>0</v>
      </c>
      <c r="AI45" s="243">
        <f>IF(ISERROR(LOOKUP(AI$16,$L45:$X45,#REF!)),0,(LOOKUP(AI$16,$L45:$X45,#REF!)))</f>
        <v>0</v>
      </c>
      <c r="AJ45" s="243">
        <f>IF(ISERROR(LOOKUP(AJ$16,$L45:$X45,#REF!)),0,(LOOKUP(AJ$16,$L45:$X45,#REF!)))</f>
        <v>0</v>
      </c>
      <c r="AK45" s="243">
        <f>IF(ISERROR(LOOKUP(AK$16,$L45:$X45,#REF!)),0,(LOOKUP(AK$16,$L45:$X45,#REF!)))</f>
        <v>0</v>
      </c>
      <c r="AL45" s="243">
        <f>IF(ISERROR(LOOKUP(AL$16,$L45:$X45,#REF!)),0,(LOOKUP(AL$16,$L45:$X45,#REF!)))</f>
        <v>0</v>
      </c>
      <c r="AM45" s="243">
        <f ca="1">IF(ISERROR(LOOKUP(AM$16,$L45:$X45,#REF!)),0,(LOOKUP(AM$16,$L45:$X45,#REF!)))</f>
        <v>0</v>
      </c>
      <c r="AO45" s="166">
        <f t="shared" si="0"/>
        <v>15</v>
      </c>
      <c r="AP45" s="215">
        <v>46223</v>
      </c>
      <c r="AQ45" s="215">
        <v>46227</v>
      </c>
      <c r="AR45" s="215">
        <v>46234</v>
      </c>
      <c r="AS45" s="638"/>
      <c r="AW45" s="244" t="e">
        <v>#REF!</v>
      </c>
    </row>
    <row r="46" spans="1:49" s="168" customFormat="1" ht="18.600000000000001" customHeight="1">
      <c r="A46" s="597"/>
      <c r="B46" s="600"/>
      <c r="C46" s="605" t="str">
        <f>C44</f>
        <v>RFQ-010</v>
      </c>
      <c r="D46" s="605" t="str">
        <f t="shared" ref="D46" si="54">D44</f>
        <v>Skim Tank Vessel</v>
      </c>
      <c r="E46" s="608"/>
      <c r="F46" s="605"/>
      <c r="G46" s="601" t="str">
        <f t="shared" ref="G46" si="55">G44</f>
        <v>N</v>
      </c>
      <c r="H46" s="608"/>
      <c r="I46" s="212" t="str">
        <f>I44</f>
        <v>LA</v>
      </c>
      <c r="J46" s="214" t="s">
        <v>67</v>
      </c>
      <c r="K46" s="212"/>
      <c r="L46" s="212"/>
      <c r="M46" s="212"/>
      <c r="N46" s="212"/>
      <c r="O46" s="212"/>
      <c r="P46" s="226"/>
      <c r="Q46" s="227"/>
      <c r="R46" s="212"/>
      <c r="S46" s="212"/>
      <c r="T46" s="212"/>
      <c r="U46" s="212"/>
      <c r="V46" s="212"/>
      <c r="W46" s="228"/>
      <c r="X46" s="212"/>
      <c r="Y46" s="628"/>
      <c r="Z46" s="633"/>
      <c r="AA46" s="633"/>
      <c r="AB46" s="637"/>
      <c r="AC46" s="246">
        <f>IF(ISERROR(LOOKUP(AC$16,$L46:$X46,#REF!)),0,(LOOKUP(AC$16,$L46:$X46,#REF!)))</f>
        <v>0</v>
      </c>
      <c r="AD46" s="247">
        <f>IF(ISERROR(LOOKUP(AD$16,$L46:$X46,#REF!)),0,(LOOKUP(AD$16,$L46:$X46,#REF!)))</f>
        <v>0</v>
      </c>
      <c r="AE46" s="247">
        <f>IF(ISERROR(LOOKUP(AE$16,$L46:$X46,#REF!)),0,(LOOKUP(AE$16,$L46:$X46,#REF!)))</f>
        <v>0</v>
      </c>
      <c r="AF46" s="247">
        <f>IF(ISERROR(LOOKUP(AF$16,$L46:$X46,#REF!)),0,(LOOKUP(AF$16,$L46:$X46,#REF!)))</f>
        <v>0</v>
      </c>
      <c r="AG46" s="247">
        <f>IF(ISERROR(LOOKUP(AG$16,$L46:$X46,#REF!)),0,(LOOKUP(AG$16,$L46:$X46,#REF!)))</f>
        <v>0</v>
      </c>
      <c r="AH46" s="247">
        <f>IF(ISERROR(LOOKUP(AH$16,$L46:$X46,#REF!)),0,(LOOKUP(AH$16,$L46:$X46,#REF!)))</f>
        <v>0</v>
      </c>
      <c r="AI46" s="247">
        <f>IF(ISERROR(LOOKUP(AI$16,$L46:$X46,#REF!)),0,(LOOKUP(AI$16,$L46:$X46,#REF!)))</f>
        <v>0</v>
      </c>
      <c r="AJ46" s="247">
        <f>IF(ISERROR(LOOKUP(AJ$16,$L46:$X46,#REF!)),0,(LOOKUP(AJ$16,$L46:$X46,#REF!)))</f>
        <v>0</v>
      </c>
      <c r="AK46" s="247">
        <f>IF(ISERROR(LOOKUP(AK$16,$L46:$X46,#REF!)),0,(LOOKUP(AK$16,$L46:$X46,#REF!)))</f>
        <v>0</v>
      </c>
      <c r="AL46" s="247">
        <f>IF(ISERROR(LOOKUP(AL$16,$L46:$X46,#REF!)),0,(LOOKUP(AL$16,$L46:$X46,#REF!)))</f>
        <v>0</v>
      </c>
      <c r="AM46" s="247">
        <f ca="1">IF(ISERROR(LOOKUP(AM$16,$L46:$X46,#REF!)),0,(LOOKUP(AM$16,$L46:$X46,#REF!)))</f>
        <v>0</v>
      </c>
      <c r="AO46" s="166">
        <f t="shared" si="0"/>
        <v>0</v>
      </c>
      <c r="AP46" s="212"/>
      <c r="AQ46" s="212"/>
      <c r="AR46" s="212"/>
      <c r="AS46" s="638"/>
      <c r="AW46" s="244" t="e">
        <v>#REF!</v>
      </c>
    </row>
    <row r="47" spans="1:49" s="168" customFormat="1" ht="18.600000000000001" customHeight="1">
      <c r="A47" s="597">
        <f t="shared" ref="A47" si="56">A44+1</f>
        <v>11</v>
      </c>
      <c r="B47" s="598"/>
      <c r="C47" s="604" t="s">
        <v>4747</v>
      </c>
      <c r="D47" s="604" t="s">
        <v>104</v>
      </c>
      <c r="E47" s="606"/>
      <c r="F47" s="604" t="s">
        <v>59</v>
      </c>
      <c r="G47" s="601" t="s">
        <v>60</v>
      </c>
      <c r="H47" s="606"/>
      <c r="I47" s="212" t="s">
        <v>6</v>
      </c>
      <c r="J47" s="214" t="s">
        <v>61</v>
      </c>
      <c r="K47" s="215">
        <v>46183</v>
      </c>
      <c r="L47" s="215">
        <v>46184</v>
      </c>
      <c r="M47" s="215">
        <v>46189</v>
      </c>
      <c r="N47" s="215">
        <v>46190</v>
      </c>
      <c r="O47" s="215">
        <v>46195</v>
      </c>
      <c r="P47" s="216">
        <f>U47-L47</f>
        <v>71</v>
      </c>
      <c r="Q47" s="217"/>
      <c r="R47" s="215">
        <v>46209</v>
      </c>
      <c r="S47" s="215">
        <v>46237</v>
      </c>
      <c r="T47" s="215">
        <v>46240</v>
      </c>
      <c r="U47" s="215">
        <v>46255</v>
      </c>
      <c r="V47" s="215">
        <v>46262</v>
      </c>
      <c r="W47" s="218">
        <v>26</v>
      </c>
      <c r="X47" s="215">
        <v>46437</v>
      </c>
      <c r="Y47" s="628">
        <f>W47*7</f>
        <v>182</v>
      </c>
      <c r="Z47" s="633">
        <v>46437</v>
      </c>
      <c r="AA47" s="633">
        <v>46386</v>
      </c>
      <c r="AB47" s="637">
        <f t="shared" ref="AB47" si="57">Z47-X48</f>
        <v>0</v>
      </c>
      <c r="AC47" s="242">
        <f>IF(ISERROR(LOOKUP(AC$16,$L47:$X47,#REF!)),0,(LOOKUP(AC$16,$L47:$X47,#REF!)))</f>
        <v>0</v>
      </c>
      <c r="AD47" s="243">
        <f>IF(ISERROR(LOOKUP(AD$16,$L47:$X47,#REF!)),0,(LOOKUP(AD$16,$L47:$X47,#REF!)))</f>
        <v>0</v>
      </c>
      <c r="AE47" s="243">
        <f>IF(ISERROR(LOOKUP(AE$16,$L47:$X47,#REF!)),0,(LOOKUP(AE$16,$L47:$X47,#REF!)))</f>
        <v>0</v>
      </c>
      <c r="AF47" s="243">
        <f>IF(ISERROR(LOOKUP(AF$16,$L47:$X47,#REF!)),0,(LOOKUP(AF$16,$L47:$X47,#REF!)))</f>
        <v>0</v>
      </c>
      <c r="AG47" s="243">
        <f>IF(ISERROR(LOOKUP(AG$16,$L47:$X47,#REF!)),0,(LOOKUP(AG$16,$L47:$X47,#REF!)))</f>
        <v>0</v>
      </c>
      <c r="AH47" s="243">
        <f>IF(ISERROR(LOOKUP(AH$16,$L47:$X47,#REF!)),0,(LOOKUP(AH$16,$L47:$X47,#REF!)))</f>
        <v>0</v>
      </c>
      <c r="AI47" s="243">
        <f>IF(ISERROR(LOOKUP(AI$16,$L47:$X47,#REF!)),0,(LOOKUP(AI$16,$L47:$X47,#REF!)))</f>
        <v>0</v>
      </c>
      <c r="AJ47" s="243">
        <f>IF(ISERROR(LOOKUP(AJ$16,$L47:$X47,#REF!)),0,(LOOKUP(AJ$16,$L47:$X47,#REF!)))</f>
        <v>0</v>
      </c>
      <c r="AK47" s="243">
        <f>IF(ISERROR(LOOKUP(AK$16,$L47:$X47,#REF!)),0,(LOOKUP(AK$16,$L47:$X47,#REF!)))</f>
        <v>0</v>
      </c>
      <c r="AL47" s="243">
        <f>IF(ISERROR(LOOKUP(AL$16,$L47:$X47,#REF!)),0,(LOOKUP(AL$16,$L47:$X47,#REF!)))</f>
        <v>0</v>
      </c>
      <c r="AM47" s="243">
        <f ca="1">IF(ISERROR(LOOKUP(AM$16,$L47:$X47,#REF!)),0,(LOOKUP(AM$16,$L47:$X47,#REF!)))</f>
        <v>0</v>
      </c>
      <c r="AO47" s="166">
        <f t="shared" si="0"/>
        <v>15</v>
      </c>
      <c r="AP47" s="215">
        <v>46244</v>
      </c>
      <c r="AQ47" s="215">
        <v>46248</v>
      </c>
      <c r="AR47" s="215">
        <v>46248</v>
      </c>
      <c r="AS47" s="638">
        <v>14</v>
      </c>
      <c r="AW47" s="244" t="e">
        <v>#REF!</v>
      </c>
    </row>
    <row r="48" spans="1:49" s="168" customFormat="1" ht="18.600000000000001" customHeight="1">
      <c r="A48" s="597"/>
      <c r="B48" s="599"/>
      <c r="C48" s="604" t="str">
        <f t="shared" ref="C48" si="58">C47</f>
        <v>RFQ-011</v>
      </c>
      <c r="D48" s="604" t="str">
        <f t="shared" ref="D48:I48" si="59">D47</f>
        <v>Closed Drain Sump Vessel</v>
      </c>
      <c r="E48" s="607"/>
      <c r="F48" s="604"/>
      <c r="G48" s="601" t="str">
        <f>G47</f>
        <v>Y</v>
      </c>
      <c r="H48" s="607"/>
      <c r="I48" s="212" t="str">
        <f t="shared" si="59"/>
        <v>LA</v>
      </c>
      <c r="J48" s="214" t="s">
        <v>65</v>
      </c>
      <c r="K48" s="215">
        <v>46183</v>
      </c>
      <c r="L48" s="215">
        <v>46184</v>
      </c>
      <c r="M48" s="215">
        <v>46189</v>
      </c>
      <c r="N48" s="215">
        <v>46190</v>
      </c>
      <c r="O48" s="215">
        <v>46195</v>
      </c>
      <c r="P48" s="216"/>
      <c r="Q48" s="217"/>
      <c r="R48" s="215">
        <v>46209</v>
      </c>
      <c r="S48" s="215">
        <v>46237</v>
      </c>
      <c r="T48" s="215">
        <v>46240</v>
      </c>
      <c r="U48" s="215">
        <v>46255</v>
      </c>
      <c r="V48" s="215">
        <v>46262</v>
      </c>
      <c r="W48" s="218"/>
      <c r="X48" s="215">
        <v>46437</v>
      </c>
      <c r="Y48" s="628"/>
      <c r="Z48" s="633"/>
      <c r="AA48" s="633"/>
      <c r="AB48" s="637"/>
      <c r="AC48" s="242">
        <f>IF(ISERROR(LOOKUP(AC$16,$L48:$X48,#REF!)),0,(LOOKUP(AC$16,$L48:$X48,#REF!)))</f>
        <v>0</v>
      </c>
      <c r="AD48" s="243">
        <f>IF(ISERROR(LOOKUP(AD$16,$L48:$X48,#REF!)),0,(LOOKUP(AD$16,$L48:$X48,#REF!)))</f>
        <v>0</v>
      </c>
      <c r="AE48" s="243">
        <f>IF(ISERROR(LOOKUP(AE$16,$L48:$X48,#REF!)),0,(LOOKUP(AE$16,$L48:$X48,#REF!)))</f>
        <v>0</v>
      </c>
      <c r="AF48" s="243">
        <f>IF(ISERROR(LOOKUP(AF$16,$L48:$X48,#REF!)),0,(LOOKUP(AF$16,$L48:$X48,#REF!)))</f>
        <v>0</v>
      </c>
      <c r="AG48" s="243">
        <f>IF(ISERROR(LOOKUP(AG$16,$L48:$X48,#REF!)),0,(LOOKUP(AG$16,$L48:$X48,#REF!)))</f>
        <v>0</v>
      </c>
      <c r="AH48" s="243">
        <f>IF(ISERROR(LOOKUP(AH$16,$L48:$X48,#REF!)),0,(LOOKUP(AH$16,$L48:$X48,#REF!)))</f>
        <v>0</v>
      </c>
      <c r="AI48" s="243">
        <f>IF(ISERROR(LOOKUP(AI$16,$L48:$X48,#REF!)),0,(LOOKUP(AI$16,$L48:$X48,#REF!)))</f>
        <v>0</v>
      </c>
      <c r="AJ48" s="243">
        <f>IF(ISERROR(LOOKUP(AJ$16,$L48:$X48,#REF!)),0,(LOOKUP(AJ$16,$L48:$X48,#REF!)))</f>
        <v>0</v>
      </c>
      <c r="AK48" s="243">
        <f>IF(ISERROR(LOOKUP(AK$16,$L48:$X48,#REF!)),0,(LOOKUP(AK$16,$L48:$X48,#REF!)))</f>
        <v>0</v>
      </c>
      <c r="AL48" s="243">
        <f>IF(ISERROR(LOOKUP(AL$16,$L48:$X48,#REF!)),0,(LOOKUP(AL$16,$L48:$X48,#REF!)))</f>
        <v>0</v>
      </c>
      <c r="AM48" s="243">
        <f ca="1">IF(ISERROR(LOOKUP(AM$16,$L48:$X48,#REF!)),0,(LOOKUP(AM$16,$L48:$X48,#REF!)))</f>
        <v>0</v>
      </c>
      <c r="AO48" s="166">
        <f t="shared" si="0"/>
        <v>15</v>
      </c>
      <c r="AP48" s="215">
        <v>46244</v>
      </c>
      <c r="AQ48" s="215">
        <v>46248</v>
      </c>
      <c r="AR48" s="215">
        <v>46255</v>
      </c>
      <c r="AS48" s="638"/>
      <c r="AW48" s="244" t="e">
        <v>#REF!</v>
      </c>
    </row>
    <row r="49" spans="1:49" s="168" customFormat="1" ht="18.600000000000001" customHeight="1">
      <c r="A49" s="597"/>
      <c r="B49" s="600"/>
      <c r="C49" s="605" t="str">
        <f>C47</f>
        <v>RFQ-011</v>
      </c>
      <c r="D49" s="605" t="str">
        <f t="shared" ref="D49:I49" si="60">D47</f>
        <v>Closed Drain Sump Vessel</v>
      </c>
      <c r="E49" s="608"/>
      <c r="F49" s="605"/>
      <c r="G49" s="601" t="str">
        <f t="shared" ref="G49" si="61">G47</f>
        <v>Y</v>
      </c>
      <c r="H49" s="608"/>
      <c r="I49" s="212" t="str">
        <f t="shared" si="60"/>
        <v>LA</v>
      </c>
      <c r="J49" s="214" t="s">
        <v>67</v>
      </c>
      <c r="K49" s="212"/>
      <c r="L49" s="212"/>
      <c r="M49" s="212"/>
      <c r="N49" s="212"/>
      <c r="O49" s="212"/>
      <c r="P49" s="226"/>
      <c r="Q49" s="227"/>
      <c r="R49" s="212"/>
      <c r="S49" s="212"/>
      <c r="T49" s="212"/>
      <c r="U49" s="212"/>
      <c r="V49" s="212"/>
      <c r="W49" s="228"/>
      <c r="X49" s="212"/>
      <c r="Y49" s="628"/>
      <c r="Z49" s="633"/>
      <c r="AA49" s="633"/>
      <c r="AB49" s="637"/>
      <c r="AC49" s="246">
        <f>IF(ISERROR(LOOKUP(AC$16,$L49:$X49,#REF!)),0,(LOOKUP(AC$16,$L49:$X49,#REF!)))</f>
        <v>0</v>
      </c>
      <c r="AD49" s="247">
        <f>IF(ISERROR(LOOKUP(AD$16,$L49:$X49,#REF!)),0,(LOOKUP(AD$16,$L49:$X49,#REF!)))</f>
        <v>0</v>
      </c>
      <c r="AE49" s="247">
        <f>IF(ISERROR(LOOKUP(AE$16,$L49:$X49,#REF!)),0,(LOOKUP(AE$16,$L49:$X49,#REF!)))</f>
        <v>0</v>
      </c>
      <c r="AF49" s="247">
        <f>IF(ISERROR(LOOKUP(AF$16,$L49:$X49,#REF!)),0,(LOOKUP(AF$16,$L49:$X49,#REF!)))</f>
        <v>0</v>
      </c>
      <c r="AG49" s="247">
        <f>IF(ISERROR(LOOKUP(AG$16,$L49:$X49,#REF!)),0,(LOOKUP(AG$16,$L49:$X49,#REF!)))</f>
        <v>0</v>
      </c>
      <c r="AH49" s="247">
        <f>IF(ISERROR(LOOKUP(AH$16,$L49:$X49,#REF!)),0,(LOOKUP(AH$16,$L49:$X49,#REF!)))</f>
        <v>0</v>
      </c>
      <c r="AI49" s="247">
        <f>IF(ISERROR(LOOKUP(AI$16,$L49:$X49,#REF!)),0,(LOOKUP(AI$16,$L49:$X49,#REF!)))</f>
        <v>0</v>
      </c>
      <c r="AJ49" s="247">
        <f>IF(ISERROR(LOOKUP(AJ$16,$L49:$X49,#REF!)),0,(LOOKUP(AJ$16,$L49:$X49,#REF!)))</f>
        <v>0</v>
      </c>
      <c r="AK49" s="247">
        <f>IF(ISERROR(LOOKUP(AK$16,$L49:$X49,#REF!)),0,(LOOKUP(AK$16,$L49:$X49,#REF!)))</f>
        <v>0</v>
      </c>
      <c r="AL49" s="247">
        <f>IF(ISERROR(LOOKUP(AL$16,$L49:$X49,#REF!)),0,(LOOKUP(AL$16,$L49:$X49,#REF!)))</f>
        <v>0</v>
      </c>
      <c r="AM49" s="247">
        <f ca="1">IF(ISERROR(LOOKUP(AM$16,$L49:$X49,#REF!)),0,(LOOKUP(AM$16,$L49:$X49,#REF!)))</f>
        <v>0</v>
      </c>
      <c r="AO49" s="166">
        <f t="shared" ref="AO49:AO71" si="62">U49-T49</f>
        <v>0</v>
      </c>
      <c r="AP49" s="212"/>
      <c r="AQ49" s="212"/>
      <c r="AR49" s="212"/>
      <c r="AS49" s="638"/>
      <c r="AW49" s="244" t="e">
        <v>#REF!</v>
      </c>
    </row>
    <row r="50" spans="1:49" s="168" customFormat="1" ht="18.600000000000001" customHeight="1">
      <c r="A50" s="597">
        <f t="shared" ref="A50" si="63">A47+1</f>
        <v>12</v>
      </c>
      <c r="B50" s="598"/>
      <c r="C50" s="604" t="s">
        <v>4748</v>
      </c>
      <c r="D50" s="604" t="s">
        <v>108</v>
      </c>
      <c r="E50" s="241"/>
      <c r="F50" s="604" t="s">
        <v>59</v>
      </c>
      <c r="G50" s="601" t="str">
        <f>IF(_xlfn.XLOOKUP(C50,'[35]Before Award'!D:D,'[35]Before Award'!AV:AV,"N/A")="N/A","N","Y")</f>
        <v>N</v>
      </c>
      <c r="H50" s="606"/>
      <c r="I50" s="212" t="s">
        <v>6</v>
      </c>
      <c r="J50" s="214" t="s">
        <v>61</v>
      </c>
      <c r="K50" s="215">
        <v>46204</v>
      </c>
      <c r="L50" s="215">
        <v>46205</v>
      </c>
      <c r="M50" s="215">
        <v>46210</v>
      </c>
      <c r="N50" s="215">
        <v>46211</v>
      </c>
      <c r="O50" s="215">
        <v>46216</v>
      </c>
      <c r="P50" s="216">
        <f>U50-L50</f>
        <v>71</v>
      </c>
      <c r="Q50" s="217"/>
      <c r="R50" s="215">
        <v>46230</v>
      </c>
      <c r="S50" s="215">
        <v>46258</v>
      </c>
      <c r="T50" s="215">
        <v>46261</v>
      </c>
      <c r="U50" s="215">
        <v>46276</v>
      </c>
      <c r="V50" s="215">
        <v>46283</v>
      </c>
      <c r="W50" s="218">
        <v>20</v>
      </c>
      <c r="X50" s="215">
        <v>46416</v>
      </c>
      <c r="Y50" s="628">
        <f>W50*7</f>
        <v>140</v>
      </c>
      <c r="Z50" s="633">
        <v>46416</v>
      </c>
      <c r="AA50" s="633">
        <v>46416</v>
      </c>
      <c r="AB50" s="637">
        <f t="shared" ref="AB50" si="64">Z50-X51</f>
        <v>0</v>
      </c>
      <c r="AC50" s="242">
        <f>IF(ISERROR(LOOKUP(AC$16,$L50:$X50,#REF!)),0,(LOOKUP(AC$16,$L50:$X50,#REF!)))</f>
        <v>0</v>
      </c>
      <c r="AD50" s="243">
        <f>IF(ISERROR(LOOKUP(AD$16,$L50:$X50,#REF!)),0,(LOOKUP(AD$16,$L50:$X50,#REF!)))</f>
        <v>0</v>
      </c>
      <c r="AE50" s="243">
        <f>IF(ISERROR(LOOKUP(AE$16,$L50:$X50,#REF!)),0,(LOOKUP(AE$16,$L50:$X50,#REF!)))</f>
        <v>0</v>
      </c>
      <c r="AF50" s="243">
        <f>IF(ISERROR(LOOKUP(AF$16,$L50:$X50,#REF!)),0,(LOOKUP(AF$16,$L50:$X50,#REF!)))</f>
        <v>0</v>
      </c>
      <c r="AG50" s="243">
        <f>IF(ISERROR(LOOKUP(AG$16,$L50:$X50,#REF!)),0,(LOOKUP(AG$16,$L50:$X50,#REF!)))</f>
        <v>0</v>
      </c>
      <c r="AH50" s="243">
        <f>IF(ISERROR(LOOKUP(AH$16,$L50:$X50,#REF!)),0,(LOOKUP(AH$16,$L50:$X50,#REF!)))</f>
        <v>0</v>
      </c>
      <c r="AI50" s="243">
        <f>IF(ISERROR(LOOKUP(AI$16,$L50:$X50,#REF!)),0,(LOOKUP(AI$16,$L50:$X50,#REF!)))</f>
        <v>0</v>
      </c>
      <c r="AJ50" s="243">
        <f>IF(ISERROR(LOOKUP(AJ$16,$L50:$X50,#REF!)),0,(LOOKUP(AJ$16,$L50:$X50,#REF!)))</f>
        <v>0</v>
      </c>
      <c r="AK50" s="243">
        <f>IF(ISERROR(LOOKUP(AK$16,$L50:$X50,#REF!)),0,(LOOKUP(AK$16,$L50:$X50,#REF!)))</f>
        <v>0</v>
      </c>
      <c r="AL50" s="243">
        <f>IF(ISERROR(LOOKUP(AL$16,$L50:$X50,#REF!)),0,(LOOKUP(AL$16,$L50:$X50,#REF!)))</f>
        <v>0</v>
      </c>
      <c r="AM50" s="243">
        <f ca="1">IF(ISERROR(LOOKUP(AM$16,$L50:$X50,#REF!)),0,(LOOKUP(AM$16,$L50:$X50,#REF!)))</f>
        <v>0</v>
      </c>
      <c r="AO50" s="166">
        <f t="shared" si="62"/>
        <v>15</v>
      </c>
      <c r="AP50" s="215">
        <v>46265</v>
      </c>
      <c r="AQ50" s="215">
        <v>46269</v>
      </c>
      <c r="AR50" s="215">
        <v>46269</v>
      </c>
      <c r="AS50" s="638">
        <v>14</v>
      </c>
      <c r="AW50" s="244" t="e">
        <v>#REF!</v>
      </c>
    </row>
    <row r="51" spans="1:49" s="168" customFormat="1" ht="18.600000000000001" customHeight="1">
      <c r="A51" s="597"/>
      <c r="B51" s="599"/>
      <c r="C51" s="604" t="str">
        <f t="shared" ref="C51" si="65">C50</f>
        <v>RFQ-012</v>
      </c>
      <c r="D51" s="604" t="str">
        <f t="shared" ref="D51:I51" si="66">D50</f>
        <v>Storage Tote Tank</v>
      </c>
      <c r="E51" s="241"/>
      <c r="F51" s="604"/>
      <c r="G51" s="601" t="str">
        <f>G50</f>
        <v>N</v>
      </c>
      <c r="H51" s="607"/>
      <c r="I51" s="212" t="str">
        <f t="shared" si="66"/>
        <v>LA</v>
      </c>
      <c r="J51" s="214" t="s">
        <v>65</v>
      </c>
      <c r="K51" s="215">
        <v>46204</v>
      </c>
      <c r="L51" s="215">
        <v>46205</v>
      </c>
      <c r="M51" s="215">
        <v>46210</v>
      </c>
      <c r="N51" s="215">
        <v>46211</v>
      </c>
      <c r="O51" s="215">
        <v>46216</v>
      </c>
      <c r="P51" s="216"/>
      <c r="Q51" s="217"/>
      <c r="R51" s="215">
        <v>46230</v>
      </c>
      <c r="S51" s="215">
        <v>46258</v>
      </c>
      <c r="T51" s="215">
        <v>46261</v>
      </c>
      <c r="U51" s="215">
        <v>46276</v>
      </c>
      <c r="V51" s="215">
        <v>46283</v>
      </c>
      <c r="W51" s="218"/>
      <c r="X51" s="215">
        <v>46416</v>
      </c>
      <c r="Y51" s="628"/>
      <c r="Z51" s="633"/>
      <c r="AA51" s="633"/>
      <c r="AB51" s="637"/>
      <c r="AC51" s="242">
        <f>IF(ISERROR(LOOKUP(AC$16,$L51:$X51,#REF!)),0,(LOOKUP(AC$16,$L51:$X51,#REF!)))</f>
        <v>0</v>
      </c>
      <c r="AD51" s="243">
        <f>IF(ISERROR(LOOKUP(AD$16,$L51:$X51,#REF!)),0,(LOOKUP(AD$16,$L51:$X51,#REF!)))</f>
        <v>0</v>
      </c>
      <c r="AE51" s="243">
        <f>IF(ISERROR(LOOKUP(AE$16,$L51:$X51,#REF!)),0,(LOOKUP(AE$16,$L51:$X51,#REF!)))</f>
        <v>0</v>
      </c>
      <c r="AF51" s="243">
        <f>IF(ISERROR(LOOKUP(AF$16,$L51:$X51,#REF!)),0,(LOOKUP(AF$16,$L51:$X51,#REF!)))</f>
        <v>0</v>
      </c>
      <c r="AG51" s="243">
        <f>IF(ISERROR(LOOKUP(AG$16,$L51:$X51,#REF!)),0,(LOOKUP(AG$16,$L51:$X51,#REF!)))</f>
        <v>0</v>
      </c>
      <c r="AH51" s="243">
        <f>IF(ISERROR(LOOKUP(AH$16,$L51:$X51,#REF!)),0,(LOOKUP(AH$16,$L51:$X51,#REF!)))</f>
        <v>0</v>
      </c>
      <c r="AI51" s="243">
        <f>IF(ISERROR(LOOKUP(AI$16,$L51:$X51,#REF!)),0,(LOOKUP(AI$16,$L51:$X51,#REF!)))</f>
        <v>0</v>
      </c>
      <c r="AJ51" s="243">
        <f>IF(ISERROR(LOOKUP(AJ$16,$L51:$X51,#REF!)),0,(LOOKUP(AJ$16,$L51:$X51,#REF!)))</f>
        <v>0</v>
      </c>
      <c r="AK51" s="243">
        <f>IF(ISERROR(LOOKUP(AK$16,$L51:$X51,#REF!)),0,(LOOKUP(AK$16,$L51:$X51,#REF!)))</f>
        <v>0</v>
      </c>
      <c r="AL51" s="243">
        <f>IF(ISERROR(LOOKUP(AL$16,$L51:$X51,#REF!)),0,(LOOKUP(AL$16,$L51:$X51,#REF!)))</f>
        <v>0</v>
      </c>
      <c r="AM51" s="243">
        <f ca="1">IF(ISERROR(LOOKUP(AM$16,$L51:$X51,#REF!)),0,(LOOKUP(AM$16,$L51:$X51,#REF!)))</f>
        <v>0</v>
      </c>
      <c r="AO51" s="166">
        <f t="shared" si="62"/>
        <v>15</v>
      </c>
      <c r="AP51" s="215">
        <v>46265</v>
      </c>
      <c r="AQ51" s="215">
        <v>46269</v>
      </c>
      <c r="AR51" s="215">
        <v>46276</v>
      </c>
      <c r="AS51" s="638"/>
      <c r="AW51" s="244" t="e">
        <v>#REF!</v>
      </c>
    </row>
    <row r="52" spans="1:49" s="168" customFormat="1" ht="18.600000000000001" customHeight="1">
      <c r="A52" s="597"/>
      <c r="B52" s="600"/>
      <c r="C52" s="605" t="str">
        <f>C50</f>
        <v>RFQ-012</v>
      </c>
      <c r="D52" s="605" t="str">
        <f t="shared" ref="D52:I52" si="67">D50</f>
        <v>Storage Tote Tank</v>
      </c>
      <c r="E52" s="245"/>
      <c r="F52" s="605"/>
      <c r="G52" s="601" t="str">
        <f t="shared" ref="G52" si="68">G50</f>
        <v>N</v>
      </c>
      <c r="H52" s="608"/>
      <c r="I52" s="212" t="str">
        <f t="shared" si="67"/>
        <v>LA</v>
      </c>
      <c r="J52" s="214" t="s">
        <v>67</v>
      </c>
      <c r="K52" s="212"/>
      <c r="L52" s="212"/>
      <c r="M52" s="212"/>
      <c r="N52" s="212"/>
      <c r="O52" s="212"/>
      <c r="P52" s="226"/>
      <c r="Q52" s="227"/>
      <c r="R52" s="212"/>
      <c r="S52" s="212"/>
      <c r="T52" s="212"/>
      <c r="U52" s="212"/>
      <c r="V52" s="212"/>
      <c r="W52" s="228"/>
      <c r="X52" s="212"/>
      <c r="Y52" s="628"/>
      <c r="Z52" s="633"/>
      <c r="AA52" s="633"/>
      <c r="AB52" s="637"/>
      <c r="AC52" s="246">
        <f>IF(ISERROR(LOOKUP(AC$16,$L52:$X52,#REF!)),0,(LOOKUP(AC$16,$L52:$X52,#REF!)))</f>
        <v>0</v>
      </c>
      <c r="AD52" s="247">
        <f>IF(ISERROR(LOOKUP(AD$16,$L52:$X52,#REF!)),0,(LOOKUP(AD$16,$L52:$X52,#REF!)))</f>
        <v>0</v>
      </c>
      <c r="AE52" s="247">
        <f>IF(ISERROR(LOOKUP(AE$16,$L52:$X52,#REF!)),0,(LOOKUP(AE$16,$L52:$X52,#REF!)))</f>
        <v>0</v>
      </c>
      <c r="AF52" s="247">
        <f>IF(ISERROR(LOOKUP(AF$16,$L52:$X52,#REF!)),0,(LOOKUP(AF$16,$L52:$X52,#REF!)))</f>
        <v>0</v>
      </c>
      <c r="AG52" s="247">
        <f>IF(ISERROR(LOOKUP(AG$16,$L52:$X52,#REF!)),0,(LOOKUP(AG$16,$L52:$X52,#REF!)))</f>
        <v>0</v>
      </c>
      <c r="AH52" s="247">
        <f>IF(ISERROR(LOOKUP(AH$16,$L52:$X52,#REF!)),0,(LOOKUP(AH$16,$L52:$X52,#REF!)))</f>
        <v>0</v>
      </c>
      <c r="AI52" s="247">
        <f>IF(ISERROR(LOOKUP(AI$16,$L52:$X52,#REF!)),0,(LOOKUP(AI$16,$L52:$X52,#REF!)))</f>
        <v>0</v>
      </c>
      <c r="AJ52" s="247">
        <f>IF(ISERROR(LOOKUP(AJ$16,$L52:$X52,#REF!)),0,(LOOKUP(AJ$16,$L52:$X52,#REF!)))</f>
        <v>0</v>
      </c>
      <c r="AK52" s="247">
        <f>IF(ISERROR(LOOKUP(AK$16,$L52:$X52,#REF!)),0,(LOOKUP(AK$16,$L52:$X52,#REF!)))</f>
        <v>0</v>
      </c>
      <c r="AL52" s="247">
        <f>IF(ISERROR(LOOKUP(AL$16,$L52:$X52,#REF!)),0,(LOOKUP(AL$16,$L52:$X52,#REF!)))</f>
        <v>0</v>
      </c>
      <c r="AM52" s="247">
        <f ca="1">IF(ISERROR(LOOKUP(AM$16,$L52:$X52,#REF!)),0,(LOOKUP(AM$16,$L52:$X52,#REF!)))</f>
        <v>0</v>
      </c>
      <c r="AO52" s="166">
        <f t="shared" si="62"/>
        <v>0</v>
      </c>
      <c r="AP52" s="212"/>
      <c r="AQ52" s="212"/>
      <c r="AR52" s="212"/>
      <c r="AS52" s="638"/>
      <c r="AW52" s="244" t="e">
        <v>#REF!</v>
      </c>
    </row>
    <row r="53" spans="1:49" s="168" customFormat="1" ht="18.600000000000001" customHeight="1">
      <c r="A53" s="597">
        <f t="shared" ref="A53" si="69">A50+1</f>
        <v>13</v>
      </c>
      <c r="B53" s="598"/>
      <c r="C53" s="604" t="s">
        <v>4749</v>
      </c>
      <c r="D53" s="604" t="s">
        <v>112</v>
      </c>
      <c r="E53" s="241"/>
      <c r="F53" s="604" t="s">
        <v>59</v>
      </c>
      <c r="G53" s="601" t="str">
        <f>IF(_xlfn.XLOOKUP(C53,'[35]Before Award'!D:D,'[35]Before Award'!AV:AV,"N/A")="N/A","N","Y")</f>
        <v>N</v>
      </c>
      <c r="H53" s="606"/>
      <c r="I53" s="212" t="s">
        <v>6</v>
      </c>
      <c r="J53" s="214" t="s">
        <v>61</v>
      </c>
      <c r="K53" s="215">
        <v>46240</v>
      </c>
      <c r="L53" s="215">
        <v>46241</v>
      </c>
      <c r="M53" s="215">
        <v>46246</v>
      </c>
      <c r="N53" s="215">
        <v>46247</v>
      </c>
      <c r="O53" s="215">
        <v>46252</v>
      </c>
      <c r="P53" s="216">
        <f>U53-L53</f>
        <v>73</v>
      </c>
      <c r="Q53" s="217"/>
      <c r="R53" s="215">
        <v>46266</v>
      </c>
      <c r="S53" s="215">
        <v>46294</v>
      </c>
      <c r="T53" s="215">
        <v>46297</v>
      </c>
      <c r="U53" s="215">
        <v>46314</v>
      </c>
      <c r="V53" s="215">
        <v>46321</v>
      </c>
      <c r="W53" s="218">
        <v>20</v>
      </c>
      <c r="X53" s="215">
        <v>46454</v>
      </c>
      <c r="Y53" s="628">
        <f>W53*7</f>
        <v>140</v>
      </c>
      <c r="Z53" s="633">
        <v>46454</v>
      </c>
      <c r="AA53" s="633">
        <v>46416</v>
      </c>
      <c r="AB53" s="637">
        <f t="shared" ref="AB53" si="70">Z53-X54</f>
        <v>0</v>
      </c>
      <c r="AC53" s="242">
        <f>IF(ISERROR(LOOKUP(AC$16,$L53:$X53,#REF!)),0,(LOOKUP(AC$16,$L53:$X53,#REF!)))</f>
        <v>0</v>
      </c>
      <c r="AD53" s="243">
        <f>IF(ISERROR(LOOKUP(AD$16,$L53:$X53,#REF!)),0,(LOOKUP(AD$16,$L53:$X53,#REF!)))</f>
        <v>0</v>
      </c>
      <c r="AE53" s="243">
        <f>IF(ISERROR(LOOKUP(AE$16,$L53:$X53,#REF!)),0,(LOOKUP(AE$16,$L53:$X53,#REF!)))</f>
        <v>0</v>
      </c>
      <c r="AF53" s="243">
        <f>IF(ISERROR(LOOKUP(AF$16,$L53:$X53,#REF!)),0,(LOOKUP(AF$16,$L53:$X53,#REF!)))</f>
        <v>0</v>
      </c>
      <c r="AG53" s="243">
        <f>IF(ISERROR(LOOKUP(AG$16,$L53:$X53,#REF!)),0,(LOOKUP(AG$16,$L53:$X53,#REF!)))</f>
        <v>0</v>
      </c>
      <c r="AH53" s="243">
        <f>IF(ISERROR(LOOKUP(AH$16,$L53:$X53,#REF!)),0,(LOOKUP(AH$16,$L53:$X53,#REF!)))</f>
        <v>0</v>
      </c>
      <c r="AI53" s="243">
        <f>IF(ISERROR(LOOKUP(AI$16,$L53:$X53,#REF!)),0,(LOOKUP(AI$16,$L53:$X53,#REF!)))</f>
        <v>0</v>
      </c>
      <c r="AJ53" s="243">
        <f>IF(ISERROR(LOOKUP(AJ$16,$L53:$X53,#REF!)),0,(LOOKUP(AJ$16,$L53:$X53,#REF!)))</f>
        <v>0</v>
      </c>
      <c r="AK53" s="243">
        <f>IF(ISERROR(LOOKUP(AK$16,$L53:$X53,#REF!)),0,(LOOKUP(AK$16,$L53:$X53,#REF!)))</f>
        <v>0</v>
      </c>
      <c r="AL53" s="243">
        <f>IF(ISERROR(LOOKUP(AL$16,$L53:$X53,#REF!)),0,(LOOKUP(AL$16,$L53:$X53,#REF!)))</f>
        <v>0</v>
      </c>
      <c r="AM53" s="243">
        <f ca="1">IF(ISERROR(LOOKUP(AM$16,$L53:$X53,#REF!)),0,(LOOKUP(AM$16,$L53:$X53,#REF!)))</f>
        <v>0</v>
      </c>
      <c r="AO53" s="166">
        <f t="shared" si="62"/>
        <v>17</v>
      </c>
      <c r="AP53" s="215">
        <v>46301</v>
      </c>
      <c r="AQ53" s="215">
        <v>46307</v>
      </c>
      <c r="AR53" s="215">
        <v>46307</v>
      </c>
      <c r="AS53" s="638">
        <v>14</v>
      </c>
      <c r="AW53" s="244" t="e">
        <v>#REF!</v>
      </c>
    </row>
    <row r="54" spans="1:49" s="168" customFormat="1" ht="18.600000000000001" customHeight="1">
      <c r="A54" s="597"/>
      <c r="B54" s="599"/>
      <c r="C54" s="604" t="str">
        <f t="shared" ref="C54" si="71">C53</f>
        <v>RFQ-013</v>
      </c>
      <c r="D54" s="604" t="str">
        <f t="shared" ref="D54" si="72">D53</f>
        <v>Storage Tank</v>
      </c>
      <c r="E54" s="241"/>
      <c r="F54" s="604"/>
      <c r="G54" s="601" t="str">
        <f>G53</f>
        <v>N</v>
      </c>
      <c r="H54" s="607"/>
      <c r="I54" s="212" t="str">
        <f>I53</f>
        <v>LA</v>
      </c>
      <c r="J54" s="214" t="s">
        <v>65</v>
      </c>
      <c r="K54" s="215">
        <v>46240</v>
      </c>
      <c r="L54" s="215">
        <v>46241</v>
      </c>
      <c r="M54" s="215">
        <v>46246</v>
      </c>
      <c r="N54" s="215">
        <v>46247</v>
      </c>
      <c r="O54" s="215">
        <v>46252</v>
      </c>
      <c r="P54" s="216"/>
      <c r="Q54" s="217"/>
      <c r="R54" s="215">
        <v>46266</v>
      </c>
      <c r="S54" s="215">
        <v>46294</v>
      </c>
      <c r="T54" s="215">
        <v>46297</v>
      </c>
      <c r="U54" s="215">
        <v>46314</v>
      </c>
      <c r="V54" s="215">
        <v>46321</v>
      </c>
      <c r="W54" s="218"/>
      <c r="X54" s="215">
        <v>46454</v>
      </c>
      <c r="Y54" s="628"/>
      <c r="Z54" s="633"/>
      <c r="AA54" s="633"/>
      <c r="AB54" s="637"/>
      <c r="AC54" s="242">
        <f>IF(ISERROR(LOOKUP(AC$16,$L54:$X54,#REF!)),0,(LOOKUP(AC$16,$L54:$X54,#REF!)))</f>
        <v>0</v>
      </c>
      <c r="AD54" s="243">
        <f>IF(ISERROR(LOOKUP(AD$16,$L54:$X54,#REF!)),0,(LOOKUP(AD$16,$L54:$X54,#REF!)))</f>
        <v>0</v>
      </c>
      <c r="AE54" s="243">
        <f>IF(ISERROR(LOOKUP(AE$16,$L54:$X54,#REF!)),0,(LOOKUP(AE$16,$L54:$X54,#REF!)))</f>
        <v>0</v>
      </c>
      <c r="AF54" s="243">
        <f>IF(ISERROR(LOOKUP(AF$16,$L54:$X54,#REF!)),0,(LOOKUP(AF$16,$L54:$X54,#REF!)))</f>
        <v>0</v>
      </c>
      <c r="AG54" s="243">
        <f>IF(ISERROR(LOOKUP(AG$16,$L54:$X54,#REF!)),0,(LOOKUP(AG$16,$L54:$X54,#REF!)))</f>
        <v>0</v>
      </c>
      <c r="AH54" s="243">
        <f>IF(ISERROR(LOOKUP(AH$16,$L54:$X54,#REF!)),0,(LOOKUP(AH$16,$L54:$X54,#REF!)))</f>
        <v>0</v>
      </c>
      <c r="AI54" s="243">
        <f>IF(ISERROR(LOOKUP(AI$16,$L54:$X54,#REF!)),0,(LOOKUP(AI$16,$L54:$X54,#REF!)))</f>
        <v>0</v>
      </c>
      <c r="AJ54" s="243">
        <f>IF(ISERROR(LOOKUP(AJ$16,$L54:$X54,#REF!)),0,(LOOKUP(AJ$16,$L54:$X54,#REF!)))</f>
        <v>0</v>
      </c>
      <c r="AK54" s="243">
        <f>IF(ISERROR(LOOKUP(AK$16,$L54:$X54,#REF!)),0,(LOOKUP(AK$16,$L54:$X54,#REF!)))</f>
        <v>0</v>
      </c>
      <c r="AL54" s="243">
        <f>IF(ISERROR(LOOKUP(AL$16,$L54:$X54,#REF!)),0,(LOOKUP(AL$16,$L54:$X54,#REF!)))</f>
        <v>0</v>
      </c>
      <c r="AM54" s="243">
        <f ca="1">IF(ISERROR(LOOKUP(AM$16,$L54:$X54,#REF!)),0,(LOOKUP(AM$16,$L54:$X54,#REF!)))</f>
        <v>0</v>
      </c>
      <c r="AO54" s="166">
        <f t="shared" si="62"/>
        <v>17</v>
      </c>
      <c r="AP54" s="215">
        <v>46301</v>
      </c>
      <c r="AQ54" s="215">
        <v>46307</v>
      </c>
      <c r="AR54" s="215">
        <v>46314</v>
      </c>
      <c r="AS54" s="638"/>
      <c r="AW54" s="244" t="e">
        <v>#REF!</v>
      </c>
    </row>
    <row r="55" spans="1:49" s="168" customFormat="1" ht="18.600000000000001" customHeight="1">
      <c r="A55" s="597"/>
      <c r="B55" s="600"/>
      <c r="C55" s="605" t="str">
        <f>C53</f>
        <v>RFQ-013</v>
      </c>
      <c r="D55" s="605" t="str">
        <f t="shared" ref="D55" si="73">D53</f>
        <v>Storage Tank</v>
      </c>
      <c r="E55" s="245"/>
      <c r="F55" s="605"/>
      <c r="G55" s="601" t="str">
        <f t="shared" ref="G55" si="74">G53</f>
        <v>N</v>
      </c>
      <c r="H55" s="608"/>
      <c r="I55" s="212" t="str">
        <f>I53</f>
        <v>LA</v>
      </c>
      <c r="J55" s="214" t="s">
        <v>67</v>
      </c>
      <c r="K55" s="212"/>
      <c r="L55" s="212"/>
      <c r="M55" s="212"/>
      <c r="N55" s="212"/>
      <c r="O55" s="212"/>
      <c r="P55" s="226"/>
      <c r="Q55" s="227"/>
      <c r="R55" s="212"/>
      <c r="S55" s="212"/>
      <c r="T55" s="212"/>
      <c r="U55" s="248"/>
      <c r="V55" s="248"/>
      <c r="W55" s="228"/>
      <c r="X55" s="248"/>
      <c r="Y55" s="628"/>
      <c r="Z55" s="633"/>
      <c r="AA55" s="633"/>
      <c r="AB55" s="637"/>
      <c r="AC55" s="246">
        <f>IF(ISERROR(LOOKUP(AC$16,$L55:$X55,#REF!)),0,(LOOKUP(AC$16,$L55:$X55,#REF!)))</f>
        <v>0</v>
      </c>
      <c r="AD55" s="247">
        <f>IF(ISERROR(LOOKUP(AD$16,$L55:$X55,#REF!)),0,(LOOKUP(AD$16,$L55:$X55,#REF!)))</f>
        <v>0</v>
      </c>
      <c r="AE55" s="247">
        <f>IF(ISERROR(LOOKUP(AE$16,$L55:$X55,#REF!)),0,(LOOKUP(AE$16,$L55:$X55,#REF!)))</f>
        <v>0</v>
      </c>
      <c r="AF55" s="247">
        <f>IF(ISERROR(LOOKUP(AF$16,$L55:$X55,#REF!)),0,(LOOKUP(AF$16,$L55:$X55,#REF!)))</f>
        <v>0</v>
      </c>
      <c r="AG55" s="247">
        <f>IF(ISERROR(LOOKUP(AG$16,$L55:$X55,#REF!)),0,(LOOKUP(AG$16,$L55:$X55,#REF!)))</f>
        <v>0</v>
      </c>
      <c r="AH55" s="247">
        <f>IF(ISERROR(LOOKUP(AH$16,$L55:$X55,#REF!)),0,(LOOKUP(AH$16,$L55:$X55,#REF!)))</f>
        <v>0</v>
      </c>
      <c r="AI55" s="247">
        <f>IF(ISERROR(LOOKUP(AI$16,$L55:$X55,#REF!)),0,(LOOKUP(AI$16,$L55:$X55,#REF!)))</f>
        <v>0</v>
      </c>
      <c r="AJ55" s="247">
        <f>IF(ISERROR(LOOKUP(AJ$16,$L55:$X55,#REF!)),0,(LOOKUP(AJ$16,$L55:$X55,#REF!)))</f>
        <v>0</v>
      </c>
      <c r="AK55" s="247">
        <f>IF(ISERROR(LOOKUP(AK$16,$L55:$X55,#REF!)),0,(LOOKUP(AK$16,$L55:$X55,#REF!)))</f>
        <v>0</v>
      </c>
      <c r="AL55" s="247">
        <f>IF(ISERROR(LOOKUP(AL$16,$L55:$X55,#REF!)),0,(LOOKUP(AL$16,$L55:$X55,#REF!)))</f>
        <v>0</v>
      </c>
      <c r="AM55" s="247">
        <f ca="1">IF(ISERROR(LOOKUP(AM$16,$L55:$X55,#REF!)),0,(LOOKUP(AM$16,$L55:$X55,#REF!)))</f>
        <v>0</v>
      </c>
      <c r="AO55" s="166">
        <f t="shared" si="62"/>
        <v>0</v>
      </c>
      <c r="AP55" s="248"/>
      <c r="AQ55" s="248"/>
      <c r="AR55" s="248"/>
      <c r="AS55" s="638"/>
      <c r="AW55" s="244" t="e">
        <v>#REF!</v>
      </c>
    </row>
    <row r="56" spans="1:49" s="166" customFormat="1" ht="18" customHeight="1">
      <c r="A56" s="596">
        <f t="shared" ref="A56" si="75">A53+1</f>
        <v>14</v>
      </c>
      <c r="B56" s="598"/>
      <c r="C56" s="601" t="s">
        <v>4750</v>
      </c>
      <c r="D56" s="601" t="s">
        <v>116</v>
      </c>
      <c r="E56" s="213"/>
      <c r="F56" s="610" t="s">
        <v>59</v>
      </c>
      <c r="G56" s="601" t="str">
        <f>IF(_xlfn.XLOOKUP(C56,'[35]Before Award'!D:D,'[35]Before Award'!AV:AV,"N/A")="N/A","N","Y")</f>
        <v>N</v>
      </c>
      <c r="H56" s="606"/>
      <c r="I56" s="212" t="s">
        <v>6</v>
      </c>
      <c r="J56" s="214" t="s">
        <v>61</v>
      </c>
      <c r="K56" s="215">
        <f>WORKDAY(L56,-INDEX(L$12:L$15,MATCH($I56,$I$12:$I$15,0)))</f>
        <v>46133</v>
      </c>
      <c r="L56" s="215">
        <f>WORKDAY(M56,-INDEX(M$12:M$15,MATCH($I56,$I$12:$I$15,0)))</f>
        <v>46134</v>
      </c>
      <c r="M56" s="215">
        <f>WORKDAY(N56,-INDEX(N$12:N$15,MATCH($I56,$I$12:$I$15,0)))</f>
        <v>46141</v>
      </c>
      <c r="N56" s="215">
        <f>WORKDAY(O56,-INDEX(O$12:O$15,MATCH($I56,$I$12:$I$15,0)))</f>
        <v>46142</v>
      </c>
      <c r="O56" s="215">
        <f>WORKDAY(R56,-INDEX(R$12:R$15,MATCH($I56,$I$12:$I$15,0)))</f>
        <v>46149</v>
      </c>
      <c r="P56" s="216">
        <f>U56-L56</f>
        <v>76</v>
      </c>
      <c r="Q56" s="217"/>
      <c r="R56" s="215">
        <f>WORKDAY(S56,-INDEX(S$12:S$15,MATCH($I56,$I$12:$I$15,0)))</f>
        <v>46163</v>
      </c>
      <c r="S56" s="215">
        <f>WORKDAY(T56,-INDEX(T$12:T$15,MATCH($I56,$I$12:$I$15,0)))</f>
        <v>46191</v>
      </c>
      <c r="T56" s="215">
        <f>WORKDAY(U56,-INDEX(U$12:U$15,MATCH($I56,$I$12:$I$15,0)))</f>
        <v>46196</v>
      </c>
      <c r="U56" s="215">
        <f>X56-Y56</f>
        <v>46210</v>
      </c>
      <c r="V56" s="215">
        <f>WORKDAY(U56,INDEX(V$12:V$15,MATCH($I56,$I$12:$I$15,0)))</f>
        <v>46212</v>
      </c>
      <c r="W56" s="218">
        <f>Y56/7</f>
        <v>32</v>
      </c>
      <c r="X56" s="215">
        <f>Z56</f>
        <v>46434</v>
      </c>
      <c r="Y56" s="628">
        <f>32*7</f>
        <v>224</v>
      </c>
      <c r="Z56" s="633">
        <v>46434</v>
      </c>
      <c r="AA56" s="633">
        <v>46386</v>
      </c>
      <c r="AB56" s="637">
        <f t="shared" ref="AB56" si="76">Z56-X57</f>
        <v>0</v>
      </c>
      <c r="AC56" s="220">
        <f>IF(ISERROR(LOOKUP(AC$16,$L56:$X56,#REF!)),0,(LOOKUP(AC$16,$L56:$X56,#REF!)))</f>
        <v>0</v>
      </c>
      <c r="AD56" s="221">
        <f>IF(ISERROR(LOOKUP(AD$16,$L56:$X56,#REF!)),0,(LOOKUP(AD$16,$L56:$X56,#REF!)))</f>
        <v>0</v>
      </c>
      <c r="AE56" s="221">
        <f>IF(ISERROR(LOOKUP(AE$16,$L56:$X56,#REF!)),0,(LOOKUP(AE$16,$L56:$X56,#REF!)))</f>
        <v>0</v>
      </c>
      <c r="AF56" s="221">
        <f>IF(ISERROR(LOOKUP(AF$16,$L56:$X56,#REF!)),0,(LOOKUP(AF$16,$L56:$X56,#REF!)))</f>
        <v>0</v>
      </c>
      <c r="AG56" s="221">
        <f>IF(ISERROR(LOOKUP(AG$16,$L56:$X56,#REF!)),0,(LOOKUP(AG$16,$L56:$X56,#REF!)))</f>
        <v>0</v>
      </c>
      <c r="AH56" s="221">
        <f>IF(ISERROR(LOOKUP(AH$16,$L56:$X56,#REF!)),0,(LOOKUP(AH$16,$L56:$X56,#REF!)))</f>
        <v>0</v>
      </c>
      <c r="AI56" s="221">
        <f>IF(ISERROR(LOOKUP(AI$16,$L56:$X56,#REF!)),0,(LOOKUP(AI$16,$L56:$X56,#REF!)))</f>
        <v>0</v>
      </c>
      <c r="AJ56" s="221">
        <f>IF(ISERROR(LOOKUP(AJ$16,$L56:$X56,#REF!)),0,(LOOKUP(AJ$16,$L56:$X56,#REF!)))</f>
        <v>0</v>
      </c>
      <c r="AK56" s="221">
        <f>IF(ISERROR(LOOKUP(AK$16,$L56:$X56,#REF!)),0,(LOOKUP(AK$16,$L56:$X56,#REF!)))</f>
        <v>0</v>
      </c>
      <c r="AL56" s="221">
        <f>IF(ISERROR(LOOKUP(AL$16,$L56:$X56,#REF!)),0,(LOOKUP(AL$16,$L56:$X56,#REF!)))</f>
        <v>0</v>
      </c>
      <c r="AM56" s="221">
        <f ca="1">IF(ISERROR(LOOKUP(AM$16,$L56:$X56,#REF!)),0,(LOOKUP(AM$16,$L56:$X56,#REF!)))</f>
        <v>0</v>
      </c>
      <c r="AO56" s="166">
        <f t="shared" si="62"/>
        <v>14</v>
      </c>
      <c r="AP56" s="215" t="e">
        <f>WORKDAY(AQ56,-INDEX(AQ$12:AQ$15,MATCH($I56,$I$12:$I$15,0)),$AW$17:$AW$148)</f>
        <v>#REF!</v>
      </c>
      <c r="AQ56" s="215" t="e">
        <f>WORKDAY(U56,-INDEX(U$12:U$15,MATCH($I56,$I$12:$I$15,0)),$AW$17:$AW$148)</f>
        <v>#REF!</v>
      </c>
      <c r="AR56" s="215" t="e">
        <f>WORKDAY(U56,-INDEX(U$12:U$15,MATCH($I56,$I$12:$I$15,0)),$AW$17:$AW$148)</f>
        <v>#REF!</v>
      </c>
      <c r="AS56" s="638">
        <v>14</v>
      </c>
      <c r="AW56" s="223" t="e">
        <v>#REF!</v>
      </c>
    </row>
    <row r="57" spans="1:49" s="166" customFormat="1" ht="18" customHeight="1">
      <c r="A57" s="596"/>
      <c r="B57" s="599"/>
      <c r="C57" s="601" t="str">
        <f t="shared" ref="C57:I57" si="77">C56</f>
        <v>RFQ-014</v>
      </c>
      <c r="D57" s="601" t="str">
        <f t="shared" ref="D57" si="78">D56</f>
        <v>Closed Drain Sump Pump</v>
      </c>
      <c r="E57" s="224"/>
      <c r="F57" s="611"/>
      <c r="G57" s="601" t="str">
        <f>G56</f>
        <v>N</v>
      </c>
      <c r="H57" s="607"/>
      <c r="I57" s="212" t="str">
        <f t="shared" si="77"/>
        <v>LA</v>
      </c>
      <c r="J57" s="214" t="s">
        <v>65</v>
      </c>
      <c r="K57" s="215">
        <f>K56</f>
        <v>46133</v>
      </c>
      <c r="L57" s="215">
        <f>WORKDAY(IF(K58="",K57,K58),INDEX(L$12:L$15,MATCH($I56,$I$12:$I$15,0)))</f>
        <v>46134</v>
      </c>
      <c r="M57" s="215">
        <f>WORKDAY(IF(L58="",L57,L58),INDEX(M$12:M$15,MATCH($I56,$I$12:$I$15,0)))</f>
        <v>46141</v>
      </c>
      <c r="N57" s="215">
        <f>WORKDAY(IF(M58="",M57,M58),INDEX(N$12:N$15,MATCH($I56,$I$12:$I$15,0)))</f>
        <v>46142</v>
      </c>
      <c r="O57" s="215">
        <f>WORKDAY(IF(N58="",N57,N58),INDEX(O$12:O$15,MATCH($I56,$I$12:$I$15,0)))</f>
        <v>46149</v>
      </c>
      <c r="P57" s="216"/>
      <c r="Q57" s="217"/>
      <c r="R57" s="215">
        <f>WORKDAY(IF(O58="",O57,O58),INDEX(R$12:R$15,MATCH($I56,$I$12:$I$15,0)))</f>
        <v>46163</v>
      </c>
      <c r="S57" s="215">
        <f>WORKDAY(IF(R58="",R57,R58),INDEX(S$12:S$15,MATCH($I56,$I$12:$I$15,0)))</f>
        <v>46191</v>
      </c>
      <c r="T57" s="215">
        <f>WORKDAY(IF(S58="",S57,S58),INDEX(T$12:T$15,MATCH($I56,$I$12:$I$15,0)))</f>
        <v>46196</v>
      </c>
      <c r="U57" s="215">
        <f>WORKDAY(IF(T58="",T57,T58),INDEX(U$12:U$15,MATCH($I56,$I$12:$I$15,0)))</f>
        <v>46210</v>
      </c>
      <c r="V57" s="215">
        <f>WORKDAY(IF(U58="",U57,U58),INDEX(V$12:V$15,MATCH($I56,$I$12:$I$15,0)))</f>
        <v>46212</v>
      </c>
      <c r="W57" s="218"/>
      <c r="X57" s="215">
        <f>U57+Y56</f>
        <v>46434</v>
      </c>
      <c r="Y57" s="628"/>
      <c r="Z57" s="633"/>
      <c r="AA57" s="633"/>
      <c r="AB57" s="637"/>
      <c r="AC57" s="220">
        <f>IF(ISERROR(LOOKUP(AC$16,$L57:$X57,#REF!)),0,(LOOKUP(AC$16,$L57:$X57,#REF!)))</f>
        <v>0</v>
      </c>
      <c r="AD57" s="221">
        <f>IF(ISERROR(LOOKUP(AD$16,$L57:$X57,#REF!)),0,(LOOKUP(AD$16,$L57:$X57,#REF!)))</f>
        <v>0</v>
      </c>
      <c r="AE57" s="221">
        <f>IF(ISERROR(LOOKUP(AE$16,$L57:$X57,#REF!)),0,(LOOKUP(AE$16,$L57:$X57,#REF!)))</f>
        <v>0</v>
      </c>
      <c r="AF57" s="221">
        <f>IF(ISERROR(LOOKUP(AF$16,$L57:$X57,#REF!)),0,(LOOKUP(AF$16,$L57:$X57,#REF!)))</f>
        <v>0</v>
      </c>
      <c r="AG57" s="221">
        <f>IF(ISERROR(LOOKUP(AG$16,$L57:$X57,#REF!)),0,(LOOKUP(AG$16,$L57:$X57,#REF!)))</f>
        <v>0</v>
      </c>
      <c r="AH57" s="221">
        <f>IF(ISERROR(LOOKUP(AH$16,$L57:$X57,#REF!)),0,(LOOKUP(AH$16,$L57:$X57,#REF!)))</f>
        <v>0</v>
      </c>
      <c r="AI57" s="221">
        <f>IF(ISERROR(LOOKUP(AI$16,$L57:$X57,#REF!)),0,(LOOKUP(AI$16,$L57:$X57,#REF!)))</f>
        <v>0</v>
      </c>
      <c r="AJ57" s="221">
        <f>IF(ISERROR(LOOKUP(AJ$16,$L57:$X57,#REF!)),0,(LOOKUP(AJ$16,$L57:$X57,#REF!)))</f>
        <v>0</v>
      </c>
      <c r="AK57" s="221">
        <f>IF(ISERROR(LOOKUP(AK$16,$L57:$X57,#REF!)),0,(LOOKUP(AK$16,$L57:$X57,#REF!)))</f>
        <v>0</v>
      </c>
      <c r="AL57" s="221">
        <f>IF(ISERROR(LOOKUP(AL$16,$L57:$X57,#REF!)),0,(LOOKUP(AL$16,$L57:$X57,#REF!)))</f>
        <v>0</v>
      </c>
      <c r="AM57" s="221">
        <f ca="1">IF(ISERROR(LOOKUP(AM$16,$L57:$X57,#REF!)),0,(LOOKUP(AM$16,$L57:$X57,#REF!)))</f>
        <v>0</v>
      </c>
      <c r="AO57" s="166">
        <f t="shared" si="62"/>
        <v>14</v>
      </c>
      <c r="AP57" s="215" t="e">
        <f>WORKDAY(IF(T58="",T57,T58),INDEX(AP$12:AP$15,MATCH($I56,$I$12:$I$15,0)),$AW$17:$AW$148)</f>
        <v>#REF!</v>
      </c>
      <c r="AQ57" s="215" t="e">
        <f>WORKDAY(IF(AP58="",AP57,AP58),INDEX(AQ$12:AQ$15,MATCH($I56,$I$12:$I$15,0)),$AW$17:$AW$148)</f>
        <v>#REF!</v>
      </c>
      <c r="AR57" s="215" t="e">
        <f>WORKDAY(IF(AQ58="",AQ57,AQ58),INDEX(AR$12:AR$15,MATCH($I56,$I$12:$I$15,0)),$AW$17:$AW$148)</f>
        <v>#REF!</v>
      </c>
      <c r="AS57" s="638"/>
      <c r="AW57" s="223" t="e">
        <v>#REF!</v>
      </c>
    </row>
    <row r="58" spans="1:49" s="166" customFormat="1" ht="18" customHeight="1">
      <c r="A58" s="596"/>
      <c r="B58" s="600"/>
      <c r="C58" s="601" t="str">
        <f>C56</f>
        <v>RFQ-014</v>
      </c>
      <c r="D58" s="601" t="str">
        <f t="shared" ref="D58:I58" si="79">D56</f>
        <v>Closed Drain Sump Pump</v>
      </c>
      <c r="E58" s="225"/>
      <c r="F58" s="612"/>
      <c r="G58" s="601" t="str">
        <f t="shared" ref="G58" si="80">G56</f>
        <v>N</v>
      </c>
      <c r="H58" s="608"/>
      <c r="I58" s="212" t="str">
        <f t="shared" si="79"/>
        <v>LA</v>
      </c>
      <c r="J58" s="214" t="s">
        <v>67</v>
      </c>
      <c r="K58" s="212"/>
      <c r="L58" s="212"/>
      <c r="M58" s="212"/>
      <c r="N58" s="212"/>
      <c r="O58" s="212"/>
      <c r="P58" s="226"/>
      <c r="Q58" s="227"/>
      <c r="R58" s="212"/>
      <c r="S58" s="212"/>
      <c r="T58" s="212"/>
      <c r="U58" s="212"/>
      <c r="V58" s="212"/>
      <c r="W58" s="228"/>
      <c r="X58" s="212"/>
      <c r="Y58" s="628"/>
      <c r="Z58" s="633"/>
      <c r="AA58" s="633"/>
      <c r="AB58" s="637"/>
      <c r="AC58" s="229">
        <f>IF(ISERROR(LOOKUP(AC$16,$L58:$X58,#REF!)),0,(LOOKUP(AC$16,$L58:$X58,#REF!)))</f>
        <v>0</v>
      </c>
      <c r="AD58" s="230">
        <f>IF(ISERROR(LOOKUP(AD$16,$L58:$X58,#REF!)),0,(LOOKUP(AD$16,$L58:$X58,#REF!)))</f>
        <v>0</v>
      </c>
      <c r="AE58" s="230">
        <f>IF(ISERROR(LOOKUP(AE$16,$L58:$X58,#REF!)),0,(LOOKUP(AE$16,$L58:$X58,#REF!)))</f>
        <v>0</v>
      </c>
      <c r="AF58" s="230">
        <f>IF(ISERROR(LOOKUP(AF$16,$L58:$X58,#REF!)),0,(LOOKUP(AF$16,$L58:$X58,#REF!)))</f>
        <v>0</v>
      </c>
      <c r="AG58" s="230">
        <f>IF(ISERROR(LOOKUP(AG$16,$L58:$X58,#REF!)),0,(LOOKUP(AG$16,$L58:$X58,#REF!)))</f>
        <v>0</v>
      </c>
      <c r="AH58" s="230">
        <f>IF(ISERROR(LOOKUP(AH$16,$L58:$X58,#REF!)),0,(LOOKUP(AH$16,$L58:$X58,#REF!)))</f>
        <v>0</v>
      </c>
      <c r="AI58" s="230">
        <f>IF(ISERROR(LOOKUP(AI$16,$L58:$X58,#REF!)),0,(LOOKUP(AI$16,$L58:$X58,#REF!)))</f>
        <v>0</v>
      </c>
      <c r="AJ58" s="230">
        <f>IF(ISERROR(LOOKUP(AJ$16,$L58:$X58,#REF!)),0,(LOOKUP(AJ$16,$L58:$X58,#REF!)))</f>
        <v>0</v>
      </c>
      <c r="AK58" s="230">
        <f>IF(ISERROR(LOOKUP(AK$16,$L58:$X58,#REF!)),0,(LOOKUP(AK$16,$L58:$X58,#REF!)))</f>
        <v>0</v>
      </c>
      <c r="AL58" s="230">
        <f>IF(ISERROR(LOOKUP(AL$16,$L58:$X58,#REF!)),0,(LOOKUP(AL$16,$L58:$X58,#REF!)))</f>
        <v>0</v>
      </c>
      <c r="AM58" s="230">
        <f ca="1">IF(ISERROR(LOOKUP(AM$16,$L58:$X58,#REF!)),0,(LOOKUP(AM$16,$L58:$X58,#REF!)))</f>
        <v>0</v>
      </c>
      <c r="AO58" s="166">
        <f t="shared" si="62"/>
        <v>0</v>
      </c>
      <c r="AP58" s="212"/>
      <c r="AQ58" s="212"/>
      <c r="AR58" s="212"/>
      <c r="AS58" s="638"/>
      <c r="AW58" s="223" t="e">
        <v>#REF!</v>
      </c>
    </row>
    <row r="59" spans="1:49" s="166" customFormat="1" ht="18" customHeight="1">
      <c r="A59" s="596">
        <f t="shared" ref="A59" si="81">A56+1</f>
        <v>15</v>
      </c>
      <c r="B59" s="598"/>
      <c r="C59" s="601" t="s">
        <v>4751</v>
      </c>
      <c r="D59" s="601" t="s">
        <v>119</v>
      </c>
      <c r="E59" s="213"/>
      <c r="F59" s="610" t="s">
        <v>59</v>
      </c>
      <c r="G59" s="601" t="s">
        <v>71</v>
      </c>
      <c r="H59" s="606"/>
      <c r="I59" s="212" t="s">
        <v>6</v>
      </c>
      <c r="J59" s="214" t="s">
        <v>61</v>
      </c>
      <c r="K59" s="215">
        <f>WORKDAY(L59,-INDEX(L$12:L$15,MATCH($I59,$I$12:$I$15,0)))</f>
        <v>46220</v>
      </c>
      <c r="L59" s="215">
        <f>WORKDAY(M59,-INDEX(M$12:M$15,MATCH($I59,$I$12:$I$15,0)))</f>
        <v>46223</v>
      </c>
      <c r="M59" s="215">
        <f>WORKDAY(N59,-INDEX(N$12:N$15,MATCH($I59,$I$12:$I$15,0)))</f>
        <v>46230</v>
      </c>
      <c r="N59" s="215">
        <f>WORKDAY(O59,-INDEX(O$12:O$15,MATCH($I59,$I$12:$I$15,0)))</f>
        <v>46231</v>
      </c>
      <c r="O59" s="215">
        <f>WORKDAY(R59,-INDEX(R$12:R$15,MATCH($I59,$I$12:$I$15,0)))</f>
        <v>46238</v>
      </c>
      <c r="P59" s="216">
        <f>U59-L59</f>
        <v>74</v>
      </c>
      <c r="Q59" s="217"/>
      <c r="R59" s="215">
        <f>WORKDAY(S59,-INDEX(S$12:S$15,MATCH($I59,$I$12:$I$15,0)))</f>
        <v>46252</v>
      </c>
      <c r="S59" s="215">
        <f>WORKDAY(T59,-INDEX(T$12:T$15,MATCH($I59,$I$12:$I$15,0)))</f>
        <v>46280</v>
      </c>
      <c r="T59" s="215">
        <f>WORKDAY(U59,-INDEX(U$12:U$15,MATCH($I59,$I$12:$I$15,0)))</f>
        <v>46283</v>
      </c>
      <c r="U59" s="215">
        <f>X59-Y59</f>
        <v>46297</v>
      </c>
      <c r="V59" s="215">
        <f>WORKDAY(U59,INDEX(V$12:V$15,MATCH($I59,$I$12:$I$15,0)))</f>
        <v>46301</v>
      </c>
      <c r="W59" s="218">
        <f>Y59/7</f>
        <v>32</v>
      </c>
      <c r="X59" s="215">
        <f>Z59</f>
        <v>46521</v>
      </c>
      <c r="Y59" s="628">
        <f>32*7</f>
        <v>224</v>
      </c>
      <c r="Z59" s="633">
        <v>46521</v>
      </c>
      <c r="AA59" s="633">
        <v>46521</v>
      </c>
      <c r="AB59" s="637">
        <f t="shared" ref="AB59" si="82">Z59-X60</f>
        <v>0</v>
      </c>
      <c r="AC59" s="220">
        <f>IF(ISERROR(LOOKUP(AC$16,$L59:$X59,#REF!)),0,(LOOKUP(AC$16,$L59:$X59,#REF!)))</f>
        <v>0</v>
      </c>
      <c r="AD59" s="221">
        <f>IF(ISERROR(LOOKUP(AD$16,$L59:$X59,#REF!)),0,(LOOKUP(AD$16,$L59:$X59,#REF!)))</f>
        <v>0</v>
      </c>
      <c r="AE59" s="221">
        <f>IF(ISERROR(LOOKUP(AE$16,$L59:$X59,#REF!)),0,(LOOKUP(AE$16,$L59:$X59,#REF!)))</f>
        <v>0</v>
      </c>
      <c r="AF59" s="221">
        <f>IF(ISERROR(LOOKUP(AF$16,$L59:$X59,#REF!)),0,(LOOKUP(AF$16,$L59:$X59,#REF!)))</f>
        <v>0</v>
      </c>
      <c r="AG59" s="221">
        <f>IF(ISERROR(LOOKUP(AG$16,$L59:$X59,#REF!)),0,(LOOKUP(AG$16,$L59:$X59,#REF!)))</f>
        <v>0</v>
      </c>
      <c r="AH59" s="221">
        <f>IF(ISERROR(LOOKUP(AH$16,$L59:$X59,#REF!)),0,(LOOKUP(AH$16,$L59:$X59,#REF!)))</f>
        <v>0</v>
      </c>
      <c r="AI59" s="221">
        <f>IF(ISERROR(LOOKUP(AI$16,$L59:$X59,#REF!)),0,(LOOKUP(AI$16,$L59:$X59,#REF!)))</f>
        <v>0</v>
      </c>
      <c r="AJ59" s="221">
        <f>IF(ISERROR(LOOKUP(AJ$16,$L59:$X59,#REF!)),0,(LOOKUP(AJ$16,$L59:$X59,#REF!)))</f>
        <v>0</v>
      </c>
      <c r="AK59" s="221">
        <f>IF(ISERROR(LOOKUP(AK$16,$L59:$X59,#REF!)),0,(LOOKUP(AK$16,$L59:$X59,#REF!)))</f>
        <v>0</v>
      </c>
      <c r="AL59" s="221">
        <f>IF(ISERROR(LOOKUP(AL$16,$L59:$X59,#REF!)),0,(LOOKUP(AL$16,$L59:$X59,#REF!)))</f>
        <v>0</v>
      </c>
      <c r="AM59" s="221">
        <f ca="1">IF(ISERROR(LOOKUP(AM$16,$L59:$X59,#REF!)),0,(LOOKUP(AM$16,$L59:$X59,#REF!)))</f>
        <v>0</v>
      </c>
      <c r="AO59" s="166">
        <f t="shared" si="62"/>
        <v>14</v>
      </c>
      <c r="AP59" s="215" t="e">
        <f>WORKDAY(AQ59,-INDEX(AQ$12:AQ$15,MATCH($I59,$I$12:$I$15,0)),$AW$17:$AW$148)</f>
        <v>#REF!</v>
      </c>
      <c r="AQ59" s="215" t="e">
        <f>WORKDAY(U59,-INDEX(U$12:U$15,MATCH($I59,$I$12:$I$15,0)),$AW$17:$AW$148)</f>
        <v>#REF!</v>
      </c>
      <c r="AR59" s="215" t="e">
        <f>WORKDAY(U59,-INDEX(U$12:U$15,MATCH($I59,$I$12:$I$15,0)),$AW$17:$AW$148)</f>
        <v>#REF!</v>
      </c>
      <c r="AS59" s="638">
        <v>14</v>
      </c>
      <c r="AW59" s="223" t="e">
        <v>#REF!</v>
      </c>
    </row>
    <row r="60" spans="1:49" s="166" customFormat="1" ht="18" customHeight="1">
      <c r="A60" s="596"/>
      <c r="B60" s="599"/>
      <c r="C60" s="601" t="str">
        <f t="shared" ref="C60" si="83">C59</f>
        <v>RFQ-015</v>
      </c>
      <c r="D60" s="601" t="str">
        <f t="shared" ref="D60" si="84">D59</f>
        <v>Diesel Transfer Pump</v>
      </c>
      <c r="E60" s="224"/>
      <c r="F60" s="611"/>
      <c r="G60" s="601" t="str">
        <f>G59</f>
        <v>N</v>
      </c>
      <c r="H60" s="607"/>
      <c r="I60" s="212" t="str">
        <f>I59</f>
        <v>LA</v>
      </c>
      <c r="J60" s="214" t="s">
        <v>65</v>
      </c>
      <c r="K60" s="215">
        <f>K59</f>
        <v>46220</v>
      </c>
      <c r="L60" s="215">
        <f>WORKDAY(IF(K61="",K60,K61),INDEX(L$12:L$15,MATCH($I59,$I$12:$I$15,0)))</f>
        <v>46223</v>
      </c>
      <c r="M60" s="215">
        <f>WORKDAY(IF(L61="",L60,L61),INDEX(M$12:M$15,MATCH($I59,$I$12:$I$15,0)))</f>
        <v>46230</v>
      </c>
      <c r="N60" s="215">
        <f>WORKDAY(IF(M61="",M60,M61),INDEX(N$12:N$15,MATCH($I59,$I$12:$I$15,0)))</f>
        <v>46231</v>
      </c>
      <c r="O60" s="215">
        <f>WORKDAY(IF(N61="",N60,N61),INDEX(O$12:O$15,MATCH($I59,$I$12:$I$15,0)))</f>
        <v>46238</v>
      </c>
      <c r="P60" s="216"/>
      <c r="Q60" s="217"/>
      <c r="R60" s="215">
        <f>WORKDAY(IF(O61="",O60,O61),INDEX(R$12:R$15,MATCH($I59,$I$12:$I$15,0)))</f>
        <v>46252</v>
      </c>
      <c r="S60" s="215">
        <f>WORKDAY(IF(R61="",R60,R61),INDEX(S$12:S$15,MATCH($I59,$I$12:$I$15,0)))</f>
        <v>46280</v>
      </c>
      <c r="T60" s="215">
        <f>WORKDAY(IF(S61="",S60,S61),INDEX(T$12:T$15,MATCH($I59,$I$12:$I$15,0)))</f>
        <v>46283</v>
      </c>
      <c r="U60" s="215">
        <f>WORKDAY(IF(T61="",T60,T61),INDEX(U$12:U$15,MATCH($I59,$I$12:$I$15,0)))</f>
        <v>46297</v>
      </c>
      <c r="V60" s="215">
        <f>WORKDAY(IF(U61="",U60,U61),INDEX(V$12:V$15,MATCH($I59,$I$12:$I$15,0)))</f>
        <v>46301</v>
      </c>
      <c r="W60" s="218"/>
      <c r="X60" s="215">
        <f>U60+Y59</f>
        <v>46521</v>
      </c>
      <c r="Y60" s="628"/>
      <c r="Z60" s="633"/>
      <c r="AA60" s="633"/>
      <c r="AB60" s="637"/>
      <c r="AC60" s="220">
        <f>IF(ISERROR(LOOKUP(AC$16,$L60:$X60,#REF!)),0,(LOOKUP(AC$16,$L60:$X60,#REF!)))</f>
        <v>0</v>
      </c>
      <c r="AD60" s="221">
        <f>IF(ISERROR(LOOKUP(AD$16,$L60:$X60,#REF!)),0,(LOOKUP(AD$16,$L60:$X60,#REF!)))</f>
        <v>0</v>
      </c>
      <c r="AE60" s="221">
        <f>IF(ISERROR(LOOKUP(AE$16,$L60:$X60,#REF!)),0,(LOOKUP(AE$16,$L60:$X60,#REF!)))</f>
        <v>0</v>
      </c>
      <c r="AF60" s="221">
        <f>IF(ISERROR(LOOKUP(AF$16,$L60:$X60,#REF!)),0,(LOOKUP(AF$16,$L60:$X60,#REF!)))</f>
        <v>0</v>
      </c>
      <c r="AG60" s="221">
        <f>IF(ISERROR(LOOKUP(AG$16,$L60:$X60,#REF!)),0,(LOOKUP(AG$16,$L60:$X60,#REF!)))</f>
        <v>0</v>
      </c>
      <c r="AH60" s="221">
        <f>IF(ISERROR(LOOKUP(AH$16,$L60:$X60,#REF!)),0,(LOOKUP(AH$16,$L60:$X60,#REF!)))</f>
        <v>0</v>
      </c>
      <c r="AI60" s="221">
        <f>IF(ISERROR(LOOKUP(AI$16,$L60:$X60,#REF!)),0,(LOOKUP(AI$16,$L60:$X60,#REF!)))</f>
        <v>0</v>
      </c>
      <c r="AJ60" s="221">
        <f>IF(ISERROR(LOOKUP(AJ$16,$L60:$X60,#REF!)),0,(LOOKUP(AJ$16,$L60:$X60,#REF!)))</f>
        <v>0</v>
      </c>
      <c r="AK60" s="221">
        <f>IF(ISERROR(LOOKUP(AK$16,$L60:$X60,#REF!)),0,(LOOKUP(AK$16,$L60:$X60,#REF!)))</f>
        <v>0</v>
      </c>
      <c r="AL60" s="221">
        <f>IF(ISERROR(LOOKUP(AL$16,$L60:$X60,#REF!)),0,(LOOKUP(AL$16,$L60:$X60,#REF!)))</f>
        <v>0</v>
      </c>
      <c r="AM60" s="221">
        <f ca="1">IF(ISERROR(LOOKUP(AM$16,$L60:$X60,#REF!)),0,(LOOKUP(AM$16,$L60:$X60,#REF!)))</f>
        <v>0</v>
      </c>
      <c r="AO60" s="166">
        <f t="shared" si="62"/>
        <v>14</v>
      </c>
      <c r="AP60" s="215" t="e">
        <f>WORKDAY(IF(T61="",T60,T61),INDEX(AP$12:AP$15,MATCH($I59,$I$12:$I$15,0)),$AW$17:$AW$148)</f>
        <v>#REF!</v>
      </c>
      <c r="AQ60" s="215" t="e">
        <f>WORKDAY(IF(AP61="",AP60,AP61),INDEX(AQ$12:AQ$15,MATCH($I59,$I$12:$I$15,0)),$AW$17:$AW$148)</f>
        <v>#REF!</v>
      </c>
      <c r="AR60" s="215" t="e">
        <f>WORKDAY(IF(AQ61="",AQ60,AQ61),INDEX(AR$12:AR$15,MATCH($I59,$I$12:$I$15,0)),$AW$17:$AW$148)</f>
        <v>#REF!</v>
      </c>
      <c r="AS60" s="638"/>
      <c r="AW60" s="223" t="e">
        <v>#REF!</v>
      </c>
    </row>
    <row r="61" spans="1:49" s="166" customFormat="1" ht="18" customHeight="1">
      <c r="A61" s="596"/>
      <c r="B61" s="600"/>
      <c r="C61" s="601" t="str">
        <f>C59</f>
        <v>RFQ-015</v>
      </c>
      <c r="D61" s="601" t="str">
        <f t="shared" ref="D61" si="85">D59</f>
        <v>Diesel Transfer Pump</v>
      </c>
      <c r="E61" s="225"/>
      <c r="F61" s="612"/>
      <c r="G61" s="601" t="str">
        <f t="shared" ref="G61" si="86">G59</f>
        <v>N</v>
      </c>
      <c r="H61" s="608"/>
      <c r="I61" s="212" t="str">
        <f>I59</f>
        <v>LA</v>
      </c>
      <c r="J61" s="214" t="s">
        <v>67</v>
      </c>
      <c r="K61" s="212"/>
      <c r="L61" s="212"/>
      <c r="M61" s="212"/>
      <c r="N61" s="212"/>
      <c r="O61" s="212"/>
      <c r="P61" s="226"/>
      <c r="Q61" s="227"/>
      <c r="R61" s="212"/>
      <c r="S61" s="212"/>
      <c r="T61" s="212"/>
      <c r="U61" s="212"/>
      <c r="V61" s="212"/>
      <c r="W61" s="228"/>
      <c r="X61" s="212"/>
      <c r="Y61" s="628"/>
      <c r="Z61" s="633"/>
      <c r="AA61" s="633"/>
      <c r="AB61" s="637"/>
      <c r="AC61" s="229">
        <f>IF(ISERROR(LOOKUP(AC$16,$L61:$X61,#REF!)),0,(LOOKUP(AC$16,$L61:$X61,#REF!)))</f>
        <v>0</v>
      </c>
      <c r="AD61" s="230">
        <f>IF(ISERROR(LOOKUP(AD$16,$L61:$X61,#REF!)),0,(LOOKUP(AD$16,$L61:$X61,#REF!)))</f>
        <v>0</v>
      </c>
      <c r="AE61" s="230">
        <f>IF(ISERROR(LOOKUP(AE$16,$L61:$X61,#REF!)),0,(LOOKUP(AE$16,$L61:$X61,#REF!)))</f>
        <v>0</v>
      </c>
      <c r="AF61" s="230">
        <f>IF(ISERROR(LOOKUP(AF$16,$L61:$X61,#REF!)),0,(LOOKUP(AF$16,$L61:$X61,#REF!)))</f>
        <v>0</v>
      </c>
      <c r="AG61" s="230">
        <f>IF(ISERROR(LOOKUP(AG$16,$L61:$X61,#REF!)),0,(LOOKUP(AG$16,$L61:$X61,#REF!)))</f>
        <v>0</v>
      </c>
      <c r="AH61" s="230">
        <f>IF(ISERROR(LOOKUP(AH$16,$L61:$X61,#REF!)),0,(LOOKUP(AH$16,$L61:$X61,#REF!)))</f>
        <v>0</v>
      </c>
      <c r="AI61" s="230">
        <f>IF(ISERROR(LOOKUP(AI$16,$L61:$X61,#REF!)),0,(LOOKUP(AI$16,$L61:$X61,#REF!)))</f>
        <v>0</v>
      </c>
      <c r="AJ61" s="230">
        <f>IF(ISERROR(LOOKUP(AJ$16,$L61:$X61,#REF!)),0,(LOOKUP(AJ$16,$L61:$X61,#REF!)))</f>
        <v>0</v>
      </c>
      <c r="AK61" s="230">
        <f>IF(ISERROR(LOOKUP(AK$16,$L61:$X61,#REF!)),0,(LOOKUP(AK$16,$L61:$X61,#REF!)))</f>
        <v>0</v>
      </c>
      <c r="AL61" s="230">
        <f>IF(ISERROR(LOOKUP(AL$16,$L61:$X61,#REF!)),0,(LOOKUP(AL$16,$L61:$X61,#REF!)))</f>
        <v>0</v>
      </c>
      <c r="AM61" s="230">
        <f ca="1">IF(ISERROR(LOOKUP(AM$16,$L61:$X61,#REF!)),0,(LOOKUP(AM$16,$L61:$X61,#REF!)))</f>
        <v>0</v>
      </c>
      <c r="AO61" s="166">
        <f t="shared" si="62"/>
        <v>0</v>
      </c>
      <c r="AP61" s="212"/>
      <c r="AQ61" s="212"/>
      <c r="AR61" s="212"/>
      <c r="AS61" s="638"/>
      <c r="AW61" s="223" t="e">
        <v>#REF!</v>
      </c>
    </row>
    <row r="62" spans="1:49" s="166" customFormat="1" ht="18" customHeight="1">
      <c r="A62" s="596">
        <f t="shared" ref="A62" si="87">A59+1</f>
        <v>16</v>
      </c>
      <c r="B62" s="598"/>
      <c r="C62" s="601" t="s">
        <v>4752</v>
      </c>
      <c r="D62" s="601" t="s">
        <v>122</v>
      </c>
      <c r="E62" s="213"/>
      <c r="F62" s="610" t="s">
        <v>59</v>
      </c>
      <c r="G62" s="601" t="s">
        <v>71</v>
      </c>
      <c r="H62" s="606"/>
      <c r="I62" s="212" t="s">
        <v>6</v>
      </c>
      <c r="J62" s="214" t="s">
        <v>61</v>
      </c>
      <c r="K62" s="215">
        <f>WORKDAY(L62,-INDEX(L$12:L$15,MATCH($I62,$I$12:$I$15,0)))</f>
        <v>46176</v>
      </c>
      <c r="L62" s="215">
        <f>WORKDAY(M62,-INDEX(M$12:M$15,MATCH($I62,$I$12:$I$15,0)))</f>
        <v>46177</v>
      </c>
      <c r="M62" s="215">
        <f>WORKDAY(N62,-INDEX(N$12:N$15,MATCH($I62,$I$12:$I$15,0)))</f>
        <v>46184</v>
      </c>
      <c r="N62" s="215">
        <f>WORKDAY(O62,-INDEX(O$12:O$15,MATCH($I62,$I$12:$I$15,0)))</f>
        <v>46185</v>
      </c>
      <c r="O62" s="215">
        <f>WORKDAY(R62,-INDEX(R$12:R$15,MATCH($I62,$I$12:$I$15,0)))</f>
        <v>46192</v>
      </c>
      <c r="P62" s="216">
        <f>U62-L62</f>
        <v>76</v>
      </c>
      <c r="Q62" s="217"/>
      <c r="R62" s="215">
        <f>WORKDAY(S62,-INDEX(S$12:S$15,MATCH($I62,$I$12:$I$15,0)))</f>
        <v>46206</v>
      </c>
      <c r="S62" s="215">
        <f>WORKDAY(T62,-INDEX(T$12:T$15,MATCH($I62,$I$12:$I$15,0)))</f>
        <v>46234</v>
      </c>
      <c r="T62" s="215">
        <f>WORKDAY(U62,-INDEX(U$12:U$15,MATCH($I62,$I$12:$I$15,0)))</f>
        <v>46239</v>
      </c>
      <c r="U62" s="215">
        <f>X62-Y62</f>
        <v>46253</v>
      </c>
      <c r="V62" s="215">
        <f>WORKDAY(U62,INDEX(V$12:V$15,MATCH($I62,$I$12:$I$15,0)))</f>
        <v>46255</v>
      </c>
      <c r="W62" s="218">
        <f>Y62/7</f>
        <v>32</v>
      </c>
      <c r="X62" s="215">
        <f>Z62</f>
        <v>46477</v>
      </c>
      <c r="Y62" s="628">
        <f>32*7</f>
        <v>224</v>
      </c>
      <c r="Z62" s="633">
        <v>46477</v>
      </c>
      <c r="AA62" s="633">
        <v>46477</v>
      </c>
      <c r="AB62" s="637">
        <f t="shared" ref="AB62" si="88">Z62-X63</f>
        <v>0</v>
      </c>
      <c r="AC62" s="220">
        <f>IF(ISERROR(LOOKUP(AC$16,$L62:$X62,#REF!)),0,(LOOKUP(AC$16,$L62:$X62,#REF!)))</f>
        <v>0</v>
      </c>
      <c r="AD62" s="221">
        <f>IF(ISERROR(LOOKUP(AD$16,$L62:$X62,#REF!)),0,(LOOKUP(AD$16,$L62:$X62,#REF!)))</f>
        <v>0</v>
      </c>
      <c r="AE62" s="221">
        <f>IF(ISERROR(LOOKUP(AE$16,$L62:$X62,#REF!)),0,(LOOKUP(AE$16,$L62:$X62,#REF!)))</f>
        <v>0</v>
      </c>
      <c r="AF62" s="221">
        <f>IF(ISERROR(LOOKUP(AF$16,$L62:$X62,#REF!)),0,(LOOKUP(AF$16,$L62:$X62,#REF!)))</f>
        <v>0</v>
      </c>
      <c r="AG62" s="221">
        <f>IF(ISERROR(LOOKUP(AG$16,$L62:$X62,#REF!)),0,(LOOKUP(AG$16,$L62:$X62,#REF!)))</f>
        <v>0</v>
      </c>
      <c r="AH62" s="221">
        <f>IF(ISERROR(LOOKUP(AH$16,$L62:$X62,#REF!)),0,(LOOKUP(AH$16,$L62:$X62,#REF!)))</f>
        <v>0</v>
      </c>
      <c r="AI62" s="221">
        <f>IF(ISERROR(LOOKUP(AI$16,$L62:$X62,#REF!)),0,(LOOKUP(AI$16,$L62:$X62,#REF!)))</f>
        <v>0</v>
      </c>
      <c r="AJ62" s="221">
        <f>IF(ISERROR(LOOKUP(AJ$16,$L62:$X62,#REF!)),0,(LOOKUP(AJ$16,$L62:$X62,#REF!)))</f>
        <v>0</v>
      </c>
      <c r="AK62" s="221">
        <f>IF(ISERROR(LOOKUP(AK$16,$L62:$X62,#REF!)),0,(LOOKUP(AK$16,$L62:$X62,#REF!)))</f>
        <v>0</v>
      </c>
      <c r="AL62" s="221">
        <f>IF(ISERROR(LOOKUP(AL$16,$L62:$X62,#REF!)),0,(LOOKUP(AL$16,$L62:$X62,#REF!)))</f>
        <v>0</v>
      </c>
      <c r="AM62" s="221">
        <f ca="1">IF(ISERROR(LOOKUP(AM$16,$L62:$X62,#REF!)),0,(LOOKUP(AM$16,$L62:$X62,#REF!)))</f>
        <v>0</v>
      </c>
      <c r="AO62" s="166">
        <f t="shared" si="62"/>
        <v>14</v>
      </c>
      <c r="AP62" s="215" t="e">
        <f>WORKDAY(AQ62,-INDEX(AQ$12:AQ$15,MATCH($I62,$I$12:$I$15,0)),$AW$17:$AW$148)</f>
        <v>#REF!</v>
      </c>
      <c r="AQ62" s="215" t="e">
        <f>WORKDAY(U62,-INDEX(U$12:U$15,MATCH($I62,$I$12:$I$15,0)),$AW$17:$AW$148)</f>
        <v>#REF!</v>
      </c>
      <c r="AR62" s="215" t="e">
        <f>WORKDAY(U62,-INDEX(U$12:U$15,MATCH($I62,$I$12:$I$15,0)),$AW$17:$AW$148)</f>
        <v>#REF!</v>
      </c>
      <c r="AS62" s="638">
        <v>14</v>
      </c>
      <c r="AW62" s="223" t="e">
        <v>#REF!</v>
      </c>
    </row>
    <row r="63" spans="1:49" s="166" customFormat="1" ht="18" customHeight="1">
      <c r="A63" s="596"/>
      <c r="B63" s="599"/>
      <c r="C63" s="601" t="str">
        <f t="shared" ref="C63" si="89">C62</f>
        <v>RFQ-016</v>
      </c>
      <c r="D63" s="601" t="str">
        <f t="shared" ref="D63:I63" si="90">D62</f>
        <v>Open Drain Caisson Pump</v>
      </c>
      <c r="E63" s="224"/>
      <c r="F63" s="611"/>
      <c r="G63" s="601" t="str">
        <f>G62</f>
        <v>N</v>
      </c>
      <c r="H63" s="607"/>
      <c r="I63" s="212" t="str">
        <f t="shared" si="90"/>
        <v>LA</v>
      </c>
      <c r="J63" s="214" t="s">
        <v>65</v>
      </c>
      <c r="K63" s="215">
        <f>K62</f>
        <v>46176</v>
      </c>
      <c r="L63" s="215">
        <f>WORKDAY(IF(K64="",K63,K64),INDEX(L$12:L$15,MATCH($I62,$I$12:$I$15,0)))</f>
        <v>46177</v>
      </c>
      <c r="M63" s="215">
        <f>WORKDAY(IF(L64="",L63,L64),INDEX(M$12:M$15,MATCH($I62,$I$12:$I$15,0)))</f>
        <v>46184</v>
      </c>
      <c r="N63" s="215">
        <f>WORKDAY(IF(M64="",M63,M64),INDEX(N$12:N$15,MATCH($I62,$I$12:$I$15,0)))</f>
        <v>46185</v>
      </c>
      <c r="O63" s="215">
        <f>WORKDAY(IF(N64="",N63,N64),INDEX(O$12:O$15,MATCH($I62,$I$12:$I$15,0)))</f>
        <v>46192</v>
      </c>
      <c r="P63" s="216"/>
      <c r="Q63" s="217"/>
      <c r="R63" s="215">
        <f>WORKDAY(IF(O64="",O63,O64),INDEX(R$12:R$15,MATCH($I62,$I$12:$I$15,0)))</f>
        <v>46206</v>
      </c>
      <c r="S63" s="215">
        <f>WORKDAY(IF(R64="",R63,R64),INDEX(S$12:S$15,MATCH($I62,$I$12:$I$15,0)))</f>
        <v>46234</v>
      </c>
      <c r="T63" s="215">
        <f>WORKDAY(IF(S64="",S63,S64),INDEX(T$12:T$15,MATCH($I62,$I$12:$I$15,0)))</f>
        <v>46239</v>
      </c>
      <c r="U63" s="215">
        <f>WORKDAY(IF(T64="",T63,T64),INDEX(U$12:U$15,MATCH($I62,$I$12:$I$15,0)))</f>
        <v>46253</v>
      </c>
      <c r="V63" s="215">
        <f>WORKDAY(IF(U64="",U63,U64),INDEX(V$12:V$15,MATCH($I62,$I$12:$I$15,0)))</f>
        <v>46255</v>
      </c>
      <c r="W63" s="218"/>
      <c r="X63" s="215">
        <f>U63+Y62</f>
        <v>46477</v>
      </c>
      <c r="Y63" s="628"/>
      <c r="Z63" s="633"/>
      <c r="AA63" s="633"/>
      <c r="AB63" s="637"/>
      <c r="AC63" s="220">
        <f>IF(ISERROR(LOOKUP(AC$16,$L63:$X63,#REF!)),0,(LOOKUP(AC$16,$L63:$X63,#REF!)))</f>
        <v>0</v>
      </c>
      <c r="AD63" s="221">
        <f>IF(ISERROR(LOOKUP(AD$16,$L63:$X63,#REF!)),0,(LOOKUP(AD$16,$L63:$X63,#REF!)))</f>
        <v>0</v>
      </c>
      <c r="AE63" s="221">
        <f>IF(ISERROR(LOOKUP(AE$16,$L63:$X63,#REF!)),0,(LOOKUP(AE$16,$L63:$X63,#REF!)))</f>
        <v>0</v>
      </c>
      <c r="AF63" s="221">
        <f>IF(ISERROR(LOOKUP(AF$16,$L63:$X63,#REF!)),0,(LOOKUP(AF$16,$L63:$X63,#REF!)))</f>
        <v>0</v>
      </c>
      <c r="AG63" s="221">
        <f>IF(ISERROR(LOOKUP(AG$16,$L63:$X63,#REF!)),0,(LOOKUP(AG$16,$L63:$X63,#REF!)))</f>
        <v>0</v>
      </c>
      <c r="AH63" s="221">
        <f>IF(ISERROR(LOOKUP(AH$16,$L63:$X63,#REF!)),0,(LOOKUP(AH$16,$L63:$X63,#REF!)))</f>
        <v>0</v>
      </c>
      <c r="AI63" s="221">
        <f>IF(ISERROR(LOOKUP(AI$16,$L63:$X63,#REF!)),0,(LOOKUP(AI$16,$L63:$X63,#REF!)))</f>
        <v>0</v>
      </c>
      <c r="AJ63" s="221">
        <f>IF(ISERROR(LOOKUP(AJ$16,$L63:$X63,#REF!)),0,(LOOKUP(AJ$16,$L63:$X63,#REF!)))</f>
        <v>0</v>
      </c>
      <c r="AK63" s="221">
        <f>IF(ISERROR(LOOKUP(AK$16,$L63:$X63,#REF!)),0,(LOOKUP(AK$16,$L63:$X63,#REF!)))</f>
        <v>0</v>
      </c>
      <c r="AL63" s="221">
        <f>IF(ISERROR(LOOKUP(AL$16,$L63:$X63,#REF!)),0,(LOOKUP(AL$16,$L63:$X63,#REF!)))</f>
        <v>0</v>
      </c>
      <c r="AM63" s="221">
        <f ca="1">IF(ISERROR(LOOKUP(AM$16,$L63:$X63,#REF!)),0,(LOOKUP(AM$16,$L63:$X63,#REF!)))</f>
        <v>0</v>
      </c>
      <c r="AO63" s="166">
        <f t="shared" si="62"/>
        <v>14</v>
      </c>
      <c r="AP63" s="215" t="e">
        <f>WORKDAY(IF(T64="",T63,T64),INDEX(AP$12:AP$15,MATCH($I62,$I$12:$I$15,0)),$AW$17:$AW$148)</f>
        <v>#REF!</v>
      </c>
      <c r="AQ63" s="215" t="e">
        <f>WORKDAY(IF(AP64="",AP63,AP64),INDEX(AQ$12:AQ$15,MATCH($I62,$I$12:$I$15,0)),$AW$17:$AW$148)</f>
        <v>#REF!</v>
      </c>
      <c r="AR63" s="215" t="e">
        <f>WORKDAY(IF(AQ64="",AQ63,AQ64),INDEX(AR$12:AR$15,MATCH($I62,$I$12:$I$15,0)),$AW$17:$AW$148)</f>
        <v>#REF!</v>
      </c>
      <c r="AS63" s="638"/>
      <c r="AW63" s="223" t="e">
        <v>#REF!</v>
      </c>
    </row>
    <row r="64" spans="1:49" s="166" customFormat="1" ht="18" customHeight="1">
      <c r="A64" s="596"/>
      <c r="B64" s="600"/>
      <c r="C64" s="601" t="str">
        <f>C62</f>
        <v>RFQ-016</v>
      </c>
      <c r="D64" s="601" t="str">
        <f t="shared" ref="D64:I64" si="91">D62</f>
        <v>Open Drain Caisson Pump</v>
      </c>
      <c r="E64" s="225"/>
      <c r="F64" s="612"/>
      <c r="G64" s="601" t="str">
        <f t="shared" ref="G64" si="92">G62</f>
        <v>N</v>
      </c>
      <c r="H64" s="608"/>
      <c r="I64" s="212" t="str">
        <f t="shared" si="91"/>
        <v>LA</v>
      </c>
      <c r="J64" s="214" t="s">
        <v>67</v>
      </c>
      <c r="K64" s="212"/>
      <c r="L64" s="212"/>
      <c r="M64" s="212"/>
      <c r="N64" s="212"/>
      <c r="O64" s="212"/>
      <c r="P64" s="226"/>
      <c r="Q64" s="227"/>
      <c r="R64" s="212"/>
      <c r="S64" s="212"/>
      <c r="T64" s="212"/>
      <c r="U64" s="212"/>
      <c r="V64" s="212"/>
      <c r="W64" s="228"/>
      <c r="X64" s="212"/>
      <c r="Y64" s="628"/>
      <c r="Z64" s="633"/>
      <c r="AA64" s="633"/>
      <c r="AB64" s="637"/>
      <c r="AC64" s="229">
        <f>IF(ISERROR(LOOKUP(AC$16,$L64:$X64,#REF!)),0,(LOOKUP(AC$16,$L64:$X64,#REF!)))</f>
        <v>0</v>
      </c>
      <c r="AD64" s="230">
        <f>IF(ISERROR(LOOKUP(AD$16,$L64:$X64,#REF!)),0,(LOOKUP(AD$16,$L64:$X64,#REF!)))</f>
        <v>0</v>
      </c>
      <c r="AE64" s="230">
        <f>IF(ISERROR(LOOKUP(AE$16,$L64:$X64,#REF!)),0,(LOOKUP(AE$16,$L64:$X64,#REF!)))</f>
        <v>0</v>
      </c>
      <c r="AF64" s="230">
        <f>IF(ISERROR(LOOKUP(AF$16,$L64:$X64,#REF!)),0,(LOOKUP(AF$16,$L64:$X64,#REF!)))</f>
        <v>0</v>
      </c>
      <c r="AG64" s="230">
        <f>IF(ISERROR(LOOKUP(AG$16,$L64:$X64,#REF!)),0,(LOOKUP(AG$16,$L64:$X64,#REF!)))</f>
        <v>0</v>
      </c>
      <c r="AH64" s="230">
        <f>IF(ISERROR(LOOKUP(AH$16,$L64:$X64,#REF!)),0,(LOOKUP(AH$16,$L64:$X64,#REF!)))</f>
        <v>0</v>
      </c>
      <c r="AI64" s="230">
        <f>IF(ISERROR(LOOKUP(AI$16,$L64:$X64,#REF!)),0,(LOOKUP(AI$16,$L64:$X64,#REF!)))</f>
        <v>0</v>
      </c>
      <c r="AJ64" s="230">
        <f>IF(ISERROR(LOOKUP(AJ$16,$L64:$X64,#REF!)),0,(LOOKUP(AJ$16,$L64:$X64,#REF!)))</f>
        <v>0</v>
      </c>
      <c r="AK64" s="230">
        <f>IF(ISERROR(LOOKUP(AK$16,$L64:$X64,#REF!)),0,(LOOKUP(AK$16,$L64:$X64,#REF!)))</f>
        <v>0</v>
      </c>
      <c r="AL64" s="230">
        <f>IF(ISERROR(LOOKUP(AL$16,$L64:$X64,#REF!)),0,(LOOKUP(AL$16,$L64:$X64,#REF!)))</f>
        <v>0</v>
      </c>
      <c r="AM64" s="230">
        <f ca="1">IF(ISERROR(LOOKUP(AM$16,$L64:$X64,#REF!)),0,(LOOKUP(AM$16,$L64:$X64,#REF!)))</f>
        <v>0</v>
      </c>
      <c r="AO64" s="166">
        <f t="shared" si="62"/>
        <v>0</v>
      </c>
      <c r="AP64" s="212"/>
      <c r="AQ64" s="212"/>
      <c r="AR64" s="212"/>
      <c r="AS64" s="638"/>
      <c r="AW64" s="223" t="e">
        <v>#REF!</v>
      </c>
    </row>
    <row r="65" spans="1:49" s="166" customFormat="1" ht="20.25" customHeight="1">
      <c r="A65" s="596">
        <f t="shared" ref="A65" si="93">A62+1</f>
        <v>17</v>
      </c>
      <c r="B65" s="598"/>
      <c r="C65" s="601" t="s">
        <v>4753</v>
      </c>
      <c r="D65" s="601" t="s">
        <v>4754</v>
      </c>
      <c r="E65" s="213"/>
      <c r="F65" s="610" t="s">
        <v>126</v>
      </c>
      <c r="G65" s="601" t="s">
        <v>71</v>
      </c>
      <c r="H65" s="606"/>
      <c r="I65" s="212" t="s">
        <v>7</v>
      </c>
      <c r="J65" s="214" t="s">
        <v>61</v>
      </c>
      <c r="K65" s="215">
        <f>WORKDAY(L65,-INDEX(L$12:L$15,MATCH($I65,$I$12:$I$15,0)))</f>
        <v>46190</v>
      </c>
      <c r="L65" s="215">
        <f>WORKDAY(M65,-INDEX(M$12:M$15,MATCH($I65,$I$12:$I$15,0)))</f>
        <v>46191</v>
      </c>
      <c r="M65" s="215">
        <f>WORKDAY(N65,-INDEX(N$12:N$15,MATCH($I65,$I$12:$I$15,0)))</f>
        <v>46198</v>
      </c>
      <c r="N65" s="215">
        <f>WORKDAY(O65,-INDEX(O$12:O$15,MATCH($I65,$I$12:$I$15,0)))</f>
        <v>46199</v>
      </c>
      <c r="O65" s="215">
        <f>WORKDAY(R65,-INDEX(R$12:R$15,MATCH($I65,$I$12:$I$15,0)))</f>
        <v>46206</v>
      </c>
      <c r="P65" s="216">
        <f>U65-L65</f>
        <v>76</v>
      </c>
      <c r="Q65" s="217"/>
      <c r="R65" s="215">
        <f>WORKDAY(S65,-INDEX(S$12:S$15,MATCH($I65,$I$12:$I$15,0)))</f>
        <v>46220</v>
      </c>
      <c r="S65" s="215">
        <f>WORKDAY(T65,-INDEX(T$12:T$15,MATCH($I65,$I$12:$I$15,0)))</f>
        <v>46248</v>
      </c>
      <c r="T65" s="215">
        <f>WORKDAY(U65,-INDEX(U$12:U$15,MATCH($I65,$I$12:$I$15,0)))</f>
        <v>46253</v>
      </c>
      <c r="U65" s="215">
        <f>X65-Y65</f>
        <v>46267</v>
      </c>
      <c r="V65" s="215">
        <f>WORKDAY(U65,INDEX(V$12:V$15,MATCH($I65,$I$12:$I$15,0)))</f>
        <v>46269</v>
      </c>
      <c r="W65" s="218">
        <f>Y65/7</f>
        <v>34</v>
      </c>
      <c r="X65" s="215">
        <f>Z65</f>
        <v>46505</v>
      </c>
      <c r="Y65" s="628">
        <f>34*7</f>
        <v>238</v>
      </c>
      <c r="Z65" s="633">
        <v>46505</v>
      </c>
      <c r="AA65" s="633">
        <v>46505</v>
      </c>
      <c r="AB65" s="637">
        <f t="shared" ref="AB65" si="94">Z65-X66</f>
        <v>0</v>
      </c>
      <c r="AC65" s="220">
        <f>IF(ISERROR(LOOKUP(AC$16,$L65:$X65,#REF!)),0,(LOOKUP(AC$16,$L65:$X65,#REF!)))</f>
        <v>0</v>
      </c>
      <c r="AD65" s="221">
        <f>IF(ISERROR(LOOKUP(AD$16,$L65:$X65,#REF!)),0,(LOOKUP(AD$16,$L65:$X65,#REF!)))</f>
        <v>0</v>
      </c>
      <c r="AE65" s="221">
        <f>IF(ISERROR(LOOKUP(AE$16,$L65:$X65,#REF!)),0,(LOOKUP(AE$16,$L65:$X65,#REF!)))</f>
        <v>0</v>
      </c>
      <c r="AF65" s="221">
        <f>IF(ISERROR(LOOKUP(AF$16,$L65:$X65,#REF!)),0,(LOOKUP(AF$16,$L65:$X65,#REF!)))</f>
        <v>0</v>
      </c>
      <c r="AG65" s="221">
        <f>IF(ISERROR(LOOKUP(AG$16,$L65:$X65,#REF!)),0,(LOOKUP(AG$16,$L65:$X65,#REF!)))</f>
        <v>0</v>
      </c>
      <c r="AH65" s="221">
        <f>IF(ISERROR(LOOKUP(AH$16,$L65:$X65,#REF!)),0,(LOOKUP(AH$16,$L65:$X65,#REF!)))</f>
        <v>0</v>
      </c>
      <c r="AI65" s="221">
        <f>IF(ISERROR(LOOKUP(AI$16,$L65:$X65,#REF!)),0,(LOOKUP(AI$16,$L65:$X65,#REF!)))</f>
        <v>0</v>
      </c>
      <c r="AJ65" s="221">
        <f>IF(ISERROR(LOOKUP(AJ$16,$L65:$X65,#REF!)),0,(LOOKUP(AJ$16,$L65:$X65,#REF!)))</f>
        <v>0</v>
      </c>
      <c r="AK65" s="221">
        <f>IF(ISERROR(LOOKUP(AK$16,$L65:$X65,#REF!)),0,(LOOKUP(AK$16,$L65:$X65,#REF!)))</f>
        <v>0</v>
      </c>
      <c r="AL65" s="221">
        <f>IF(ISERROR(LOOKUP(AL$16,$L65:$X65,#REF!)),0,(LOOKUP(AL$16,$L65:$X65,#REF!)))</f>
        <v>0</v>
      </c>
      <c r="AM65" s="221">
        <f ca="1">IF(ISERROR(LOOKUP(AM$16,$L65:$X65,#REF!)),0,(LOOKUP(AM$16,$L65:$X65,#REF!)))</f>
        <v>0</v>
      </c>
      <c r="AO65" s="166">
        <f t="shared" si="62"/>
        <v>14</v>
      </c>
      <c r="AP65" s="215" t="e">
        <f>WORKDAY(AQ65,-INDEX(AQ$12:AQ$15,MATCH($I65,$I$12:$I$15,0)),$AW$17:$AW$148)</f>
        <v>#REF!</v>
      </c>
      <c r="AQ65" s="215" t="e">
        <f>WORKDAY(U65,-INDEX(U$12:U$15,MATCH($I65,$I$12:$I$15,0)),$AW$17:$AW$148)</f>
        <v>#REF!</v>
      </c>
      <c r="AR65" s="215" t="e">
        <f>WORKDAY(U65,-INDEX(U$12:U$15,MATCH($I65,$I$12:$I$15,0)),$AW$17:$AW$148)</f>
        <v>#REF!</v>
      </c>
      <c r="AS65" s="638">
        <v>14</v>
      </c>
      <c r="AW65" s="223" t="e">
        <v>#REF!</v>
      </c>
    </row>
    <row r="66" spans="1:49" s="166" customFormat="1" ht="20.25" customHeight="1">
      <c r="A66" s="596"/>
      <c r="B66" s="599"/>
      <c r="C66" s="601" t="str">
        <f t="shared" ref="C66" si="95">C65</f>
        <v>RFQ-017</v>
      </c>
      <c r="D66" s="601" t="str">
        <f t="shared" ref="D66:I66" si="96">D65</f>
        <v>DC Distribution Board</v>
      </c>
      <c r="E66" s="224"/>
      <c r="F66" s="611"/>
      <c r="G66" s="601" t="str">
        <f>G65</f>
        <v>N</v>
      </c>
      <c r="H66" s="607"/>
      <c r="I66" s="212" t="str">
        <f t="shared" si="96"/>
        <v>LB</v>
      </c>
      <c r="J66" s="214" t="s">
        <v>65</v>
      </c>
      <c r="K66" s="215">
        <f>K65</f>
        <v>46190</v>
      </c>
      <c r="L66" s="215">
        <f>WORKDAY(IF(K67="",K66,K67),INDEX(L$12:L$15,MATCH($I65,$I$12:$I$15,0)))</f>
        <v>46191</v>
      </c>
      <c r="M66" s="215">
        <f>WORKDAY(IF(L67="",L66,L67),INDEX(M$12:M$15,MATCH($I65,$I$12:$I$15,0)))</f>
        <v>46198</v>
      </c>
      <c r="N66" s="215">
        <f>WORKDAY(IF(M67="",M66,M67),INDEX(N$12:N$15,MATCH($I65,$I$12:$I$15,0)))</f>
        <v>46199</v>
      </c>
      <c r="O66" s="215">
        <f>WORKDAY(IF(N67="",N66,N67),INDEX(O$12:O$15,MATCH($I65,$I$12:$I$15,0)))</f>
        <v>46206</v>
      </c>
      <c r="P66" s="216"/>
      <c r="Q66" s="217"/>
      <c r="R66" s="215">
        <f>WORKDAY(IF(O67="",O66,O67),INDEX(R$12:R$15,MATCH($I65,$I$12:$I$15,0)))</f>
        <v>46220</v>
      </c>
      <c r="S66" s="215">
        <f>WORKDAY(IF(R67="",R66,R67),INDEX(S$12:S$15,MATCH($I65,$I$12:$I$15,0)))</f>
        <v>46248</v>
      </c>
      <c r="T66" s="215">
        <f>WORKDAY(IF(S67="",S66,S67),INDEX(T$12:T$15,MATCH($I65,$I$12:$I$15,0)))</f>
        <v>46253</v>
      </c>
      <c r="U66" s="215">
        <f>WORKDAY(IF(T67="",T66,T67),INDEX(U$12:U$15,MATCH($I65,$I$12:$I$15,0)))</f>
        <v>46267</v>
      </c>
      <c r="V66" s="215">
        <f>WORKDAY(IF(U67="",U66,U67),INDEX(V$12:V$15,MATCH($I65,$I$12:$I$15,0)))</f>
        <v>46269</v>
      </c>
      <c r="W66" s="218"/>
      <c r="X66" s="215">
        <f>U66+Y65</f>
        <v>46505</v>
      </c>
      <c r="Y66" s="628"/>
      <c r="Z66" s="633"/>
      <c r="AA66" s="633"/>
      <c r="AB66" s="637"/>
      <c r="AC66" s="220">
        <f>IF(ISERROR(LOOKUP(AC$16,$L66:$X66,#REF!)),0,(LOOKUP(AC$16,$L66:$X66,#REF!)))</f>
        <v>0</v>
      </c>
      <c r="AD66" s="221">
        <f>IF(ISERROR(LOOKUP(AD$16,$L66:$X66,#REF!)),0,(LOOKUP(AD$16,$L66:$X66,#REF!)))</f>
        <v>0</v>
      </c>
      <c r="AE66" s="221">
        <f>IF(ISERROR(LOOKUP(AE$16,$L66:$X66,#REF!)),0,(LOOKUP(AE$16,$L66:$X66,#REF!)))</f>
        <v>0</v>
      </c>
      <c r="AF66" s="221">
        <f>IF(ISERROR(LOOKUP(AF$16,$L66:$X66,#REF!)),0,(LOOKUP(AF$16,$L66:$X66,#REF!)))</f>
        <v>0</v>
      </c>
      <c r="AG66" s="221">
        <f>IF(ISERROR(LOOKUP(AG$16,$L66:$X66,#REF!)),0,(LOOKUP(AG$16,$L66:$X66,#REF!)))</f>
        <v>0</v>
      </c>
      <c r="AH66" s="221">
        <f>IF(ISERROR(LOOKUP(AH$16,$L66:$X66,#REF!)),0,(LOOKUP(AH$16,$L66:$X66,#REF!)))</f>
        <v>0</v>
      </c>
      <c r="AI66" s="221">
        <f>IF(ISERROR(LOOKUP(AI$16,$L66:$X66,#REF!)),0,(LOOKUP(AI$16,$L66:$X66,#REF!)))</f>
        <v>0</v>
      </c>
      <c r="AJ66" s="221">
        <f>IF(ISERROR(LOOKUP(AJ$16,$L66:$X66,#REF!)),0,(LOOKUP(AJ$16,$L66:$X66,#REF!)))</f>
        <v>0</v>
      </c>
      <c r="AK66" s="221">
        <f>IF(ISERROR(LOOKUP(AK$16,$L66:$X66,#REF!)),0,(LOOKUP(AK$16,$L66:$X66,#REF!)))</f>
        <v>0</v>
      </c>
      <c r="AL66" s="221">
        <f>IF(ISERROR(LOOKUP(AL$16,$L66:$X66,#REF!)),0,(LOOKUP(AL$16,$L66:$X66,#REF!)))</f>
        <v>0</v>
      </c>
      <c r="AM66" s="221">
        <f ca="1">IF(ISERROR(LOOKUP(AM$16,$L66:$X66,#REF!)),0,(LOOKUP(AM$16,$L66:$X66,#REF!)))</f>
        <v>0</v>
      </c>
      <c r="AO66" s="166">
        <f t="shared" si="62"/>
        <v>14</v>
      </c>
      <c r="AP66" s="215" t="e">
        <f>WORKDAY(IF(T67="",T66,T67),INDEX(AP$12:AP$15,MATCH($I65,$I$12:$I$15,0)),$AW$17:$AW$148)</f>
        <v>#REF!</v>
      </c>
      <c r="AQ66" s="215" t="e">
        <f>WORKDAY(IF(AP67="",AP66,AP67),INDEX(AQ$12:AQ$15,MATCH($I65,$I$12:$I$15,0)),$AW$17:$AW$148)</f>
        <v>#REF!</v>
      </c>
      <c r="AR66" s="215" t="e">
        <f>WORKDAY(IF(AQ67="",AQ66,AQ67),INDEX(AR$12:AR$15,MATCH($I65,$I$12:$I$15,0)),$AW$17:$AW$148)</f>
        <v>#REF!</v>
      </c>
      <c r="AS66" s="638"/>
      <c r="AW66" s="223" t="e">
        <v>#REF!</v>
      </c>
    </row>
    <row r="67" spans="1:49" s="166" customFormat="1" ht="20.25" customHeight="1">
      <c r="A67" s="596"/>
      <c r="B67" s="600"/>
      <c r="C67" s="601" t="str">
        <f>C65</f>
        <v>RFQ-017</v>
      </c>
      <c r="D67" s="601" t="str">
        <f t="shared" ref="D67:I67" si="97">D65</f>
        <v>DC Distribution Board</v>
      </c>
      <c r="E67" s="225"/>
      <c r="F67" s="612"/>
      <c r="G67" s="601" t="str">
        <f t="shared" ref="G67" si="98">G65</f>
        <v>N</v>
      </c>
      <c r="H67" s="608"/>
      <c r="I67" s="212" t="str">
        <f t="shared" si="97"/>
        <v>LB</v>
      </c>
      <c r="J67" s="214" t="s">
        <v>67</v>
      </c>
      <c r="K67" s="212"/>
      <c r="L67" s="212"/>
      <c r="M67" s="212"/>
      <c r="N67" s="212"/>
      <c r="O67" s="212"/>
      <c r="P67" s="226"/>
      <c r="Q67" s="227"/>
      <c r="R67" s="212"/>
      <c r="S67" s="212"/>
      <c r="T67" s="212"/>
      <c r="U67" s="212"/>
      <c r="V67" s="212"/>
      <c r="W67" s="228"/>
      <c r="X67" s="212"/>
      <c r="Y67" s="628"/>
      <c r="Z67" s="633"/>
      <c r="AA67" s="633"/>
      <c r="AB67" s="637"/>
      <c r="AC67" s="229">
        <f>IF(ISERROR(LOOKUP(AC$16,$L67:$X67,#REF!)),0,(LOOKUP(AC$16,$L67:$X67,#REF!)))</f>
        <v>0</v>
      </c>
      <c r="AD67" s="230">
        <f>IF(ISERROR(LOOKUP(AD$16,$L67:$X67,#REF!)),0,(LOOKUP(AD$16,$L67:$X67,#REF!)))</f>
        <v>0</v>
      </c>
      <c r="AE67" s="230">
        <f>IF(ISERROR(LOOKUP(AE$16,$L67:$X67,#REF!)),0,(LOOKUP(AE$16,$L67:$X67,#REF!)))</f>
        <v>0</v>
      </c>
      <c r="AF67" s="230">
        <f>IF(ISERROR(LOOKUP(AF$16,$L67:$X67,#REF!)),0,(LOOKUP(AF$16,$L67:$X67,#REF!)))</f>
        <v>0</v>
      </c>
      <c r="AG67" s="230">
        <f>IF(ISERROR(LOOKUP(AG$16,$L67:$X67,#REF!)),0,(LOOKUP(AG$16,$L67:$X67,#REF!)))</f>
        <v>0</v>
      </c>
      <c r="AH67" s="230">
        <f>IF(ISERROR(LOOKUP(AH$16,$L67:$X67,#REF!)),0,(LOOKUP(AH$16,$L67:$X67,#REF!)))</f>
        <v>0</v>
      </c>
      <c r="AI67" s="230">
        <f>IF(ISERROR(LOOKUP(AI$16,$L67:$X67,#REF!)),0,(LOOKUP(AI$16,$L67:$X67,#REF!)))</f>
        <v>0</v>
      </c>
      <c r="AJ67" s="230">
        <f>IF(ISERROR(LOOKUP(AJ$16,$L67:$X67,#REF!)),0,(LOOKUP(AJ$16,$L67:$X67,#REF!)))</f>
        <v>0</v>
      </c>
      <c r="AK67" s="230">
        <f>IF(ISERROR(LOOKUP(AK$16,$L67:$X67,#REF!)),0,(LOOKUP(AK$16,$L67:$X67,#REF!)))</f>
        <v>0</v>
      </c>
      <c r="AL67" s="230">
        <f>IF(ISERROR(LOOKUP(AL$16,$L67:$X67,#REF!)),0,(LOOKUP(AL$16,$L67:$X67,#REF!)))</f>
        <v>0</v>
      </c>
      <c r="AM67" s="230">
        <f ca="1">IF(ISERROR(LOOKUP(AM$16,$L67:$X67,#REF!)),0,(LOOKUP(AM$16,$L67:$X67,#REF!)))</f>
        <v>0</v>
      </c>
      <c r="AO67" s="166">
        <f t="shared" si="62"/>
        <v>0</v>
      </c>
      <c r="AP67" s="212"/>
      <c r="AQ67" s="212"/>
      <c r="AR67" s="212"/>
      <c r="AS67" s="638"/>
      <c r="AW67" s="223" t="e">
        <v>#REF!</v>
      </c>
    </row>
    <row r="68" spans="1:49" s="166" customFormat="1" ht="22.5" customHeight="1">
      <c r="A68" s="596">
        <f t="shared" ref="A68" si="99">A65+1</f>
        <v>18</v>
      </c>
      <c r="B68" s="598"/>
      <c r="C68" s="601" t="s">
        <v>4755</v>
      </c>
      <c r="D68" s="601" t="s">
        <v>130</v>
      </c>
      <c r="E68" s="213"/>
      <c r="F68" s="610" t="s">
        <v>126</v>
      </c>
      <c r="G68" s="601" t="str">
        <f>IF(_xlfn.XLOOKUP(C68,'[35]Before Award'!D:D,'[35]Before Award'!AV:AV,"N/A")="N/A","N","Y")</f>
        <v>N</v>
      </c>
      <c r="H68" s="606"/>
      <c r="I68" s="212" t="s">
        <v>6</v>
      </c>
      <c r="J68" s="214" t="s">
        <v>61</v>
      </c>
      <c r="K68" s="215">
        <f>WORKDAY(L68,-INDEX(L$12:L$15,MATCH($I68,$I$12:$I$15,0)))</f>
        <v>46148</v>
      </c>
      <c r="L68" s="215">
        <f>WORKDAY(M68,-INDEX(M$12:M$15,MATCH($I68,$I$12:$I$15,0)))</f>
        <v>46149</v>
      </c>
      <c r="M68" s="215">
        <f>WORKDAY(N68,-INDEX(N$12:N$15,MATCH($I68,$I$12:$I$15,0)))</f>
        <v>46156</v>
      </c>
      <c r="N68" s="215">
        <f>WORKDAY(O68,-INDEX(O$12:O$15,MATCH($I68,$I$12:$I$15,0)))</f>
        <v>46157</v>
      </c>
      <c r="O68" s="215">
        <f>WORKDAY(R68,-INDEX(R$12:R$15,MATCH($I68,$I$12:$I$15,0)))</f>
        <v>46164</v>
      </c>
      <c r="P68" s="216">
        <f>U68-L68</f>
        <v>76</v>
      </c>
      <c r="Q68" s="217"/>
      <c r="R68" s="215">
        <f>WORKDAY(S68,-INDEX(S$12:S$15,MATCH($I68,$I$12:$I$15,0)))</f>
        <v>46178</v>
      </c>
      <c r="S68" s="215">
        <f>WORKDAY(T68,-INDEX(T$12:T$15,MATCH($I68,$I$12:$I$15,0)))</f>
        <v>46206</v>
      </c>
      <c r="T68" s="215">
        <f>WORKDAY(U68,-INDEX(U$12:U$15,MATCH($I68,$I$12:$I$15,0)))</f>
        <v>46211</v>
      </c>
      <c r="U68" s="215">
        <f>X68-Y68</f>
        <v>46225</v>
      </c>
      <c r="V68" s="215">
        <f>WORKDAY(U68,INDEX(V$12:V$15,MATCH($I68,$I$12:$I$15,0)))</f>
        <v>46227</v>
      </c>
      <c r="W68" s="218">
        <f>Y68/7</f>
        <v>36</v>
      </c>
      <c r="X68" s="215">
        <f>Z68</f>
        <v>46477</v>
      </c>
      <c r="Y68" s="628">
        <f>36*7</f>
        <v>252</v>
      </c>
      <c r="Z68" s="633">
        <v>46477</v>
      </c>
      <c r="AA68" s="633">
        <v>46477</v>
      </c>
      <c r="AB68" s="637">
        <f t="shared" ref="AB68" si="100">Z68-X69</f>
        <v>0</v>
      </c>
      <c r="AC68" s="220">
        <f>IF(ISERROR(LOOKUP(AC$16,$L68:$X68,#REF!)),0,(LOOKUP(AC$16,$L68:$X68,#REF!)))</f>
        <v>0</v>
      </c>
      <c r="AD68" s="221">
        <f>IF(ISERROR(LOOKUP(AD$16,$L68:$X68,#REF!)),0,(LOOKUP(AD$16,$L68:$X68,#REF!)))</f>
        <v>0</v>
      </c>
      <c r="AE68" s="221">
        <f>IF(ISERROR(LOOKUP(AE$16,$L68:$X68,#REF!)),0,(LOOKUP(AE$16,$L68:$X68,#REF!)))</f>
        <v>0</v>
      </c>
      <c r="AF68" s="221">
        <f>IF(ISERROR(LOOKUP(AF$16,$L68:$X68,#REF!)),0,(LOOKUP(AF$16,$L68:$X68,#REF!)))</f>
        <v>0</v>
      </c>
      <c r="AG68" s="221">
        <f>IF(ISERROR(LOOKUP(AG$16,$L68:$X68,#REF!)),0,(LOOKUP(AG$16,$L68:$X68,#REF!)))</f>
        <v>0</v>
      </c>
      <c r="AH68" s="221">
        <f>IF(ISERROR(LOOKUP(AH$16,$L68:$X68,#REF!)),0,(LOOKUP(AH$16,$L68:$X68,#REF!)))</f>
        <v>0</v>
      </c>
      <c r="AI68" s="221">
        <f>IF(ISERROR(LOOKUP(AI$16,$L68:$X68,#REF!)),0,(LOOKUP(AI$16,$L68:$X68,#REF!)))</f>
        <v>0</v>
      </c>
      <c r="AJ68" s="221">
        <f>IF(ISERROR(LOOKUP(AJ$16,$L68:$X68,#REF!)),0,(LOOKUP(AJ$16,$L68:$X68,#REF!)))</f>
        <v>0</v>
      </c>
      <c r="AK68" s="221">
        <f>IF(ISERROR(LOOKUP(AK$16,$L68:$X68,#REF!)),0,(LOOKUP(AK$16,$L68:$X68,#REF!)))</f>
        <v>0</v>
      </c>
      <c r="AL68" s="221">
        <f>IF(ISERROR(LOOKUP(AL$16,$L68:$X68,#REF!)),0,(LOOKUP(AL$16,$L68:$X68,#REF!)))</f>
        <v>0</v>
      </c>
      <c r="AM68" s="221">
        <f ca="1">IF(ISERROR(LOOKUP(AM$16,$L68:$X68,#REF!)),0,(LOOKUP(AM$16,$L68:$X68,#REF!)))</f>
        <v>0</v>
      </c>
      <c r="AO68" s="166">
        <f t="shared" si="62"/>
        <v>14</v>
      </c>
      <c r="AP68" s="215" t="e">
        <f>WORKDAY(AQ68,-INDEX(AQ$12:AQ$15,MATCH($I68,$I$12:$I$15,0)),$AW$17:$AW$148)</f>
        <v>#REF!</v>
      </c>
      <c r="AQ68" s="215" t="e">
        <f>WORKDAY(U68,-INDEX(U$12:U$15,MATCH($I68,$I$12:$I$15,0)),$AW$17:$AW$148)</f>
        <v>#REF!</v>
      </c>
      <c r="AR68" s="215" t="e">
        <f>WORKDAY(U68,-INDEX(U$12:U$15,MATCH($I68,$I$12:$I$15,0)),$AW$17:$AW$148)</f>
        <v>#REF!</v>
      </c>
      <c r="AS68" s="638">
        <v>14</v>
      </c>
      <c r="AW68" s="223" t="e">
        <v>#REF!</v>
      </c>
    </row>
    <row r="69" spans="1:49" s="166" customFormat="1" ht="22.5" customHeight="1">
      <c r="A69" s="596"/>
      <c r="B69" s="599"/>
      <c r="C69" s="601" t="str">
        <f t="shared" ref="C69" si="101">C68</f>
        <v>RFQ-018</v>
      </c>
      <c r="D69" s="601" t="str">
        <f t="shared" ref="D69:I69" si="102">D68</f>
        <v>Solar Power System</v>
      </c>
      <c r="E69" s="224"/>
      <c r="F69" s="611"/>
      <c r="G69" s="601" t="str">
        <f>G68</f>
        <v>N</v>
      </c>
      <c r="H69" s="607"/>
      <c r="I69" s="212" t="str">
        <f t="shared" si="102"/>
        <v>LA</v>
      </c>
      <c r="J69" s="214" t="s">
        <v>65</v>
      </c>
      <c r="K69" s="215">
        <f>K68</f>
        <v>46148</v>
      </c>
      <c r="L69" s="215">
        <f>WORKDAY(IF(K70="",K69,K70),INDEX(L$12:L$15,MATCH($I68,$I$12:$I$15,0)))</f>
        <v>46149</v>
      </c>
      <c r="M69" s="215">
        <f>WORKDAY(IF(L70="",L69,L70),INDEX(M$12:M$15,MATCH($I68,$I$12:$I$15,0)))</f>
        <v>46156</v>
      </c>
      <c r="N69" s="215">
        <f>WORKDAY(IF(M70="",M69,M70),INDEX(N$12:N$15,MATCH($I68,$I$12:$I$15,0)))</f>
        <v>46157</v>
      </c>
      <c r="O69" s="215">
        <f>WORKDAY(IF(N70="",N69,N70),INDEX(O$12:O$15,MATCH($I68,$I$12:$I$15,0)))</f>
        <v>46164</v>
      </c>
      <c r="P69" s="216"/>
      <c r="Q69" s="217"/>
      <c r="R69" s="215">
        <f>WORKDAY(IF(O70="",O69,O70),INDEX(R$12:R$15,MATCH($I68,$I$12:$I$15,0)))</f>
        <v>46178</v>
      </c>
      <c r="S69" s="215">
        <f>WORKDAY(IF(R70="",R69,R70),INDEX(S$12:S$15,MATCH($I68,$I$12:$I$15,0)))</f>
        <v>46206</v>
      </c>
      <c r="T69" s="215">
        <f>WORKDAY(IF(S70="",S69,S70),INDEX(T$12:T$15,MATCH($I68,$I$12:$I$15,0)))</f>
        <v>46211</v>
      </c>
      <c r="U69" s="215">
        <f>WORKDAY(IF(T70="",T69,T70),INDEX(U$12:U$15,MATCH($I68,$I$12:$I$15,0)))</f>
        <v>46225</v>
      </c>
      <c r="V69" s="215">
        <f>WORKDAY(IF(U70="",U69,U70),INDEX(V$12:V$15,MATCH($I68,$I$12:$I$15,0)))</f>
        <v>46227</v>
      </c>
      <c r="W69" s="218"/>
      <c r="X69" s="215">
        <f>U69+Y68</f>
        <v>46477</v>
      </c>
      <c r="Y69" s="628"/>
      <c r="Z69" s="633"/>
      <c r="AA69" s="633"/>
      <c r="AB69" s="637"/>
      <c r="AC69" s="220">
        <f>IF(ISERROR(LOOKUP(AC$16,$L69:$X69,#REF!)),0,(LOOKUP(AC$16,$L69:$X69,#REF!)))</f>
        <v>0</v>
      </c>
      <c r="AD69" s="221">
        <f>IF(ISERROR(LOOKUP(AD$16,$L69:$X69,#REF!)),0,(LOOKUP(AD$16,$L69:$X69,#REF!)))</f>
        <v>0</v>
      </c>
      <c r="AE69" s="221">
        <f>IF(ISERROR(LOOKUP(AE$16,$L69:$X69,#REF!)),0,(LOOKUP(AE$16,$L69:$X69,#REF!)))</f>
        <v>0</v>
      </c>
      <c r="AF69" s="221">
        <f>IF(ISERROR(LOOKUP(AF$16,$L69:$X69,#REF!)),0,(LOOKUP(AF$16,$L69:$X69,#REF!)))</f>
        <v>0</v>
      </c>
      <c r="AG69" s="221">
        <f>IF(ISERROR(LOOKUP(AG$16,$L69:$X69,#REF!)),0,(LOOKUP(AG$16,$L69:$X69,#REF!)))</f>
        <v>0</v>
      </c>
      <c r="AH69" s="221">
        <f>IF(ISERROR(LOOKUP(AH$16,$L69:$X69,#REF!)),0,(LOOKUP(AH$16,$L69:$X69,#REF!)))</f>
        <v>0</v>
      </c>
      <c r="AI69" s="221">
        <f>IF(ISERROR(LOOKUP(AI$16,$L69:$X69,#REF!)),0,(LOOKUP(AI$16,$L69:$X69,#REF!)))</f>
        <v>0</v>
      </c>
      <c r="AJ69" s="221">
        <f>IF(ISERROR(LOOKUP(AJ$16,$L69:$X69,#REF!)),0,(LOOKUP(AJ$16,$L69:$X69,#REF!)))</f>
        <v>0</v>
      </c>
      <c r="AK69" s="221">
        <f>IF(ISERROR(LOOKUP(AK$16,$L69:$X69,#REF!)),0,(LOOKUP(AK$16,$L69:$X69,#REF!)))</f>
        <v>0</v>
      </c>
      <c r="AL69" s="221">
        <f>IF(ISERROR(LOOKUP(AL$16,$L69:$X69,#REF!)),0,(LOOKUP(AL$16,$L69:$X69,#REF!)))</f>
        <v>0</v>
      </c>
      <c r="AM69" s="221">
        <f ca="1">IF(ISERROR(LOOKUP(AM$16,$L69:$X69,#REF!)),0,(LOOKUP(AM$16,$L69:$X69,#REF!)))</f>
        <v>0</v>
      </c>
      <c r="AO69" s="166">
        <f t="shared" si="62"/>
        <v>14</v>
      </c>
      <c r="AP69" s="215" t="e">
        <f>WORKDAY(IF(T70="",T69,T70),INDEX(AP$12:AP$15,MATCH($I68,$I$12:$I$15,0)),$AW$17:$AW$148)</f>
        <v>#REF!</v>
      </c>
      <c r="AQ69" s="215" t="e">
        <f>WORKDAY(IF(AP70="",AP69,AP70),INDEX(AQ$12:AQ$15,MATCH($I68,$I$12:$I$15,0)),$AW$17:$AW$148)</f>
        <v>#REF!</v>
      </c>
      <c r="AR69" s="215" t="e">
        <f>WORKDAY(IF(AQ70="",AQ69,AQ70),INDEX(AR$12:AR$15,MATCH($I68,$I$12:$I$15,0)),$AW$17:$AW$148)</f>
        <v>#REF!</v>
      </c>
      <c r="AS69" s="638"/>
      <c r="AW69" s="223" t="e">
        <v>#REF!</v>
      </c>
    </row>
    <row r="70" spans="1:49" s="166" customFormat="1" ht="15" customHeight="1">
      <c r="A70" s="596"/>
      <c r="B70" s="600"/>
      <c r="C70" s="601" t="str">
        <f>C68</f>
        <v>RFQ-018</v>
      </c>
      <c r="D70" s="601" t="str">
        <f t="shared" ref="D70:I70" si="103">D68</f>
        <v>Solar Power System</v>
      </c>
      <c r="E70" s="225"/>
      <c r="F70" s="612"/>
      <c r="G70" s="601" t="str">
        <f t="shared" ref="G70" si="104">G68</f>
        <v>N</v>
      </c>
      <c r="H70" s="608"/>
      <c r="I70" s="212" t="str">
        <f t="shared" si="103"/>
        <v>LA</v>
      </c>
      <c r="J70" s="214" t="s">
        <v>67</v>
      </c>
      <c r="K70" s="212"/>
      <c r="L70" s="212"/>
      <c r="M70" s="212"/>
      <c r="N70" s="212"/>
      <c r="O70" s="212"/>
      <c r="P70" s="226"/>
      <c r="Q70" s="227"/>
      <c r="R70" s="212"/>
      <c r="S70" s="212"/>
      <c r="T70" s="212"/>
      <c r="U70" s="212"/>
      <c r="V70" s="212"/>
      <c r="W70" s="228"/>
      <c r="X70" s="212"/>
      <c r="Y70" s="628"/>
      <c r="Z70" s="633"/>
      <c r="AA70" s="633"/>
      <c r="AB70" s="637"/>
      <c r="AC70" s="229">
        <f>IF(ISERROR(LOOKUP(AC$16,$L70:$X70,#REF!)),0,(LOOKUP(AC$16,$L70:$X70,#REF!)))</f>
        <v>0</v>
      </c>
      <c r="AD70" s="230">
        <f>IF(ISERROR(LOOKUP(AD$16,$L70:$X70,#REF!)),0,(LOOKUP(AD$16,$L70:$X70,#REF!)))</f>
        <v>0</v>
      </c>
      <c r="AE70" s="230">
        <f>IF(ISERROR(LOOKUP(AE$16,$L70:$X70,#REF!)),0,(LOOKUP(AE$16,$L70:$X70,#REF!)))</f>
        <v>0</v>
      </c>
      <c r="AF70" s="230">
        <f>IF(ISERROR(LOOKUP(AF$16,$L70:$X70,#REF!)),0,(LOOKUP(AF$16,$L70:$X70,#REF!)))</f>
        <v>0</v>
      </c>
      <c r="AG70" s="230">
        <f>IF(ISERROR(LOOKUP(AG$16,$L70:$X70,#REF!)),0,(LOOKUP(AG$16,$L70:$X70,#REF!)))</f>
        <v>0</v>
      </c>
      <c r="AH70" s="230">
        <f>IF(ISERROR(LOOKUP(AH$16,$L70:$X70,#REF!)),0,(LOOKUP(AH$16,$L70:$X70,#REF!)))</f>
        <v>0</v>
      </c>
      <c r="AI70" s="230">
        <f>IF(ISERROR(LOOKUP(AI$16,$L70:$X70,#REF!)),0,(LOOKUP(AI$16,$L70:$X70,#REF!)))</f>
        <v>0</v>
      </c>
      <c r="AJ70" s="230">
        <f>IF(ISERROR(LOOKUP(AJ$16,$L70:$X70,#REF!)),0,(LOOKUP(AJ$16,$L70:$X70,#REF!)))</f>
        <v>0</v>
      </c>
      <c r="AK70" s="230">
        <f>IF(ISERROR(LOOKUP(AK$16,$L70:$X70,#REF!)),0,(LOOKUP(AK$16,$L70:$X70,#REF!)))</f>
        <v>0</v>
      </c>
      <c r="AL70" s="230">
        <f>IF(ISERROR(LOOKUP(AL$16,$L70:$X70,#REF!)),0,(LOOKUP(AL$16,$L70:$X70,#REF!)))</f>
        <v>0</v>
      </c>
      <c r="AM70" s="230">
        <f ca="1">IF(ISERROR(LOOKUP(AM$16,$L70:$X70,#REF!)),0,(LOOKUP(AM$16,$L70:$X70,#REF!)))</f>
        <v>0</v>
      </c>
      <c r="AO70" s="166">
        <f t="shared" si="62"/>
        <v>0</v>
      </c>
      <c r="AP70" s="212"/>
      <c r="AQ70" s="212"/>
      <c r="AR70" s="212"/>
      <c r="AS70" s="638"/>
      <c r="AW70" s="223" t="e">
        <v>#REF!</v>
      </c>
    </row>
    <row r="71" spans="1:49" s="166" customFormat="1" ht="18" customHeight="1">
      <c r="A71" s="596">
        <f t="shared" ref="A71" si="105">A68+1</f>
        <v>19</v>
      </c>
      <c r="B71" s="598"/>
      <c r="C71" s="601" t="s">
        <v>4756</v>
      </c>
      <c r="D71" s="601" t="s">
        <v>133</v>
      </c>
      <c r="E71" s="213"/>
      <c r="F71" s="610" t="s">
        <v>126</v>
      </c>
      <c r="G71" s="602" t="s">
        <v>60</v>
      </c>
      <c r="H71" s="606"/>
      <c r="I71" s="212" t="s">
        <v>7</v>
      </c>
      <c r="J71" s="214" t="s">
        <v>61</v>
      </c>
      <c r="K71" s="215">
        <f>WORKDAY(L71,-INDEX(L$12:L$15,MATCH($I71,$I$12:$I$15,0)))</f>
        <v>46197</v>
      </c>
      <c r="L71" s="215">
        <f>WORKDAY(M71,-INDEX(M$12:M$15,MATCH($I71,$I$12:$I$15,0)))</f>
        <v>46198</v>
      </c>
      <c r="M71" s="215">
        <f>WORKDAY(N71,-INDEX(N$12:N$15,MATCH($I71,$I$12:$I$15,0)))</f>
        <v>46205</v>
      </c>
      <c r="N71" s="215">
        <f>WORKDAY(O71,-INDEX(O$12:O$15,MATCH($I71,$I$12:$I$15,0)))</f>
        <v>46206</v>
      </c>
      <c r="O71" s="215">
        <f>WORKDAY(R71,-INDEX(R$12:R$15,MATCH($I71,$I$12:$I$15,0)))</f>
        <v>46213</v>
      </c>
      <c r="P71" s="216">
        <f>U71-L71</f>
        <v>76</v>
      </c>
      <c r="Q71" s="217"/>
      <c r="R71" s="215">
        <f>WORKDAY(S71,-INDEX(S$12:S$15,MATCH($I71,$I$12:$I$15,0)))</f>
        <v>46227</v>
      </c>
      <c r="S71" s="215">
        <f>WORKDAY(T71,-INDEX(T$12:T$15,MATCH($I71,$I$12:$I$15,0)))</f>
        <v>46255</v>
      </c>
      <c r="T71" s="215">
        <f>WORKDAY(U71,-INDEX(U$12:U$15,MATCH($I71,$I$12:$I$15,0)))</f>
        <v>46260</v>
      </c>
      <c r="U71" s="215">
        <f>X71-Y71</f>
        <v>46274</v>
      </c>
      <c r="V71" s="215">
        <f>WORKDAY(U71,INDEX(V$12:V$15,MATCH($I71,$I$12:$I$15,0)))</f>
        <v>46276</v>
      </c>
      <c r="W71" s="218">
        <f>Y71/7</f>
        <v>42</v>
      </c>
      <c r="X71" s="215">
        <f>Z71</f>
        <v>46568</v>
      </c>
      <c r="Y71" s="628">
        <v>294</v>
      </c>
      <c r="Z71" s="632">
        <v>46568</v>
      </c>
      <c r="AA71" s="633">
        <v>46598</v>
      </c>
      <c r="AB71" s="637">
        <f t="shared" ref="AB71" si="106">Z71-X72</f>
        <v>0</v>
      </c>
      <c r="AC71" s="220">
        <f>IF(ISERROR(LOOKUP(AC$16,$L71:$X71,#REF!)),0,(LOOKUP(AC$16,$L71:$X71,#REF!)))</f>
        <v>0</v>
      </c>
      <c r="AD71" s="221">
        <f>IF(ISERROR(LOOKUP(AD$16,$L71:$X71,#REF!)),0,(LOOKUP(AD$16,$L71:$X71,#REF!)))</f>
        <v>0</v>
      </c>
      <c r="AE71" s="221">
        <f>IF(ISERROR(LOOKUP(AE$16,$L71:$X71,#REF!)),0,(LOOKUP(AE$16,$L71:$X71,#REF!)))</f>
        <v>0</v>
      </c>
      <c r="AF71" s="221">
        <f>IF(ISERROR(LOOKUP(AF$16,$L71:$X71,#REF!)),0,(LOOKUP(AF$16,$L71:$X71,#REF!)))</f>
        <v>0</v>
      </c>
      <c r="AG71" s="221">
        <f>IF(ISERROR(LOOKUP(AG$16,$L71:$X71,#REF!)),0,(LOOKUP(AG$16,$L71:$X71,#REF!)))</f>
        <v>0</v>
      </c>
      <c r="AH71" s="221">
        <f>IF(ISERROR(LOOKUP(AH$16,$L71:$X71,#REF!)),0,(LOOKUP(AH$16,$L71:$X71,#REF!)))</f>
        <v>0</v>
      </c>
      <c r="AI71" s="221">
        <f>IF(ISERROR(LOOKUP(AI$16,$L71:$X71,#REF!)),0,(LOOKUP(AI$16,$L71:$X71,#REF!)))</f>
        <v>0</v>
      </c>
      <c r="AJ71" s="221">
        <f>IF(ISERROR(LOOKUP(AJ$16,$L71:$X71,#REF!)),0,(LOOKUP(AJ$16,$L71:$X71,#REF!)))</f>
        <v>0</v>
      </c>
      <c r="AK71" s="221">
        <f>IF(ISERROR(LOOKUP(AK$16,$L71:$X71,#REF!)),0,(LOOKUP(AK$16,$L71:$X71,#REF!)))</f>
        <v>0</v>
      </c>
      <c r="AL71" s="221">
        <f>IF(ISERROR(LOOKUP(AL$16,$L71:$X71,#REF!)),0,(LOOKUP(AL$16,$L71:$X71,#REF!)))</f>
        <v>0</v>
      </c>
      <c r="AM71" s="221">
        <f ca="1">IF(ISERROR(LOOKUP(AM$16,$L71:$X71,#REF!)),0,(LOOKUP(AM$16,$L71:$X71,#REF!)))</f>
        <v>0</v>
      </c>
      <c r="AO71" s="166">
        <f t="shared" si="62"/>
        <v>14</v>
      </c>
      <c r="AP71" s="215" t="e">
        <f>WORKDAY(AQ71,-INDEX(AQ$12:AQ$15,MATCH($I71,$I$12:$I$15,0)),$AW$17:$AW$148)</f>
        <v>#REF!</v>
      </c>
      <c r="AQ71" s="215" t="e">
        <f>WORKDAY(U71,-INDEX(U$12:U$15,MATCH($I71,$I$12:$I$15,0)),$AW$17:$AW$148)</f>
        <v>#REF!</v>
      </c>
      <c r="AR71" s="215" t="e">
        <f>WORKDAY(U71,-INDEX(U$12:U$15,MATCH($I71,$I$12:$I$15,0)),$AW$17:$AW$148)</f>
        <v>#REF!</v>
      </c>
      <c r="AS71" s="638">
        <v>14</v>
      </c>
      <c r="AW71" s="223" t="e">
        <v>#REF!</v>
      </c>
    </row>
    <row r="72" spans="1:49" s="166" customFormat="1" ht="18" customHeight="1">
      <c r="A72" s="596"/>
      <c r="B72" s="599"/>
      <c r="C72" s="601" t="str">
        <f t="shared" ref="C72" si="107">C71</f>
        <v>RFQ-019</v>
      </c>
      <c r="D72" s="601" t="str">
        <f t="shared" ref="D72:I72" si="108">D71</f>
        <v>Navigation Aid System</v>
      </c>
      <c r="E72" s="224"/>
      <c r="F72" s="611"/>
      <c r="G72" s="602" t="str">
        <f>G71</f>
        <v>Y</v>
      </c>
      <c r="H72" s="607"/>
      <c r="I72" s="212" t="str">
        <f t="shared" si="108"/>
        <v>LB</v>
      </c>
      <c r="J72" s="214" t="s">
        <v>65</v>
      </c>
      <c r="K72" s="215">
        <f>K71</f>
        <v>46197</v>
      </c>
      <c r="L72" s="215">
        <f>WORKDAY(IF(K73="",K72,K73),INDEX(L$12:L$15,MATCH($I71,$I$12:$I$15,0)))</f>
        <v>46198</v>
      </c>
      <c r="M72" s="215">
        <f>WORKDAY(IF(L73="",L72,L73),INDEX(M$12:M$15,MATCH($I71,$I$12:$I$15,0)))</f>
        <v>46205</v>
      </c>
      <c r="N72" s="215">
        <f>WORKDAY(IF(M73="",M72,M73),INDEX(N$12:N$15,MATCH($I71,$I$12:$I$15,0)))</f>
        <v>46206</v>
      </c>
      <c r="O72" s="215">
        <f>WORKDAY(IF(N73="",N72,N73),INDEX(O$12:O$15,MATCH($I71,$I$12:$I$15,0)))</f>
        <v>46213</v>
      </c>
      <c r="P72" s="216"/>
      <c r="Q72" s="217"/>
      <c r="R72" s="215">
        <f>WORKDAY(IF(O73="",O72,O73),INDEX(R$12:R$15,MATCH($I71,$I$12:$I$15,0)))</f>
        <v>46227</v>
      </c>
      <c r="S72" s="215">
        <f>WORKDAY(IF(R73="",R72,R73),INDEX(S$12:S$15,MATCH($I71,$I$12:$I$15,0)))</f>
        <v>46255</v>
      </c>
      <c r="T72" s="215">
        <f>WORKDAY(IF(S73="",S72,S73),INDEX(T$12:T$15,MATCH($I71,$I$12:$I$15,0)))</f>
        <v>46260</v>
      </c>
      <c r="U72" s="215">
        <f>WORKDAY(IF(T73="",T72,T73),INDEX(U$12:U$15,MATCH($I71,$I$12:$I$15,0)))</f>
        <v>46274</v>
      </c>
      <c r="V72" s="215">
        <f>WORKDAY(IF(U73="",U72,U73),INDEX(V$12:V$15,MATCH($I71,$I$12:$I$15,0)))</f>
        <v>46276</v>
      </c>
      <c r="W72" s="218"/>
      <c r="X72" s="215">
        <f>U72+Y71</f>
        <v>46568</v>
      </c>
      <c r="Y72" s="628"/>
      <c r="Z72" s="632"/>
      <c r="AA72" s="633"/>
      <c r="AB72" s="637"/>
      <c r="AC72" s="220">
        <f>IF(ISERROR(LOOKUP(AC$16,$L72:$X72,#REF!)),0,(LOOKUP(AC$16,$L72:$X72,#REF!)))</f>
        <v>0</v>
      </c>
      <c r="AD72" s="221">
        <f>IF(ISERROR(LOOKUP(AD$16,$L72:$X72,#REF!)),0,(LOOKUP(AD$16,$L72:$X72,#REF!)))</f>
        <v>0</v>
      </c>
      <c r="AE72" s="221">
        <f>IF(ISERROR(LOOKUP(AE$16,$L72:$X72,#REF!)),0,(LOOKUP(AE$16,$L72:$X72,#REF!)))</f>
        <v>0</v>
      </c>
      <c r="AF72" s="221">
        <f>IF(ISERROR(LOOKUP(AF$16,$L72:$X72,#REF!)),0,(LOOKUP(AF$16,$L72:$X72,#REF!)))</f>
        <v>0</v>
      </c>
      <c r="AG72" s="221">
        <f>IF(ISERROR(LOOKUP(AG$16,$L72:$X72,#REF!)),0,(LOOKUP(AG$16,$L72:$X72,#REF!)))</f>
        <v>0</v>
      </c>
      <c r="AH72" s="221">
        <f>IF(ISERROR(LOOKUP(AH$16,$L72:$X72,#REF!)),0,(LOOKUP(AH$16,$L72:$X72,#REF!)))</f>
        <v>0</v>
      </c>
      <c r="AI72" s="221">
        <f>IF(ISERROR(LOOKUP(AI$16,$L72:$X72,#REF!)),0,(LOOKUP(AI$16,$L72:$X72,#REF!)))</f>
        <v>0</v>
      </c>
      <c r="AJ72" s="221">
        <f>IF(ISERROR(LOOKUP(AJ$16,$L72:$X72,#REF!)),0,(LOOKUP(AJ$16,$L72:$X72,#REF!)))</f>
        <v>0</v>
      </c>
      <c r="AK72" s="221">
        <f>IF(ISERROR(LOOKUP(AK$16,$L72:$X72,#REF!)),0,(LOOKUP(AK$16,$L72:$X72,#REF!)))</f>
        <v>0</v>
      </c>
      <c r="AL72" s="221">
        <f>IF(ISERROR(LOOKUP(AL$16,$L72:$X72,#REF!)),0,(LOOKUP(AL$16,$L72:$X72,#REF!)))</f>
        <v>0</v>
      </c>
      <c r="AM72" s="221">
        <f ca="1">IF(ISERROR(LOOKUP(AM$16,$L72:$X72,#REF!)),0,(LOOKUP(AM$16,$L72:$X72,#REF!)))</f>
        <v>0</v>
      </c>
      <c r="AP72" s="215" t="e">
        <f>WORKDAY(IF(T73="",T72,T73),INDEX(AP$12:AP$15,MATCH($I71,$I$12:$I$15,0)),$AW$17:$AW$148)</f>
        <v>#REF!</v>
      </c>
      <c r="AQ72" s="215" t="e">
        <f>WORKDAY(IF(AP73="",AP72,AP73),INDEX(AQ$12:AQ$15,MATCH($I71,$I$12:$I$15,0)),$AW$17:$AW$148)</f>
        <v>#REF!</v>
      </c>
      <c r="AR72" s="215" t="e">
        <f>WORKDAY(IF(AQ73="",AQ72,AQ73),INDEX(AR$12:AR$15,MATCH($I71,$I$12:$I$15,0)),$AW$17:$AW$148)</f>
        <v>#REF!</v>
      </c>
      <c r="AS72" s="638"/>
      <c r="AW72" s="223" t="e">
        <v>#REF!</v>
      </c>
    </row>
    <row r="73" spans="1:49" s="166" customFormat="1" ht="18" customHeight="1">
      <c r="A73" s="596"/>
      <c r="B73" s="600"/>
      <c r="C73" s="601" t="str">
        <f>C71</f>
        <v>RFQ-019</v>
      </c>
      <c r="D73" s="601" t="str">
        <f t="shared" ref="D73:I73" si="109">D71</f>
        <v>Navigation Aid System</v>
      </c>
      <c r="E73" s="225"/>
      <c r="F73" s="612"/>
      <c r="G73" s="602" t="str">
        <f t="shared" ref="G73" si="110">G71</f>
        <v>Y</v>
      </c>
      <c r="H73" s="608"/>
      <c r="I73" s="212" t="str">
        <f t="shared" si="109"/>
        <v>LB</v>
      </c>
      <c r="J73" s="214" t="s">
        <v>67</v>
      </c>
      <c r="K73" s="212"/>
      <c r="L73" s="212"/>
      <c r="M73" s="212"/>
      <c r="N73" s="212"/>
      <c r="O73" s="212"/>
      <c r="P73" s="226"/>
      <c r="Q73" s="227"/>
      <c r="R73" s="212"/>
      <c r="S73" s="212"/>
      <c r="T73" s="212"/>
      <c r="U73" s="212"/>
      <c r="V73" s="212"/>
      <c r="W73" s="228"/>
      <c r="X73" s="212"/>
      <c r="Y73" s="628"/>
      <c r="Z73" s="632"/>
      <c r="AA73" s="633"/>
      <c r="AB73" s="637"/>
      <c r="AC73" s="229">
        <f>IF(ISERROR(LOOKUP(AC$16,$L73:$X73,#REF!)),0,(LOOKUP(AC$16,$L73:$X73,#REF!)))</f>
        <v>0</v>
      </c>
      <c r="AD73" s="230">
        <f>IF(ISERROR(LOOKUP(AD$16,$L73:$X73,#REF!)),0,(LOOKUP(AD$16,$L73:$X73,#REF!)))</f>
        <v>0</v>
      </c>
      <c r="AE73" s="230">
        <f>IF(ISERROR(LOOKUP(AE$16,$L73:$X73,#REF!)),0,(LOOKUP(AE$16,$L73:$X73,#REF!)))</f>
        <v>0</v>
      </c>
      <c r="AF73" s="230">
        <f>IF(ISERROR(LOOKUP(AF$16,$L73:$X73,#REF!)),0,(LOOKUP(AF$16,$L73:$X73,#REF!)))</f>
        <v>0</v>
      </c>
      <c r="AG73" s="230">
        <f>IF(ISERROR(LOOKUP(AG$16,$L73:$X73,#REF!)),0,(LOOKUP(AG$16,$L73:$X73,#REF!)))</f>
        <v>0</v>
      </c>
      <c r="AH73" s="230">
        <f>IF(ISERROR(LOOKUP(AH$16,$L73:$X73,#REF!)),0,(LOOKUP(AH$16,$L73:$X73,#REF!)))</f>
        <v>0</v>
      </c>
      <c r="AI73" s="230">
        <f>IF(ISERROR(LOOKUP(AI$16,$L73:$X73,#REF!)),0,(LOOKUP(AI$16,$L73:$X73,#REF!)))</f>
        <v>0</v>
      </c>
      <c r="AJ73" s="230">
        <f>IF(ISERROR(LOOKUP(AJ$16,$L73:$X73,#REF!)),0,(LOOKUP(AJ$16,$L73:$X73,#REF!)))</f>
        <v>0</v>
      </c>
      <c r="AK73" s="230">
        <f>IF(ISERROR(LOOKUP(AK$16,$L73:$X73,#REF!)),0,(LOOKUP(AK$16,$L73:$X73,#REF!)))</f>
        <v>0</v>
      </c>
      <c r="AL73" s="230">
        <f>IF(ISERROR(LOOKUP(AL$16,$L73:$X73,#REF!)),0,(LOOKUP(AL$16,$L73:$X73,#REF!)))</f>
        <v>0</v>
      </c>
      <c r="AM73" s="230">
        <f ca="1">IF(ISERROR(LOOKUP(AM$16,$L73:$X73,#REF!)),0,(LOOKUP(AM$16,$L73:$X73,#REF!)))</f>
        <v>0</v>
      </c>
      <c r="AP73" s="212"/>
      <c r="AQ73" s="212"/>
      <c r="AR73" s="212"/>
      <c r="AS73" s="638"/>
      <c r="AW73" s="223" t="e">
        <v>#REF!</v>
      </c>
    </row>
    <row r="74" spans="1:49" s="166" customFormat="1" ht="18" customHeight="1">
      <c r="A74" s="597">
        <f t="shared" ref="A74" si="111">A71+1</f>
        <v>20</v>
      </c>
      <c r="B74" s="598"/>
      <c r="C74" s="602" t="s">
        <v>4757</v>
      </c>
      <c r="D74" s="602" t="s">
        <v>136</v>
      </c>
      <c r="E74" s="232"/>
      <c r="F74" s="613" t="s">
        <v>126</v>
      </c>
      <c r="G74" s="602" t="s">
        <v>60</v>
      </c>
      <c r="H74" s="625"/>
      <c r="I74" s="212" t="s">
        <v>8</v>
      </c>
      <c r="J74" s="214" t="s">
        <v>61</v>
      </c>
      <c r="K74" s="215">
        <f>WORKDAY(L74,-INDEX(L$12:L$15,MATCH($I74,$I$12:$I$15,0)))</f>
        <v>46174</v>
      </c>
      <c r="L74" s="215">
        <f>WORKDAY(M74,-INDEX(M$12:M$15,MATCH($I74,$I$12:$I$15,0)))</f>
        <v>46177</v>
      </c>
      <c r="M74" s="215">
        <f>WORKDAY(N74,-INDEX(N$12:N$15,MATCH($I74,$I$12:$I$15,0)))</f>
        <v>46191</v>
      </c>
      <c r="N74" s="215">
        <f>WORKDAY(O74,-INDEX(O$12:O$15,MATCH($I74,$I$12:$I$15,0)))</f>
        <v>46192</v>
      </c>
      <c r="O74" s="215">
        <f>WORKDAY(R74,-INDEX(R$12:R$15,MATCH($I74,$I$12:$I$15,0)))</f>
        <v>46206</v>
      </c>
      <c r="P74" s="216">
        <f>U74-L74</f>
        <v>92</v>
      </c>
      <c r="Q74" s="217"/>
      <c r="R74" s="215">
        <f>WORKDAY(S74,-INDEX(S$12:S$15,MATCH($I74,$I$12:$I$15,0)))</f>
        <v>46220</v>
      </c>
      <c r="S74" s="215">
        <f>WORKDAY(T74,-INDEX(T$12:T$15,MATCH($I74,$I$12:$I$15,0)))</f>
        <v>46241</v>
      </c>
      <c r="T74" s="215">
        <f>WORKDAY(U74,-INDEX(U$12:U$15,MATCH($I74,$I$12:$I$15,0)))</f>
        <v>46255</v>
      </c>
      <c r="U74" s="215">
        <f>X74-Y74</f>
        <v>46269</v>
      </c>
      <c r="V74" s="215">
        <f>WORKDAY(U74,INDEX(V$12:V$15,MATCH($I74,$I$12:$I$15,0)))</f>
        <v>46273</v>
      </c>
      <c r="W74" s="218">
        <f>Y74/7</f>
        <v>36</v>
      </c>
      <c r="X74" s="215">
        <f>Z74</f>
        <v>46521</v>
      </c>
      <c r="Y74" s="628">
        <f>36*7</f>
        <v>252</v>
      </c>
      <c r="Z74" s="633">
        <v>46521</v>
      </c>
      <c r="AA74" s="633">
        <v>46521</v>
      </c>
      <c r="AB74" s="637">
        <f t="shared" ref="AB74" si="112">Z74-X75</f>
        <v>0</v>
      </c>
      <c r="AC74" s="220">
        <f>IF(ISERROR(LOOKUP(AC$16,$L74:$X74,#REF!)),0,(LOOKUP(AC$16,$L74:$X74,#REF!)))</f>
        <v>0</v>
      </c>
      <c r="AD74" s="221">
        <f>IF(ISERROR(LOOKUP(AD$16,$L74:$X74,#REF!)),0,(LOOKUP(AD$16,$L74:$X74,#REF!)))</f>
        <v>0</v>
      </c>
      <c r="AE74" s="221">
        <f>IF(ISERROR(LOOKUP(AE$16,$L74:$X74,#REF!)),0,(LOOKUP(AE$16,$L74:$X74,#REF!)))</f>
        <v>0</v>
      </c>
      <c r="AF74" s="221">
        <f>IF(ISERROR(LOOKUP(AF$16,$L74:$X74,#REF!)),0,(LOOKUP(AF$16,$L74:$X74,#REF!)))</f>
        <v>0</v>
      </c>
      <c r="AG74" s="221">
        <f>IF(ISERROR(LOOKUP(AG$16,$L74:$X74,#REF!)),0,(LOOKUP(AG$16,$L74:$X74,#REF!)))</f>
        <v>0</v>
      </c>
      <c r="AH74" s="221">
        <f>IF(ISERROR(LOOKUP(AH$16,$L74:$X74,#REF!)),0,(LOOKUP(AH$16,$L74:$X74,#REF!)))</f>
        <v>0</v>
      </c>
      <c r="AI74" s="221">
        <f>IF(ISERROR(LOOKUP(AI$16,$L74:$X74,#REF!)),0,(LOOKUP(AI$16,$L74:$X74,#REF!)))</f>
        <v>0</v>
      </c>
      <c r="AJ74" s="221">
        <f>IF(ISERROR(LOOKUP(AJ$16,$L74:$X74,#REF!)),0,(LOOKUP(AJ$16,$L74:$X74,#REF!)))</f>
        <v>0</v>
      </c>
      <c r="AK74" s="221">
        <f>IF(ISERROR(LOOKUP(AK$16,$L74:$X74,#REF!)),0,(LOOKUP(AK$16,$L74:$X74,#REF!)))</f>
        <v>0</v>
      </c>
      <c r="AL74" s="221">
        <f>IF(ISERROR(LOOKUP(AL$16,$L74:$X74,#REF!)),0,(LOOKUP(AL$16,$L74:$X74,#REF!)))</f>
        <v>0</v>
      </c>
      <c r="AM74" s="221">
        <f ca="1">IF(ISERROR(LOOKUP(AM$16,$L74:$X74,#REF!)),0,(LOOKUP(AM$16,$L74:$X74,#REF!)))</f>
        <v>0</v>
      </c>
      <c r="AP74" s="215" t="e">
        <f>WORKDAY(AQ74,-INDEX(AQ$12:AQ$15,MATCH($I74,$I$12:$I$15,0)),$AW$17:$AW$148)</f>
        <v>#REF!</v>
      </c>
      <c r="AQ74" s="215" t="e">
        <f>WORKDAY(U74,-INDEX(U$12:U$15,MATCH($I74,$I$12:$I$15,0)),$AW$17:$AW$148)</f>
        <v>#REF!</v>
      </c>
      <c r="AR74" s="215" t="e">
        <f>WORKDAY(U74,-INDEX(U$12:U$15,MATCH($I74,$I$12:$I$15,0)),$AW$17:$AW$148)</f>
        <v>#REF!</v>
      </c>
      <c r="AS74" s="638">
        <v>14</v>
      </c>
      <c r="AW74" s="223" t="e">
        <v>#REF!</v>
      </c>
    </row>
    <row r="75" spans="1:49" s="166" customFormat="1" ht="18" customHeight="1">
      <c r="A75" s="597"/>
      <c r="B75" s="599"/>
      <c r="C75" s="602" t="str">
        <f t="shared" ref="C75" si="113">C74</f>
        <v>RFQ-020</v>
      </c>
      <c r="D75" s="602" t="str">
        <f t="shared" ref="D75:I75" si="114">D74</f>
        <v>External Battery Charger</v>
      </c>
      <c r="E75" s="237"/>
      <c r="F75" s="614"/>
      <c r="G75" s="602" t="str">
        <f>G74</f>
        <v>Y</v>
      </c>
      <c r="H75" s="626"/>
      <c r="I75" s="212" t="str">
        <f t="shared" si="114"/>
        <v>LC</v>
      </c>
      <c r="J75" s="214" t="s">
        <v>65</v>
      </c>
      <c r="K75" s="215">
        <f>K74</f>
        <v>46174</v>
      </c>
      <c r="L75" s="215">
        <f>WORKDAY(IF(K76="",K75,K76),INDEX(L$12:L$15,MATCH($I74,$I$12:$I$15,0)))</f>
        <v>46177</v>
      </c>
      <c r="M75" s="215">
        <f>WORKDAY(IF(L76="",L75,L76),INDEX(M$12:M$15,MATCH($I74,$I$12:$I$15,0)))</f>
        <v>46191</v>
      </c>
      <c r="N75" s="215">
        <f>WORKDAY(IF(M76="",M75,M76),INDEX(N$12:N$15,MATCH($I74,$I$12:$I$15,0)))</f>
        <v>46192</v>
      </c>
      <c r="O75" s="215">
        <f>WORKDAY(IF(N76="",N75,N76),INDEX(O$12:O$15,MATCH($I74,$I$12:$I$15,0)))</f>
        <v>46206</v>
      </c>
      <c r="P75" s="216"/>
      <c r="Q75" s="217"/>
      <c r="R75" s="215">
        <f>WORKDAY(IF(O76="",O75,O76),INDEX(R$12:R$15,MATCH($I74,$I$12:$I$15,0)))</f>
        <v>46220</v>
      </c>
      <c r="S75" s="215">
        <f>WORKDAY(IF(R76="",R75,R76),INDEX(S$12:S$15,MATCH($I74,$I$12:$I$15,0)))</f>
        <v>46241</v>
      </c>
      <c r="T75" s="215">
        <f>WORKDAY(IF(S76="",S75,S76),INDEX(T$12:T$15,MATCH($I74,$I$12:$I$15,0)))</f>
        <v>46255</v>
      </c>
      <c r="U75" s="215">
        <f>WORKDAY(IF(T76="",T75,T76),INDEX(U$12:U$15,MATCH($I74,$I$12:$I$15,0)))</f>
        <v>46269</v>
      </c>
      <c r="V75" s="215">
        <f>WORKDAY(IF(U76="",U75,U76),INDEX(V$12:V$15,MATCH($I74,$I$12:$I$15,0)))</f>
        <v>46273</v>
      </c>
      <c r="W75" s="218"/>
      <c r="X75" s="215">
        <f>U75+Y74</f>
        <v>46521</v>
      </c>
      <c r="Y75" s="628"/>
      <c r="Z75" s="633"/>
      <c r="AA75" s="633"/>
      <c r="AB75" s="637"/>
      <c r="AC75" s="220">
        <f>IF(ISERROR(LOOKUP(AC$16,$L75:$X75,#REF!)),0,(LOOKUP(AC$16,$L75:$X75,#REF!)))</f>
        <v>0</v>
      </c>
      <c r="AD75" s="221">
        <f>IF(ISERROR(LOOKUP(AD$16,$L75:$X75,#REF!)),0,(LOOKUP(AD$16,$L75:$X75,#REF!)))</f>
        <v>0</v>
      </c>
      <c r="AE75" s="221">
        <f>IF(ISERROR(LOOKUP(AE$16,$L75:$X75,#REF!)),0,(LOOKUP(AE$16,$L75:$X75,#REF!)))</f>
        <v>0</v>
      </c>
      <c r="AF75" s="221">
        <f>IF(ISERROR(LOOKUP(AF$16,$L75:$X75,#REF!)),0,(LOOKUP(AF$16,$L75:$X75,#REF!)))</f>
        <v>0</v>
      </c>
      <c r="AG75" s="221">
        <f>IF(ISERROR(LOOKUP(AG$16,$L75:$X75,#REF!)),0,(LOOKUP(AG$16,$L75:$X75,#REF!)))</f>
        <v>0</v>
      </c>
      <c r="AH75" s="221">
        <f>IF(ISERROR(LOOKUP(AH$16,$L75:$X75,#REF!)),0,(LOOKUP(AH$16,$L75:$X75,#REF!)))</f>
        <v>0</v>
      </c>
      <c r="AI75" s="221">
        <f>IF(ISERROR(LOOKUP(AI$16,$L75:$X75,#REF!)),0,(LOOKUP(AI$16,$L75:$X75,#REF!)))</f>
        <v>0</v>
      </c>
      <c r="AJ75" s="221">
        <f>IF(ISERROR(LOOKUP(AJ$16,$L75:$X75,#REF!)),0,(LOOKUP(AJ$16,$L75:$X75,#REF!)))</f>
        <v>0</v>
      </c>
      <c r="AK75" s="221">
        <f>IF(ISERROR(LOOKUP(AK$16,$L75:$X75,#REF!)),0,(LOOKUP(AK$16,$L75:$X75,#REF!)))</f>
        <v>0</v>
      </c>
      <c r="AL75" s="221">
        <f>IF(ISERROR(LOOKUP(AL$16,$L75:$X75,#REF!)),0,(LOOKUP(AL$16,$L75:$X75,#REF!)))</f>
        <v>0</v>
      </c>
      <c r="AM75" s="221">
        <f ca="1">IF(ISERROR(LOOKUP(AM$16,$L75:$X75,#REF!)),0,(LOOKUP(AM$16,$L75:$X75,#REF!)))</f>
        <v>0</v>
      </c>
      <c r="AP75" s="215" t="e">
        <f>WORKDAY(IF(T76="",T75,T76),INDEX(AP$12:AP$15,MATCH($I74,$I$12:$I$15,0)),$AW$17:$AW$148)</f>
        <v>#REF!</v>
      </c>
      <c r="AQ75" s="215" t="e">
        <f>WORKDAY(IF(AP76="",AP75,AP76),INDEX(AQ$12:AQ$15,MATCH($I74,$I$12:$I$15,0)),$AW$17:$AW$148)</f>
        <v>#REF!</v>
      </c>
      <c r="AR75" s="215" t="e">
        <f>WORKDAY(IF(AQ76="",AQ75,AQ76),INDEX(AR$12:AR$15,MATCH($I74,$I$12:$I$15,0)),$AW$17:$AW$148)</f>
        <v>#REF!</v>
      </c>
      <c r="AS75" s="638"/>
      <c r="AW75" s="223" t="e">
        <v>#REF!</v>
      </c>
    </row>
    <row r="76" spans="1:49" s="167" customFormat="1" ht="18" customHeight="1">
      <c r="A76" s="597"/>
      <c r="B76" s="600"/>
      <c r="C76" s="602" t="str">
        <f>C74</f>
        <v>RFQ-020</v>
      </c>
      <c r="D76" s="602" t="str">
        <f t="shared" ref="D76:I76" si="115">D74</f>
        <v>External Battery Charger</v>
      </c>
      <c r="E76" s="238"/>
      <c r="F76" s="615"/>
      <c r="G76" s="602" t="str">
        <f t="shared" ref="G76" si="116">G74</f>
        <v>Y</v>
      </c>
      <c r="H76" s="627"/>
      <c r="I76" s="231" t="str">
        <f t="shared" si="115"/>
        <v>LC</v>
      </c>
      <c r="J76" s="233" t="s">
        <v>67</v>
      </c>
      <c r="K76" s="212"/>
      <c r="L76" s="212"/>
      <c r="M76" s="212"/>
      <c r="N76" s="212"/>
      <c r="O76" s="212"/>
      <c r="P76" s="226"/>
      <c r="Q76" s="227"/>
      <c r="R76" s="212"/>
      <c r="S76" s="212"/>
      <c r="T76" s="212"/>
      <c r="U76" s="212"/>
      <c r="V76" s="212"/>
      <c r="W76" s="228"/>
      <c r="X76" s="212"/>
      <c r="Y76" s="628"/>
      <c r="Z76" s="633"/>
      <c r="AA76" s="633"/>
      <c r="AB76" s="637"/>
      <c r="AC76" s="239">
        <f>IF(ISERROR(LOOKUP(AC$16,$L76:$X76,#REF!)),0,(LOOKUP(AC$16,$L76:$X76,#REF!)))</f>
        <v>0</v>
      </c>
      <c r="AD76" s="240">
        <f>IF(ISERROR(LOOKUP(AD$16,$L76:$X76,#REF!)),0,(LOOKUP(AD$16,$L76:$X76,#REF!)))</f>
        <v>0</v>
      </c>
      <c r="AE76" s="240">
        <f>IF(ISERROR(LOOKUP(AE$16,$L76:$X76,#REF!)),0,(LOOKUP(AE$16,$L76:$X76,#REF!)))</f>
        <v>0</v>
      </c>
      <c r="AF76" s="240">
        <f>IF(ISERROR(LOOKUP(AF$16,$L76:$X76,#REF!)),0,(LOOKUP(AF$16,$L76:$X76,#REF!)))</f>
        <v>0</v>
      </c>
      <c r="AG76" s="240">
        <f>IF(ISERROR(LOOKUP(AG$16,$L76:$X76,#REF!)),0,(LOOKUP(AG$16,$L76:$X76,#REF!)))</f>
        <v>0</v>
      </c>
      <c r="AH76" s="240">
        <f>IF(ISERROR(LOOKUP(AH$16,$L76:$X76,#REF!)),0,(LOOKUP(AH$16,$L76:$X76,#REF!)))</f>
        <v>0</v>
      </c>
      <c r="AI76" s="240">
        <f>IF(ISERROR(LOOKUP(AI$16,$L76:$X76,#REF!)),0,(LOOKUP(AI$16,$L76:$X76,#REF!)))</f>
        <v>0</v>
      </c>
      <c r="AJ76" s="240">
        <f>IF(ISERROR(LOOKUP(AJ$16,$L76:$X76,#REF!)),0,(LOOKUP(AJ$16,$L76:$X76,#REF!)))</f>
        <v>0</v>
      </c>
      <c r="AK76" s="240">
        <f>IF(ISERROR(LOOKUP(AK$16,$L76:$X76,#REF!)),0,(LOOKUP(AK$16,$L76:$X76,#REF!)))</f>
        <v>0</v>
      </c>
      <c r="AL76" s="240">
        <f>IF(ISERROR(LOOKUP(AL$16,$L76:$X76,#REF!)),0,(LOOKUP(AL$16,$L76:$X76,#REF!)))</f>
        <v>0</v>
      </c>
      <c r="AM76" s="240">
        <f ca="1">IF(ISERROR(LOOKUP(AM$16,$L76:$X76,#REF!)),0,(LOOKUP(AM$16,$L76:$X76,#REF!)))</f>
        <v>0</v>
      </c>
      <c r="AP76" s="212"/>
      <c r="AQ76" s="212"/>
      <c r="AR76" s="212"/>
      <c r="AS76" s="638"/>
      <c r="AW76" s="236" t="e">
        <v>#REF!</v>
      </c>
    </row>
    <row r="77" spans="1:49" s="167" customFormat="1" ht="18" customHeight="1">
      <c r="A77" s="597">
        <f t="shared" ref="A77" si="117">A74+1</f>
        <v>21</v>
      </c>
      <c r="B77" s="598"/>
      <c r="C77" s="602" t="s">
        <v>4758</v>
      </c>
      <c r="D77" s="602" t="s">
        <v>138</v>
      </c>
      <c r="E77" s="232"/>
      <c r="F77" s="613" t="s">
        <v>139</v>
      </c>
      <c r="G77" s="602" t="s">
        <v>71</v>
      </c>
      <c r="H77" s="625"/>
      <c r="I77" s="231" t="s">
        <v>7</v>
      </c>
      <c r="J77" s="233" t="s">
        <v>61</v>
      </c>
      <c r="K77" s="215">
        <f>WORKDAY(L77,-INDEX(L$12:L$15,MATCH($I77,$I$12:$I$15,0)))</f>
        <v>46258</v>
      </c>
      <c r="L77" s="215">
        <f>WORKDAY(M77,-INDEX(M$12:M$15,MATCH($I77,$I$12:$I$15,0)))</f>
        <v>46259</v>
      </c>
      <c r="M77" s="215">
        <f>WORKDAY(N77,-INDEX(N$12:N$15,MATCH($I77,$I$12:$I$15,0)))</f>
        <v>46266</v>
      </c>
      <c r="N77" s="215">
        <f>WORKDAY(O77,-INDEX(O$12:O$15,MATCH($I77,$I$12:$I$15,0)))</f>
        <v>46267</v>
      </c>
      <c r="O77" s="215">
        <f>WORKDAY(R77,-INDEX(R$12:R$15,MATCH($I77,$I$12:$I$15,0)))</f>
        <v>46274</v>
      </c>
      <c r="P77" s="216">
        <f>U77-L77</f>
        <v>76</v>
      </c>
      <c r="Q77" s="217"/>
      <c r="R77" s="215">
        <f>WORKDAY(S77,-INDEX(S$12:S$15,MATCH($I77,$I$12:$I$15,0)))</f>
        <v>46288</v>
      </c>
      <c r="S77" s="215">
        <f>WORKDAY(T77,-INDEX(T$12:T$15,MATCH($I77,$I$12:$I$15,0)))</f>
        <v>46316</v>
      </c>
      <c r="T77" s="215">
        <f>WORKDAY(U77,-INDEX(U$12:U$15,MATCH($I77,$I$12:$I$15,0)))</f>
        <v>46321</v>
      </c>
      <c r="U77" s="215">
        <f>X77-Y77</f>
        <v>46335</v>
      </c>
      <c r="V77" s="215">
        <f>WORKDAY(U77,INDEX(V$12:V$15,MATCH($I77,$I$12:$I$15,0)))</f>
        <v>46337</v>
      </c>
      <c r="W77" s="218">
        <f>Y77/7</f>
        <v>28.571428571428601</v>
      </c>
      <c r="X77" s="215">
        <f>Z77</f>
        <v>46535</v>
      </c>
      <c r="Y77" s="628">
        <v>200</v>
      </c>
      <c r="Z77" s="633">
        <v>46535</v>
      </c>
      <c r="AA77" s="633">
        <v>46535</v>
      </c>
      <c r="AB77" s="637">
        <f t="shared" ref="AB77" si="118">Z77-X78</f>
        <v>0</v>
      </c>
      <c r="AC77" s="234">
        <f>IF(ISERROR(LOOKUP(AC$16,$L77:$X77,#REF!)),0,(LOOKUP(AC$16,$L77:$X77,#REF!)))</f>
        <v>0</v>
      </c>
      <c r="AD77" s="235">
        <f>IF(ISERROR(LOOKUP(AD$16,$L77:$X77,#REF!)),0,(LOOKUP(AD$16,$L77:$X77,#REF!)))</f>
        <v>0</v>
      </c>
      <c r="AE77" s="235">
        <f>IF(ISERROR(LOOKUP(AE$16,$L77:$X77,#REF!)),0,(LOOKUP(AE$16,$L77:$X77,#REF!)))</f>
        <v>0</v>
      </c>
      <c r="AF77" s="235">
        <f>IF(ISERROR(LOOKUP(AF$16,$L77:$X77,#REF!)),0,(LOOKUP(AF$16,$L77:$X77,#REF!)))</f>
        <v>0</v>
      </c>
      <c r="AG77" s="235">
        <f>IF(ISERROR(LOOKUP(AG$16,$L77:$X77,#REF!)),0,(LOOKUP(AG$16,$L77:$X77,#REF!)))</f>
        <v>0</v>
      </c>
      <c r="AH77" s="235">
        <f>IF(ISERROR(LOOKUP(AH$16,$L77:$X77,#REF!)),0,(LOOKUP(AH$16,$L77:$X77,#REF!)))</f>
        <v>0</v>
      </c>
      <c r="AI77" s="235">
        <f>IF(ISERROR(LOOKUP(AI$16,$L77:$X77,#REF!)),0,(LOOKUP(AI$16,$L77:$X77,#REF!)))</f>
        <v>0</v>
      </c>
      <c r="AJ77" s="235">
        <f>IF(ISERROR(LOOKUP(AJ$16,$L77:$X77,#REF!)),0,(LOOKUP(AJ$16,$L77:$X77,#REF!)))</f>
        <v>0</v>
      </c>
      <c r="AK77" s="235">
        <f>IF(ISERROR(LOOKUP(AK$16,$L77:$X77,#REF!)),0,(LOOKUP(AK$16,$L77:$X77,#REF!)))</f>
        <v>0</v>
      </c>
      <c r="AL77" s="235">
        <f>IF(ISERROR(LOOKUP(AL$16,$L77:$X77,#REF!)),0,(LOOKUP(AL$16,$L77:$X77,#REF!)))</f>
        <v>0</v>
      </c>
      <c r="AM77" s="235">
        <f ca="1">IF(ISERROR(LOOKUP(AM$16,$L77:$X77,#REF!)),0,(LOOKUP(AM$16,$L77:$X77,#REF!)))</f>
        <v>0</v>
      </c>
      <c r="AP77" s="215" t="e">
        <f>WORKDAY(AQ77,-INDEX(AQ$12:AQ$15,MATCH($I77,$I$12:$I$15,0)),$AW$17:$AW$148)</f>
        <v>#REF!</v>
      </c>
      <c r="AQ77" s="215" t="e">
        <f>WORKDAY(U77,-INDEX(U$12:U$15,MATCH($I77,$I$12:$I$15,0)),$AW$17:$AW$148)</f>
        <v>#REF!</v>
      </c>
      <c r="AR77" s="215" t="e">
        <f>WORKDAY(U77,-INDEX(U$12:U$15,MATCH($I77,$I$12:$I$15,0)),$AW$17:$AW$148)</f>
        <v>#REF!</v>
      </c>
      <c r="AS77" s="638">
        <v>7</v>
      </c>
      <c r="AW77" s="236" t="e">
        <v>#REF!</v>
      </c>
    </row>
    <row r="78" spans="1:49" s="167" customFormat="1" ht="18" customHeight="1">
      <c r="A78" s="597"/>
      <c r="B78" s="599"/>
      <c r="C78" s="602" t="str">
        <f t="shared" ref="C78" si="119">C77</f>
        <v>RFQ-021</v>
      </c>
      <c r="D78" s="602" t="str">
        <f t="shared" ref="D78" si="120">D77</f>
        <v>Control Valve</v>
      </c>
      <c r="E78" s="237"/>
      <c r="F78" s="614" t="str">
        <f>F77</f>
        <v>Instrument</v>
      </c>
      <c r="G78" s="602" t="str">
        <f>G77</f>
        <v>N</v>
      </c>
      <c r="H78" s="626"/>
      <c r="I78" s="231" t="str">
        <f>I77</f>
        <v>LB</v>
      </c>
      <c r="J78" s="233" t="s">
        <v>65</v>
      </c>
      <c r="K78" s="215">
        <f>K77</f>
        <v>46258</v>
      </c>
      <c r="L78" s="215">
        <f>WORKDAY(IF(K79="",K78,K79),INDEX(L$12:L$15,MATCH($I77,$I$12:$I$15,0)))</f>
        <v>46259</v>
      </c>
      <c r="M78" s="215">
        <f>WORKDAY(IF(L79="",L78,L79),INDEX(M$12:M$15,MATCH($I77,$I$12:$I$15,0)))</f>
        <v>46266</v>
      </c>
      <c r="N78" s="215">
        <f>WORKDAY(IF(M79="",M78,M79),INDEX(N$12:N$15,MATCH($I77,$I$12:$I$15,0)))</f>
        <v>46267</v>
      </c>
      <c r="O78" s="215">
        <f>WORKDAY(IF(N79="",N78,N79),INDEX(O$12:O$15,MATCH($I77,$I$12:$I$15,0)))</f>
        <v>46274</v>
      </c>
      <c r="P78" s="216"/>
      <c r="Q78" s="217"/>
      <c r="R78" s="215">
        <f>WORKDAY(IF(O79="",O78,O79),INDEX(R$12:R$15,MATCH($I77,$I$12:$I$15,0)))</f>
        <v>46288</v>
      </c>
      <c r="S78" s="215">
        <f>WORKDAY(IF(R79="",R78,R79),INDEX(S$12:S$15,MATCH($I77,$I$12:$I$15,0)))</f>
        <v>46316</v>
      </c>
      <c r="T78" s="215">
        <f>WORKDAY(IF(S79="",S78,S79),INDEX(T$12:T$15,MATCH($I77,$I$12:$I$15,0)))</f>
        <v>46321</v>
      </c>
      <c r="U78" s="215">
        <f>WORKDAY(IF(T79="",T78,T79),INDEX(U$12:U$15,MATCH($I77,$I$12:$I$15,0)))</f>
        <v>46335</v>
      </c>
      <c r="V78" s="215">
        <f>WORKDAY(IF(U79="",U78,U79),INDEX(V$12:V$15,MATCH($I77,$I$12:$I$15,0)))</f>
        <v>46337</v>
      </c>
      <c r="W78" s="218"/>
      <c r="X78" s="215">
        <f>U78+Y77</f>
        <v>46535</v>
      </c>
      <c r="Y78" s="628"/>
      <c r="Z78" s="633"/>
      <c r="AA78" s="633"/>
      <c r="AB78" s="637"/>
      <c r="AC78" s="234">
        <f>IF(ISERROR(LOOKUP(AC$16,$L78:$X78,#REF!)),0,(LOOKUP(AC$16,$L78:$X78,#REF!)))</f>
        <v>0</v>
      </c>
      <c r="AD78" s="235">
        <f>IF(ISERROR(LOOKUP(AD$16,$L78:$X78,#REF!)),0,(LOOKUP(AD$16,$L78:$X78,#REF!)))</f>
        <v>0</v>
      </c>
      <c r="AE78" s="235">
        <f>IF(ISERROR(LOOKUP(AE$16,$L78:$X78,#REF!)),0,(LOOKUP(AE$16,$L78:$X78,#REF!)))</f>
        <v>0</v>
      </c>
      <c r="AF78" s="235">
        <f>IF(ISERROR(LOOKUP(AF$16,$L78:$X78,#REF!)),0,(LOOKUP(AF$16,$L78:$X78,#REF!)))</f>
        <v>0</v>
      </c>
      <c r="AG78" s="235">
        <f>IF(ISERROR(LOOKUP(AG$16,$L78:$X78,#REF!)),0,(LOOKUP(AG$16,$L78:$X78,#REF!)))</f>
        <v>0</v>
      </c>
      <c r="AH78" s="235">
        <f>IF(ISERROR(LOOKUP(AH$16,$L78:$X78,#REF!)),0,(LOOKUP(AH$16,$L78:$X78,#REF!)))</f>
        <v>0</v>
      </c>
      <c r="AI78" s="235">
        <f>IF(ISERROR(LOOKUP(AI$16,$L78:$X78,#REF!)),0,(LOOKUP(AI$16,$L78:$X78,#REF!)))</f>
        <v>0</v>
      </c>
      <c r="AJ78" s="235">
        <f>IF(ISERROR(LOOKUP(AJ$16,$L78:$X78,#REF!)),0,(LOOKUP(AJ$16,$L78:$X78,#REF!)))</f>
        <v>0</v>
      </c>
      <c r="AK78" s="235">
        <f>IF(ISERROR(LOOKUP(AK$16,$L78:$X78,#REF!)),0,(LOOKUP(AK$16,$L78:$X78,#REF!)))</f>
        <v>0</v>
      </c>
      <c r="AL78" s="235">
        <f>IF(ISERROR(LOOKUP(AL$16,$L78:$X78,#REF!)),0,(LOOKUP(AL$16,$L78:$X78,#REF!)))</f>
        <v>0</v>
      </c>
      <c r="AM78" s="235">
        <f ca="1">IF(ISERROR(LOOKUP(AM$16,$L78:$X78,#REF!)),0,(LOOKUP(AM$16,$L78:$X78,#REF!)))</f>
        <v>0</v>
      </c>
      <c r="AP78" s="215" t="e">
        <f>WORKDAY(IF(T79="",T78,T79),INDEX(AP$12:AP$15,MATCH($I77,$I$12:$I$15,0)),$AW$17:$AW$148)</f>
        <v>#REF!</v>
      </c>
      <c r="AQ78" s="215" t="e">
        <f>WORKDAY(IF(AP79="",AP78,AP79),INDEX(AQ$12:AQ$15,MATCH($I77,$I$12:$I$15,0)),$AW$17:$AW$148)</f>
        <v>#REF!</v>
      </c>
      <c r="AR78" s="215" t="e">
        <f>WORKDAY(IF(AQ79="",AQ78,AQ79),INDEX(AR$12:AR$15,MATCH($I77,$I$12:$I$15,0)),$AW$17:$AW$148)</f>
        <v>#REF!</v>
      </c>
      <c r="AS78" s="638"/>
      <c r="AW78" s="236" t="e">
        <v>#REF!</v>
      </c>
    </row>
    <row r="79" spans="1:49" s="167" customFormat="1" ht="18" customHeight="1">
      <c r="A79" s="597"/>
      <c r="B79" s="600"/>
      <c r="C79" s="602" t="str">
        <f>C77</f>
        <v>RFQ-021</v>
      </c>
      <c r="D79" s="602" t="str">
        <f t="shared" ref="D79" si="121">D77</f>
        <v>Control Valve</v>
      </c>
      <c r="E79" s="238"/>
      <c r="F79" s="615" t="str">
        <f>F77</f>
        <v>Instrument</v>
      </c>
      <c r="G79" s="602" t="str">
        <f t="shared" ref="G79" si="122">G77</f>
        <v>N</v>
      </c>
      <c r="H79" s="627"/>
      <c r="I79" s="231" t="str">
        <f>I77</f>
        <v>LB</v>
      </c>
      <c r="J79" s="233" t="s">
        <v>67</v>
      </c>
      <c r="K79" s="212"/>
      <c r="L79" s="212"/>
      <c r="M79" s="212"/>
      <c r="N79" s="212"/>
      <c r="O79" s="212"/>
      <c r="P79" s="226"/>
      <c r="Q79" s="227"/>
      <c r="R79" s="212"/>
      <c r="S79" s="212"/>
      <c r="T79" s="212"/>
      <c r="U79" s="212"/>
      <c r="V79" s="212"/>
      <c r="W79" s="228"/>
      <c r="X79" s="212"/>
      <c r="Y79" s="628"/>
      <c r="Z79" s="633"/>
      <c r="AA79" s="633"/>
      <c r="AB79" s="637"/>
      <c r="AC79" s="239">
        <f>IF(ISERROR(LOOKUP(AC$16,$L79:$X79,#REF!)),0,(LOOKUP(AC$16,$L79:$X79,#REF!)))</f>
        <v>0</v>
      </c>
      <c r="AD79" s="240">
        <f>IF(ISERROR(LOOKUP(AD$16,$L79:$X79,#REF!)),0,(LOOKUP(AD$16,$L79:$X79,#REF!)))</f>
        <v>0</v>
      </c>
      <c r="AE79" s="240">
        <f>IF(ISERROR(LOOKUP(AE$16,$L79:$X79,#REF!)),0,(LOOKUP(AE$16,$L79:$X79,#REF!)))</f>
        <v>0</v>
      </c>
      <c r="AF79" s="240">
        <f>IF(ISERROR(LOOKUP(AF$16,$L79:$X79,#REF!)),0,(LOOKUP(AF$16,$L79:$X79,#REF!)))</f>
        <v>0</v>
      </c>
      <c r="AG79" s="240">
        <f>IF(ISERROR(LOOKUP(AG$16,$L79:$X79,#REF!)),0,(LOOKUP(AG$16,$L79:$X79,#REF!)))</f>
        <v>0</v>
      </c>
      <c r="AH79" s="240">
        <f>IF(ISERROR(LOOKUP(AH$16,$L79:$X79,#REF!)),0,(LOOKUP(AH$16,$L79:$X79,#REF!)))</f>
        <v>0</v>
      </c>
      <c r="AI79" s="240">
        <f>IF(ISERROR(LOOKUP(AI$16,$L79:$X79,#REF!)),0,(LOOKUP(AI$16,$L79:$X79,#REF!)))</f>
        <v>0</v>
      </c>
      <c r="AJ79" s="240">
        <f>IF(ISERROR(LOOKUP(AJ$16,$L79:$X79,#REF!)),0,(LOOKUP(AJ$16,$L79:$X79,#REF!)))</f>
        <v>0</v>
      </c>
      <c r="AK79" s="240">
        <f>IF(ISERROR(LOOKUP(AK$16,$L79:$X79,#REF!)),0,(LOOKUP(AK$16,$L79:$X79,#REF!)))</f>
        <v>0</v>
      </c>
      <c r="AL79" s="240">
        <f>IF(ISERROR(LOOKUP(AL$16,$L79:$X79,#REF!)),0,(LOOKUP(AL$16,$L79:$X79,#REF!)))</f>
        <v>0</v>
      </c>
      <c r="AM79" s="240">
        <f ca="1">IF(ISERROR(LOOKUP(AM$16,$L79:$X79,#REF!)),0,(LOOKUP(AM$16,$L79:$X79,#REF!)))</f>
        <v>0</v>
      </c>
      <c r="AP79" s="212"/>
      <c r="AQ79" s="212"/>
      <c r="AR79" s="212"/>
      <c r="AS79" s="638"/>
      <c r="AW79" s="236" t="e">
        <v>#REF!</v>
      </c>
    </row>
    <row r="80" spans="1:49" s="166" customFormat="1" ht="18" customHeight="1">
      <c r="A80" s="596">
        <f t="shared" ref="A80" si="123">A77+1</f>
        <v>22</v>
      </c>
      <c r="B80" s="598"/>
      <c r="C80" s="601" t="s">
        <v>4759</v>
      </c>
      <c r="D80" s="601" t="s">
        <v>143</v>
      </c>
      <c r="E80" s="213"/>
      <c r="F80" s="619" t="s">
        <v>139</v>
      </c>
      <c r="G80" s="601" t="s">
        <v>71</v>
      </c>
      <c r="H80" s="606"/>
      <c r="I80" s="212" t="s">
        <v>7</v>
      </c>
      <c r="J80" s="249" t="s">
        <v>61</v>
      </c>
      <c r="K80" s="215">
        <f>WORKDAY(L80,-INDEX(L$12:L$15,MATCH($I80,$I$12:$I$15,0)))</f>
        <v>46261</v>
      </c>
      <c r="L80" s="215">
        <f>WORKDAY(M80,-INDEX(M$12:M$15,MATCH($I80,$I$12:$I$15,0)))</f>
        <v>46262</v>
      </c>
      <c r="M80" s="215">
        <f>WORKDAY(N80,-INDEX(N$12:N$15,MATCH($I80,$I$12:$I$15,0)))</f>
        <v>46269</v>
      </c>
      <c r="N80" s="215">
        <f>WORKDAY(O80,-INDEX(O$12:O$15,MATCH($I80,$I$12:$I$15,0)))</f>
        <v>46272</v>
      </c>
      <c r="O80" s="215">
        <f>WORKDAY(R80,-INDEX(R$12:R$15,MATCH($I80,$I$12:$I$15,0)))</f>
        <v>46279</v>
      </c>
      <c r="P80" s="216">
        <f>U80-L80</f>
        <v>76</v>
      </c>
      <c r="Q80" s="217"/>
      <c r="R80" s="215">
        <f>WORKDAY(S80,-INDEX(S$12:S$15,MATCH($I80,$I$12:$I$15,0)))</f>
        <v>46293</v>
      </c>
      <c r="S80" s="215">
        <f>WORKDAY(T80,-INDEX(T$12:T$15,MATCH($I80,$I$12:$I$15,0)))</f>
        <v>46321</v>
      </c>
      <c r="T80" s="215">
        <f>WORKDAY(U80,-INDEX(U$12:U$15,MATCH($I80,$I$12:$I$15,0)))</f>
        <v>46324</v>
      </c>
      <c r="U80" s="215">
        <f>X80-Y80</f>
        <v>46338</v>
      </c>
      <c r="V80" s="215">
        <f>WORKDAY(U80,INDEX(V$12:V$15,MATCH($I80,$I$12:$I$15,0)))</f>
        <v>46342</v>
      </c>
      <c r="W80" s="218">
        <f>Y80/7</f>
        <v>28.571428571428601</v>
      </c>
      <c r="X80" s="215">
        <f>Z80</f>
        <v>46538</v>
      </c>
      <c r="Y80" s="628">
        <v>200</v>
      </c>
      <c r="Z80" s="633">
        <v>46538</v>
      </c>
      <c r="AA80" s="633">
        <v>46538</v>
      </c>
      <c r="AB80" s="637">
        <f t="shared" ref="AB80" si="124">Z80-X81</f>
        <v>0</v>
      </c>
      <c r="AC80" s="220">
        <f>IF(ISERROR(LOOKUP(AC$16,$L80:$X80,#REF!)),0,(LOOKUP(AC$16,$L80:$X80,#REF!)))</f>
        <v>0</v>
      </c>
      <c r="AD80" s="221">
        <f>IF(ISERROR(LOOKUP(AD$16,$L80:$X80,#REF!)),0,(LOOKUP(AD$16,$L80:$X80,#REF!)))</f>
        <v>0</v>
      </c>
      <c r="AE80" s="221">
        <f>IF(ISERROR(LOOKUP(AE$16,$L80:$X80,#REF!)),0,(LOOKUP(AE$16,$L80:$X80,#REF!)))</f>
        <v>0</v>
      </c>
      <c r="AF80" s="221">
        <f>IF(ISERROR(LOOKUP(AF$16,$L80:$X80,#REF!)),0,(LOOKUP(AF$16,$L80:$X80,#REF!)))</f>
        <v>0</v>
      </c>
      <c r="AG80" s="221">
        <f>IF(ISERROR(LOOKUP(AG$16,$L80:$X80,#REF!)),0,(LOOKUP(AG$16,$L80:$X80,#REF!)))</f>
        <v>0</v>
      </c>
      <c r="AH80" s="221">
        <f>IF(ISERROR(LOOKUP(AH$16,$L80:$X80,#REF!)),0,(LOOKUP(AH$16,$L80:$X80,#REF!)))</f>
        <v>0</v>
      </c>
      <c r="AI80" s="221">
        <f>IF(ISERROR(LOOKUP(AI$16,$L80:$X80,#REF!)),0,(LOOKUP(AI$16,$L80:$X80,#REF!)))</f>
        <v>0</v>
      </c>
      <c r="AJ80" s="221">
        <f>IF(ISERROR(LOOKUP(AJ$16,$L80:$X80,#REF!)),0,(LOOKUP(AJ$16,$L80:$X80,#REF!)))</f>
        <v>0</v>
      </c>
      <c r="AK80" s="221">
        <f>IF(ISERROR(LOOKUP(AK$16,$L80:$X80,#REF!)),0,(LOOKUP(AK$16,$L80:$X80,#REF!)))</f>
        <v>0</v>
      </c>
      <c r="AL80" s="221">
        <f>IF(ISERROR(LOOKUP(AL$16,$L80:$X80,#REF!)),0,(LOOKUP(AL$16,$L80:$X80,#REF!)))</f>
        <v>0</v>
      </c>
      <c r="AM80" s="221">
        <f ca="1">IF(ISERROR(LOOKUP(AM$16,$L80:$X80,#REF!)),0,(LOOKUP(AM$16,$L80:$X80,#REF!)))</f>
        <v>0</v>
      </c>
      <c r="AP80" s="215" t="e">
        <f>WORKDAY(AQ80,-INDEX(AQ$12:AQ$15,MATCH($I80,$I$12:$I$15,0)),$AW$17:$AW$148)</f>
        <v>#REF!</v>
      </c>
      <c r="AQ80" s="215" t="e">
        <f>WORKDAY(U80,-INDEX(U$12:U$15,MATCH($I80,$I$12:$I$15,0)),$AW$17:$AW$148)</f>
        <v>#REF!</v>
      </c>
      <c r="AR80" s="215" t="e">
        <f>WORKDAY(U80,-INDEX(U$12:U$15,MATCH($I80,$I$12:$I$15,0)),$AW$17:$AW$148)</f>
        <v>#REF!</v>
      </c>
      <c r="AS80" s="638">
        <v>7</v>
      </c>
      <c r="AW80" s="223" t="e">
        <v>#REF!</v>
      </c>
    </row>
    <row r="81" spans="1:49" s="166" customFormat="1" ht="18" customHeight="1">
      <c r="A81" s="596"/>
      <c r="B81" s="599"/>
      <c r="C81" s="601" t="str">
        <f t="shared" ref="C81" si="125">C80</f>
        <v>RFQ-022</v>
      </c>
      <c r="D81" s="601" t="str">
        <f t="shared" ref="D81:G81" si="126">D80</f>
        <v>Self Regulator Valve</v>
      </c>
      <c r="E81" s="224"/>
      <c r="F81" s="620" t="str">
        <f t="shared" si="126"/>
        <v>Instrument</v>
      </c>
      <c r="G81" s="601" t="str">
        <f t="shared" si="126"/>
        <v>N</v>
      </c>
      <c r="H81" s="607"/>
      <c r="I81" s="212" t="str">
        <f>I80</f>
        <v>LB</v>
      </c>
      <c r="J81" s="249" t="s">
        <v>65</v>
      </c>
      <c r="K81" s="215">
        <f>K80</f>
        <v>46261</v>
      </c>
      <c r="L81" s="215">
        <f>WORKDAY(IF(K82="",K81,K82),INDEX(L$12:L$15,MATCH($I80,$I$12:$I$15,0)))</f>
        <v>46262</v>
      </c>
      <c r="M81" s="215">
        <f>WORKDAY(IF(L82="",L81,L82),INDEX(M$12:M$15,MATCH($I80,$I$12:$I$15,0)))</f>
        <v>46269</v>
      </c>
      <c r="N81" s="215">
        <f>WORKDAY(IF(M82="",M81,M82),INDEX(N$12:N$15,MATCH($I80,$I$12:$I$15,0)))</f>
        <v>46272</v>
      </c>
      <c r="O81" s="215">
        <f>WORKDAY(IF(N82="",N81,N82),INDEX(O$12:O$15,MATCH($I80,$I$12:$I$15,0)))</f>
        <v>46279</v>
      </c>
      <c r="P81" s="216"/>
      <c r="Q81" s="217"/>
      <c r="R81" s="215">
        <f>WORKDAY(IF(O82="",O81,O82),INDEX(R$12:R$15,MATCH($I80,$I$12:$I$15,0)))</f>
        <v>46293</v>
      </c>
      <c r="S81" s="215">
        <f>WORKDAY(IF(R82="",R81,R82),INDEX(S$12:S$15,MATCH($I80,$I$12:$I$15,0)))</f>
        <v>46321</v>
      </c>
      <c r="T81" s="215">
        <f>WORKDAY(IF(S82="",S81,S82),INDEX(T$12:T$15,MATCH($I80,$I$12:$I$15,0)))</f>
        <v>46324</v>
      </c>
      <c r="U81" s="215">
        <f>WORKDAY(IF(T82="",T81,T82),INDEX(U$12:U$15,MATCH($I80,$I$12:$I$15,0)))</f>
        <v>46338</v>
      </c>
      <c r="V81" s="215">
        <f>WORKDAY(IF(U82="",U81,U82),INDEX(V$12:V$15,MATCH($I80,$I$12:$I$15,0)))</f>
        <v>46342</v>
      </c>
      <c r="W81" s="218"/>
      <c r="X81" s="215">
        <f>U81+Y80</f>
        <v>46538</v>
      </c>
      <c r="Y81" s="628"/>
      <c r="Z81" s="633"/>
      <c r="AA81" s="633"/>
      <c r="AB81" s="637"/>
      <c r="AC81" s="220">
        <f>IF(ISERROR(LOOKUP(AC$16,$L81:$X81,#REF!)),0,(LOOKUP(AC$16,$L81:$X81,#REF!)))</f>
        <v>0</v>
      </c>
      <c r="AD81" s="221">
        <f>IF(ISERROR(LOOKUP(AD$16,$L81:$X81,#REF!)),0,(LOOKUP(AD$16,$L81:$X81,#REF!)))</f>
        <v>0</v>
      </c>
      <c r="AE81" s="221">
        <f>IF(ISERROR(LOOKUP(AE$16,$L81:$X81,#REF!)),0,(LOOKUP(AE$16,$L81:$X81,#REF!)))</f>
        <v>0</v>
      </c>
      <c r="AF81" s="221">
        <f>IF(ISERROR(LOOKUP(AF$16,$L81:$X81,#REF!)),0,(LOOKUP(AF$16,$L81:$X81,#REF!)))</f>
        <v>0</v>
      </c>
      <c r="AG81" s="221">
        <f>IF(ISERROR(LOOKUP(AG$16,$L81:$X81,#REF!)),0,(LOOKUP(AG$16,$L81:$X81,#REF!)))</f>
        <v>0</v>
      </c>
      <c r="AH81" s="221">
        <f>IF(ISERROR(LOOKUP(AH$16,$L81:$X81,#REF!)),0,(LOOKUP(AH$16,$L81:$X81,#REF!)))</f>
        <v>0</v>
      </c>
      <c r="AI81" s="221">
        <f>IF(ISERROR(LOOKUP(AI$16,$L81:$X81,#REF!)),0,(LOOKUP(AI$16,$L81:$X81,#REF!)))</f>
        <v>0</v>
      </c>
      <c r="AJ81" s="221">
        <f>IF(ISERROR(LOOKUP(AJ$16,$L81:$X81,#REF!)),0,(LOOKUP(AJ$16,$L81:$X81,#REF!)))</f>
        <v>0</v>
      </c>
      <c r="AK81" s="221">
        <f>IF(ISERROR(LOOKUP(AK$16,$L81:$X81,#REF!)),0,(LOOKUP(AK$16,$L81:$X81,#REF!)))</f>
        <v>0</v>
      </c>
      <c r="AL81" s="221">
        <f>IF(ISERROR(LOOKUP(AL$16,$L81:$X81,#REF!)),0,(LOOKUP(AL$16,$L81:$X81,#REF!)))</f>
        <v>0</v>
      </c>
      <c r="AM81" s="221">
        <f ca="1">IF(ISERROR(LOOKUP(AM$16,$L81:$X81,#REF!)),0,(LOOKUP(AM$16,$L81:$X81,#REF!)))</f>
        <v>0</v>
      </c>
      <c r="AP81" s="215" t="e">
        <f>WORKDAY(IF(T82="",T81,T82),INDEX(AP$12:AP$15,MATCH($I80,$I$12:$I$15,0)),$AW$17:$AW$148)</f>
        <v>#REF!</v>
      </c>
      <c r="AQ81" s="215" t="e">
        <f>WORKDAY(IF(AP82="",AP81,AP82),INDEX(AQ$12:AQ$15,MATCH($I80,$I$12:$I$15,0)),$AW$17:$AW$148)</f>
        <v>#REF!</v>
      </c>
      <c r="AR81" s="215" t="e">
        <f>WORKDAY(IF(AQ82="",AQ81,AQ82),INDEX(AR$12:AR$15,MATCH($I80,$I$12:$I$15,0)),$AW$17:$AW$148)</f>
        <v>#REF!</v>
      </c>
      <c r="AS81" s="638"/>
      <c r="AW81" s="223" t="e">
        <v>#REF!</v>
      </c>
    </row>
    <row r="82" spans="1:49" s="166" customFormat="1" ht="22.35" customHeight="1">
      <c r="A82" s="596"/>
      <c r="B82" s="600"/>
      <c r="C82" s="601" t="str">
        <f>C80</f>
        <v>RFQ-022</v>
      </c>
      <c r="D82" s="601" t="str">
        <f t="shared" ref="D82:F82" si="127">D80</f>
        <v>Self Regulator Valve</v>
      </c>
      <c r="E82" s="225"/>
      <c r="F82" s="621" t="str">
        <f t="shared" si="127"/>
        <v>Instrument</v>
      </c>
      <c r="G82" s="601" t="str">
        <f t="shared" ref="G82" si="128">G80</f>
        <v>N</v>
      </c>
      <c r="H82" s="608"/>
      <c r="I82" s="212" t="str">
        <f>I80</f>
        <v>LB</v>
      </c>
      <c r="J82" s="249" t="s">
        <v>67</v>
      </c>
      <c r="K82" s="212"/>
      <c r="L82" s="212"/>
      <c r="M82" s="212"/>
      <c r="N82" s="212"/>
      <c r="O82" s="212"/>
      <c r="P82" s="226"/>
      <c r="Q82" s="227"/>
      <c r="R82" s="212"/>
      <c r="S82" s="212"/>
      <c r="T82" s="212"/>
      <c r="U82" s="212"/>
      <c r="V82" s="212"/>
      <c r="W82" s="228"/>
      <c r="X82" s="212"/>
      <c r="Y82" s="628"/>
      <c r="Z82" s="633"/>
      <c r="AA82" s="633"/>
      <c r="AB82" s="637"/>
      <c r="AC82" s="229">
        <f>IF(ISERROR(LOOKUP(AC$16,$L82:$X82,#REF!)),0,(LOOKUP(AC$16,$L82:$X82,#REF!)))</f>
        <v>0</v>
      </c>
      <c r="AD82" s="230">
        <f>IF(ISERROR(LOOKUP(AD$16,$L82:$X82,#REF!)),0,(LOOKUP(AD$16,$L82:$X82,#REF!)))</f>
        <v>0</v>
      </c>
      <c r="AE82" s="230">
        <f>IF(ISERROR(LOOKUP(AE$16,$L82:$X82,#REF!)),0,(LOOKUP(AE$16,$L82:$X82,#REF!)))</f>
        <v>0</v>
      </c>
      <c r="AF82" s="230">
        <f>IF(ISERROR(LOOKUP(AF$16,$L82:$X82,#REF!)),0,(LOOKUP(AF$16,$L82:$X82,#REF!)))</f>
        <v>0</v>
      </c>
      <c r="AG82" s="230">
        <f>IF(ISERROR(LOOKUP(AG$16,$L82:$X82,#REF!)),0,(LOOKUP(AG$16,$L82:$X82,#REF!)))</f>
        <v>0</v>
      </c>
      <c r="AH82" s="230">
        <f>IF(ISERROR(LOOKUP(AH$16,$L82:$X82,#REF!)),0,(LOOKUP(AH$16,$L82:$X82,#REF!)))</f>
        <v>0</v>
      </c>
      <c r="AI82" s="230">
        <f>IF(ISERROR(LOOKUP(AI$16,$L82:$X82,#REF!)),0,(LOOKUP(AI$16,$L82:$X82,#REF!)))</f>
        <v>0</v>
      </c>
      <c r="AJ82" s="230">
        <f>IF(ISERROR(LOOKUP(AJ$16,$L82:$X82,#REF!)),0,(LOOKUP(AJ$16,$L82:$X82,#REF!)))</f>
        <v>0</v>
      </c>
      <c r="AK82" s="230">
        <f>IF(ISERROR(LOOKUP(AK$16,$L82:$X82,#REF!)),0,(LOOKUP(AK$16,$L82:$X82,#REF!)))</f>
        <v>0</v>
      </c>
      <c r="AL82" s="230">
        <f>IF(ISERROR(LOOKUP(AL$16,$L82:$X82,#REF!)),0,(LOOKUP(AL$16,$L82:$X82,#REF!)))</f>
        <v>0</v>
      </c>
      <c r="AM82" s="230">
        <f ca="1">IF(ISERROR(LOOKUP(AM$16,$L82:$X82,#REF!)),0,(LOOKUP(AM$16,$L82:$X82,#REF!)))</f>
        <v>0</v>
      </c>
      <c r="AP82" s="212"/>
      <c r="AQ82" s="212"/>
      <c r="AR82" s="212"/>
      <c r="AS82" s="638"/>
      <c r="AW82" s="223" t="e">
        <v>#REF!</v>
      </c>
    </row>
    <row r="83" spans="1:49" s="169" customFormat="1" ht="22.5" customHeight="1">
      <c r="A83" s="596">
        <f t="shared" ref="A83" si="129">A80+1</f>
        <v>23</v>
      </c>
      <c r="B83" s="598"/>
      <c r="C83" s="601" t="s">
        <v>4760</v>
      </c>
      <c r="D83" s="601" t="s">
        <v>146</v>
      </c>
      <c r="E83" s="213"/>
      <c r="F83" s="610" t="s">
        <v>139</v>
      </c>
      <c r="G83" s="601" t="s">
        <v>71</v>
      </c>
      <c r="H83" s="606"/>
      <c r="I83" s="190" t="s">
        <v>6</v>
      </c>
      <c r="J83" s="249" t="s">
        <v>61</v>
      </c>
      <c r="K83" s="215">
        <f>WORKDAY(L83,-INDEX(L$12:L$15,MATCH($I83,$I$12:$I$15,0)))</f>
        <v>46153</v>
      </c>
      <c r="L83" s="215">
        <f>WORKDAY(M83,-INDEX(M$12:M$15,MATCH($I83,$I$12:$I$15,0)))</f>
        <v>46154</v>
      </c>
      <c r="M83" s="215">
        <f>WORKDAY(N83,-INDEX(N$12:N$15,MATCH($I83,$I$12:$I$15,0)))</f>
        <v>46161</v>
      </c>
      <c r="N83" s="215">
        <f>WORKDAY(O83,-INDEX(O$12:O$15,MATCH($I83,$I$12:$I$15,0)))</f>
        <v>46162</v>
      </c>
      <c r="O83" s="215">
        <f>WORKDAY(R83,-INDEX(R$12:R$15,MATCH($I83,$I$12:$I$15,0)))</f>
        <v>46169</v>
      </c>
      <c r="P83" s="216">
        <f>U83-L83</f>
        <v>76</v>
      </c>
      <c r="Q83" s="217"/>
      <c r="R83" s="215">
        <f>WORKDAY(S83,-INDEX(S$12:S$15,MATCH($I83,$I$12:$I$15,0)))</f>
        <v>46183</v>
      </c>
      <c r="S83" s="215">
        <f>WORKDAY(T83,-INDEX(T$12:T$15,MATCH($I83,$I$12:$I$15,0)))</f>
        <v>46211</v>
      </c>
      <c r="T83" s="215">
        <f>WORKDAY(U83,-INDEX(U$12:U$15,MATCH($I83,$I$12:$I$15,0)))</f>
        <v>46216</v>
      </c>
      <c r="U83" s="215">
        <f>X83-Y83</f>
        <v>46230</v>
      </c>
      <c r="V83" s="215">
        <f>WORKDAY(U83,INDEX(V$12:V$15,MATCH($I83,$I$12:$I$15,0)))</f>
        <v>46232</v>
      </c>
      <c r="W83" s="218">
        <f>Y83/7</f>
        <v>44</v>
      </c>
      <c r="X83" s="215">
        <f>Z83</f>
        <v>46538</v>
      </c>
      <c r="Y83" s="628">
        <f>44*7</f>
        <v>308</v>
      </c>
      <c r="Z83" s="633">
        <v>46538</v>
      </c>
      <c r="AA83" s="633">
        <v>46538</v>
      </c>
      <c r="AB83" s="637">
        <f t="shared" ref="AB83" si="130">Z83-X84</f>
        <v>0</v>
      </c>
      <c r="AC83" s="250">
        <f>IF(ISERROR(LOOKUP(AC$16,$L83:$X83,#REF!)),0,(LOOKUP(AC$16,$L83:$X83,#REF!)))</f>
        <v>0</v>
      </c>
      <c r="AD83" s="251">
        <f>IF(ISERROR(LOOKUP(AD$16,$L83:$X83,#REF!)),0,(LOOKUP(AD$16,$L83:$X83,#REF!)))</f>
        <v>0</v>
      </c>
      <c r="AE83" s="251">
        <f>IF(ISERROR(LOOKUP(AE$16,$L83:$X83,#REF!)),0,(LOOKUP(AE$16,$L83:$X83,#REF!)))</f>
        <v>0</v>
      </c>
      <c r="AF83" s="251">
        <f>IF(ISERROR(LOOKUP(AF$16,$L83:$X83,#REF!)),0,(LOOKUP(AF$16,$L83:$X83,#REF!)))</f>
        <v>0</v>
      </c>
      <c r="AG83" s="251">
        <f>IF(ISERROR(LOOKUP(AG$16,$L83:$X83,#REF!)),0,(LOOKUP(AG$16,$L83:$X83,#REF!)))</f>
        <v>0</v>
      </c>
      <c r="AH83" s="251">
        <f>IF(ISERROR(LOOKUP(AH$16,$L83:$X83,#REF!)),0,(LOOKUP(AH$16,$L83:$X83,#REF!)))</f>
        <v>0</v>
      </c>
      <c r="AI83" s="251">
        <f>IF(ISERROR(LOOKUP(AI$16,$L83:$X83,#REF!)),0,(LOOKUP(AI$16,$L83:$X83,#REF!)))</f>
        <v>0</v>
      </c>
      <c r="AJ83" s="251">
        <f>IF(ISERROR(LOOKUP(AJ$16,$L83:$X83,#REF!)),0,(LOOKUP(AJ$16,$L83:$X83,#REF!)))</f>
        <v>0</v>
      </c>
      <c r="AK83" s="251">
        <f>IF(ISERROR(LOOKUP(AK$16,$L83:$X83,#REF!)),0,(LOOKUP(AK$16,$L83:$X83,#REF!)))</f>
        <v>0</v>
      </c>
      <c r="AL83" s="251">
        <f>IF(ISERROR(LOOKUP(AL$16,$L83:$X83,#REF!)),0,(LOOKUP(AL$16,$L83:$X83,#REF!)))</f>
        <v>0</v>
      </c>
      <c r="AM83" s="251">
        <f ca="1">IF(ISERROR(LOOKUP(AM$16,$L83:$X83,#REF!)),0,(LOOKUP(AM$16,$L83:$X83,#REF!)))</f>
        <v>0</v>
      </c>
      <c r="AP83" s="215" t="e">
        <f>WORKDAY(AQ83,-INDEX(AQ$12:AQ$15,MATCH($I83,$I$12:$I$15,0)),$AW$17:$AW$148)</f>
        <v>#REF!</v>
      </c>
      <c r="AQ83" s="215" t="e">
        <f>WORKDAY(U83,-INDEX(U$12:U$15,MATCH($I83,$I$12:$I$15,0)),$AW$17:$AW$148)</f>
        <v>#REF!</v>
      </c>
      <c r="AR83" s="215" t="e">
        <f>WORKDAY(U83,-INDEX(U$12:U$15,MATCH($I83,$I$12:$I$15,0)),$AW$17:$AW$148)</f>
        <v>#REF!</v>
      </c>
      <c r="AS83" s="638">
        <v>7</v>
      </c>
      <c r="AW83" s="252" t="e">
        <v>#REF!</v>
      </c>
    </row>
    <row r="84" spans="1:49" s="169" customFormat="1" ht="22.5" customHeight="1">
      <c r="A84" s="596"/>
      <c r="B84" s="599"/>
      <c r="C84" s="601" t="str">
        <f t="shared" ref="C84" si="131">C83</f>
        <v>RFQ-023</v>
      </c>
      <c r="D84" s="601" t="str">
        <f t="shared" ref="D84:G84" si="132">D83</f>
        <v>Actuated Choke Valve</v>
      </c>
      <c r="E84" s="224"/>
      <c r="F84" s="611" t="str">
        <f t="shared" si="132"/>
        <v>Instrument</v>
      </c>
      <c r="G84" s="601" t="str">
        <f t="shared" si="132"/>
        <v>N</v>
      </c>
      <c r="H84" s="607"/>
      <c r="I84" s="212" t="str">
        <f>I83</f>
        <v>LA</v>
      </c>
      <c r="J84" s="253" t="s">
        <v>65</v>
      </c>
      <c r="K84" s="215">
        <f>K83</f>
        <v>46153</v>
      </c>
      <c r="L84" s="215">
        <f>WORKDAY(IF(K85="",K84,K85),INDEX(L$12:L$15,MATCH($I83,$I$12:$I$15,0)))</f>
        <v>46154</v>
      </c>
      <c r="M84" s="215">
        <f>WORKDAY(IF(L85="",L84,L85),INDEX(M$12:M$15,MATCH($I83,$I$12:$I$15,0)))</f>
        <v>46161</v>
      </c>
      <c r="N84" s="215">
        <f>WORKDAY(IF(M85="",M84,M85),INDEX(N$12:N$15,MATCH($I83,$I$12:$I$15,0)))</f>
        <v>46162</v>
      </c>
      <c r="O84" s="215">
        <f>WORKDAY(IF(N85="",N84,N85),INDEX(O$12:O$15,MATCH($I83,$I$12:$I$15,0)))</f>
        <v>46169</v>
      </c>
      <c r="P84" s="216"/>
      <c r="Q84" s="217"/>
      <c r="R84" s="215">
        <f>WORKDAY(IF(O85="",O84,O85),INDEX(R$12:R$15,MATCH($I83,$I$12:$I$15,0)))</f>
        <v>46183</v>
      </c>
      <c r="S84" s="215">
        <f>WORKDAY(IF(R85="",R84,R85),INDEX(S$12:S$15,MATCH($I83,$I$12:$I$15,0)))</f>
        <v>46211</v>
      </c>
      <c r="T84" s="215">
        <f>WORKDAY(IF(S85="",S84,S85),INDEX(T$12:T$15,MATCH($I83,$I$12:$I$15,0)))</f>
        <v>46216</v>
      </c>
      <c r="U84" s="215">
        <f>WORKDAY(IF(T85="",T84,T85),INDEX(U$12:U$15,MATCH($I83,$I$12:$I$15,0)))</f>
        <v>46230</v>
      </c>
      <c r="V84" s="215">
        <f>WORKDAY(IF(U85="",U84,U85),INDEX(V$12:V$15,MATCH($I83,$I$12:$I$15,0)))</f>
        <v>46232</v>
      </c>
      <c r="W84" s="218"/>
      <c r="X84" s="215">
        <f>U84+Y83</f>
        <v>46538</v>
      </c>
      <c r="Y84" s="628"/>
      <c r="Z84" s="633"/>
      <c r="AA84" s="633"/>
      <c r="AB84" s="637"/>
      <c r="AC84" s="250">
        <f>IF(ISERROR(LOOKUP(AC$16,$L84:$X84,#REF!)),0,(LOOKUP(AC$16,$L84:$X84,#REF!)))</f>
        <v>0</v>
      </c>
      <c r="AD84" s="251">
        <f>IF(ISERROR(LOOKUP(AD$16,$L84:$X84,#REF!)),0,(LOOKUP(AD$16,$L84:$X84,#REF!)))</f>
        <v>0</v>
      </c>
      <c r="AE84" s="251">
        <f>IF(ISERROR(LOOKUP(AE$16,$L84:$X84,#REF!)),0,(LOOKUP(AE$16,$L84:$X84,#REF!)))</f>
        <v>0</v>
      </c>
      <c r="AF84" s="251">
        <f>IF(ISERROR(LOOKUP(AF$16,$L84:$X84,#REF!)),0,(LOOKUP(AF$16,$L84:$X84,#REF!)))</f>
        <v>0</v>
      </c>
      <c r="AG84" s="251">
        <f>IF(ISERROR(LOOKUP(AG$16,$L84:$X84,#REF!)),0,(LOOKUP(AG$16,$L84:$X84,#REF!)))</f>
        <v>0</v>
      </c>
      <c r="AH84" s="251">
        <f>IF(ISERROR(LOOKUP(AH$16,$L84:$X84,#REF!)),0,(LOOKUP(AH$16,$L84:$X84,#REF!)))</f>
        <v>0</v>
      </c>
      <c r="AI84" s="251">
        <f>IF(ISERROR(LOOKUP(AI$16,$L84:$X84,#REF!)),0,(LOOKUP(AI$16,$L84:$X84,#REF!)))</f>
        <v>0</v>
      </c>
      <c r="AJ84" s="251">
        <f>IF(ISERROR(LOOKUP(AJ$16,$L84:$X84,#REF!)),0,(LOOKUP(AJ$16,$L84:$X84,#REF!)))</f>
        <v>0</v>
      </c>
      <c r="AK84" s="251">
        <f>IF(ISERROR(LOOKUP(AK$16,$L84:$X84,#REF!)),0,(LOOKUP(AK$16,$L84:$X84,#REF!)))</f>
        <v>0</v>
      </c>
      <c r="AL84" s="251">
        <f>IF(ISERROR(LOOKUP(AL$16,$L84:$X84,#REF!)),0,(LOOKUP(AL$16,$L84:$X84,#REF!)))</f>
        <v>0</v>
      </c>
      <c r="AM84" s="251">
        <f ca="1">IF(ISERROR(LOOKUP(AM$16,$L84:$X84,#REF!)),0,(LOOKUP(AM$16,$L84:$X84,#REF!)))</f>
        <v>0</v>
      </c>
      <c r="AP84" s="215" t="e">
        <f>WORKDAY(IF(T85="",T84,T85),INDEX(AP$12:AP$15,MATCH($I83,$I$12:$I$15,0)),$AW$17:$AW$148)</f>
        <v>#REF!</v>
      </c>
      <c r="AQ84" s="215" t="e">
        <f>WORKDAY(IF(AP85="",AP84,AP85),INDEX(AQ$12:AQ$15,MATCH($I83,$I$12:$I$15,0)),$AW$17:$AW$148)</f>
        <v>#REF!</v>
      </c>
      <c r="AR84" s="215" t="e">
        <f>WORKDAY(IF(AQ85="",AQ84,AQ85),INDEX(AR$12:AR$15,MATCH($I83,$I$12:$I$15,0)),$AW$17:$AW$148)</f>
        <v>#REF!</v>
      </c>
      <c r="AS84" s="638"/>
      <c r="AW84" s="252" t="e">
        <v>#REF!</v>
      </c>
    </row>
    <row r="85" spans="1:49" s="169" customFormat="1" ht="15" customHeight="1">
      <c r="A85" s="596"/>
      <c r="B85" s="600"/>
      <c r="C85" s="601" t="str">
        <f>C83</f>
        <v>RFQ-023</v>
      </c>
      <c r="D85" s="601" t="str">
        <f t="shared" ref="D85:F85" si="133">D83</f>
        <v>Actuated Choke Valve</v>
      </c>
      <c r="E85" s="225"/>
      <c r="F85" s="612" t="str">
        <f t="shared" si="133"/>
        <v>Instrument</v>
      </c>
      <c r="G85" s="601" t="str">
        <f t="shared" ref="G85" si="134">G83</f>
        <v>N</v>
      </c>
      <c r="H85" s="608"/>
      <c r="I85" s="212" t="str">
        <f>I83</f>
        <v>LA</v>
      </c>
      <c r="J85" s="249" t="s">
        <v>67</v>
      </c>
      <c r="K85" s="212"/>
      <c r="L85" s="212"/>
      <c r="M85" s="212"/>
      <c r="N85" s="212"/>
      <c r="O85" s="212"/>
      <c r="P85" s="226"/>
      <c r="Q85" s="227"/>
      <c r="R85" s="212"/>
      <c r="S85" s="212"/>
      <c r="T85" s="212"/>
      <c r="U85" s="212"/>
      <c r="V85" s="212"/>
      <c r="W85" s="228"/>
      <c r="X85" s="212"/>
      <c r="Y85" s="628"/>
      <c r="Z85" s="633"/>
      <c r="AA85" s="633"/>
      <c r="AB85" s="637"/>
      <c r="AC85" s="254">
        <f>IF(ISERROR(LOOKUP(AC$16,$L85:$X85,#REF!)),0,(LOOKUP(AC$16,$L85:$X85,#REF!)))</f>
        <v>0</v>
      </c>
      <c r="AD85" s="255">
        <f>IF(ISERROR(LOOKUP(AD$16,$L85:$X85,#REF!)),0,(LOOKUP(AD$16,$L85:$X85,#REF!)))</f>
        <v>0</v>
      </c>
      <c r="AE85" s="255">
        <f>IF(ISERROR(LOOKUP(AE$16,$L85:$X85,#REF!)),0,(LOOKUP(AE$16,$L85:$X85,#REF!)))</f>
        <v>0</v>
      </c>
      <c r="AF85" s="255">
        <f>IF(ISERROR(LOOKUP(AF$16,$L85:$X85,#REF!)),0,(LOOKUP(AF$16,$L85:$X85,#REF!)))</f>
        <v>0</v>
      </c>
      <c r="AG85" s="255">
        <f>IF(ISERROR(LOOKUP(AG$16,$L85:$X85,#REF!)),0,(LOOKUP(AG$16,$L85:$X85,#REF!)))</f>
        <v>0</v>
      </c>
      <c r="AH85" s="255">
        <f>IF(ISERROR(LOOKUP(AH$16,$L85:$X85,#REF!)),0,(LOOKUP(AH$16,$L85:$X85,#REF!)))</f>
        <v>0</v>
      </c>
      <c r="AI85" s="255">
        <f>IF(ISERROR(LOOKUP(AI$16,$L85:$X85,#REF!)),0,(LOOKUP(AI$16,$L85:$X85,#REF!)))</f>
        <v>0</v>
      </c>
      <c r="AJ85" s="255">
        <f>IF(ISERROR(LOOKUP(AJ$16,$L85:$X85,#REF!)),0,(LOOKUP(AJ$16,$L85:$X85,#REF!)))</f>
        <v>0</v>
      </c>
      <c r="AK85" s="255">
        <f>IF(ISERROR(LOOKUP(AK$16,$L85:$X85,#REF!)),0,(LOOKUP(AK$16,$L85:$X85,#REF!)))</f>
        <v>0</v>
      </c>
      <c r="AL85" s="255">
        <f>IF(ISERROR(LOOKUP(AL$16,$L85:$X85,#REF!)),0,(LOOKUP(AL$16,$L85:$X85,#REF!)))</f>
        <v>0</v>
      </c>
      <c r="AM85" s="255">
        <f ca="1">IF(ISERROR(LOOKUP(AM$16,$L85:$X85,#REF!)),0,(LOOKUP(AM$16,$L85:$X85,#REF!)))</f>
        <v>0</v>
      </c>
      <c r="AP85" s="212"/>
      <c r="AQ85" s="212"/>
      <c r="AR85" s="212"/>
      <c r="AS85" s="638"/>
      <c r="AW85" s="252" t="e">
        <v>#REF!</v>
      </c>
    </row>
    <row r="86" spans="1:49" s="166" customFormat="1" ht="18" customHeight="1">
      <c r="A86" s="596">
        <f t="shared" ref="A86" si="135">A83+1</f>
        <v>24</v>
      </c>
      <c r="B86" s="598"/>
      <c r="C86" s="601" t="s">
        <v>4761</v>
      </c>
      <c r="D86" s="601" t="s">
        <v>149</v>
      </c>
      <c r="E86" s="213"/>
      <c r="F86" s="619" t="s">
        <v>139</v>
      </c>
      <c r="G86" s="601" t="s">
        <v>71</v>
      </c>
      <c r="H86" s="606"/>
      <c r="I86" s="212" t="s">
        <v>7</v>
      </c>
      <c r="J86" s="249" t="s">
        <v>61</v>
      </c>
      <c r="K86" s="215">
        <f>WORKDAY(L86,-INDEX(L$12:L$15,MATCH($I86,$I$12:$I$15,0)))</f>
        <v>46209</v>
      </c>
      <c r="L86" s="215">
        <f>WORKDAY(M86,-INDEX(M$12:M$15,MATCH($I86,$I$12:$I$15,0)))</f>
        <v>46210</v>
      </c>
      <c r="M86" s="215">
        <f>WORKDAY(N86,-INDEX(N$12:N$15,MATCH($I86,$I$12:$I$15,0)))</f>
        <v>46217</v>
      </c>
      <c r="N86" s="215">
        <f>WORKDAY(O86,-INDEX(O$12:O$15,MATCH($I86,$I$12:$I$15,0)))</f>
        <v>46218</v>
      </c>
      <c r="O86" s="215">
        <f>WORKDAY(R86,-INDEX(R$12:R$15,MATCH($I86,$I$12:$I$15,0)))</f>
        <v>46225</v>
      </c>
      <c r="P86" s="216">
        <f>U86-L86</f>
        <v>76</v>
      </c>
      <c r="Q86" s="217"/>
      <c r="R86" s="215">
        <f>WORKDAY(S86,-INDEX(S$12:S$15,MATCH($I86,$I$12:$I$15,0)))</f>
        <v>46239</v>
      </c>
      <c r="S86" s="215">
        <f>WORKDAY(T86,-INDEX(T$12:T$15,MATCH($I86,$I$12:$I$15,0)))</f>
        <v>46267</v>
      </c>
      <c r="T86" s="215">
        <f>WORKDAY(U86,-INDEX(U$12:U$15,MATCH($I86,$I$12:$I$15,0)))</f>
        <v>46272</v>
      </c>
      <c r="U86" s="215">
        <f>X86-Y86</f>
        <v>46286</v>
      </c>
      <c r="V86" s="215">
        <f>WORKDAY(U86,INDEX(V$12:V$15,MATCH($I86,$I$12:$I$15,0)))</f>
        <v>46288</v>
      </c>
      <c r="W86" s="218">
        <f>Y86/7</f>
        <v>36</v>
      </c>
      <c r="X86" s="215">
        <f>Z86</f>
        <v>46538</v>
      </c>
      <c r="Y86" s="628">
        <f>36*7</f>
        <v>252</v>
      </c>
      <c r="Z86" s="633">
        <v>46538</v>
      </c>
      <c r="AA86" s="633">
        <v>46538</v>
      </c>
      <c r="AB86" s="637">
        <f t="shared" ref="AB86" si="136">Z86-X87</f>
        <v>0</v>
      </c>
      <c r="AC86" s="220">
        <f>IF(ISERROR(LOOKUP(AC$16,$L86:$X86,#REF!)),0,(LOOKUP(AC$16,$L86:$X86,#REF!)))</f>
        <v>0</v>
      </c>
      <c r="AD86" s="221">
        <f>IF(ISERROR(LOOKUP(AD$16,$L86:$X86,#REF!)),0,(LOOKUP(AD$16,$L86:$X86,#REF!)))</f>
        <v>0</v>
      </c>
      <c r="AE86" s="221">
        <f>IF(ISERROR(LOOKUP(AE$16,$L86:$X86,#REF!)),0,(LOOKUP(AE$16,$L86:$X86,#REF!)))</f>
        <v>0</v>
      </c>
      <c r="AF86" s="221">
        <f>IF(ISERROR(LOOKUP(AF$16,$L86:$X86,#REF!)),0,(LOOKUP(AF$16,$L86:$X86,#REF!)))</f>
        <v>0</v>
      </c>
      <c r="AG86" s="221">
        <f>IF(ISERROR(LOOKUP(AG$16,$L86:$X86,#REF!)),0,(LOOKUP(AG$16,$L86:$X86,#REF!)))</f>
        <v>0</v>
      </c>
      <c r="AH86" s="221">
        <f>IF(ISERROR(LOOKUP(AH$16,$L86:$X86,#REF!)),0,(LOOKUP(AH$16,$L86:$X86,#REF!)))</f>
        <v>0</v>
      </c>
      <c r="AI86" s="221">
        <f>IF(ISERROR(LOOKUP(AI$16,$L86:$X86,#REF!)),0,(LOOKUP(AI$16,$L86:$X86,#REF!)))</f>
        <v>0</v>
      </c>
      <c r="AJ86" s="221">
        <f>IF(ISERROR(LOOKUP(AJ$16,$L86:$X86,#REF!)),0,(LOOKUP(AJ$16,$L86:$X86,#REF!)))</f>
        <v>0</v>
      </c>
      <c r="AK86" s="221">
        <f>IF(ISERROR(LOOKUP(AK$16,$L86:$X86,#REF!)),0,(LOOKUP(AK$16,$L86:$X86,#REF!)))</f>
        <v>0</v>
      </c>
      <c r="AL86" s="221">
        <f>IF(ISERROR(LOOKUP(AL$16,$L86:$X86,#REF!)),0,(LOOKUP(AL$16,$L86:$X86,#REF!)))</f>
        <v>0</v>
      </c>
      <c r="AM86" s="221">
        <f ca="1">IF(ISERROR(LOOKUP(AM$16,$L86:$X86,#REF!)),0,(LOOKUP(AM$16,$L86:$X86,#REF!)))</f>
        <v>0</v>
      </c>
      <c r="AP86" s="215" t="e">
        <f>WORKDAY(AQ86,-INDEX(AQ$12:AQ$15,MATCH($I86,$I$12:$I$15,0)),$AW$17:$AW$148)</f>
        <v>#REF!</v>
      </c>
      <c r="AQ86" s="215" t="e">
        <f>WORKDAY(U86,-INDEX(U$12:U$15,MATCH($I86,$I$12:$I$15,0)),$AW$17:$AW$148)</f>
        <v>#REF!</v>
      </c>
      <c r="AR86" s="215" t="e">
        <f>WORKDAY(U86,-INDEX(U$12:U$15,MATCH($I86,$I$12:$I$15,0)),$AW$17:$AW$148)</f>
        <v>#REF!</v>
      </c>
      <c r="AS86" s="638">
        <v>7</v>
      </c>
      <c r="AW86" s="223" t="e">
        <v>#REF!</v>
      </c>
    </row>
    <row r="87" spans="1:49" s="166" customFormat="1" ht="18" customHeight="1">
      <c r="A87" s="596"/>
      <c r="B87" s="599"/>
      <c r="C87" s="601" t="str">
        <f t="shared" ref="C87" si="137">C86</f>
        <v>RFQ-024</v>
      </c>
      <c r="D87" s="601" t="str">
        <f t="shared" ref="D87:I87" si="138">D86</f>
        <v>Actuated Ball Valve</v>
      </c>
      <c r="E87" s="224"/>
      <c r="F87" s="620" t="str">
        <f t="shared" si="138"/>
        <v>Instrument</v>
      </c>
      <c r="G87" s="601" t="str">
        <f t="shared" si="138"/>
        <v>N</v>
      </c>
      <c r="H87" s="607"/>
      <c r="I87" s="212" t="str">
        <f t="shared" si="138"/>
        <v>LB</v>
      </c>
      <c r="J87" s="249" t="s">
        <v>65</v>
      </c>
      <c r="K87" s="215">
        <f>K86</f>
        <v>46209</v>
      </c>
      <c r="L87" s="215">
        <f>WORKDAY(IF(K88="",K87,K88),INDEX(L$12:L$15,MATCH($I86,$I$12:$I$15,0)))</f>
        <v>46210</v>
      </c>
      <c r="M87" s="215">
        <f>WORKDAY(IF(L88="",L87,L88),INDEX(M$12:M$15,MATCH($I86,$I$12:$I$15,0)))</f>
        <v>46217</v>
      </c>
      <c r="N87" s="215">
        <f>WORKDAY(IF(M88="",M87,M88),INDEX(N$12:N$15,MATCH($I86,$I$12:$I$15,0)))</f>
        <v>46218</v>
      </c>
      <c r="O87" s="215">
        <f>WORKDAY(IF(N88="",N87,N88),INDEX(O$12:O$15,MATCH($I86,$I$12:$I$15,0)))</f>
        <v>46225</v>
      </c>
      <c r="P87" s="216"/>
      <c r="Q87" s="217"/>
      <c r="R87" s="215">
        <f>WORKDAY(IF(O88="",O87,O88),INDEX(R$12:R$15,MATCH($I86,$I$12:$I$15,0)))</f>
        <v>46239</v>
      </c>
      <c r="S87" s="215">
        <f>WORKDAY(IF(R88="",R87,R88),INDEX(S$12:S$15,MATCH($I86,$I$12:$I$15,0)))</f>
        <v>46267</v>
      </c>
      <c r="T87" s="215">
        <f>WORKDAY(IF(S88="",S87,S88),INDEX(T$12:T$15,MATCH($I86,$I$12:$I$15,0)))</f>
        <v>46272</v>
      </c>
      <c r="U87" s="215">
        <f>WORKDAY(IF(T88="",T87,T88),INDEX(U$12:U$15,MATCH($I86,$I$12:$I$15,0)))</f>
        <v>46286</v>
      </c>
      <c r="V87" s="215">
        <f>WORKDAY(IF(U88="",U87,U88),INDEX(V$12:V$15,MATCH($I86,$I$12:$I$15,0)))</f>
        <v>46288</v>
      </c>
      <c r="W87" s="218"/>
      <c r="X87" s="215">
        <f>U87+Y86</f>
        <v>46538</v>
      </c>
      <c r="Y87" s="628"/>
      <c r="Z87" s="633"/>
      <c r="AA87" s="633"/>
      <c r="AB87" s="637"/>
      <c r="AC87" s="220">
        <f>IF(ISERROR(LOOKUP(AC$16,$L87:$X87,#REF!)),0,(LOOKUP(AC$16,$L87:$X87,#REF!)))</f>
        <v>0</v>
      </c>
      <c r="AD87" s="221">
        <f>IF(ISERROR(LOOKUP(AD$16,$L87:$X87,#REF!)),0,(LOOKUP(AD$16,$L87:$X87,#REF!)))</f>
        <v>0</v>
      </c>
      <c r="AE87" s="221">
        <f>IF(ISERROR(LOOKUP(AE$16,$L87:$X87,#REF!)),0,(LOOKUP(AE$16,$L87:$X87,#REF!)))</f>
        <v>0</v>
      </c>
      <c r="AF87" s="221">
        <f>IF(ISERROR(LOOKUP(AF$16,$L87:$X87,#REF!)),0,(LOOKUP(AF$16,$L87:$X87,#REF!)))</f>
        <v>0</v>
      </c>
      <c r="AG87" s="221">
        <f>IF(ISERROR(LOOKUP(AG$16,$L87:$X87,#REF!)),0,(LOOKUP(AG$16,$L87:$X87,#REF!)))</f>
        <v>0</v>
      </c>
      <c r="AH87" s="221">
        <f>IF(ISERROR(LOOKUP(AH$16,$L87:$X87,#REF!)),0,(LOOKUP(AH$16,$L87:$X87,#REF!)))</f>
        <v>0</v>
      </c>
      <c r="AI87" s="221">
        <f>IF(ISERROR(LOOKUP(AI$16,$L87:$X87,#REF!)),0,(LOOKUP(AI$16,$L87:$X87,#REF!)))</f>
        <v>0</v>
      </c>
      <c r="AJ87" s="221">
        <f>IF(ISERROR(LOOKUP(AJ$16,$L87:$X87,#REF!)),0,(LOOKUP(AJ$16,$L87:$X87,#REF!)))</f>
        <v>0</v>
      </c>
      <c r="AK87" s="221">
        <f>IF(ISERROR(LOOKUP(AK$16,$L87:$X87,#REF!)),0,(LOOKUP(AK$16,$L87:$X87,#REF!)))</f>
        <v>0</v>
      </c>
      <c r="AL87" s="221">
        <f>IF(ISERROR(LOOKUP(AL$16,$L87:$X87,#REF!)),0,(LOOKUP(AL$16,$L87:$X87,#REF!)))</f>
        <v>0</v>
      </c>
      <c r="AM87" s="221">
        <f ca="1">IF(ISERROR(LOOKUP(AM$16,$L87:$X87,#REF!)),0,(LOOKUP(AM$16,$L87:$X87,#REF!)))</f>
        <v>0</v>
      </c>
      <c r="AP87" s="215" t="e">
        <f>WORKDAY(IF(T88="",T87,T88),INDEX(AP$12:AP$15,MATCH($I86,$I$12:$I$15,0)),$AW$17:$AW$148)</f>
        <v>#REF!</v>
      </c>
      <c r="AQ87" s="215" t="e">
        <f>WORKDAY(IF(AP88="",AP87,AP88),INDEX(AQ$12:AQ$15,MATCH($I86,$I$12:$I$15,0)),$AW$17:$AW$148)</f>
        <v>#REF!</v>
      </c>
      <c r="AR87" s="215" t="e">
        <f>WORKDAY(IF(AQ88="",AQ87,AQ88),INDEX(AR$12:AR$15,MATCH($I86,$I$12:$I$15,0)),$AW$17:$AW$148)</f>
        <v>#REF!</v>
      </c>
      <c r="AS87" s="638"/>
      <c r="AW87" s="223" t="e">
        <v>#REF!</v>
      </c>
    </row>
    <row r="88" spans="1:49" s="166" customFormat="1" ht="18" customHeight="1">
      <c r="A88" s="596"/>
      <c r="B88" s="600"/>
      <c r="C88" s="601" t="str">
        <f>C86</f>
        <v>RFQ-024</v>
      </c>
      <c r="D88" s="601" t="str">
        <f t="shared" ref="D88:I88" si="139">D86</f>
        <v>Actuated Ball Valve</v>
      </c>
      <c r="E88" s="225"/>
      <c r="F88" s="621" t="str">
        <f t="shared" si="139"/>
        <v>Instrument</v>
      </c>
      <c r="G88" s="601" t="str">
        <f t="shared" ref="G88" si="140">G86</f>
        <v>N</v>
      </c>
      <c r="H88" s="608"/>
      <c r="I88" s="212" t="str">
        <f t="shared" si="139"/>
        <v>LB</v>
      </c>
      <c r="J88" s="249" t="s">
        <v>67</v>
      </c>
      <c r="K88" s="212"/>
      <c r="L88" s="212"/>
      <c r="M88" s="212"/>
      <c r="N88" s="212"/>
      <c r="O88" s="212"/>
      <c r="P88" s="226"/>
      <c r="Q88" s="227"/>
      <c r="R88" s="212"/>
      <c r="S88" s="212"/>
      <c r="T88" s="212"/>
      <c r="U88" s="212"/>
      <c r="V88" s="212"/>
      <c r="W88" s="228"/>
      <c r="X88" s="212"/>
      <c r="Y88" s="628"/>
      <c r="Z88" s="633"/>
      <c r="AA88" s="633"/>
      <c r="AB88" s="637"/>
      <c r="AC88" s="229">
        <f>IF(ISERROR(LOOKUP(AC$16,$L88:$X88,#REF!)),0,(LOOKUP(AC$16,$L88:$X88,#REF!)))</f>
        <v>0</v>
      </c>
      <c r="AD88" s="230">
        <f>IF(ISERROR(LOOKUP(AD$16,$L88:$X88,#REF!)),0,(LOOKUP(AD$16,$L88:$X88,#REF!)))</f>
        <v>0</v>
      </c>
      <c r="AE88" s="230">
        <f>IF(ISERROR(LOOKUP(AE$16,$L88:$X88,#REF!)),0,(LOOKUP(AE$16,$L88:$X88,#REF!)))</f>
        <v>0</v>
      </c>
      <c r="AF88" s="230">
        <f>IF(ISERROR(LOOKUP(AF$16,$L88:$X88,#REF!)),0,(LOOKUP(AF$16,$L88:$X88,#REF!)))</f>
        <v>0</v>
      </c>
      <c r="AG88" s="230">
        <f>IF(ISERROR(LOOKUP(AG$16,$L88:$X88,#REF!)),0,(LOOKUP(AG$16,$L88:$X88,#REF!)))</f>
        <v>0</v>
      </c>
      <c r="AH88" s="230">
        <f>IF(ISERROR(LOOKUP(AH$16,$L88:$X88,#REF!)),0,(LOOKUP(AH$16,$L88:$X88,#REF!)))</f>
        <v>0</v>
      </c>
      <c r="AI88" s="230">
        <f>IF(ISERROR(LOOKUP(AI$16,$L88:$X88,#REF!)),0,(LOOKUP(AI$16,$L88:$X88,#REF!)))</f>
        <v>0</v>
      </c>
      <c r="AJ88" s="230">
        <f>IF(ISERROR(LOOKUP(AJ$16,$L88:$X88,#REF!)),0,(LOOKUP(AJ$16,$L88:$X88,#REF!)))</f>
        <v>0</v>
      </c>
      <c r="AK88" s="230">
        <f>IF(ISERROR(LOOKUP(AK$16,$L88:$X88,#REF!)),0,(LOOKUP(AK$16,$L88:$X88,#REF!)))</f>
        <v>0</v>
      </c>
      <c r="AL88" s="230">
        <f>IF(ISERROR(LOOKUP(AL$16,$L88:$X88,#REF!)),0,(LOOKUP(AL$16,$L88:$X88,#REF!)))</f>
        <v>0</v>
      </c>
      <c r="AM88" s="230">
        <f ca="1">IF(ISERROR(LOOKUP(AM$16,$L88:$X88,#REF!)),0,(LOOKUP(AM$16,$L88:$X88,#REF!)))</f>
        <v>0</v>
      </c>
      <c r="AP88" s="212"/>
      <c r="AQ88" s="212"/>
      <c r="AR88" s="212"/>
      <c r="AS88" s="638"/>
      <c r="AW88" s="223" t="e">
        <v>#REF!</v>
      </c>
    </row>
    <row r="89" spans="1:49" s="166" customFormat="1" ht="18" customHeight="1">
      <c r="A89" s="596">
        <f t="shared" ref="A89" si="141">A86+1</f>
        <v>25</v>
      </c>
      <c r="B89" s="598"/>
      <c r="C89" s="601" t="s">
        <v>4762</v>
      </c>
      <c r="D89" s="601" t="s">
        <v>152</v>
      </c>
      <c r="E89" s="213"/>
      <c r="F89" s="619" t="s">
        <v>139</v>
      </c>
      <c r="G89" s="601" t="str">
        <f>IF(_xlfn.XLOOKUP(C89,'[35]Before Award'!D:D,'[35]Before Award'!AV:AV,"N/A")="N/A","N","Y")</f>
        <v>N</v>
      </c>
      <c r="H89" s="606"/>
      <c r="I89" s="212" t="s">
        <v>7</v>
      </c>
      <c r="J89" s="249" t="s">
        <v>61</v>
      </c>
      <c r="K89" s="215">
        <f>WORKDAY(L89,-INDEX(L$12:L$15,MATCH($I89,$I$12:$I$15,0)))</f>
        <v>46181</v>
      </c>
      <c r="L89" s="215">
        <f>WORKDAY(M89,-INDEX(M$12:M$15,MATCH($I89,$I$12:$I$15,0)))</f>
        <v>46182</v>
      </c>
      <c r="M89" s="215">
        <f>WORKDAY(N89,-INDEX(N$12:N$15,MATCH($I89,$I$12:$I$15,0)))</f>
        <v>46189</v>
      </c>
      <c r="N89" s="215">
        <f>WORKDAY(O89,-INDEX(O$12:O$15,MATCH($I89,$I$12:$I$15,0)))</f>
        <v>46190</v>
      </c>
      <c r="O89" s="215">
        <f>WORKDAY(R89,-INDEX(R$12:R$15,MATCH($I89,$I$12:$I$15,0)))</f>
        <v>46197</v>
      </c>
      <c r="P89" s="216">
        <f>U89-L89</f>
        <v>76</v>
      </c>
      <c r="Q89" s="217"/>
      <c r="R89" s="215">
        <f>WORKDAY(S89,-INDEX(S$12:S$15,MATCH($I89,$I$12:$I$15,0)))</f>
        <v>46211</v>
      </c>
      <c r="S89" s="215">
        <f>WORKDAY(T89,-INDEX(T$12:T$15,MATCH($I89,$I$12:$I$15,0)))</f>
        <v>46239</v>
      </c>
      <c r="T89" s="215">
        <f>WORKDAY(U89,-INDEX(U$12:U$15,MATCH($I89,$I$12:$I$15,0)))</f>
        <v>46244</v>
      </c>
      <c r="U89" s="215">
        <f>X89-Y89</f>
        <v>46258</v>
      </c>
      <c r="V89" s="215">
        <f>WORKDAY(U89,INDEX(V$12:V$15,MATCH($I89,$I$12:$I$15,0)))</f>
        <v>46260</v>
      </c>
      <c r="W89" s="218">
        <f>Y89/7</f>
        <v>40</v>
      </c>
      <c r="X89" s="215">
        <f>Z89</f>
        <v>46538</v>
      </c>
      <c r="Y89" s="628">
        <v>280</v>
      </c>
      <c r="Z89" s="633">
        <v>46538</v>
      </c>
      <c r="AA89" s="633">
        <v>46538</v>
      </c>
      <c r="AB89" s="637">
        <f t="shared" ref="AB89" si="142">Z89-X90</f>
        <v>0</v>
      </c>
      <c r="AC89" s="220">
        <f>IF(ISERROR(LOOKUP(AC$16,$L89:$X89,#REF!)),0,(LOOKUP(AC$16,$L89:$X89,#REF!)))</f>
        <v>0</v>
      </c>
      <c r="AD89" s="221">
        <f>IF(ISERROR(LOOKUP(AD$16,$L89:$X89,#REF!)),0,(LOOKUP(AD$16,$L89:$X89,#REF!)))</f>
        <v>0</v>
      </c>
      <c r="AE89" s="221">
        <f>IF(ISERROR(LOOKUP(AE$16,$L89:$X89,#REF!)),0,(LOOKUP(AE$16,$L89:$X89,#REF!)))</f>
        <v>0</v>
      </c>
      <c r="AF89" s="221">
        <f>IF(ISERROR(LOOKUP(AF$16,$L89:$X89,#REF!)),0,(LOOKUP(AF$16,$L89:$X89,#REF!)))</f>
        <v>0</v>
      </c>
      <c r="AG89" s="221">
        <f>IF(ISERROR(LOOKUP(AG$16,$L89:$X89,#REF!)),0,(LOOKUP(AG$16,$L89:$X89,#REF!)))</f>
        <v>0</v>
      </c>
      <c r="AH89" s="221">
        <f>IF(ISERROR(LOOKUP(AH$16,$L89:$X89,#REF!)),0,(LOOKUP(AH$16,$L89:$X89,#REF!)))</f>
        <v>0</v>
      </c>
      <c r="AI89" s="221">
        <f>IF(ISERROR(LOOKUP(AI$16,$L89:$X89,#REF!)),0,(LOOKUP(AI$16,$L89:$X89,#REF!)))</f>
        <v>0</v>
      </c>
      <c r="AJ89" s="221">
        <f>IF(ISERROR(LOOKUP(AJ$16,$L89:$X89,#REF!)),0,(LOOKUP(AJ$16,$L89:$X89,#REF!)))</f>
        <v>0</v>
      </c>
      <c r="AK89" s="221">
        <f>IF(ISERROR(LOOKUP(AK$16,$L89:$X89,#REF!)),0,(LOOKUP(AK$16,$L89:$X89,#REF!)))</f>
        <v>0</v>
      </c>
      <c r="AL89" s="221">
        <f>IF(ISERROR(LOOKUP(AL$16,$L89:$X89,#REF!)),0,(LOOKUP(AL$16,$L89:$X89,#REF!)))</f>
        <v>0</v>
      </c>
      <c r="AM89" s="221">
        <f ca="1">IF(ISERROR(LOOKUP(AM$16,$L89:$X89,#REF!)),0,(LOOKUP(AM$16,$L89:$X89,#REF!)))</f>
        <v>0</v>
      </c>
      <c r="AP89" s="215" t="e">
        <f>WORKDAY(AQ89,-INDEX(AQ$12:AQ$15,MATCH($I89,$I$12:$I$15,0)),$AW$17:$AW$148)</f>
        <v>#REF!</v>
      </c>
      <c r="AQ89" s="215" t="e">
        <f>WORKDAY(U89,-INDEX(U$12:U$15,MATCH($I89,$I$12:$I$15,0)),$AW$17:$AW$148)</f>
        <v>#REF!</v>
      </c>
      <c r="AR89" s="215" t="e">
        <f>WORKDAY(U89,-INDEX(U$12:U$15,MATCH($I89,$I$12:$I$15,0)),$AW$17:$AW$148)</f>
        <v>#REF!</v>
      </c>
      <c r="AS89" s="638">
        <v>7</v>
      </c>
      <c r="AW89" s="223" t="e">
        <v>#REF!</v>
      </c>
    </row>
    <row r="90" spans="1:49" s="166" customFormat="1" ht="18" customHeight="1">
      <c r="A90" s="596"/>
      <c r="B90" s="599"/>
      <c r="C90" s="601" t="str">
        <f t="shared" ref="C90" si="143">C89</f>
        <v>RFQ-025</v>
      </c>
      <c r="D90" s="601" t="str">
        <f t="shared" ref="D90:I90" si="144">D89</f>
        <v>Actuated Compact Ball Valve</v>
      </c>
      <c r="E90" s="224"/>
      <c r="F90" s="620" t="str">
        <f t="shared" si="144"/>
        <v>Instrument</v>
      </c>
      <c r="G90" s="601" t="str">
        <f t="shared" si="144"/>
        <v>N</v>
      </c>
      <c r="H90" s="607"/>
      <c r="I90" s="212" t="str">
        <f t="shared" si="144"/>
        <v>LB</v>
      </c>
      <c r="J90" s="249" t="s">
        <v>65</v>
      </c>
      <c r="K90" s="215">
        <f>K89</f>
        <v>46181</v>
      </c>
      <c r="L90" s="215">
        <f>WORKDAY(IF(K91="",K90,K91),INDEX(L$12:L$15,MATCH($I89,$I$12:$I$15,0)))</f>
        <v>46182</v>
      </c>
      <c r="M90" s="215">
        <f>WORKDAY(IF(L91="",L90,L91),INDEX(M$12:M$15,MATCH($I89,$I$12:$I$15,0)))</f>
        <v>46189</v>
      </c>
      <c r="N90" s="215">
        <f>WORKDAY(IF(M91="",M90,M91),INDEX(N$12:N$15,MATCH($I89,$I$12:$I$15,0)))</f>
        <v>46190</v>
      </c>
      <c r="O90" s="215">
        <f>WORKDAY(IF(N91="",N90,N91),INDEX(O$12:O$15,MATCH($I89,$I$12:$I$15,0)))</f>
        <v>46197</v>
      </c>
      <c r="P90" s="216"/>
      <c r="Q90" s="217"/>
      <c r="R90" s="215">
        <f>WORKDAY(IF(O91="",O90,O91),INDEX(R$12:R$15,MATCH($I89,$I$12:$I$15,0)))</f>
        <v>46211</v>
      </c>
      <c r="S90" s="215">
        <f>WORKDAY(IF(R91="",R90,R91),INDEX(S$12:S$15,MATCH($I89,$I$12:$I$15,0)))</f>
        <v>46239</v>
      </c>
      <c r="T90" s="215">
        <f>WORKDAY(IF(S91="",S90,S91),INDEX(T$12:T$15,MATCH($I89,$I$12:$I$15,0)))</f>
        <v>46244</v>
      </c>
      <c r="U90" s="215">
        <f>WORKDAY(IF(T91="",T90,T91),INDEX(U$12:U$15,MATCH($I89,$I$12:$I$15,0)))</f>
        <v>46258</v>
      </c>
      <c r="V90" s="215">
        <f>WORKDAY(IF(U91="",U90,U91),INDEX(V$12:V$15,MATCH($I89,$I$12:$I$15,0)))</f>
        <v>46260</v>
      </c>
      <c r="W90" s="218"/>
      <c r="X90" s="215">
        <f>U90+Y89</f>
        <v>46538</v>
      </c>
      <c r="Y90" s="628"/>
      <c r="Z90" s="633"/>
      <c r="AA90" s="633"/>
      <c r="AB90" s="637"/>
      <c r="AC90" s="220">
        <f>IF(ISERROR(LOOKUP(AC$16,$L90:$X90,#REF!)),0,(LOOKUP(AC$16,$L90:$X90,#REF!)))</f>
        <v>0</v>
      </c>
      <c r="AD90" s="221">
        <f>IF(ISERROR(LOOKUP(AD$16,$L90:$X90,#REF!)),0,(LOOKUP(AD$16,$L90:$X90,#REF!)))</f>
        <v>0</v>
      </c>
      <c r="AE90" s="221">
        <f>IF(ISERROR(LOOKUP(AE$16,$L90:$X90,#REF!)),0,(LOOKUP(AE$16,$L90:$X90,#REF!)))</f>
        <v>0</v>
      </c>
      <c r="AF90" s="221">
        <f>IF(ISERROR(LOOKUP(AF$16,$L90:$X90,#REF!)),0,(LOOKUP(AF$16,$L90:$X90,#REF!)))</f>
        <v>0</v>
      </c>
      <c r="AG90" s="221">
        <f>IF(ISERROR(LOOKUP(AG$16,$L90:$X90,#REF!)),0,(LOOKUP(AG$16,$L90:$X90,#REF!)))</f>
        <v>0</v>
      </c>
      <c r="AH90" s="221">
        <f>IF(ISERROR(LOOKUP(AH$16,$L90:$X90,#REF!)),0,(LOOKUP(AH$16,$L90:$X90,#REF!)))</f>
        <v>0</v>
      </c>
      <c r="AI90" s="221">
        <f>IF(ISERROR(LOOKUP(AI$16,$L90:$X90,#REF!)),0,(LOOKUP(AI$16,$L90:$X90,#REF!)))</f>
        <v>0</v>
      </c>
      <c r="AJ90" s="221">
        <f>IF(ISERROR(LOOKUP(AJ$16,$L90:$X90,#REF!)),0,(LOOKUP(AJ$16,$L90:$X90,#REF!)))</f>
        <v>0</v>
      </c>
      <c r="AK90" s="221">
        <f>IF(ISERROR(LOOKUP(AK$16,$L90:$X90,#REF!)),0,(LOOKUP(AK$16,$L90:$X90,#REF!)))</f>
        <v>0</v>
      </c>
      <c r="AL90" s="221">
        <f>IF(ISERROR(LOOKUP(AL$16,$L90:$X90,#REF!)),0,(LOOKUP(AL$16,$L90:$X90,#REF!)))</f>
        <v>0</v>
      </c>
      <c r="AM90" s="221">
        <f ca="1">IF(ISERROR(LOOKUP(AM$16,$L90:$X90,#REF!)),0,(LOOKUP(AM$16,$L90:$X90,#REF!)))</f>
        <v>0</v>
      </c>
      <c r="AP90" s="215" t="e">
        <f>WORKDAY(IF(T91="",T90,T91),INDEX(AP$12:AP$15,MATCH($I89,$I$12:$I$15,0)),$AW$17:$AW$148)</f>
        <v>#REF!</v>
      </c>
      <c r="AQ90" s="215" t="e">
        <f>WORKDAY(IF(AP91="",AP90,AP91),INDEX(AQ$12:AQ$15,MATCH($I89,$I$12:$I$15,0)),$AW$17:$AW$148)</f>
        <v>#REF!</v>
      </c>
      <c r="AR90" s="215" t="e">
        <f>WORKDAY(IF(AQ91="",AQ90,AQ91),INDEX(AR$12:AR$15,MATCH($I89,$I$12:$I$15,0)),$AW$17:$AW$148)</f>
        <v>#REF!</v>
      </c>
      <c r="AS90" s="638"/>
      <c r="AW90" s="223" t="e">
        <v>#REF!</v>
      </c>
    </row>
    <row r="91" spans="1:49" s="166" customFormat="1" ht="18" customHeight="1">
      <c r="A91" s="596"/>
      <c r="B91" s="600"/>
      <c r="C91" s="601" t="str">
        <f>C89</f>
        <v>RFQ-025</v>
      </c>
      <c r="D91" s="601" t="str">
        <f t="shared" ref="D91:I91" si="145">D89</f>
        <v>Actuated Compact Ball Valve</v>
      </c>
      <c r="E91" s="225"/>
      <c r="F91" s="621" t="str">
        <f t="shared" si="145"/>
        <v>Instrument</v>
      </c>
      <c r="G91" s="601" t="str">
        <f t="shared" ref="G91" si="146">G89</f>
        <v>N</v>
      </c>
      <c r="H91" s="608"/>
      <c r="I91" s="212" t="str">
        <f t="shared" si="145"/>
        <v>LB</v>
      </c>
      <c r="J91" s="249" t="s">
        <v>67</v>
      </c>
      <c r="K91" s="212"/>
      <c r="L91" s="212"/>
      <c r="M91" s="212"/>
      <c r="N91" s="212"/>
      <c r="O91" s="212"/>
      <c r="P91" s="226"/>
      <c r="Q91" s="227"/>
      <c r="R91" s="212"/>
      <c r="S91" s="212"/>
      <c r="T91" s="212"/>
      <c r="U91" s="212"/>
      <c r="V91" s="212"/>
      <c r="W91" s="228"/>
      <c r="X91" s="212"/>
      <c r="Y91" s="628"/>
      <c r="Z91" s="633"/>
      <c r="AA91" s="633"/>
      <c r="AB91" s="637"/>
      <c r="AC91" s="229">
        <f>IF(ISERROR(LOOKUP(AC$16,$L91:$X91,#REF!)),0,(LOOKUP(AC$16,$L91:$X91,#REF!)))</f>
        <v>0</v>
      </c>
      <c r="AD91" s="230">
        <f>IF(ISERROR(LOOKUP(AD$16,$L91:$X91,#REF!)),0,(LOOKUP(AD$16,$L91:$X91,#REF!)))</f>
        <v>0</v>
      </c>
      <c r="AE91" s="230">
        <f>IF(ISERROR(LOOKUP(AE$16,$L91:$X91,#REF!)),0,(LOOKUP(AE$16,$L91:$X91,#REF!)))</f>
        <v>0</v>
      </c>
      <c r="AF91" s="230">
        <f>IF(ISERROR(LOOKUP(AF$16,$L91:$X91,#REF!)),0,(LOOKUP(AF$16,$L91:$X91,#REF!)))</f>
        <v>0</v>
      </c>
      <c r="AG91" s="230">
        <f>IF(ISERROR(LOOKUP(AG$16,$L91:$X91,#REF!)),0,(LOOKUP(AG$16,$L91:$X91,#REF!)))</f>
        <v>0</v>
      </c>
      <c r="AH91" s="230">
        <f>IF(ISERROR(LOOKUP(AH$16,$L91:$X91,#REF!)),0,(LOOKUP(AH$16,$L91:$X91,#REF!)))</f>
        <v>0</v>
      </c>
      <c r="AI91" s="230">
        <f>IF(ISERROR(LOOKUP(AI$16,$L91:$X91,#REF!)),0,(LOOKUP(AI$16,$L91:$X91,#REF!)))</f>
        <v>0</v>
      </c>
      <c r="AJ91" s="230">
        <f>IF(ISERROR(LOOKUP(AJ$16,$L91:$X91,#REF!)),0,(LOOKUP(AJ$16,$L91:$X91,#REF!)))</f>
        <v>0</v>
      </c>
      <c r="AK91" s="230">
        <f>IF(ISERROR(LOOKUP(AK$16,$L91:$X91,#REF!)),0,(LOOKUP(AK$16,$L91:$X91,#REF!)))</f>
        <v>0</v>
      </c>
      <c r="AL91" s="230">
        <f>IF(ISERROR(LOOKUP(AL$16,$L91:$X91,#REF!)),0,(LOOKUP(AL$16,$L91:$X91,#REF!)))</f>
        <v>0</v>
      </c>
      <c r="AM91" s="230">
        <f ca="1">IF(ISERROR(LOOKUP(AM$16,$L91:$X91,#REF!)),0,(LOOKUP(AM$16,$L91:$X91,#REF!)))</f>
        <v>0</v>
      </c>
      <c r="AP91" s="212"/>
      <c r="AQ91" s="212"/>
      <c r="AR91" s="212"/>
      <c r="AS91" s="638"/>
      <c r="AW91" s="223" t="e">
        <v>#REF!</v>
      </c>
    </row>
    <row r="92" spans="1:49" s="166" customFormat="1" ht="18" customHeight="1">
      <c r="A92" s="596">
        <f t="shared" ref="A92" si="147">A89+1</f>
        <v>26</v>
      </c>
      <c r="B92" s="598"/>
      <c r="C92" s="601" t="s">
        <v>4763</v>
      </c>
      <c r="D92" s="601" t="s">
        <v>154</v>
      </c>
      <c r="E92" s="213"/>
      <c r="F92" s="619" t="s">
        <v>139</v>
      </c>
      <c r="G92" s="601" t="s">
        <v>71</v>
      </c>
      <c r="H92" s="606"/>
      <c r="I92" s="212" t="s">
        <v>7</v>
      </c>
      <c r="J92" s="249" t="s">
        <v>61</v>
      </c>
      <c r="K92" s="215">
        <f>WORKDAY(L92,-INDEX(L$12:L$15,MATCH($I92,$I$12:$I$15,0)))</f>
        <v>46279</v>
      </c>
      <c r="L92" s="215">
        <f>WORKDAY(M92,-INDEX(M$12:M$15,MATCH($I92,$I$12:$I$15,0)))</f>
        <v>46280</v>
      </c>
      <c r="M92" s="215">
        <f>WORKDAY(N92,-INDEX(N$12:N$15,MATCH($I92,$I$12:$I$15,0)))</f>
        <v>46287</v>
      </c>
      <c r="N92" s="215">
        <f>WORKDAY(O92,-INDEX(O$12:O$15,MATCH($I92,$I$12:$I$15,0)))</f>
        <v>46288</v>
      </c>
      <c r="O92" s="215">
        <f>WORKDAY(R92,-INDEX(R$12:R$15,MATCH($I92,$I$12:$I$15,0)))</f>
        <v>46295</v>
      </c>
      <c r="P92" s="216">
        <f>U92-L92</f>
        <v>76</v>
      </c>
      <c r="Q92" s="217"/>
      <c r="R92" s="215">
        <f>WORKDAY(S92,-INDEX(S$12:S$15,MATCH($I92,$I$12:$I$15,0)))</f>
        <v>46309</v>
      </c>
      <c r="S92" s="215">
        <f>WORKDAY(T92,-INDEX(T$12:T$15,MATCH($I92,$I$12:$I$15,0)))</f>
        <v>46337</v>
      </c>
      <c r="T92" s="215">
        <f>WORKDAY(U92,-INDEX(U$12:U$15,MATCH($I92,$I$12:$I$15,0)))</f>
        <v>46342</v>
      </c>
      <c r="U92" s="215">
        <f>X92-Y92+2</f>
        <v>46356</v>
      </c>
      <c r="V92" s="215">
        <f>WORKDAY(U92,INDEX(V$12:V$15,MATCH($I92,$I$12:$I$15,0)))</f>
        <v>46358</v>
      </c>
      <c r="W92" s="218">
        <f>Y92/7</f>
        <v>26.285714285714299</v>
      </c>
      <c r="X92" s="215">
        <f>Z92</f>
        <v>46538</v>
      </c>
      <c r="Y92" s="628">
        <v>184</v>
      </c>
      <c r="Z92" s="633">
        <v>46538</v>
      </c>
      <c r="AA92" s="633">
        <v>46538</v>
      </c>
      <c r="AB92" s="637">
        <f t="shared" ref="AB92" si="148">Z92-X93</f>
        <v>0</v>
      </c>
      <c r="AC92" s="220">
        <f>IF(ISERROR(LOOKUP(AC$16,$L92:$X92,#REF!)),0,(LOOKUP(AC$16,$L92:$X92,#REF!)))</f>
        <v>0</v>
      </c>
      <c r="AD92" s="221">
        <f>IF(ISERROR(LOOKUP(AD$16,$L92:$X92,#REF!)),0,(LOOKUP(AD$16,$L92:$X92,#REF!)))</f>
        <v>0</v>
      </c>
      <c r="AE92" s="221">
        <f>IF(ISERROR(LOOKUP(AE$16,$L92:$X92,#REF!)),0,(LOOKUP(AE$16,$L92:$X92,#REF!)))</f>
        <v>0</v>
      </c>
      <c r="AF92" s="221">
        <f>IF(ISERROR(LOOKUP(AF$16,$L92:$X92,#REF!)),0,(LOOKUP(AF$16,$L92:$X92,#REF!)))</f>
        <v>0</v>
      </c>
      <c r="AG92" s="221">
        <f>IF(ISERROR(LOOKUP(AG$16,$L92:$X92,#REF!)),0,(LOOKUP(AG$16,$L92:$X92,#REF!)))</f>
        <v>0</v>
      </c>
      <c r="AH92" s="221">
        <f>IF(ISERROR(LOOKUP(AH$16,$L92:$X92,#REF!)),0,(LOOKUP(AH$16,$L92:$X92,#REF!)))</f>
        <v>0</v>
      </c>
      <c r="AI92" s="221">
        <f>IF(ISERROR(LOOKUP(AI$16,$L92:$X92,#REF!)),0,(LOOKUP(AI$16,$L92:$X92,#REF!)))</f>
        <v>0</v>
      </c>
      <c r="AJ92" s="221">
        <f>IF(ISERROR(LOOKUP(AJ$16,$L92:$X92,#REF!)),0,(LOOKUP(AJ$16,$L92:$X92,#REF!)))</f>
        <v>0</v>
      </c>
      <c r="AK92" s="221">
        <f>IF(ISERROR(LOOKUP(AK$16,$L92:$X92,#REF!)),0,(LOOKUP(AK$16,$L92:$X92,#REF!)))</f>
        <v>0</v>
      </c>
      <c r="AL92" s="221">
        <f>IF(ISERROR(LOOKUP(AL$16,$L92:$X92,#REF!)),0,(LOOKUP(AL$16,$L92:$X92,#REF!)))</f>
        <v>0</v>
      </c>
      <c r="AM92" s="221">
        <f ca="1">IF(ISERROR(LOOKUP(AM$16,$L92:$X92,#REF!)),0,(LOOKUP(AM$16,$L92:$X92,#REF!)))</f>
        <v>0</v>
      </c>
      <c r="AP92" s="215" t="e">
        <f>WORKDAY(AQ92,-INDEX(AQ$12:AQ$15,MATCH($I92,$I$12:$I$15,0)),$AW$17:$AW$148)</f>
        <v>#REF!</v>
      </c>
      <c r="AQ92" s="215" t="e">
        <f>WORKDAY(U92,-INDEX(U$12:U$15,MATCH($I92,$I$12:$I$15,0)),$AW$17:$AW$148)</f>
        <v>#REF!</v>
      </c>
      <c r="AR92" s="215" t="e">
        <f>WORKDAY(U92,-INDEX(U$12:U$15,MATCH($I92,$I$12:$I$15,0)),$AW$17:$AW$148)</f>
        <v>#REF!</v>
      </c>
      <c r="AS92" s="638">
        <v>7</v>
      </c>
      <c r="AW92" s="223" t="e">
        <v>#REF!</v>
      </c>
    </row>
    <row r="93" spans="1:49" s="166" customFormat="1" ht="18" customHeight="1">
      <c r="A93" s="596"/>
      <c r="B93" s="599"/>
      <c r="C93" s="601" t="str">
        <f t="shared" ref="C93" si="149">C92</f>
        <v>RFQ-026</v>
      </c>
      <c r="D93" s="601" t="str">
        <f t="shared" ref="D93:G93" si="150">D92</f>
        <v>Safety Relief Valves</v>
      </c>
      <c r="E93" s="224"/>
      <c r="F93" s="620" t="str">
        <f t="shared" si="150"/>
        <v>Instrument</v>
      </c>
      <c r="G93" s="601" t="str">
        <f t="shared" si="150"/>
        <v>N</v>
      </c>
      <c r="H93" s="607"/>
      <c r="I93" s="212" t="str">
        <f>I92</f>
        <v>LB</v>
      </c>
      <c r="J93" s="249" t="s">
        <v>65</v>
      </c>
      <c r="K93" s="215">
        <f>K92</f>
        <v>46279</v>
      </c>
      <c r="L93" s="215">
        <f>WORKDAY(IF(K94="",K93,K94),INDEX(L$12:L$15,MATCH($I92,$I$12:$I$15,0)))</f>
        <v>46280</v>
      </c>
      <c r="M93" s="215">
        <f>WORKDAY(IF(L94="",L93,L94),INDEX(M$12:M$15,MATCH($I92,$I$12:$I$15,0)))</f>
        <v>46287</v>
      </c>
      <c r="N93" s="215">
        <f>WORKDAY(IF(M94="",M93,M94),INDEX(N$12:N$15,MATCH($I92,$I$12:$I$15,0)))</f>
        <v>46288</v>
      </c>
      <c r="O93" s="215">
        <f>WORKDAY(IF(N94="",N93,N94),INDEX(O$12:O$15,MATCH($I92,$I$12:$I$15,0)))</f>
        <v>46295</v>
      </c>
      <c r="P93" s="216"/>
      <c r="Q93" s="217"/>
      <c r="R93" s="215">
        <f>WORKDAY(IF(O94="",O93,O94),INDEX(R$12:R$15,MATCH($I92,$I$12:$I$15,0)))</f>
        <v>46309</v>
      </c>
      <c r="S93" s="215">
        <f>WORKDAY(IF(R94="",R93,R94),INDEX(S$12:S$15,MATCH($I92,$I$12:$I$15,0)))</f>
        <v>46337</v>
      </c>
      <c r="T93" s="215">
        <f>WORKDAY(IF(S94="",S93,S94),INDEX(T$12:T$15,MATCH($I92,$I$12:$I$15,0)))</f>
        <v>46342</v>
      </c>
      <c r="U93" s="215">
        <f>WORKDAY(IF(T94="",T93,T94),INDEX(U$12:U$15,MATCH($I92,$I$12:$I$15,0)))</f>
        <v>46356</v>
      </c>
      <c r="V93" s="215">
        <f>WORKDAY(IF(U94="",U93,U94),INDEX(V$12:V$15,MATCH($I92,$I$12:$I$15,0)))</f>
        <v>46358</v>
      </c>
      <c r="W93" s="218"/>
      <c r="X93" s="215">
        <f>U93+Y92-2</f>
        <v>46538</v>
      </c>
      <c r="Y93" s="628"/>
      <c r="Z93" s="633"/>
      <c r="AA93" s="633"/>
      <c r="AB93" s="637"/>
      <c r="AC93" s="220">
        <f>IF(ISERROR(LOOKUP(AC$16,$L93:$X93,#REF!)),0,(LOOKUP(AC$16,$L93:$X93,#REF!)))</f>
        <v>0</v>
      </c>
      <c r="AD93" s="221">
        <f>IF(ISERROR(LOOKUP(AD$16,$L93:$X93,#REF!)),0,(LOOKUP(AD$16,$L93:$X93,#REF!)))</f>
        <v>0</v>
      </c>
      <c r="AE93" s="221">
        <f>IF(ISERROR(LOOKUP(AE$16,$L93:$X93,#REF!)),0,(LOOKUP(AE$16,$L93:$X93,#REF!)))</f>
        <v>0</v>
      </c>
      <c r="AF93" s="221">
        <f>IF(ISERROR(LOOKUP(AF$16,$L93:$X93,#REF!)),0,(LOOKUP(AF$16,$L93:$X93,#REF!)))</f>
        <v>0</v>
      </c>
      <c r="AG93" s="221">
        <f>IF(ISERROR(LOOKUP(AG$16,$L93:$X93,#REF!)),0,(LOOKUP(AG$16,$L93:$X93,#REF!)))</f>
        <v>0</v>
      </c>
      <c r="AH93" s="221">
        <f>IF(ISERROR(LOOKUP(AH$16,$L93:$X93,#REF!)),0,(LOOKUP(AH$16,$L93:$X93,#REF!)))</f>
        <v>0</v>
      </c>
      <c r="AI93" s="221">
        <f>IF(ISERROR(LOOKUP(AI$16,$L93:$X93,#REF!)),0,(LOOKUP(AI$16,$L93:$X93,#REF!)))</f>
        <v>0</v>
      </c>
      <c r="AJ93" s="221">
        <f>IF(ISERROR(LOOKUP(AJ$16,$L93:$X93,#REF!)),0,(LOOKUP(AJ$16,$L93:$X93,#REF!)))</f>
        <v>0</v>
      </c>
      <c r="AK93" s="221">
        <f>IF(ISERROR(LOOKUP(AK$16,$L93:$X93,#REF!)),0,(LOOKUP(AK$16,$L93:$X93,#REF!)))</f>
        <v>0</v>
      </c>
      <c r="AL93" s="221">
        <f>IF(ISERROR(LOOKUP(AL$16,$L93:$X93,#REF!)),0,(LOOKUP(AL$16,$L93:$X93,#REF!)))</f>
        <v>0</v>
      </c>
      <c r="AM93" s="221">
        <f ca="1">IF(ISERROR(LOOKUP(AM$16,$L93:$X93,#REF!)),0,(LOOKUP(AM$16,$L93:$X93,#REF!)))</f>
        <v>0</v>
      </c>
      <c r="AP93" s="215" t="e">
        <f>WORKDAY(IF(T94="",T93,T94),INDEX(AP$12:AP$15,MATCH($I92,$I$12:$I$15,0)),$AW$17:$AW$148)</f>
        <v>#REF!</v>
      </c>
      <c r="AQ93" s="215" t="e">
        <f>WORKDAY(IF(AP94="",AP93,AP94),INDEX(AQ$12:AQ$15,MATCH($I92,$I$12:$I$15,0)),$AW$17:$AW$148)</f>
        <v>#REF!</v>
      </c>
      <c r="AR93" s="215" t="e">
        <f>WORKDAY(IF(AQ94="",AQ93,AQ94),INDEX(AR$12:AR$15,MATCH($I92,$I$12:$I$15,0)),$AW$17:$AW$148)</f>
        <v>#REF!</v>
      </c>
      <c r="AS93" s="638"/>
      <c r="AW93" s="223" t="e">
        <v>#REF!</v>
      </c>
    </row>
    <row r="94" spans="1:49" s="166" customFormat="1" ht="18" customHeight="1">
      <c r="A94" s="596"/>
      <c r="B94" s="600"/>
      <c r="C94" s="601" t="str">
        <f>C92</f>
        <v>RFQ-026</v>
      </c>
      <c r="D94" s="601" t="str">
        <f t="shared" ref="D94:F94" si="151">D92</f>
        <v>Safety Relief Valves</v>
      </c>
      <c r="E94" s="225"/>
      <c r="F94" s="621" t="str">
        <f t="shared" si="151"/>
        <v>Instrument</v>
      </c>
      <c r="G94" s="601" t="str">
        <f t="shared" ref="G94" si="152">G92</f>
        <v>N</v>
      </c>
      <c r="H94" s="608"/>
      <c r="I94" s="212" t="str">
        <f>I92</f>
        <v>LB</v>
      </c>
      <c r="J94" s="249" t="s">
        <v>67</v>
      </c>
      <c r="K94" s="212"/>
      <c r="L94" s="212"/>
      <c r="M94" s="212"/>
      <c r="N94" s="212"/>
      <c r="O94" s="212"/>
      <c r="P94" s="226"/>
      <c r="Q94" s="227"/>
      <c r="R94" s="212"/>
      <c r="S94" s="212"/>
      <c r="T94" s="212"/>
      <c r="U94" s="212"/>
      <c r="V94" s="212"/>
      <c r="W94" s="228"/>
      <c r="X94" s="212"/>
      <c r="Y94" s="628"/>
      <c r="Z94" s="633"/>
      <c r="AA94" s="633"/>
      <c r="AB94" s="637"/>
      <c r="AC94" s="229">
        <f>IF(ISERROR(LOOKUP(AC$16,$L94:$X94,#REF!)),0,(LOOKUP(AC$16,$L94:$X94,#REF!)))</f>
        <v>0</v>
      </c>
      <c r="AD94" s="230">
        <f>IF(ISERROR(LOOKUP(AD$16,$L94:$X94,#REF!)),0,(LOOKUP(AD$16,$L94:$X94,#REF!)))</f>
        <v>0</v>
      </c>
      <c r="AE94" s="230">
        <f>IF(ISERROR(LOOKUP(AE$16,$L94:$X94,#REF!)),0,(LOOKUP(AE$16,$L94:$X94,#REF!)))</f>
        <v>0</v>
      </c>
      <c r="AF94" s="230">
        <f>IF(ISERROR(LOOKUP(AF$16,$L94:$X94,#REF!)),0,(LOOKUP(AF$16,$L94:$X94,#REF!)))</f>
        <v>0</v>
      </c>
      <c r="AG94" s="230">
        <f>IF(ISERROR(LOOKUP(AG$16,$L94:$X94,#REF!)),0,(LOOKUP(AG$16,$L94:$X94,#REF!)))</f>
        <v>0</v>
      </c>
      <c r="AH94" s="230">
        <f>IF(ISERROR(LOOKUP(AH$16,$L94:$X94,#REF!)),0,(LOOKUP(AH$16,$L94:$X94,#REF!)))</f>
        <v>0</v>
      </c>
      <c r="AI94" s="230">
        <f>IF(ISERROR(LOOKUP(AI$16,$L94:$X94,#REF!)),0,(LOOKUP(AI$16,$L94:$X94,#REF!)))</f>
        <v>0</v>
      </c>
      <c r="AJ94" s="230">
        <f>IF(ISERROR(LOOKUP(AJ$16,$L94:$X94,#REF!)),0,(LOOKUP(AJ$16,$L94:$X94,#REF!)))</f>
        <v>0</v>
      </c>
      <c r="AK94" s="230">
        <f>IF(ISERROR(LOOKUP(AK$16,$L94:$X94,#REF!)),0,(LOOKUP(AK$16,$L94:$X94,#REF!)))</f>
        <v>0</v>
      </c>
      <c r="AL94" s="230">
        <f>IF(ISERROR(LOOKUP(AL$16,$L94:$X94,#REF!)),0,(LOOKUP(AL$16,$L94:$X94,#REF!)))</f>
        <v>0</v>
      </c>
      <c r="AM94" s="230">
        <f ca="1">IF(ISERROR(LOOKUP(AM$16,$L94:$X94,#REF!)),0,(LOOKUP(AM$16,$L94:$X94,#REF!)))</f>
        <v>0</v>
      </c>
      <c r="AP94" s="212"/>
      <c r="AQ94" s="212"/>
      <c r="AR94" s="212"/>
      <c r="AS94" s="638"/>
      <c r="AW94" s="223" t="e">
        <v>#REF!</v>
      </c>
    </row>
    <row r="95" spans="1:49" s="166" customFormat="1" ht="18" customHeight="1">
      <c r="A95" s="596">
        <f t="shared" ref="A95" si="153">A92+1</f>
        <v>27</v>
      </c>
      <c r="B95" s="598"/>
      <c r="C95" s="601" t="s">
        <v>4764</v>
      </c>
      <c r="D95" s="601" t="s">
        <v>157</v>
      </c>
      <c r="E95" s="213"/>
      <c r="F95" s="619" t="s">
        <v>139</v>
      </c>
      <c r="G95" s="601" t="s">
        <v>71</v>
      </c>
      <c r="H95" s="606"/>
      <c r="I95" s="212" t="s">
        <v>8</v>
      </c>
      <c r="J95" s="249" t="s">
        <v>61</v>
      </c>
      <c r="K95" s="215">
        <f>WORKDAY(L95,-INDEX(L$12:L$15,MATCH($I95,$I$12:$I$15,0)))</f>
        <v>46296</v>
      </c>
      <c r="L95" s="215">
        <f>WORKDAY(M95,-INDEX(M$12:M$15,MATCH($I95,$I$12:$I$15,0)))</f>
        <v>46301</v>
      </c>
      <c r="M95" s="215">
        <f>WORKDAY(N95,-INDEX(N$12:N$15,MATCH($I95,$I$12:$I$15,0)))</f>
        <v>46315</v>
      </c>
      <c r="N95" s="215">
        <f>WORKDAY(O95,-INDEX(O$12:O$15,MATCH($I95,$I$12:$I$15,0)))</f>
        <v>46316</v>
      </c>
      <c r="O95" s="215">
        <f>WORKDAY(R95,-INDEX(R$12:R$15,MATCH($I95,$I$12:$I$15,0)))</f>
        <v>46330</v>
      </c>
      <c r="P95" s="216">
        <f>U95-L95</f>
        <v>92</v>
      </c>
      <c r="Q95" s="217"/>
      <c r="R95" s="215">
        <f>WORKDAY(S95,-INDEX(S$12:S$15,MATCH($I95,$I$12:$I$15,0)))</f>
        <v>46344</v>
      </c>
      <c r="S95" s="215">
        <f>WORKDAY(T95,-INDEX(T$12:T$15,MATCH($I95,$I$12:$I$15,0)))</f>
        <v>46365</v>
      </c>
      <c r="T95" s="215">
        <f>WORKDAY(U95,-INDEX(U$12:U$15,MATCH($I95,$I$12:$I$15,0)))</f>
        <v>46379</v>
      </c>
      <c r="U95" s="215">
        <f>X95-Y95</f>
        <v>46393</v>
      </c>
      <c r="V95" s="215">
        <f>WORKDAY(U95,INDEX(V$12:V$15,MATCH($I95,$I$12:$I$15,0)))</f>
        <v>46395</v>
      </c>
      <c r="W95" s="218">
        <f>Y95/7</f>
        <v>20.714285714285701</v>
      </c>
      <c r="X95" s="215">
        <f>Z95</f>
        <v>46538</v>
      </c>
      <c r="Y95" s="628">
        <v>145</v>
      </c>
      <c r="Z95" s="633">
        <v>46538</v>
      </c>
      <c r="AA95" s="633">
        <v>46538</v>
      </c>
      <c r="AB95" s="637">
        <f t="shared" ref="AB95" si="154">Z95-X96</f>
        <v>0</v>
      </c>
      <c r="AC95" s="220">
        <f>IF(ISERROR(LOOKUP(AC$16,$L95:$X95,#REF!)),0,(LOOKUP(AC$16,$L95:$X95,#REF!)))</f>
        <v>0</v>
      </c>
      <c r="AD95" s="221">
        <f>IF(ISERROR(LOOKUP(AD$16,$L95:$X95,#REF!)),0,(LOOKUP(AD$16,$L95:$X95,#REF!)))</f>
        <v>0</v>
      </c>
      <c r="AE95" s="221">
        <f>IF(ISERROR(LOOKUP(AE$16,$L95:$X95,#REF!)),0,(LOOKUP(AE$16,$L95:$X95,#REF!)))</f>
        <v>0</v>
      </c>
      <c r="AF95" s="221">
        <f>IF(ISERROR(LOOKUP(AF$16,$L95:$X95,#REF!)),0,(LOOKUP(AF$16,$L95:$X95,#REF!)))</f>
        <v>0</v>
      </c>
      <c r="AG95" s="221">
        <f>IF(ISERROR(LOOKUP(AG$16,$L95:$X95,#REF!)),0,(LOOKUP(AG$16,$L95:$X95,#REF!)))</f>
        <v>0</v>
      </c>
      <c r="AH95" s="221">
        <f>IF(ISERROR(LOOKUP(AH$16,$L95:$X95,#REF!)),0,(LOOKUP(AH$16,$L95:$X95,#REF!)))</f>
        <v>0</v>
      </c>
      <c r="AI95" s="221">
        <f>IF(ISERROR(LOOKUP(AI$16,$L95:$X95,#REF!)),0,(LOOKUP(AI$16,$L95:$X95,#REF!)))</f>
        <v>0</v>
      </c>
      <c r="AJ95" s="221">
        <f>IF(ISERROR(LOOKUP(AJ$16,$L95:$X95,#REF!)),0,(LOOKUP(AJ$16,$L95:$X95,#REF!)))</f>
        <v>0</v>
      </c>
      <c r="AK95" s="221">
        <f>IF(ISERROR(LOOKUP(AK$16,$L95:$X95,#REF!)),0,(LOOKUP(AK$16,$L95:$X95,#REF!)))</f>
        <v>0</v>
      </c>
      <c r="AL95" s="221">
        <f>IF(ISERROR(LOOKUP(AL$16,$L95:$X95,#REF!)),0,(LOOKUP(AL$16,$L95:$X95,#REF!)))</f>
        <v>0</v>
      </c>
      <c r="AM95" s="221">
        <f ca="1">IF(ISERROR(LOOKUP(AM$16,$L95:$X95,#REF!)),0,(LOOKUP(AM$16,$L95:$X95,#REF!)))</f>
        <v>0</v>
      </c>
      <c r="AP95" s="215" t="e">
        <f>WORKDAY(AQ95,-INDEX(AQ$12:AQ$15,MATCH($I95,$I$12:$I$15,0)),$AW$17:$AW$148)</f>
        <v>#REF!</v>
      </c>
      <c r="AQ95" s="215" t="e">
        <f>WORKDAY(U95,-INDEX(U$12:U$15,MATCH($I95,$I$12:$I$15,0)),$AW$17:$AW$148)</f>
        <v>#REF!</v>
      </c>
      <c r="AR95" s="215" t="e">
        <f>WORKDAY(U95,-INDEX(U$12:U$15,MATCH($I95,$I$12:$I$15,0)),$AW$17:$AW$148)</f>
        <v>#REF!</v>
      </c>
      <c r="AS95" s="638">
        <v>7</v>
      </c>
      <c r="AW95" s="223" t="e">
        <v>#REF!</v>
      </c>
    </row>
    <row r="96" spans="1:49" s="166" customFormat="1" ht="18" customHeight="1">
      <c r="A96" s="596"/>
      <c r="B96" s="599"/>
      <c r="C96" s="601" t="str">
        <f t="shared" ref="C96" si="155">C95</f>
        <v>RFQ-027</v>
      </c>
      <c r="D96" s="601" t="str">
        <f t="shared" ref="D96:G96" si="156">D95</f>
        <v>Coriolis Flow Meters</v>
      </c>
      <c r="E96" s="224"/>
      <c r="F96" s="620" t="str">
        <f t="shared" si="156"/>
        <v>Instrument</v>
      </c>
      <c r="G96" s="601" t="str">
        <f t="shared" si="156"/>
        <v>N</v>
      </c>
      <c r="H96" s="607"/>
      <c r="I96" s="212" t="str">
        <f>I95</f>
        <v>LC</v>
      </c>
      <c r="J96" s="249" t="s">
        <v>65</v>
      </c>
      <c r="K96" s="215">
        <f>K95</f>
        <v>46296</v>
      </c>
      <c r="L96" s="215">
        <f>WORKDAY(IF(K97="",K96,K97),INDEX(L$12:L$15,MATCH($I95,$I$12:$I$15,0)))</f>
        <v>46301</v>
      </c>
      <c r="M96" s="215">
        <f>WORKDAY(IF(L97="",L96,L97),INDEX(M$12:M$15,MATCH($I95,$I$12:$I$15,0)))</f>
        <v>46315</v>
      </c>
      <c r="N96" s="215">
        <f>WORKDAY(IF(M97="",M96,M97),INDEX(N$12:N$15,MATCH($I95,$I$12:$I$15,0)))</f>
        <v>46316</v>
      </c>
      <c r="O96" s="215">
        <f>WORKDAY(IF(N97="",N96,N97),INDEX(O$12:O$15,MATCH($I95,$I$12:$I$15,0)))</f>
        <v>46330</v>
      </c>
      <c r="P96" s="216"/>
      <c r="Q96" s="217"/>
      <c r="R96" s="215">
        <f>WORKDAY(IF(O97="",O96,O97),INDEX(R$12:R$15,MATCH($I95,$I$12:$I$15,0)))</f>
        <v>46344</v>
      </c>
      <c r="S96" s="215">
        <f>WORKDAY(IF(R97="",R96,R97),INDEX(S$12:S$15,MATCH($I95,$I$12:$I$15,0)))</f>
        <v>46365</v>
      </c>
      <c r="T96" s="215">
        <f>WORKDAY(IF(S97="",S96,S97),INDEX(T$12:T$15,MATCH($I95,$I$12:$I$15,0)))</f>
        <v>46379</v>
      </c>
      <c r="U96" s="215">
        <f>WORKDAY(IF(T97="",T96,T97),INDEX(U$12:U$15,MATCH($I95,$I$12:$I$15,0)))</f>
        <v>46393</v>
      </c>
      <c r="V96" s="215">
        <f>WORKDAY(IF(U97="",U96,U97),INDEX(V$12:V$15,MATCH($I95,$I$12:$I$15,0)))</f>
        <v>46395</v>
      </c>
      <c r="W96" s="218"/>
      <c r="X96" s="215">
        <f>U96+Y95</f>
        <v>46538</v>
      </c>
      <c r="Y96" s="628"/>
      <c r="Z96" s="633"/>
      <c r="AA96" s="633"/>
      <c r="AB96" s="637"/>
      <c r="AC96" s="220">
        <f>IF(ISERROR(LOOKUP(AC$16,$L96:$X96,#REF!)),0,(LOOKUP(AC$16,$L96:$X96,#REF!)))</f>
        <v>0</v>
      </c>
      <c r="AD96" s="221">
        <f>IF(ISERROR(LOOKUP(AD$16,$L96:$X96,#REF!)),0,(LOOKUP(AD$16,$L96:$X96,#REF!)))</f>
        <v>0</v>
      </c>
      <c r="AE96" s="221">
        <f>IF(ISERROR(LOOKUP(AE$16,$L96:$X96,#REF!)),0,(LOOKUP(AE$16,$L96:$X96,#REF!)))</f>
        <v>0</v>
      </c>
      <c r="AF96" s="221">
        <f>IF(ISERROR(LOOKUP(AF$16,$L96:$X96,#REF!)),0,(LOOKUP(AF$16,$L96:$X96,#REF!)))</f>
        <v>0</v>
      </c>
      <c r="AG96" s="221">
        <f>IF(ISERROR(LOOKUP(AG$16,$L96:$X96,#REF!)),0,(LOOKUP(AG$16,$L96:$X96,#REF!)))</f>
        <v>0</v>
      </c>
      <c r="AH96" s="221">
        <f>IF(ISERROR(LOOKUP(AH$16,$L96:$X96,#REF!)),0,(LOOKUP(AH$16,$L96:$X96,#REF!)))</f>
        <v>0</v>
      </c>
      <c r="AI96" s="221">
        <f>IF(ISERROR(LOOKUP(AI$16,$L96:$X96,#REF!)),0,(LOOKUP(AI$16,$L96:$X96,#REF!)))</f>
        <v>0</v>
      </c>
      <c r="AJ96" s="221">
        <f>IF(ISERROR(LOOKUP(AJ$16,$L96:$X96,#REF!)),0,(LOOKUP(AJ$16,$L96:$X96,#REF!)))</f>
        <v>0</v>
      </c>
      <c r="AK96" s="221">
        <f>IF(ISERROR(LOOKUP(AK$16,$L96:$X96,#REF!)),0,(LOOKUP(AK$16,$L96:$X96,#REF!)))</f>
        <v>0</v>
      </c>
      <c r="AL96" s="221">
        <f>IF(ISERROR(LOOKUP(AL$16,$L96:$X96,#REF!)),0,(LOOKUP(AL$16,$L96:$X96,#REF!)))</f>
        <v>0</v>
      </c>
      <c r="AM96" s="221">
        <f ca="1">IF(ISERROR(LOOKUP(AM$16,$L96:$X96,#REF!)),0,(LOOKUP(AM$16,$L96:$X96,#REF!)))</f>
        <v>0</v>
      </c>
      <c r="AP96" s="215" t="e">
        <f>WORKDAY(IF(T97="",T96,T97),INDEX(AP$12:AP$15,MATCH($I95,$I$12:$I$15,0)),$AW$17:$AW$148)</f>
        <v>#REF!</v>
      </c>
      <c r="AQ96" s="215" t="e">
        <f>WORKDAY(IF(AP97="",AP96,AP97),INDEX(AQ$12:AQ$15,MATCH($I95,$I$12:$I$15,0)),$AW$17:$AW$148)</f>
        <v>#REF!</v>
      </c>
      <c r="AR96" s="215" t="e">
        <f>WORKDAY(IF(AQ97="",AQ96,AQ97),INDEX(AR$12:AR$15,MATCH($I95,$I$12:$I$15,0)),$AW$17:$AW$148)</f>
        <v>#REF!</v>
      </c>
      <c r="AS96" s="638"/>
      <c r="AW96" s="223" t="e" cm="1">
        <f t="array" ref="AW96:AW174">'[35]Procurement progress '!$A$2:$A$80</f>
        <v>#REF!</v>
      </c>
    </row>
    <row r="97" spans="1:49" s="166" customFormat="1" ht="18" customHeight="1">
      <c r="A97" s="596"/>
      <c r="B97" s="600"/>
      <c r="C97" s="601" t="str">
        <f>C95</f>
        <v>RFQ-027</v>
      </c>
      <c r="D97" s="601" t="str">
        <f t="shared" ref="D97:F97" si="157">D95</f>
        <v>Coriolis Flow Meters</v>
      </c>
      <c r="E97" s="225"/>
      <c r="F97" s="621" t="str">
        <f t="shared" si="157"/>
        <v>Instrument</v>
      </c>
      <c r="G97" s="601" t="str">
        <f t="shared" ref="G97" si="158">G95</f>
        <v>N</v>
      </c>
      <c r="H97" s="608"/>
      <c r="I97" s="212" t="str">
        <f>I95</f>
        <v>LC</v>
      </c>
      <c r="J97" s="249" t="s">
        <v>67</v>
      </c>
      <c r="K97" s="212"/>
      <c r="L97" s="212"/>
      <c r="M97" s="212"/>
      <c r="N97" s="212"/>
      <c r="O97" s="212"/>
      <c r="P97" s="226"/>
      <c r="Q97" s="227"/>
      <c r="R97" s="212"/>
      <c r="S97" s="212"/>
      <c r="T97" s="212"/>
      <c r="U97" s="212"/>
      <c r="V97" s="212"/>
      <c r="W97" s="228"/>
      <c r="X97" s="212"/>
      <c r="Y97" s="628"/>
      <c r="Z97" s="633"/>
      <c r="AA97" s="633"/>
      <c r="AB97" s="637"/>
      <c r="AC97" s="229">
        <f>IF(ISERROR(LOOKUP(AC$16,$L97:$X97,#REF!)),0,(LOOKUP(AC$16,$L97:$X97,#REF!)))</f>
        <v>0</v>
      </c>
      <c r="AD97" s="230">
        <f>IF(ISERROR(LOOKUP(AD$16,$L97:$X97,#REF!)),0,(LOOKUP(AD$16,$L97:$X97,#REF!)))</f>
        <v>0</v>
      </c>
      <c r="AE97" s="230">
        <f>IF(ISERROR(LOOKUP(AE$16,$L97:$X97,#REF!)),0,(LOOKUP(AE$16,$L97:$X97,#REF!)))</f>
        <v>0</v>
      </c>
      <c r="AF97" s="230">
        <f>IF(ISERROR(LOOKUP(AF$16,$L97:$X97,#REF!)),0,(LOOKUP(AF$16,$L97:$X97,#REF!)))</f>
        <v>0</v>
      </c>
      <c r="AG97" s="230">
        <f>IF(ISERROR(LOOKUP(AG$16,$L97:$X97,#REF!)),0,(LOOKUP(AG$16,$L97:$X97,#REF!)))</f>
        <v>0</v>
      </c>
      <c r="AH97" s="230">
        <f>IF(ISERROR(LOOKUP(AH$16,$L97:$X97,#REF!)),0,(LOOKUP(AH$16,$L97:$X97,#REF!)))</f>
        <v>0</v>
      </c>
      <c r="AI97" s="230">
        <f>IF(ISERROR(LOOKUP(AI$16,$L97:$X97,#REF!)),0,(LOOKUP(AI$16,$L97:$X97,#REF!)))</f>
        <v>0</v>
      </c>
      <c r="AJ97" s="230">
        <f>IF(ISERROR(LOOKUP(AJ$16,$L97:$X97,#REF!)),0,(LOOKUP(AJ$16,$L97:$X97,#REF!)))</f>
        <v>0</v>
      </c>
      <c r="AK97" s="230">
        <f>IF(ISERROR(LOOKUP(AK$16,$L97:$X97,#REF!)),0,(LOOKUP(AK$16,$L97:$X97,#REF!)))</f>
        <v>0</v>
      </c>
      <c r="AL97" s="230">
        <f>IF(ISERROR(LOOKUP(AL$16,$L97:$X97,#REF!)),0,(LOOKUP(AL$16,$L97:$X97,#REF!)))</f>
        <v>0</v>
      </c>
      <c r="AM97" s="230">
        <f ca="1">IF(ISERROR(LOOKUP(AM$16,$L97:$X97,#REF!)),0,(LOOKUP(AM$16,$L97:$X97,#REF!)))</f>
        <v>0</v>
      </c>
      <c r="AP97" s="248"/>
      <c r="AQ97" s="248"/>
      <c r="AR97" s="248"/>
      <c r="AS97" s="638"/>
      <c r="AW97" s="223" t="e">
        <v>#REF!</v>
      </c>
    </row>
    <row r="98" spans="1:49" s="169" customFormat="1" ht="22.5" customHeight="1">
      <c r="A98" s="596">
        <f t="shared" ref="A98" si="159">A95+1</f>
        <v>28</v>
      </c>
      <c r="B98" s="598"/>
      <c r="C98" s="601" t="s">
        <v>4765</v>
      </c>
      <c r="D98" s="601" t="s">
        <v>160</v>
      </c>
      <c r="E98" s="213"/>
      <c r="F98" s="610" t="s">
        <v>139</v>
      </c>
      <c r="G98" s="601" t="s">
        <v>60</v>
      </c>
      <c r="H98" s="606"/>
      <c r="I98" s="212" t="s">
        <v>6</v>
      </c>
      <c r="J98" s="214" t="s">
        <v>61</v>
      </c>
      <c r="K98" s="215">
        <f>WORKDAY(L98,-INDEX(L$12:L$15,MATCH($I98,$I$12:$I$15,0)))</f>
        <v>46147</v>
      </c>
      <c r="L98" s="215">
        <f>WORKDAY(M98,-INDEX(M$12:M$15,MATCH($I98,$I$12:$I$15,0)))</f>
        <v>46148</v>
      </c>
      <c r="M98" s="215">
        <f>WORKDAY(N98,-INDEX(N$12:N$15,MATCH($I98,$I$12:$I$15,0)))</f>
        <v>46155</v>
      </c>
      <c r="N98" s="215">
        <f>WORKDAY(O98,-INDEX(O$12:O$15,MATCH($I98,$I$12:$I$15,0)))</f>
        <v>46156</v>
      </c>
      <c r="O98" s="215">
        <f>WORKDAY(R98,-INDEX(R$12:R$15,MATCH($I98,$I$12:$I$15,0)))</f>
        <v>46163</v>
      </c>
      <c r="P98" s="216">
        <f>U98-L98</f>
        <v>76</v>
      </c>
      <c r="Q98" s="217"/>
      <c r="R98" s="215">
        <f>WORKDAY(S98,-INDEX(S$12:S$15,MATCH($I98,$I$12:$I$15,0)))</f>
        <v>46177</v>
      </c>
      <c r="S98" s="215">
        <f>WORKDAY(T98,-INDEX(T$12:T$15,MATCH($I98,$I$12:$I$15,0)))</f>
        <v>46205</v>
      </c>
      <c r="T98" s="215">
        <f>WORKDAY(U98,-INDEX(U$12:U$15,MATCH($I98,$I$12:$I$15,0)))</f>
        <v>46210</v>
      </c>
      <c r="U98" s="215">
        <f>X98-Y98</f>
        <v>46224</v>
      </c>
      <c r="V98" s="215">
        <f>WORKDAY(U98,INDEX(V$12:V$15,MATCH($I98,$I$12:$I$15,0)))</f>
        <v>46226</v>
      </c>
      <c r="W98" s="218">
        <f>Y98/7</f>
        <v>36</v>
      </c>
      <c r="X98" s="215">
        <f>Z98</f>
        <v>46476</v>
      </c>
      <c r="Y98" s="628">
        <v>252</v>
      </c>
      <c r="Z98" s="633">
        <v>46476</v>
      </c>
      <c r="AA98" s="633">
        <v>46416</v>
      </c>
      <c r="AB98" s="637">
        <f t="shared" ref="AB98" si="160">Z98-X99</f>
        <v>0</v>
      </c>
      <c r="AC98" s="250">
        <f>IF(ISERROR(LOOKUP(AC$16,$L98:$X98,#REF!)),0,(LOOKUP(AC$16,$L98:$X98,#REF!)))</f>
        <v>0</v>
      </c>
      <c r="AD98" s="251">
        <f>IF(ISERROR(LOOKUP(AD$16,$L98:$X98,#REF!)),0,(LOOKUP(AD$16,$L98:$X98,#REF!)))</f>
        <v>0</v>
      </c>
      <c r="AE98" s="251">
        <f>IF(ISERROR(LOOKUP(AE$16,$L98:$X98,#REF!)),0,(LOOKUP(AE$16,$L98:$X98,#REF!)))</f>
        <v>0</v>
      </c>
      <c r="AF98" s="251">
        <f>IF(ISERROR(LOOKUP(AF$16,$L98:$X98,#REF!)),0,(LOOKUP(AF$16,$L98:$X98,#REF!)))</f>
        <v>0</v>
      </c>
      <c r="AG98" s="251">
        <f>IF(ISERROR(LOOKUP(AG$16,$L98:$X98,#REF!)),0,(LOOKUP(AG$16,$L98:$X98,#REF!)))</f>
        <v>0</v>
      </c>
      <c r="AH98" s="251">
        <f>IF(ISERROR(LOOKUP(AH$16,$L98:$X98,#REF!)),0,(LOOKUP(AH$16,$L98:$X98,#REF!)))</f>
        <v>0</v>
      </c>
      <c r="AI98" s="251">
        <f>IF(ISERROR(LOOKUP(AI$16,$L98:$X98,#REF!)),0,(LOOKUP(AI$16,$L98:$X98,#REF!)))</f>
        <v>0</v>
      </c>
      <c r="AJ98" s="251">
        <f>IF(ISERROR(LOOKUP(AJ$16,$L98:$X98,#REF!)),0,(LOOKUP(AJ$16,$L98:$X98,#REF!)))</f>
        <v>0</v>
      </c>
      <c r="AK98" s="251">
        <f>IF(ISERROR(LOOKUP(AK$16,$L98:$X98,#REF!)),0,(LOOKUP(AK$16,$L98:$X98,#REF!)))</f>
        <v>0</v>
      </c>
      <c r="AL98" s="251">
        <f>IF(ISERROR(LOOKUP(AL$16,$L98:$X98,#REF!)),0,(LOOKUP(AL$16,$L98:$X98,#REF!)))</f>
        <v>0</v>
      </c>
      <c r="AM98" s="251">
        <f ca="1">IF(ISERROR(LOOKUP(AM$16,$L98:$X98,#REF!)),0,(LOOKUP(AM$16,$L98:$X98,#REF!)))</f>
        <v>0</v>
      </c>
      <c r="AP98" s="215" t="e">
        <f>WORKDAY(AQ98,-INDEX(AQ$12:AQ$15,MATCH($I98,$I$12:$I$15,0)),$AW$17:$AW$148)</f>
        <v>#REF!</v>
      </c>
      <c r="AQ98" s="215" t="e">
        <f>WORKDAY(U98,-INDEX(U$12:U$15,MATCH($I98,$I$12:$I$15,0)),$AW$17:$AW$148)</f>
        <v>#REF!</v>
      </c>
      <c r="AR98" s="215" t="e">
        <f>WORKDAY(U98,-INDEX(U$12:U$15,MATCH($I98,$I$12:$I$15,0)),$AW$17:$AW$148)</f>
        <v>#REF!</v>
      </c>
      <c r="AS98" s="638">
        <v>7</v>
      </c>
      <c r="AW98" s="252" t="e">
        <v>#REF!</v>
      </c>
    </row>
    <row r="99" spans="1:49" s="169" customFormat="1" ht="22.5" customHeight="1">
      <c r="A99" s="596"/>
      <c r="B99" s="599"/>
      <c r="C99" s="601" t="str">
        <f t="shared" ref="C99" si="161">C98</f>
        <v>RFQ-028</v>
      </c>
      <c r="D99" s="601" t="str">
        <f t="shared" ref="D99:G99" si="162">D98</f>
        <v>Wellhead Control Panel (WHCP)</v>
      </c>
      <c r="E99" s="224"/>
      <c r="F99" s="611" t="str">
        <f t="shared" si="162"/>
        <v>Instrument</v>
      </c>
      <c r="G99" s="601" t="str">
        <f t="shared" si="162"/>
        <v>Y</v>
      </c>
      <c r="H99" s="607"/>
      <c r="I99" s="212" t="str">
        <f>I98</f>
        <v>LA</v>
      </c>
      <c r="J99" s="214" t="s">
        <v>65</v>
      </c>
      <c r="K99" s="215">
        <f>K98</f>
        <v>46147</v>
      </c>
      <c r="L99" s="215">
        <f>WORKDAY(IF(K100="",K99,K100),INDEX(L$12:L$15,MATCH($I98,$I$12:$I$15,0)))</f>
        <v>46148</v>
      </c>
      <c r="M99" s="215">
        <f>WORKDAY(IF(L100="",L99,L100),INDEX(M$12:M$15,MATCH($I98,$I$12:$I$15,0)))</f>
        <v>46155</v>
      </c>
      <c r="N99" s="215">
        <f>WORKDAY(IF(M100="",M99,M100),INDEX(N$12:N$15,MATCH($I98,$I$12:$I$15,0)))</f>
        <v>46156</v>
      </c>
      <c r="O99" s="215">
        <f>WORKDAY(IF(N100="",N99,N100),INDEX(O$12:O$15,MATCH($I98,$I$12:$I$15,0)))</f>
        <v>46163</v>
      </c>
      <c r="P99" s="216"/>
      <c r="Q99" s="217"/>
      <c r="R99" s="215">
        <f>WORKDAY(IF(O100="",O99,O100),INDEX(R$12:R$15,MATCH($I98,$I$12:$I$15,0)))</f>
        <v>46177</v>
      </c>
      <c r="S99" s="215">
        <f>WORKDAY(IF(R100="",R99,R100),INDEX(S$12:S$15,MATCH($I98,$I$12:$I$15,0)))</f>
        <v>46205</v>
      </c>
      <c r="T99" s="215">
        <f>WORKDAY(IF(S100="",S99,S100),INDEX(T$12:T$15,MATCH($I98,$I$12:$I$15,0)))</f>
        <v>46210</v>
      </c>
      <c r="U99" s="215">
        <f>WORKDAY(IF(T100="",T99,T100),INDEX(U$12:U$15,MATCH($I98,$I$12:$I$15,0)))</f>
        <v>46224</v>
      </c>
      <c r="V99" s="215">
        <f>WORKDAY(IF(U100="",U99,U100),INDEX(V$12:V$15,MATCH($I98,$I$12:$I$15,0)))</f>
        <v>46226</v>
      </c>
      <c r="W99" s="218"/>
      <c r="X99" s="215">
        <f>U99+Y98</f>
        <v>46476</v>
      </c>
      <c r="Y99" s="628"/>
      <c r="Z99" s="633"/>
      <c r="AA99" s="633"/>
      <c r="AB99" s="637"/>
      <c r="AC99" s="250">
        <f>IF(ISERROR(LOOKUP(AC$16,$L99:$X99,#REF!)),0,(LOOKUP(AC$16,$L99:$X99,#REF!)))</f>
        <v>0</v>
      </c>
      <c r="AD99" s="251">
        <f>IF(ISERROR(LOOKUP(AD$16,$L99:$X99,#REF!)),0,(LOOKUP(AD$16,$L99:$X99,#REF!)))</f>
        <v>0</v>
      </c>
      <c r="AE99" s="251">
        <f>IF(ISERROR(LOOKUP(AE$16,$L99:$X99,#REF!)),0,(LOOKUP(AE$16,$L99:$X99,#REF!)))</f>
        <v>0</v>
      </c>
      <c r="AF99" s="251">
        <f>IF(ISERROR(LOOKUP(AF$16,$L99:$X99,#REF!)),0,(LOOKUP(AF$16,$L99:$X99,#REF!)))</f>
        <v>0</v>
      </c>
      <c r="AG99" s="251">
        <f>IF(ISERROR(LOOKUP(AG$16,$L99:$X99,#REF!)),0,(LOOKUP(AG$16,$L99:$X99,#REF!)))</f>
        <v>0</v>
      </c>
      <c r="AH99" s="251">
        <f>IF(ISERROR(LOOKUP(AH$16,$L99:$X99,#REF!)),0,(LOOKUP(AH$16,$L99:$X99,#REF!)))</f>
        <v>0</v>
      </c>
      <c r="AI99" s="251">
        <f>IF(ISERROR(LOOKUP(AI$16,$L99:$X99,#REF!)),0,(LOOKUP(AI$16,$L99:$X99,#REF!)))</f>
        <v>0</v>
      </c>
      <c r="AJ99" s="251">
        <f>IF(ISERROR(LOOKUP(AJ$16,$L99:$X99,#REF!)),0,(LOOKUP(AJ$16,$L99:$X99,#REF!)))</f>
        <v>0</v>
      </c>
      <c r="AK99" s="251">
        <f>IF(ISERROR(LOOKUP(AK$16,$L99:$X99,#REF!)),0,(LOOKUP(AK$16,$L99:$X99,#REF!)))</f>
        <v>0</v>
      </c>
      <c r="AL99" s="251">
        <f>IF(ISERROR(LOOKUP(AL$16,$L99:$X99,#REF!)),0,(LOOKUP(AL$16,$L99:$X99,#REF!)))</f>
        <v>0</v>
      </c>
      <c r="AM99" s="251">
        <f ca="1">IF(ISERROR(LOOKUP(AM$16,$L99:$X99,#REF!)),0,(LOOKUP(AM$16,$L99:$X99,#REF!)))</f>
        <v>0</v>
      </c>
      <c r="AP99" s="215" t="e">
        <f>WORKDAY(IF(T100="",T99,T100),INDEX(AP$12:AP$15,MATCH($I98,$I$12:$I$15,0)),$AW$17:$AW$148)</f>
        <v>#REF!</v>
      </c>
      <c r="AQ99" s="215" t="e">
        <f>WORKDAY(IF(AP100="",AP99,AP100),INDEX(AQ$12:AQ$15,MATCH($I98,$I$12:$I$15,0)),$AW$17:$AW$148)</f>
        <v>#REF!</v>
      </c>
      <c r="AR99" s="215" t="e">
        <f>WORKDAY(IF(AQ100="",AQ99,AQ100),INDEX(AR$12:AR$15,MATCH($I98,$I$12:$I$15,0)),$AW$17:$AW$148)</f>
        <v>#REF!</v>
      </c>
      <c r="AS99" s="638"/>
      <c r="AW99" s="252" t="e">
        <v>#REF!</v>
      </c>
    </row>
    <row r="100" spans="1:49" s="169" customFormat="1" ht="15" customHeight="1">
      <c r="A100" s="596"/>
      <c r="B100" s="600"/>
      <c r="C100" s="601" t="str">
        <f>C98</f>
        <v>RFQ-028</v>
      </c>
      <c r="D100" s="601" t="str">
        <f t="shared" ref="D100:F100" si="163">D98</f>
        <v>Wellhead Control Panel (WHCP)</v>
      </c>
      <c r="E100" s="225"/>
      <c r="F100" s="612" t="str">
        <f t="shared" si="163"/>
        <v>Instrument</v>
      </c>
      <c r="G100" s="601" t="str">
        <f t="shared" ref="G100" si="164">G98</f>
        <v>Y</v>
      </c>
      <c r="H100" s="608"/>
      <c r="I100" s="212" t="str">
        <f>I98</f>
        <v>LA</v>
      </c>
      <c r="J100" s="214" t="s">
        <v>67</v>
      </c>
      <c r="K100" s="212"/>
      <c r="L100" s="212"/>
      <c r="M100" s="212"/>
      <c r="N100" s="212"/>
      <c r="O100" s="212"/>
      <c r="P100" s="226"/>
      <c r="Q100" s="227"/>
      <c r="R100" s="212"/>
      <c r="S100" s="212"/>
      <c r="T100" s="212"/>
      <c r="U100" s="212"/>
      <c r="V100" s="212"/>
      <c r="W100" s="228"/>
      <c r="X100" s="212"/>
      <c r="Y100" s="628"/>
      <c r="Z100" s="633"/>
      <c r="AA100" s="633"/>
      <c r="AB100" s="637"/>
      <c r="AC100" s="254">
        <f>IF(ISERROR(LOOKUP(AC$16,$L100:$X100,#REF!)),0,(LOOKUP(AC$16,$L100:$X100,#REF!)))</f>
        <v>0</v>
      </c>
      <c r="AD100" s="255">
        <f>IF(ISERROR(LOOKUP(AD$16,$L100:$X100,#REF!)),0,(LOOKUP(AD$16,$L100:$X100,#REF!)))</f>
        <v>0</v>
      </c>
      <c r="AE100" s="255">
        <f>IF(ISERROR(LOOKUP(AE$16,$L100:$X100,#REF!)),0,(LOOKUP(AE$16,$L100:$X100,#REF!)))</f>
        <v>0</v>
      </c>
      <c r="AF100" s="255">
        <f>IF(ISERROR(LOOKUP(AF$16,$L100:$X100,#REF!)),0,(LOOKUP(AF$16,$L100:$X100,#REF!)))</f>
        <v>0</v>
      </c>
      <c r="AG100" s="255">
        <f>IF(ISERROR(LOOKUP(AG$16,$L100:$X100,#REF!)),0,(LOOKUP(AG$16,$L100:$X100,#REF!)))</f>
        <v>0</v>
      </c>
      <c r="AH100" s="255">
        <f>IF(ISERROR(LOOKUP(AH$16,$L100:$X100,#REF!)),0,(LOOKUP(AH$16,$L100:$X100,#REF!)))</f>
        <v>0</v>
      </c>
      <c r="AI100" s="255">
        <f>IF(ISERROR(LOOKUP(AI$16,$L100:$X100,#REF!)),0,(LOOKUP(AI$16,$L100:$X100,#REF!)))</f>
        <v>0</v>
      </c>
      <c r="AJ100" s="255">
        <f>IF(ISERROR(LOOKUP(AJ$16,$L100:$X100,#REF!)),0,(LOOKUP(AJ$16,$L100:$X100,#REF!)))</f>
        <v>0</v>
      </c>
      <c r="AK100" s="255">
        <f>IF(ISERROR(LOOKUP(AK$16,$L100:$X100,#REF!)),0,(LOOKUP(AK$16,$L100:$X100,#REF!)))</f>
        <v>0</v>
      </c>
      <c r="AL100" s="255">
        <f>IF(ISERROR(LOOKUP(AL$16,$L100:$X100,#REF!)),0,(LOOKUP(AL$16,$L100:$X100,#REF!)))</f>
        <v>0</v>
      </c>
      <c r="AM100" s="255">
        <f ca="1">IF(ISERROR(LOOKUP(AM$16,$L100:$X100,#REF!)),0,(LOOKUP(AM$16,$L100:$X100,#REF!)))</f>
        <v>0</v>
      </c>
      <c r="AP100" s="212"/>
      <c r="AQ100" s="212"/>
      <c r="AR100" s="212"/>
      <c r="AS100" s="638"/>
      <c r="AW100" s="252" t="e">
        <v>#REF!</v>
      </c>
    </row>
    <row r="101" spans="1:49" s="166" customFormat="1" ht="18" customHeight="1">
      <c r="A101" s="596">
        <f t="shared" ref="A101" si="165">A98+1</f>
        <v>29</v>
      </c>
      <c r="B101" s="598"/>
      <c r="C101" s="601" t="s">
        <v>4766</v>
      </c>
      <c r="D101" s="601" t="s">
        <v>163</v>
      </c>
      <c r="E101" s="213"/>
      <c r="F101" s="619" t="s">
        <v>139</v>
      </c>
      <c r="G101" s="601" t="s">
        <v>71</v>
      </c>
      <c r="H101" s="606"/>
      <c r="I101" s="212" t="s">
        <v>8</v>
      </c>
      <c r="J101" s="249" t="s">
        <v>61</v>
      </c>
      <c r="K101" s="215">
        <f>WORKDAY(L101,-INDEX(L$12:L$15,MATCH($I101,$I$12:$I$15,0)))</f>
        <v>46315</v>
      </c>
      <c r="L101" s="215">
        <f>WORKDAY(M101,-INDEX(M$12:M$15,MATCH($I101,$I$12:$I$15,0)))</f>
        <v>46318</v>
      </c>
      <c r="M101" s="215">
        <f>WORKDAY(N101,-INDEX(N$12:N$15,MATCH($I101,$I$12:$I$15,0)))</f>
        <v>46332</v>
      </c>
      <c r="N101" s="215">
        <f>WORKDAY(O101,-INDEX(O$12:O$15,MATCH($I101,$I$12:$I$15,0)))</f>
        <v>46335</v>
      </c>
      <c r="O101" s="215">
        <f>WORKDAY(R101,-INDEX(R$12:R$15,MATCH($I101,$I$12:$I$15,0)))</f>
        <v>46349</v>
      </c>
      <c r="P101" s="216">
        <f>U101-L101</f>
        <v>94</v>
      </c>
      <c r="Q101" s="217"/>
      <c r="R101" s="215">
        <f>WORKDAY(S101,-INDEX(S$12:S$15,MATCH($I101,$I$12:$I$15,0)))</f>
        <v>46363</v>
      </c>
      <c r="S101" s="215">
        <f>WORKDAY(T101,-INDEX(T$12:T$15,MATCH($I101,$I$12:$I$15,0)))</f>
        <v>46384</v>
      </c>
      <c r="T101" s="215">
        <f>WORKDAY(U101,-INDEX(U$12:U$15,MATCH($I101,$I$12:$I$15,0)))</f>
        <v>46398</v>
      </c>
      <c r="U101" s="215">
        <f>X101-Y101</f>
        <v>46412</v>
      </c>
      <c r="V101" s="215">
        <f>WORKDAY(U101,INDEX(V$12:V$15,MATCH($I101,$I$12:$I$15,0)))</f>
        <v>46414</v>
      </c>
      <c r="W101" s="218">
        <f>Y101/7</f>
        <v>18</v>
      </c>
      <c r="X101" s="215">
        <f>Z101</f>
        <v>46538</v>
      </c>
      <c r="Y101" s="628">
        <f>18*7</f>
        <v>126</v>
      </c>
      <c r="Z101" s="633">
        <v>46538</v>
      </c>
      <c r="AA101" s="633">
        <v>46538</v>
      </c>
      <c r="AB101" s="637">
        <f t="shared" ref="AB101" si="166">Z101-X102</f>
        <v>0</v>
      </c>
      <c r="AC101" s="220">
        <f>IF(ISERROR(LOOKUP(AC$16,$L101:$X101,#REF!)),0,(LOOKUP(AC$16,$L101:$X101,#REF!)))</f>
        <v>0</v>
      </c>
      <c r="AD101" s="221">
        <f>IF(ISERROR(LOOKUP(AD$16,$L101:$X101,#REF!)),0,(LOOKUP(AD$16,$L101:$X101,#REF!)))</f>
        <v>0</v>
      </c>
      <c r="AE101" s="221">
        <f>IF(ISERROR(LOOKUP(AE$16,$L101:$X101,#REF!)),0,(LOOKUP(AE$16,$L101:$X101,#REF!)))</f>
        <v>0</v>
      </c>
      <c r="AF101" s="221">
        <f>IF(ISERROR(LOOKUP(AF$16,$L101:$X101,#REF!)),0,(LOOKUP(AF$16,$L101:$X101,#REF!)))</f>
        <v>0</v>
      </c>
      <c r="AG101" s="221">
        <f>IF(ISERROR(LOOKUP(AG$16,$L101:$X101,#REF!)),0,(LOOKUP(AG$16,$L101:$X101,#REF!)))</f>
        <v>0</v>
      </c>
      <c r="AH101" s="221">
        <f>IF(ISERROR(LOOKUP(AH$16,$L101:$X101,#REF!)),0,(LOOKUP(AH$16,$L101:$X101,#REF!)))</f>
        <v>0</v>
      </c>
      <c r="AI101" s="221">
        <f>IF(ISERROR(LOOKUP(AI$16,$L101:$X101,#REF!)),0,(LOOKUP(AI$16,$L101:$X101,#REF!)))</f>
        <v>0</v>
      </c>
      <c r="AJ101" s="221">
        <f>IF(ISERROR(LOOKUP(AJ$16,$L101:$X101,#REF!)),0,(LOOKUP(AJ$16,$L101:$X101,#REF!)))</f>
        <v>0</v>
      </c>
      <c r="AK101" s="221">
        <f>IF(ISERROR(LOOKUP(AK$16,$L101:$X101,#REF!)),0,(LOOKUP(AK$16,$L101:$X101,#REF!)))</f>
        <v>0</v>
      </c>
      <c r="AL101" s="221">
        <f>IF(ISERROR(LOOKUP(AL$16,$L101:$X101,#REF!)),0,(LOOKUP(AL$16,$L101:$X101,#REF!)))</f>
        <v>0</v>
      </c>
      <c r="AM101" s="221">
        <f ca="1">IF(ISERROR(LOOKUP(AM$16,$L101:$X101,#REF!)),0,(LOOKUP(AM$16,$L101:$X101,#REF!)))</f>
        <v>0</v>
      </c>
      <c r="AP101" s="215" t="e">
        <f>WORKDAY(AQ101,-INDEX(AQ$12:AQ$15,MATCH($I101,$I$12:$I$15,0)),$AW$17:$AW$148)</f>
        <v>#REF!</v>
      </c>
      <c r="AQ101" s="215" t="e">
        <f>WORKDAY(U101,-INDEX(U$12:U$15,MATCH($I101,$I$12:$I$15,0)),$AW$17:$AW$148)</f>
        <v>#REF!</v>
      </c>
      <c r="AR101" s="215" t="e">
        <f>WORKDAY(U101,-INDEX(U$12:U$15,MATCH($I101,$I$12:$I$15,0)),$AW$17:$AW$148)</f>
        <v>#REF!</v>
      </c>
      <c r="AS101" s="638">
        <v>7</v>
      </c>
      <c r="AW101" s="223" t="e">
        <v>#REF!</v>
      </c>
    </row>
    <row r="102" spans="1:49" s="166" customFormat="1" ht="18" customHeight="1">
      <c r="A102" s="596"/>
      <c r="B102" s="599"/>
      <c r="C102" s="601" t="str">
        <f t="shared" ref="C102" si="167">C101</f>
        <v>RFQ-029</v>
      </c>
      <c r="D102" s="601" t="str">
        <f t="shared" ref="D102:G102" si="168">D101</f>
        <v>Pressure Gauge</v>
      </c>
      <c r="E102" s="224"/>
      <c r="F102" s="620" t="str">
        <f t="shared" si="168"/>
        <v>Instrument</v>
      </c>
      <c r="G102" s="601" t="str">
        <f t="shared" si="168"/>
        <v>N</v>
      </c>
      <c r="H102" s="607"/>
      <c r="I102" s="212" t="str">
        <f>I101</f>
        <v>LC</v>
      </c>
      <c r="J102" s="249" t="s">
        <v>65</v>
      </c>
      <c r="K102" s="215">
        <f>K101</f>
        <v>46315</v>
      </c>
      <c r="L102" s="215">
        <f>WORKDAY(IF(K103="",K102,K103),INDEX(L$12:L$15,MATCH($I101,$I$12:$I$15,0)))</f>
        <v>46318</v>
      </c>
      <c r="M102" s="215">
        <f>WORKDAY(IF(L103="",L102,L103),INDEX(M$12:M$15,MATCH($I101,$I$12:$I$15,0)))</f>
        <v>46332</v>
      </c>
      <c r="N102" s="215">
        <f>WORKDAY(IF(M103="",M102,M103),INDEX(N$12:N$15,MATCH($I101,$I$12:$I$15,0)))</f>
        <v>46335</v>
      </c>
      <c r="O102" s="215">
        <f>WORKDAY(IF(N103="",N102,N103),INDEX(O$12:O$15,MATCH($I101,$I$12:$I$15,0)))</f>
        <v>46349</v>
      </c>
      <c r="P102" s="216"/>
      <c r="Q102" s="217"/>
      <c r="R102" s="215">
        <f>WORKDAY(IF(O103="",O102,O103),INDEX(R$12:R$15,MATCH($I101,$I$12:$I$15,0)))</f>
        <v>46363</v>
      </c>
      <c r="S102" s="215">
        <f>WORKDAY(IF(R103="",R102,R103),INDEX(S$12:S$15,MATCH($I101,$I$12:$I$15,0)))</f>
        <v>46384</v>
      </c>
      <c r="T102" s="215">
        <f>WORKDAY(IF(S103="",S102,S103),INDEX(T$12:T$15,MATCH($I101,$I$12:$I$15,0)))</f>
        <v>46398</v>
      </c>
      <c r="U102" s="215">
        <f>WORKDAY(IF(T103="",T102,T103),INDEX(U$12:U$15,MATCH($I101,$I$12:$I$15,0)))</f>
        <v>46412</v>
      </c>
      <c r="V102" s="215">
        <f>WORKDAY(IF(U103="",U102,U103),INDEX(V$12:V$15,MATCH($I101,$I$12:$I$15,0)))</f>
        <v>46414</v>
      </c>
      <c r="W102" s="218"/>
      <c r="X102" s="215">
        <f>U102+Y101</f>
        <v>46538</v>
      </c>
      <c r="Y102" s="628"/>
      <c r="Z102" s="633"/>
      <c r="AA102" s="633"/>
      <c r="AB102" s="637"/>
      <c r="AC102" s="220">
        <f>IF(ISERROR(LOOKUP(AC$16,$L102:$X102,#REF!)),0,(LOOKUP(AC$16,$L102:$X102,#REF!)))</f>
        <v>0</v>
      </c>
      <c r="AD102" s="221">
        <f>IF(ISERROR(LOOKUP(AD$16,$L102:$X102,#REF!)),0,(LOOKUP(AD$16,$L102:$X102,#REF!)))</f>
        <v>0</v>
      </c>
      <c r="AE102" s="221">
        <f>IF(ISERROR(LOOKUP(AE$16,$L102:$X102,#REF!)),0,(LOOKUP(AE$16,$L102:$X102,#REF!)))</f>
        <v>0</v>
      </c>
      <c r="AF102" s="221">
        <f>IF(ISERROR(LOOKUP(AF$16,$L102:$X102,#REF!)),0,(LOOKUP(AF$16,$L102:$X102,#REF!)))</f>
        <v>0</v>
      </c>
      <c r="AG102" s="221">
        <f>IF(ISERROR(LOOKUP(AG$16,$L102:$X102,#REF!)),0,(LOOKUP(AG$16,$L102:$X102,#REF!)))</f>
        <v>0</v>
      </c>
      <c r="AH102" s="221">
        <f>IF(ISERROR(LOOKUP(AH$16,$L102:$X102,#REF!)),0,(LOOKUP(AH$16,$L102:$X102,#REF!)))</f>
        <v>0</v>
      </c>
      <c r="AI102" s="221">
        <f>IF(ISERROR(LOOKUP(AI$16,$L102:$X102,#REF!)),0,(LOOKUP(AI$16,$L102:$X102,#REF!)))</f>
        <v>0</v>
      </c>
      <c r="AJ102" s="221">
        <f>IF(ISERROR(LOOKUP(AJ$16,$L102:$X102,#REF!)),0,(LOOKUP(AJ$16,$L102:$X102,#REF!)))</f>
        <v>0</v>
      </c>
      <c r="AK102" s="221">
        <f>IF(ISERROR(LOOKUP(AK$16,$L102:$X102,#REF!)),0,(LOOKUP(AK$16,$L102:$X102,#REF!)))</f>
        <v>0</v>
      </c>
      <c r="AL102" s="221">
        <f>IF(ISERROR(LOOKUP(AL$16,$L102:$X102,#REF!)),0,(LOOKUP(AL$16,$L102:$X102,#REF!)))</f>
        <v>0</v>
      </c>
      <c r="AM102" s="221">
        <f ca="1">IF(ISERROR(LOOKUP(AM$16,$L102:$X102,#REF!)),0,(LOOKUP(AM$16,$L102:$X102,#REF!)))</f>
        <v>0</v>
      </c>
      <c r="AP102" s="215" t="e">
        <f>WORKDAY(IF(T103="",T102,T103),INDEX(AP$12:AP$15,MATCH($I101,$I$12:$I$15,0)),$AW$17:$AW$148)</f>
        <v>#REF!</v>
      </c>
      <c r="AQ102" s="215" t="e">
        <f>WORKDAY(IF(AP103="",AP102,AP103),INDEX(AQ$12:AQ$15,MATCH($I101,$I$12:$I$15,0)),$AW$17:$AW$148)</f>
        <v>#REF!</v>
      </c>
      <c r="AR102" s="215" t="e">
        <f>WORKDAY(IF(AQ103="",AQ102,AQ103),INDEX(AR$12:AR$15,MATCH($I101,$I$12:$I$15,0)),$AW$17:$AW$148)</f>
        <v>#REF!</v>
      </c>
      <c r="AS102" s="638"/>
      <c r="AW102" s="223" t="e">
        <v>#REF!</v>
      </c>
    </row>
    <row r="103" spans="1:49" s="166" customFormat="1" ht="18" customHeight="1">
      <c r="A103" s="596"/>
      <c r="B103" s="600"/>
      <c r="C103" s="601" t="str">
        <f>C101</f>
        <v>RFQ-029</v>
      </c>
      <c r="D103" s="601" t="str">
        <f t="shared" ref="D103:F103" si="169">D101</f>
        <v>Pressure Gauge</v>
      </c>
      <c r="E103" s="225"/>
      <c r="F103" s="621" t="str">
        <f t="shared" si="169"/>
        <v>Instrument</v>
      </c>
      <c r="G103" s="601" t="str">
        <f t="shared" ref="G103" si="170">G101</f>
        <v>N</v>
      </c>
      <c r="H103" s="608"/>
      <c r="I103" s="212" t="str">
        <f>I101</f>
        <v>LC</v>
      </c>
      <c r="J103" s="249" t="s">
        <v>67</v>
      </c>
      <c r="K103" s="212"/>
      <c r="L103" s="212"/>
      <c r="M103" s="212"/>
      <c r="N103" s="212"/>
      <c r="O103" s="212"/>
      <c r="P103" s="226"/>
      <c r="Q103" s="227"/>
      <c r="R103" s="212"/>
      <c r="S103" s="212"/>
      <c r="T103" s="212"/>
      <c r="U103" s="212"/>
      <c r="V103" s="212"/>
      <c r="W103" s="228"/>
      <c r="X103" s="212"/>
      <c r="Y103" s="628"/>
      <c r="Z103" s="633"/>
      <c r="AA103" s="633"/>
      <c r="AB103" s="637"/>
      <c r="AC103" s="229">
        <f>IF(ISERROR(LOOKUP(AC$16,$L103:$X103,#REF!)),0,(LOOKUP(AC$16,$L103:$X103,#REF!)))</f>
        <v>0</v>
      </c>
      <c r="AD103" s="230">
        <f>IF(ISERROR(LOOKUP(AD$16,$L103:$X103,#REF!)),0,(LOOKUP(AD$16,$L103:$X103,#REF!)))</f>
        <v>0</v>
      </c>
      <c r="AE103" s="230">
        <f>IF(ISERROR(LOOKUP(AE$16,$L103:$X103,#REF!)),0,(LOOKUP(AE$16,$L103:$X103,#REF!)))</f>
        <v>0</v>
      </c>
      <c r="AF103" s="230">
        <f>IF(ISERROR(LOOKUP(AF$16,$L103:$X103,#REF!)),0,(LOOKUP(AF$16,$L103:$X103,#REF!)))</f>
        <v>0</v>
      </c>
      <c r="AG103" s="230">
        <f>IF(ISERROR(LOOKUP(AG$16,$L103:$X103,#REF!)),0,(LOOKUP(AG$16,$L103:$X103,#REF!)))</f>
        <v>0</v>
      </c>
      <c r="AH103" s="230">
        <f>IF(ISERROR(LOOKUP(AH$16,$L103:$X103,#REF!)),0,(LOOKUP(AH$16,$L103:$X103,#REF!)))</f>
        <v>0</v>
      </c>
      <c r="AI103" s="230">
        <f>IF(ISERROR(LOOKUP(AI$16,$L103:$X103,#REF!)),0,(LOOKUP(AI$16,$L103:$X103,#REF!)))</f>
        <v>0</v>
      </c>
      <c r="AJ103" s="230">
        <f>IF(ISERROR(LOOKUP(AJ$16,$L103:$X103,#REF!)),0,(LOOKUP(AJ$16,$L103:$X103,#REF!)))</f>
        <v>0</v>
      </c>
      <c r="AK103" s="230">
        <f>IF(ISERROR(LOOKUP(AK$16,$L103:$X103,#REF!)),0,(LOOKUP(AK$16,$L103:$X103,#REF!)))</f>
        <v>0</v>
      </c>
      <c r="AL103" s="230">
        <f>IF(ISERROR(LOOKUP(AL$16,$L103:$X103,#REF!)),0,(LOOKUP(AL$16,$L103:$X103,#REF!)))</f>
        <v>0</v>
      </c>
      <c r="AM103" s="230">
        <f ca="1">IF(ISERROR(LOOKUP(AM$16,$L103:$X103,#REF!)),0,(LOOKUP(AM$16,$L103:$X103,#REF!)))</f>
        <v>0</v>
      </c>
      <c r="AP103" s="212"/>
      <c r="AQ103" s="212"/>
      <c r="AR103" s="212"/>
      <c r="AS103" s="638"/>
      <c r="AW103" s="223" t="e">
        <v>#REF!</v>
      </c>
    </row>
    <row r="104" spans="1:49" s="166" customFormat="1" ht="18" customHeight="1">
      <c r="A104" s="596">
        <f t="shared" ref="A104" si="171">A101+1</f>
        <v>30</v>
      </c>
      <c r="B104" s="598"/>
      <c r="C104" s="601" t="s">
        <v>4767</v>
      </c>
      <c r="D104" s="601" t="s">
        <v>166</v>
      </c>
      <c r="E104" s="213"/>
      <c r="F104" s="619" t="s">
        <v>139</v>
      </c>
      <c r="G104" s="601" t="s">
        <v>71</v>
      </c>
      <c r="H104" s="606"/>
      <c r="I104" s="212" t="s">
        <v>8</v>
      </c>
      <c r="J104" s="249" t="s">
        <v>61</v>
      </c>
      <c r="K104" s="215">
        <f>WORKDAY(L104,-INDEX(L$12:L$15,MATCH($I104,$I$12:$I$15,0)))</f>
        <v>46315</v>
      </c>
      <c r="L104" s="215">
        <f>WORKDAY(M104,-INDEX(M$12:M$15,MATCH($I104,$I$12:$I$15,0)))</f>
        <v>46318</v>
      </c>
      <c r="M104" s="215">
        <f>WORKDAY(N104,-INDEX(N$12:N$15,MATCH($I104,$I$12:$I$15,0)))</f>
        <v>46332</v>
      </c>
      <c r="N104" s="215">
        <f>WORKDAY(O104,-INDEX(O$12:O$15,MATCH($I104,$I$12:$I$15,0)))</f>
        <v>46335</v>
      </c>
      <c r="O104" s="215">
        <f>WORKDAY(R104,-INDEX(R$12:R$15,MATCH($I104,$I$12:$I$15,0)))</f>
        <v>46349</v>
      </c>
      <c r="P104" s="216">
        <f>U104-L104</f>
        <v>94</v>
      </c>
      <c r="Q104" s="217"/>
      <c r="R104" s="215">
        <f>WORKDAY(S104,-INDEX(S$12:S$15,MATCH($I104,$I$12:$I$15,0)))</f>
        <v>46363</v>
      </c>
      <c r="S104" s="215">
        <f>WORKDAY(T104,-INDEX(T$12:T$15,MATCH($I104,$I$12:$I$15,0)))</f>
        <v>46384</v>
      </c>
      <c r="T104" s="215">
        <f>WORKDAY(U104,-INDEX(U$12:U$15,MATCH($I104,$I$12:$I$15,0)))</f>
        <v>46398</v>
      </c>
      <c r="U104" s="215">
        <f>X104-Y104</f>
        <v>46412</v>
      </c>
      <c r="V104" s="215">
        <f>WORKDAY(U104,INDEX(V$12:V$15,MATCH($I104,$I$12:$I$15,0)))</f>
        <v>46414</v>
      </c>
      <c r="W104" s="218">
        <f>Y104/7</f>
        <v>18</v>
      </c>
      <c r="X104" s="215">
        <f>Z104</f>
        <v>46538</v>
      </c>
      <c r="Y104" s="628">
        <f>18*7</f>
        <v>126</v>
      </c>
      <c r="Z104" s="633">
        <v>46538</v>
      </c>
      <c r="AA104" s="633">
        <v>46538</v>
      </c>
      <c r="AB104" s="637">
        <f t="shared" ref="AB104" si="172">Z104-X105</f>
        <v>0</v>
      </c>
      <c r="AC104" s="220">
        <f>IF(ISERROR(LOOKUP(AC$16,$L104:$X104,#REF!)),0,(LOOKUP(AC$16,$L104:$X104,#REF!)))</f>
        <v>0</v>
      </c>
      <c r="AD104" s="221">
        <f>IF(ISERROR(LOOKUP(AD$16,$L104:$X104,#REF!)),0,(LOOKUP(AD$16,$L104:$X104,#REF!)))</f>
        <v>0</v>
      </c>
      <c r="AE104" s="221">
        <f>IF(ISERROR(LOOKUP(AE$16,$L104:$X104,#REF!)),0,(LOOKUP(AE$16,$L104:$X104,#REF!)))</f>
        <v>0</v>
      </c>
      <c r="AF104" s="221">
        <f>IF(ISERROR(LOOKUP(AF$16,$L104:$X104,#REF!)),0,(LOOKUP(AF$16,$L104:$X104,#REF!)))</f>
        <v>0</v>
      </c>
      <c r="AG104" s="221">
        <f>IF(ISERROR(LOOKUP(AG$16,$L104:$X104,#REF!)),0,(LOOKUP(AG$16,$L104:$X104,#REF!)))</f>
        <v>0</v>
      </c>
      <c r="AH104" s="221">
        <f>IF(ISERROR(LOOKUP(AH$16,$L104:$X104,#REF!)),0,(LOOKUP(AH$16,$L104:$X104,#REF!)))</f>
        <v>0</v>
      </c>
      <c r="AI104" s="221">
        <f>IF(ISERROR(LOOKUP(AI$16,$L104:$X104,#REF!)),0,(LOOKUP(AI$16,$L104:$X104,#REF!)))</f>
        <v>0</v>
      </c>
      <c r="AJ104" s="221">
        <f>IF(ISERROR(LOOKUP(AJ$16,$L104:$X104,#REF!)),0,(LOOKUP(AJ$16,$L104:$X104,#REF!)))</f>
        <v>0</v>
      </c>
      <c r="AK104" s="221">
        <f>IF(ISERROR(LOOKUP(AK$16,$L104:$X104,#REF!)),0,(LOOKUP(AK$16,$L104:$X104,#REF!)))</f>
        <v>0</v>
      </c>
      <c r="AL104" s="221">
        <f>IF(ISERROR(LOOKUP(AL$16,$L104:$X104,#REF!)),0,(LOOKUP(AL$16,$L104:$X104,#REF!)))</f>
        <v>0</v>
      </c>
      <c r="AM104" s="221">
        <f ca="1">IF(ISERROR(LOOKUP(AM$16,$L104:$X104,#REF!)),0,(LOOKUP(AM$16,$L104:$X104,#REF!)))</f>
        <v>0</v>
      </c>
      <c r="AP104" s="215" t="e">
        <f>WORKDAY(AQ104,-INDEX(AQ$12:AQ$15,MATCH($I104,$I$12:$I$15,0)),$AW$17:$AW$148)</f>
        <v>#REF!</v>
      </c>
      <c r="AQ104" s="215" t="e">
        <f>WORKDAY(U104,-INDEX(U$12:U$15,MATCH($I104,$I$12:$I$15,0)),$AW$17:$AW$148)</f>
        <v>#REF!</v>
      </c>
      <c r="AR104" s="215" t="e">
        <f>WORKDAY(U104,-INDEX(U$12:U$15,MATCH($I104,$I$12:$I$15,0)),$AW$17:$AW$148)</f>
        <v>#REF!</v>
      </c>
      <c r="AS104" s="638">
        <v>7</v>
      </c>
      <c r="AW104" s="223" t="e">
        <v>#REF!</v>
      </c>
    </row>
    <row r="105" spans="1:49" s="166" customFormat="1" ht="18" customHeight="1">
      <c r="A105" s="596"/>
      <c r="B105" s="599"/>
      <c r="C105" s="601" t="str">
        <f t="shared" ref="C105" si="173">C104</f>
        <v>RFQ-030</v>
      </c>
      <c r="D105" s="601" t="str">
        <f t="shared" ref="D105:I105" si="174">D104</f>
        <v>Pressure Transmitter</v>
      </c>
      <c r="E105" s="224"/>
      <c r="F105" s="620" t="str">
        <f t="shared" si="174"/>
        <v>Instrument</v>
      </c>
      <c r="G105" s="601" t="str">
        <f t="shared" si="174"/>
        <v>N</v>
      </c>
      <c r="H105" s="607"/>
      <c r="I105" s="212" t="str">
        <f t="shared" si="174"/>
        <v>LC</v>
      </c>
      <c r="J105" s="249" t="s">
        <v>65</v>
      </c>
      <c r="K105" s="215">
        <f>K104</f>
        <v>46315</v>
      </c>
      <c r="L105" s="215">
        <f>WORKDAY(IF(K106="",K105,K106),INDEX(L$12:L$15,MATCH($I104,$I$12:$I$15,0)))</f>
        <v>46318</v>
      </c>
      <c r="M105" s="215">
        <f>WORKDAY(IF(L106="",L105,L106),INDEX(M$12:M$15,MATCH($I104,$I$12:$I$15,0)))</f>
        <v>46332</v>
      </c>
      <c r="N105" s="215">
        <f>WORKDAY(IF(M106="",M105,M106),INDEX(N$12:N$15,MATCH($I104,$I$12:$I$15,0)))</f>
        <v>46335</v>
      </c>
      <c r="O105" s="215">
        <f>WORKDAY(IF(N106="",N105,N106),INDEX(O$12:O$15,MATCH($I104,$I$12:$I$15,0)))</f>
        <v>46349</v>
      </c>
      <c r="P105" s="216"/>
      <c r="Q105" s="217"/>
      <c r="R105" s="215">
        <f>WORKDAY(IF(O106="",O105,O106),INDEX(R$12:R$15,MATCH($I104,$I$12:$I$15,0)))</f>
        <v>46363</v>
      </c>
      <c r="S105" s="215">
        <f>WORKDAY(IF(R106="",R105,R106),INDEX(S$12:S$15,MATCH($I104,$I$12:$I$15,0)))</f>
        <v>46384</v>
      </c>
      <c r="T105" s="215">
        <f>WORKDAY(IF(S106="",S105,S106),INDEX(T$12:T$15,MATCH($I104,$I$12:$I$15,0)))</f>
        <v>46398</v>
      </c>
      <c r="U105" s="215">
        <f>WORKDAY(IF(T106="",T105,T106),INDEX(U$12:U$15,MATCH($I104,$I$12:$I$15,0)))</f>
        <v>46412</v>
      </c>
      <c r="V105" s="215">
        <f>WORKDAY(IF(U106="",U105,U106),INDEX(V$12:V$15,MATCH($I104,$I$12:$I$15,0)))</f>
        <v>46414</v>
      </c>
      <c r="W105" s="218"/>
      <c r="X105" s="215">
        <f>U105+Y104</f>
        <v>46538</v>
      </c>
      <c r="Y105" s="628"/>
      <c r="Z105" s="633"/>
      <c r="AA105" s="633"/>
      <c r="AB105" s="637"/>
      <c r="AC105" s="220">
        <f>IF(ISERROR(LOOKUP(AC$16,$L105:$X105,#REF!)),0,(LOOKUP(AC$16,$L105:$X105,#REF!)))</f>
        <v>0</v>
      </c>
      <c r="AD105" s="221">
        <f>IF(ISERROR(LOOKUP(AD$16,$L105:$X105,#REF!)),0,(LOOKUP(AD$16,$L105:$X105,#REF!)))</f>
        <v>0</v>
      </c>
      <c r="AE105" s="221">
        <f>IF(ISERROR(LOOKUP(AE$16,$L105:$X105,#REF!)),0,(LOOKUP(AE$16,$L105:$X105,#REF!)))</f>
        <v>0</v>
      </c>
      <c r="AF105" s="221">
        <f>IF(ISERROR(LOOKUP(AF$16,$L105:$X105,#REF!)),0,(LOOKUP(AF$16,$L105:$X105,#REF!)))</f>
        <v>0</v>
      </c>
      <c r="AG105" s="221">
        <f>IF(ISERROR(LOOKUP(AG$16,$L105:$X105,#REF!)),0,(LOOKUP(AG$16,$L105:$X105,#REF!)))</f>
        <v>0</v>
      </c>
      <c r="AH105" s="221">
        <f>IF(ISERROR(LOOKUP(AH$16,$L105:$X105,#REF!)),0,(LOOKUP(AH$16,$L105:$X105,#REF!)))</f>
        <v>0</v>
      </c>
      <c r="AI105" s="221">
        <f>IF(ISERROR(LOOKUP(AI$16,$L105:$X105,#REF!)),0,(LOOKUP(AI$16,$L105:$X105,#REF!)))</f>
        <v>0</v>
      </c>
      <c r="AJ105" s="221">
        <f>IF(ISERROR(LOOKUP(AJ$16,$L105:$X105,#REF!)),0,(LOOKUP(AJ$16,$L105:$X105,#REF!)))</f>
        <v>0</v>
      </c>
      <c r="AK105" s="221">
        <f>IF(ISERROR(LOOKUP(AK$16,$L105:$X105,#REF!)),0,(LOOKUP(AK$16,$L105:$X105,#REF!)))</f>
        <v>0</v>
      </c>
      <c r="AL105" s="221">
        <f>IF(ISERROR(LOOKUP(AL$16,$L105:$X105,#REF!)),0,(LOOKUP(AL$16,$L105:$X105,#REF!)))</f>
        <v>0</v>
      </c>
      <c r="AM105" s="221">
        <f ca="1">IF(ISERROR(LOOKUP(AM$16,$L105:$X105,#REF!)),0,(LOOKUP(AM$16,$L105:$X105,#REF!)))</f>
        <v>0</v>
      </c>
      <c r="AP105" s="215" t="e">
        <f>WORKDAY(IF(T106="",T105,T106),INDEX(AP$12:AP$15,MATCH($I104,$I$12:$I$15,0)),$AW$17:$AW$148)</f>
        <v>#REF!</v>
      </c>
      <c r="AQ105" s="215" t="e">
        <f>WORKDAY(IF(AP106="",AP105,AP106),INDEX(AQ$12:AQ$15,MATCH($I104,$I$12:$I$15,0)),$AW$17:$AW$148)</f>
        <v>#REF!</v>
      </c>
      <c r="AR105" s="215" t="e">
        <f>WORKDAY(IF(AQ106="",AQ105,AQ106),INDEX(AR$12:AR$15,MATCH($I104,$I$12:$I$15,0)),$AW$17:$AW$148)</f>
        <v>#REF!</v>
      </c>
      <c r="AS105" s="638"/>
      <c r="AW105" s="223" t="e">
        <v>#REF!</v>
      </c>
    </row>
    <row r="106" spans="1:49" s="166" customFormat="1" ht="18" customHeight="1">
      <c r="A106" s="596"/>
      <c r="B106" s="600"/>
      <c r="C106" s="601" t="str">
        <f>C104</f>
        <v>RFQ-030</v>
      </c>
      <c r="D106" s="601" t="str">
        <f t="shared" ref="D106:I106" si="175">D104</f>
        <v>Pressure Transmitter</v>
      </c>
      <c r="E106" s="225"/>
      <c r="F106" s="621" t="str">
        <f t="shared" si="175"/>
        <v>Instrument</v>
      </c>
      <c r="G106" s="601" t="str">
        <f t="shared" ref="G106" si="176">G104</f>
        <v>N</v>
      </c>
      <c r="H106" s="608"/>
      <c r="I106" s="212" t="str">
        <f t="shared" si="175"/>
        <v>LC</v>
      </c>
      <c r="J106" s="249" t="s">
        <v>67</v>
      </c>
      <c r="K106" s="212"/>
      <c r="L106" s="212"/>
      <c r="M106" s="212"/>
      <c r="N106" s="212"/>
      <c r="O106" s="212"/>
      <c r="P106" s="226"/>
      <c r="Q106" s="227"/>
      <c r="R106" s="212"/>
      <c r="S106" s="212"/>
      <c r="T106" s="212"/>
      <c r="U106" s="212"/>
      <c r="V106" s="212"/>
      <c r="W106" s="228"/>
      <c r="X106" s="212"/>
      <c r="Y106" s="628"/>
      <c r="Z106" s="633"/>
      <c r="AA106" s="633"/>
      <c r="AB106" s="637"/>
      <c r="AC106" s="229">
        <f>IF(ISERROR(LOOKUP(AC$16,$L106:$X106,#REF!)),0,(LOOKUP(AC$16,$L106:$X106,#REF!)))</f>
        <v>0</v>
      </c>
      <c r="AD106" s="230">
        <f>IF(ISERROR(LOOKUP(AD$16,$L106:$X106,#REF!)),0,(LOOKUP(AD$16,$L106:$X106,#REF!)))</f>
        <v>0</v>
      </c>
      <c r="AE106" s="230">
        <f>IF(ISERROR(LOOKUP(AE$16,$L106:$X106,#REF!)),0,(LOOKUP(AE$16,$L106:$X106,#REF!)))</f>
        <v>0</v>
      </c>
      <c r="AF106" s="230">
        <f>IF(ISERROR(LOOKUP(AF$16,$L106:$X106,#REF!)),0,(LOOKUP(AF$16,$L106:$X106,#REF!)))</f>
        <v>0</v>
      </c>
      <c r="AG106" s="230">
        <f>IF(ISERROR(LOOKUP(AG$16,$L106:$X106,#REF!)),0,(LOOKUP(AG$16,$L106:$X106,#REF!)))</f>
        <v>0</v>
      </c>
      <c r="AH106" s="230">
        <f>IF(ISERROR(LOOKUP(AH$16,$L106:$X106,#REF!)),0,(LOOKUP(AH$16,$L106:$X106,#REF!)))</f>
        <v>0</v>
      </c>
      <c r="AI106" s="230">
        <f>IF(ISERROR(LOOKUP(AI$16,$L106:$X106,#REF!)),0,(LOOKUP(AI$16,$L106:$X106,#REF!)))</f>
        <v>0</v>
      </c>
      <c r="AJ106" s="230">
        <f>IF(ISERROR(LOOKUP(AJ$16,$L106:$X106,#REF!)),0,(LOOKUP(AJ$16,$L106:$X106,#REF!)))</f>
        <v>0</v>
      </c>
      <c r="AK106" s="230">
        <f>IF(ISERROR(LOOKUP(AK$16,$L106:$X106,#REF!)),0,(LOOKUP(AK$16,$L106:$X106,#REF!)))</f>
        <v>0</v>
      </c>
      <c r="AL106" s="230">
        <f>IF(ISERROR(LOOKUP(AL$16,$L106:$X106,#REF!)),0,(LOOKUP(AL$16,$L106:$X106,#REF!)))</f>
        <v>0</v>
      </c>
      <c r="AM106" s="230">
        <f ca="1">IF(ISERROR(LOOKUP(AM$16,$L106:$X106,#REF!)),0,(LOOKUP(AM$16,$L106:$X106,#REF!)))</f>
        <v>0</v>
      </c>
      <c r="AP106" s="212"/>
      <c r="AQ106" s="212"/>
      <c r="AR106" s="212"/>
      <c r="AS106" s="638"/>
      <c r="AW106" s="223" t="e">
        <v>#REF!</v>
      </c>
    </row>
    <row r="107" spans="1:49" s="166" customFormat="1" ht="18" customHeight="1">
      <c r="A107" s="596">
        <f t="shared" ref="A107" si="177">A104+1</f>
        <v>31</v>
      </c>
      <c r="B107" s="598"/>
      <c r="C107" s="601" t="s">
        <v>4768</v>
      </c>
      <c r="D107" s="601" t="s">
        <v>168</v>
      </c>
      <c r="E107" s="213"/>
      <c r="F107" s="619" t="s">
        <v>139</v>
      </c>
      <c r="G107" s="601" t="s">
        <v>71</v>
      </c>
      <c r="H107" s="606"/>
      <c r="I107" s="212" t="s">
        <v>8</v>
      </c>
      <c r="J107" s="249" t="s">
        <v>61</v>
      </c>
      <c r="K107" s="215">
        <f>WORKDAY(L107,-INDEX(L$12:L$15,MATCH($I107,$I$12:$I$15,0)))</f>
        <v>46315</v>
      </c>
      <c r="L107" s="215">
        <f>WORKDAY(M107,-INDEX(M$12:M$15,MATCH($I107,$I$12:$I$15,0)))</f>
        <v>46318</v>
      </c>
      <c r="M107" s="215">
        <f>WORKDAY(N107,-INDEX(N$12:N$15,MATCH($I107,$I$12:$I$15,0)))</f>
        <v>46332</v>
      </c>
      <c r="N107" s="215">
        <f>WORKDAY(O107,-INDEX(O$12:O$15,MATCH($I107,$I$12:$I$15,0)))</f>
        <v>46335</v>
      </c>
      <c r="O107" s="215">
        <f>WORKDAY(R107,-INDEX(R$12:R$15,MATCH($I107,$I$12:$I$15,0)))</f>
        <v>46349</v>
      </c>
      <c r="P107" s="216">
        <f>U107-L107</f>
        <v>94</v>
      </c>
      <c r="Q107" s="217"/>
      <c r="R107" s="215">
        <f>WORKDAY(S107,-INDEX(S$12:S$15,MATCH($I107,$I$12:$I$15,0)))</f>
        <v>46363</v>
      </c>
      <c r="S107" s="215">
        <f>WORKDAY(T107,-INDEX(T$12:T$15,MATCH($I107,$I$12:$I$15,0)))</f>
        <v>46384</v>
      </c>
      <c r="T107" s="215">
        <f>WORKDAY(U107,-INDEX(U$12:U$15,MATCH($I107,$I$12:$I$15,0)))</f>
        <v>46398</v>
      </c>
      <c r="U107" s="215">
        <f>X107-Y107</f>
        <v>46412</v>
      </c>
      <c r="V107" s="215">
        <f>WORKDAY(U107,INDEX(V$12:V$15,MATCH($I107,$I$12:$I$15,0)))</f>
        <v>46414</v>
      </c>
      <c r="W107" s="218">
        <f>Y107/7</f>
        <v>18</v>
      </c>
      <c r="X107" s="215">
        <f>Z107</f>
        <v>46538</v>
      </c>
      <c r="Y107" s="628">
        <f>18*7</f>
        <v>126</v>
      </c>
      <c r="Z107" s="633">
        <v>46538</v>
      </c>
      <c r="AA107" s="633">
        <v>46538</v>
      </c>
      <c r="AB107" s="637">
        <f t="shared" ref="AB107" si="178">Z107-X108</f>
        <v>0</v>
      </c>
      <c r="AC107" s="220">
        <f>IF(ISERROR(LOOKUP(AC$16,$L107:$X107,#REF!)),0,(LOOKUP(AC$16,$L107:$X107,#REF!)))</f>
        <v>0</v>
      </c>
      <c r="AD107" s="221">
        <f>IF(ISERROR(LOOKUP(AD$16,$L107:$X107,#REF!)),0,(LOOKUP(AD$16,$L107:$X107,#REF!)))</f>
        <v>0</v>
      </c>
      <c r="AE107" s="221">
        <f>IF(ISERROR(LOOKUP(AE$16,$L107:$X107,#REF!)),0,(LOOKUP(AE$16,$L107:$X107,#REF!)))</f>
        <v>0</v>
      </c>
      <c r="AF107" s="221">
        <f>IF(ISERROR(LOOKUP(AF$16,$L107:$X107,#REF!)),0,(LOOKUP(AF$16,$L107:$X107,#REF!)))</f>
        <v>0</v>
      </c>
      <c r="AG107" s="221">
        <f>IF(ISERROR(LOOKUP(AG$16,$L107:$X107,#REF!)),0,(LOOKUP(AG$16,$L107:$X107,#REF!)))</f>
        <v>0</v>
      </c>
      <c r="AH107" s="221">
        <f>IF(ISERROR(LOOKUP(AH$16,$L107:$X107,#REF!)),0,(LOOKUP(AH$16,$L107:$X107,#REF!)))</f>
        <v>0</v>
      </c>
      <c r="AI107" s="221">
        <f>IF(ISERROR(LOOKUP(AI$16,$L107:$X107,#REF!)),0,(LOOKUP(AI$16,$L107:$X107,#REF!)))</f>
        <v>0</v>
      </c>
      <c r="AJ107" s="221">
        <f>IF(ISERROR(LOOKUP(AJ$16,$L107:$X107,#REF!)),0,(LOOKUP(AJ$16,$L107:$X107,#REF!)))</f>
        <v>0</v>
      </c>
      <c r="AK107" s="221">
        <f>IF(ISERROR(LOOKUP(AK$16,$L107:$X107,#REF!)),0,(LOOKUP(AK$16,$L107:$X107,#REF!)))</f>
        <v>0</v>
      </c>
      <c r="AL107" s="221">
        <f>IF(ISERROR(LOOKUP(AL$16,$L107:$X107,#REF!)),0,(LOOKUP(AL$16,$L107:$X107,#REF!)))</f>
        <v>0</v>
      </c>
      <c r="AM107" s="221">
        <f ca="1">IF(ISERROR(LOOKUP(AM$16,$L107:$X107,#REF!)),0,(LOOKUP(AM$16,$L107:$X107,#REF!)))</f>
        <v>0</v>
      </c>
      <c r="AP107" s="215" t="e">
        <f>WORKDAY(AQ107,-INDEX(AQ$12:AQ$15,MATCH($I107,$I$12:$I$15,0)),$AW$17:$AW$148)</f>
        <v>#REF!</v>
      </c>
      <c r="AQ107" s="215" t="e">
        <f>WORKDAY(U107,-INDEX(U$12:U$15,MATCH($I107,$I$12:$I$15,0)),$AW$17:$AW$148)</f>
        <v>#REF!</v>
      </c>
      <c r="AR107" s="215" t="e">
        <f>WORKDAY(U107,-INDEX(U$12:U$15,MATCH($I107,$I$12:$I$15,0)),$AW$17:$AW$148)</f>
        <v>#REF!</v>
      </c>
      <c r="AS107" s="638">
        <v>7</v>
      </c>
      <c r="AW107" s="223" t="e">
        <v>#REF!</v>
      </c>
    </row>
    <row r="108" spans="1:49" s="166" customFormat="1" ht="18" customHeight="1">
      <c r="A108" s="596"/>
      <c r="B108" s="599"/>
      <c r="C108" s="601" t="str">
        <f t="shared" ref="C108" si="179">C107</f>
        <v>RFQ-031</v>
      </c>
      <c r="D108" s="601" t="str">
        <f t="shared" ref="D108:I108" si="180">D107</f>
        <v>Temperature Gauge</v>
      </c>
      <c r="E108" s="224"/>
      <c r="F108" s="620" t="str">
        <f t="shared" si="180"/>
        <v>Instrument</v>
      </c>
      <c r="G108" s="601" t="str">
        <f t="shared" si="180"/>
        <v>N</v>
      </c>
      <c r="H108" s="607"/>
      <c r="I108" s="212" t="str">
        <f t="shared" si="180"/>
        <v>LC</v>
      </c>
      <c r="J108" s="249" t="s">
        <v>65</v>
      </c>
      <c r="K108" s="215">
        <f>K107</f>
        <v>46315</v>
      </c>
      <c r="L108" s="215">
        <f>WORKDAY(IF(K109="",K108,K109),INDEX(L$12:L$15,MATCH($I107,$I$12:$I$15,0)))</f>
        <v>46318</v>
      </c>
      <c r="M108" s="215">
        <f>WORKDAY(IF(L109="",L108,L109),INDEX(M$12:M$15,MATCH($I107,$I$12:$I$15,0)))</f>
        <v>46332</v>
      </c>
      <c r="N108" s="215">
        <f>WORKDAY(IF(M109="",M108,M109),INDEX(N$12:N$15,MATCH($I107,$I$12:$I$15,0)))</f>
        <v>46335</v>
      </c>
      <c r="O108" s="215">
        <f>WORKDAY(IF(N109="",N108,N109),INDEX(O$12:O$15,MATCH($I107,$I$12:$I$15,0)))</f>
        <v>46349</v>
      </c>
      <c r="P108" s="216"/>
      <c r="Q108" s="217"/>
      <c r="R108" s="215">
        <f>WORKDAY(IF(O109="",O108,O109),INDEX(R$12:R$15,MATCH($I107,$I$12:$I$15,0)))</f>
        <v>46363</v>
      </c>
      <c r="S108" s="215">
        <f>WORKDAY(IF(R109="",R108,R109),INDEX(S$12:S$15,MATCH($I107,$I$12:$I$15,0)))</f>
        <v>46384</v>
      </c>
      <c r="T108" s="215">
        <f>WORKDAY(IF(S109="",S108,S109),INDEX(T$12:T$15,MATCH($I107,$I$12:$I$15,0)))</f>
        <v>46398</v>
      </c>
      <c r="U108" s="215">
        <f>WORKDAY(IF(T109="",T108,T109),INDEX(U$12:U$15,MATCH($I107,$I$12:$I$15,0)))</f>
        <v>46412</v>
      </c>
      <c r="V108" s="215">
        <f>WORKDAY(IF(U109="",U108,U109),INDEX(V$12:V$15,MATCH($I107,$I$12:$I$15,0)))</f>
        <v>46414</v>
      </c>
      <c r="W108" s="218"/>
      <c r="X108" s="215">
        <f>U108+Y107</f>
        <v>46538</v>
      </c>
      <c r="Y108" s="628"/>
      <c r="Z108" s="633"/>
      <c r="AA108" s="633"/>
      <c r="AB108" s="637"/>
      <c r="AC108" s="220">
        <f>IF(ISERROR(LOOKUP(AC$16,$L108:$X108,#REF!)),0,(LOOKUP(AC$16,$L108:$X108,#REF!)))</f>
        <v>0</v>
      </c>
      <c r="AD108" s="221">
        <f>IF(ISERROR(LOOKUP(AD$16,$L108:$X108,#REF!)),0,(LOOKUP(AD$16,$L108:$X108,#REF!)))</f>
        <v>0</v>
      </c>
      <c r="AE108" s="221">
        <f>IF(ISERROR(LOOKUP(AE$16,$L108:$X108,#REF!)),0,(LOOKUP(AE$16,$L108:$X108,#REF!)))</f>
        <v>0</v>
      </c>
      <c r="AF108" s="221">
        <f>IF(ISERROR(LOOKUP(AF$16,$L108:$X108,#REF!)),0,(LOOKUP(AF$16,$L108:$X108,#REF!)))</f>
        <v>0</v>
      </c>
      <c r="AG108" s="221">
        <f>IF(ISERROR(LOOKUP(AG$16,$L108:$X108,#REF!)),0,(LOOKUP(AG$16,$L108:$X108,#REF!)))</f>
        <v>0</v>
      </c>
      <c r="AH108" s="221">
        <f>IF(ISERROR(LOOKUP(AH$16,$L108:$X108,#REF!)),0,(LOOKUP(AH$16,$L108:$X108,#REF!)))</f>
        <v>0</v>
      </c>
      <c r="AI108" s="221">
        <f>IF(ISERROR(LOOKUP(AI$16,$L108:$X108,#REF!)),0,(LOOKUP(AI$16,$L108:$X108,#REF!)))</f>
        <v>0</v>
      </c>
      <c r="AJ108" s="221">
        <f>IF(ISERROR(LOOKUP(AJ$16,$L108:$X108,#REF!)),0,(LOOKUP(AJ$16,$L108:$X108,#REF!)))</f>
        <v>0</v>
      </c>
      <c r="AK108" s="221">
        <f>IF(ISERROR(LOOKUP(AK$16,$L108:$X108,#REF!)),0,(LOOKUP(AK$16,$L108:$X108,#REF!)))</f>
        <v>0</v>
      </c>
      <c r="AL108" s="221">
        <f>IF(ISERROR(LOOKUP(AL$16,$L108:$X108,#REF!)),0,(LOOKUP(AL$16,$L108:$X108,#REF!)))</f>
        <v>0</v>
      </c>
      <c r="AM108" s="221">
        <f ca="1">IF(ISERROR(LOOKUP(AM$16,$L108:$X108,#REF!)),0,(LOOKUP(AM$16,$L108:$X108,#REF!)))</f>
        <v>0</v>
      </c>
      <c r="AP108" s="215" t="e">
        <f>WORKDAY(IF(T109="",T108,T109),INDEX(AP$12:AP$15,MATCH($I107,$I$12:$I$15,0)),$AW$17:$AW$148)</f>
        <v>#REF!</v>
      </c>
      <c r="AQ108" s="215" t="e">
        <f>WORKDAY(IF(AP109="",AP108,AP109),INDEX(AQ$12:AQ$15,MATCH($I107,$I$12:$I$15,0)),$AW$17:$AW$148)</f>
        <v>#REF!</v>
      </c>
      <c r="AR108" s="215" t="e">
        <f>WORKDAY(IF(AQ109="",AQ108,AQ109),INDEX(AR$12:AR$15,MATCH($I107,$I$12:$I$15,0)),$AW$17:$AW$148)</f>
        <v>#REF!</v>
      </c>
      <c r="AS108" s="638"/>
      <c r="AW108" s="223" t="e">
        <v>#REF!</v>
      </c>
    </row>
    <row r="109" spans="1:49" s="166" customFormat="1" ht="18" customHeight="1">
      <c r="A109" s="596"/>
      <c r="B109" s="600"/>
      <c r="C109" s="601" t="str">
        <f>C107</f>
        <v>RFQ-031</v>
      </c>
      <c r="D109" s="601" t="str">
        <f t="shared" ref="D109:I109" si="181">D107</f>
        <v>Temperature Gauge</v>
      </c>
      <c r="E109" s="225"/>
      <c r="F109" s="621" t="str">
        <f t="shared" si="181"/>
        <v>Instrument</v>
      </c>
      <c r="G109" s="601" t="str">
        <f t="shared" ref="G109" si="182">G107</f>
        <v>N</v>
      </c>
      <c r="H109" s="608"/>
      <c r="I109" s="212" t="str">
        <f t="shared" si="181"/>
        <v>LC</v>
      </c>
      <c r="J109" s="249" t="s">
        <v>67</v>
      </c>
      <c r="K109" s="212"/>
      <c r="L109" s="212"/>
      <c r="M109" s="212"/>
      <c r="N109" s="212"/>
      <c r="O109" s="212"/>
      <c r="P109" s="226"/>
      <c r="Q109" s="227"/>
      <c r="R109" s="212"/>
      <c r="S109" s="212"/>
      <c r="T109" s="212"/>
      <c r="U109" s="212"/>
      <c r="V109" s="212"/>
      <c r="W109" s="228"/>
      <c r="X109" s="212"/>
      <c r="Y109" s="628"/>
      <c r="Z109" s="633"/>
      <c r="AA109" s="633"/>
      <c r="AB109" s="637"/>
      <c r="AC109" s="229">
        <f>IF(ISERROR(LOOKUP(AC$16,$L109:$X109,#REF!)),0,(LOOKUP(AC$16,$L109:$X109,#REF!)))</f>
        <v>0</v>
      </c>
      <c r="AD109" s="230">
        <f>IF(ISERROR(LOOKUP(AD$16,$L109:$X109,#REF!)),0,(LOOKUP(AD$16,$L109:$X109,#REF!)))</f>
        <v>0</v>
      </c>
      <c r="AE109" s="230">
        <f>IF(ISERROR(LOOKUP(AE$16,$L109:$X109,#REF!)),0,(LOOKUP(AE$16,$L109:$X109,#REF!)))</f>
        <v>0</v>
      </c>
      <c r="AF109" s="230">
        <f>IF(ISERROR(LOOKUP(AF$16,$L109:$X109,#REF!)),0,(LOOKUP(AF$16,$L109:$X109,#REF!)))</f>
        <v>0</v>
      </c>
      <c r="AG109" s="230">
        <f>IF(ISERROR(LOOKUP(AG$16,$L109:$X109,#REF!)),0,(LOOKUP(AG$16,$L109:$X109,#REF!)))</f>
        <v>0</v>
      </c>
      <c r="AH109" s="230">
        <f>IF(ISERROR(LOOKUP(AH$16,$L109:$X109,#REF!)),0,(LOOKUP(AH$16,$L109:$X109,#REF!)))</f>
        <v>0</v>
      </c>
      <c r="AI109" s="230">
        <f>IF(ISERROR(LOOKUP(AI$16,$L109:$X109,#REF!)),0,(LOOKUP(AI$16,$L109:$X109,#REF!)))</f>
        <v>0</v>
      </c>
      <c r="AJ109" s="230">
        <f>IF(ISERROR(LOOKUP(AJ$16,$L109:$X109,#REF!)),0,(LOOKUP(AJ$16,$L109:$X109,#REF!)))</f>
        <v>0</v>
      </c>
      <c r="AK109" s="230">
        <f>IF(ISERROR(LOOKUP(AK$16,$L109:$X109,#REF!)),0,(LOOKUP(AK$16,$L109:$X109,#REF!)))</f>
        <v>0</v>
      </c>
      <c r="AL109" s="230">
        <f>IF(ISERROR(LOOKUP(AL$16,$L109:$X109,#REF!)),0,(LOOKUP(AL$16,$L109:$X109,#REF!)))</f>
        <v>0</v>
      </c>
      <c r="AM109" s="230">
        <f ca="1">IF(ISERROR(LOOKUP(AM$16,$L109:$X109,#REF!)),0,(LOOKUP(AM$16,$L109:$X109,#REF!)))</f>
        <v>0</v>
      </c>
      <c r="AP109" s="212"/>
      <c r="AQ109" s="212"/>
      <c r="AR109" s="212"/>
      <c r="AS109" s="638"/>
      <c r="AW109" s="223" t="e">
        <v>#REF!</v>
      </c>
    </row>
    <row r="110" spans="1:49" s="166" customFormat="1" ht="18" customHeight="1">
      <c r="A110" s="596">
        <f t="shared" ref="A110" si="183">A107+1</f>
        <v>32</v>
      </c>
      <c r="B110" s="598"/>
      <c r="C110" s="601" t="s">
        <v>4769</v>
      </c>
      <c r="D110" s="601" t="s">
        <v>170</v>
      </c>
      <c r="E110" s="213"/>
      <c r="F110" s="619" t="s">
        <v>139</v>
      </c>
      <c r="G110" s="601" t="s">
        <v>71</v>
      </c>
      <c r="H110" s="606"/>
      <c r="I110" s="212" t="s">
        <v>8</v>
      </c>
      <c r="J110" s="249" t="s">
        <v>61</v>
      </c>
      <c r="K110" s="215">
        <f>WORKDAY(L110,-INDEX(L$12:L$15,MATCH($I110,$I$12:$I$15,0)))</f>
        <v>46315</v>
      </c>
      <c r="L110" s="215">
        <f>WORKDAY(M110,-INDEX(M$12:M$15,MATCH($I110,$I$12:$I$15,0)))</f>
        <v>46318</v>
      </c>
      <c r="M110" s="215">
        <f>WORKDAY(N110,-INDEX(N$12:N$15,MATCH($I110,$I$12:$I$15,0)))</f>
        <v>46332</v>
      </c>
      <c r="N110" s="215">
        <f>WORKDAY(O110,-INDEX(O$12:O$15,MATCH($I110,$I$12:$I$15,0)))</f>
        <v>46335</v>
      </c>
      <c r="O110" s="215">
        <f>WORKDAY(R110,-INDEX(R$12:R$15,MATCH($I110,$I$12:$I$15,0)))</f>
        <v>46349</v>
      </c>
      <c r="P110" s="216">
        <f>U110-L110</f>
        <v>94</v>
      </c>
      <c r="Q110" s="217"/>
      <c r="R110" s="215">
        <f>WORKDAY(S110,-INDEX(S$12:S$15,MATCH($I110,$I$12:$I$15,0)))</f>
        <v>46363</v>
      </c>
      <c r="S110" s="215">
        <f>WORKDAY(T110,-INDEX(T$12:T$15,MATCH($I110,$I$12:$I$15,0)))</f>
        <v>46384</v>
      </c>
      <c r="T110" s="215">
        <f>WORKDAY(U110,-INDEX(U$12:U$15,MATCH($I110,$I$12:$I$15,0)))</f>
        <v>46398</v>
      </c>
      <c r="U110" s="215">
        <f>X110-Y110</f>
        <v>46412</v>
      </c>
      <c r="V110" s="215">
        <f>WORKDAY(U110,INDEX(V$12:V$15,MATCH($I110,$I$12:$I$15,0)))</f>
        <v>46414</v>
      </c>
      <c r="W110" s="218">
        <f>Y110/7</f>
        <v>18</v>
      </c>
      <c r="X110" s="215">
        <f>Z110</f>
        <v>46538</v>
      </c>
      <c r="Y110" s="628">
        <f>18*7</f>
        <v>126</v>
      </c>
      <c r="Z110" s="633">
        <v>46538</v>
      </c>
      <c r="AA110" s="633">
        <v>46538</v>
      </c>
      <c r="AB110" s="637">
        <f t="shared" ref="AB110" si="184">Z110-X111</f>
        <v>0</v>
      </c>
      <c r="AC110" s="220">
        <f>IF(ISERROR(LOOKUP(AC$16,$L110:$X110,#REF!)),0,(LOOKUP(AC$16,$L110:$X110,#REF!)))</f>
        <v>0</v>
      </c>
      <c r="AD110" s="221">
        <f>IF(ISERROR(LOOKUP(AD$16,$L110:$X110,#REF!)),0,(LOOKUP(AD$16,$L110:$X110,#REF!)))</f>
        <v>0</v>
      </c>
      <c r="AE110" s="221">
        <f>IF(ISERROR(LOOKUP(AE$16,$L110:$X110,#REF!)),0,(LOOKUP(AE$16,$L110:$X110,#REF!)))</f>
        <v>0</v>
      </c>
      <c r="AF110" s="221">
        <f>IF(ISERROR(LOOKUP(AF$16,$L110:$X110,#REF!)),0,(LOOKUP(AF$16,$L110:$X110,#REF!)))</f>
        <v>0</v>
      </c>
      <c r="AG110" s="221">
        <f>IF(ISERROR(LOOKUP(AG$16,$L110:$X110,#REF!)),0,(LOOKUP(AG$16,$L110:$X110,#REF!)))</f>
        <v>0</v>
      </c>
      <c r="AH110" s="221">
        <f>IF(ISERROR(LOOKUP(AH$16,$L110:$X110,#REF!)),0,(LOOKUP(AH$16,$L110:$X110,#REF!)))</f>
        <v>0</v>
      </c>
      <c r="AI110" s="221">
        <f>IF(ISERROR(LOOKUP(AI$16,$L110:$X110,#REF!)),0,(LOOKUP(AI$16,$L110:$X110,#REF!)))</f>
        <v>0</v>
      </c>
      <c r="AJ110" s="221">
        <f>IF(ISERROR(LOOKUP(AJ$16,$L110:$X110,#REF!)),0,(LOOKUP(AJ$16,$L110:$X110,#REF!)))</f>
        <v>0</v>
      </c>
      <c r="AK110" s="221">
        <f>IF(ISERROR(LOOKUP(AK$16,$L110:$X110,#REF!)),0,(LOOKUP(AK$16,$L110:$X110,#REF!)))</f>
        <v>0</v>
      </c>
      <c r="AL110" s="221">
        <f>IF(ISERROR(LOOKUP(AL$16,$L110:$X110,#REF!)),0,(LOOKUP(AL$16,$L110:$X110,#REF!)))</f>
        <v>0</v>
      </c>
      <c r="AM110" s="221">
        <f ca="1">IF(ISERROR(LOOKUP(AM$16,$L110:$X110,#REF!)),0,(LOOKUP(AM$16,$L110:$X110,#REF!)))</f>
        <v>0</v>
      </c>
      <c r="AP110" s="215" t="e">
        <f>WORKDAY(AQ110,-INDEX(AQ$12:AQ$15,MATCH($I110,$I$12:$I$15,0)),$AW$17:$AW$148)</f>
        <v>#REF!</v>
      </c>
      <c r="AQ110" s="215" t="e">
        <f>WORKDAY(U110,-INDEX(U$12:U$15,MATCH($I110,$I$12:$I$15,0)),$AW$17:$AW$148)</f>
        <v>#REF!</v>
      </c>
      <c r="AR110" s="215" t="e">
        <f>WORKDAY(U110,-INDEX(U$12:U$15,MATCH($I110,$I$12:$I$15,0)),$AW$17:$AW$148)</f>
        <v>#REF!</v>
      </c>
      <c r="AS110" s="638">
        <v>7</v>
      </c>
      <c r="AW110" s="223" t="e">
        <v>#REF!</v>
      </c>
    </row>
    <row r="111" spans="1:49" s="166" customFormat="1" ht="18" customHeight="1">
      <c r="A111" s="596"/>
      <c r="B111" s="599"/>
      <c r="C111" s="601" t="str">
        <f t="shared" ref="C111" si="185">C110</f>
        <v>RFQ-032</v>
      </c>
      <c r="D111" s="601" t="str">
        <f t="shared" ref="D111:G111" si="186">D110</f>
        <v>Temperature Transmitter</v>
      </c>
      <c r="E111" s="224"/>
      <c r="F111" s="620" t="str">
        <f t="shared" si="186"/>
        <v>Instrument</v>
      </c>
      <c r="G111" s="601" t="str">
        <f t="shared" si="186"/>
        <v>N</v>
      </c>
      <c r="H111" s="607"/>
      <c r="I111" s="212" t="str">
        <f>I110</f>
        <v>LC</v>
      </c>
      <c r="J111" s="249" t="s">
        <v>65</v>
      </c>
      <c r="K111" s="215">
        <f>K110</f>
        <v>46315</v>
      </c>
      <c r="L111" s="215">
        <f>WORKDAY(IF(K112="",K111,K112),INDEX(L$12:L$15,MATCH($I110,$I$12:$I$15,0)))</f>
        <v>46318</v>
      </c>
      <c r="M111" s="215">
        <f>WORKDAY(IF(L112="",L111,L112),INDEX(M$12:M$15,MATCH($I110,$I$12:$I$15,0)))</f>
        <v>46332</v>
      </c>
      <c r="N111" s="215">
        <f>WORKDAY(IF(M112="",M111,M112),INDEX(N$12:N$15,MATCH($I110,$I$12:$I$15,0)))</f>
        <v>46335</v>
      </c>
      <c r="O111" s="215">
        <f>WORKDAY(IF(N112="",N111,N112),INDEX(O$12:O$15,MATCH($I110,$I$12:$I$15,0)))</f>
        <v>46349</v>
      </c>
      <c r="P111" s="216"/>
      <c r="Q111" s="217"/>
      <c r="R111" s="215">
        <f>WORKDAY(IF(O112="",O111,O112),INDEX(R$12:R$15,MATCH($I110,$I$12:$I$15,0)))</f>
        <v>46363</v>
      </c>
      <c r="S111" s="215">
        <f>WORKDAY(IF(R112="",R111,R112),INDEX(S$12:S$15,MATCH($I110,$I$12:$I$15,0)))</f>
        <v>46384</v>
      </c>
      <c r="T111" s="215">
        <f>WORKDAY(IF(S112="",S111,S112),INDEX(T$12:T$15,MATCH($I110,$I$12:$I$15,0)))</f>
        <v>46398</v>
      </c>
      <c r="U111" s="215">
        <f>WORKDAY(IF(T112="",T111,T112),INDEX(U$12:U$15,MATCH($I110,$I$12:$I$15,0)))</f>
        <v>46412</v>
      </c>
      <c r="V111" s="215">
        <f>WORKDAY(IF(U112="",U111,U112),INDEX(V$12:V$15,MATCH($I110,$I$12:$I$15,0)))</f>
        <v>46414</v>
      </c>
      <c r="W111" s="218"/>
      <c r="X111" s="215">
        <f>U111+Y110</f>
        <v>46538</v>
      </c>
      <c r="Y111" s="628"/>
      <c r="Z111" s="633"/>
      <c r="AA111" s="633"/>
      <c r="AB111" s="637"/>
      <c r="AC111" s="220">
        <f>IF(ISERROR(LOOKUP(AC$16,$L111:$X111,#REF!)),0,(LOOKUP(AC$16,$L111:$X111,#REF!)))</f>
        <v>0</v>
      </c>
      <c r="AD111" s="221">
        <f>IF(ISERROR(LOOKUP(AD$16,$L111:$X111,#REF!)),0,(LOOKUP(AD$16,$L111:$X111,#REF!)))</f>
        <v>0</v>
      </c>
      <c r="AE111" s="221">
        <f>IF(ISERROR(LOOKUP(AE$16,$L111:$X111,#REF!)),0,(LOOKUP(AE$16,$L111:$X111,#REF!)))</f>
        <v>0</v>
      </c>
      <c r="AF111" s="221">
        <f>IF(ISERROR(LOOKUP(AF$16,$L111:$X111,#REF!)),0,(LOOKUP(AF$16,$L111:$X111,#REF!)))</f>
        <v>0</v>
      </c>
      <c r="AG111" s="221">
        <f>IF(ISERROR(LOOKUP(AG$16,$L111:$X111,#REF!)),0,(LOOKUP(AG$16,$L111:$X111,#REF!)))</f>
        <v>0</v>
      </c>
      <c r="AH111" s="221">
        <f>IF(ISERROR(LOOKUP(AH$16,$L111:$X111,#REF!)),0,(LOOKUP(AH$16,$L111:$X111,#REF!)))</f>
        <v>0</v>
      </c>
      <c r="AI111" s="221">
        <f>IF(ISERROR(LOOKUP(AI$16,$L111:$X111,#REF!)),0,(LOOKUP(AI$16,$L111:$X111,#REF!)))</f>
        <v>0</v>
      </c>
      <c r="AJ111" s="221">
        <f>IF(ISERROR(LOOKUP(AJ$16,$L111:$X111,#REF!)),0,(LOOKUP(AJ$16,$L111:$X111,#REF!)))</f>
        <v>0</v>
      </c>
      <c r="AK111" s="221">
        <f>IF(ISERROR(LOOKUP(AK$16,$L111:$X111,#REF!)),0,(LOOKUP(AK$16,$L111:$X111,#REF!)))</f>
        <v>0</v>
      </c>
      <c r="AL111" s="221">
        <f>IF(ISERROR(LOOKUP(AL$16,$L111:$X111,#REF!)),0,(LOOKUP(AL$16,$L111:$X111,#REF!)))</f>
        <v>0</v>
      </c>
      <c r="AM111" s="221">
        <f ca="1">IF(ISERROR(LOOKUP(AM$16,$L111:$X111,#REF!)),0,(LOOKUP(AM$16,$L111:$X111,#REF!)))</f>
        <v>0</v>
      </c>
      <c r="AP111" s="215" t="e">
        <f>WORKDAY(IF(T112="",T111,T112),INDEX(AP$12:AP$15,MATCH($I110,$I$12:$I$15,0)),$AW$17:$AW$148)</f>
        <v>#REF!</v>
      </c>
      <c r="AQ111" s="215" t="e">
        <f>WORKDAY(IF(AP112="",AP111,AP112),INDEX(AQ$12:AQ$15,MATCH($I110,$I$12:$I$15,0)),$AW$17:$AW$148)</f>
        <v>#REF!</v>
      </c>
      <c r="AR111" s="215" t="e">
        <f>WORKDAY(IF(AQ112="",AQ111,AQ112),INDEX(AR$12:AR$15,MATCH($I110,$I$12:$I$15,0)),$AW$17:$AW$148)</f>
        <v>#REF!</v>
      </c>
      <c r="AS111" s="638"/>
      <c r="AW111" s="223" t="e">
        <v>#REF!</v>
      </c>
    </row>
    <row r="112" spans="1:49" s="166" customFormat="1" ht="18" customHeight="1">
      <c r="A112" s="596"/>
      <c r="B112" s="600"/>
      <c r="C112" s="601" t="str">
        <f>C110</f>
        <v>RFQ-032</v>
      </c>
      <c r="D112" s="601" t="str">
        <f t="shared" ref="D112:I112" si="187">D110</f>
        <v>Temperature Transmitter</v>
      </c>
      <c r="E112" s="225"/>
      <c r="F112" s="621" t="str">
        <f t="shared" si="187"/>
        <v>Instrument</v>
      </c>
      <c r="G112" s="601" t="str">
        <f t="shared" ref="G112" si="188">G110</f>
        <v>N</v>
      </c>
      <c r="H112" s="608"/>
      <c r="I112" s="212" t="str">
        <f t="shared" si="187"/>
        <v>LC</v>
      </c>
      <c r="J112" s="249" t="s">
        <v>67</v>
      </c>
      <c r="K112" s="212"/>
      <c r="L112" s="212"/>
      <c r="M112" s="212"/>
      <c r="N112" s="212"/>
      <c r="O112" s="212"/>
      <c r="P112" s="226"/>
      <c r="Q112" s="227"/>
      <c r="R112" s="212"/>
      <c r="S112" s="212"/>
      <c r="T112" s="212"/>
      <c r="U112" s="212"/>
      <c r="V112" s="212"/>
      <c r="W112" s="228"/>
      <c r="X112" s="212"/>
      <c r="Y112" s="628"/>
      <c r="Z112" s="633"/>
      <c r="AA112" s="633"/>
      <c r="AB112" s="637"/>
      <c r="AC112" s="229">
        <f>IF(ISERROR(LOOKUP(AC$16,$L112:$X112,#REF!)),0,(LOOKUP(AC$16,$L112:$X112,#REF!)))</f>
        <v>0</v>
      </c>
      <c r="AD112" s="230">
        <f>IF(ISERROR(LOOKUP(AD$16,$L112:$X112,#REF!)),0,(LOOKUP(AD$16,$L112:$X112,#REF!)))</f>
        <v>0</v>
      </c>
      <c r="AE112" s="230">
        <f>IF(ISERROR(LOOKUP(AE$16,$L112:$X112,#REF!)),0,(LOOKUP(AE$16,$L112:$X112,#REF!)))</f>
        <v>0</v>
      </c>
      <c r="AF112" s="230">
        <f>IF(ISERROR(LOOKUP(AF$16,$L112:$X112,#REF!)),0,(LOOKUP(AF$16,$L112:$X112,#REF!)))</f>
        <v>0</v>
      </c>
      <c r="AG112" s="230">
        <f>IF(ISERROR(LOOKUP(AG$16,$L112:$X112,#REF!)),0,(LOOKUP(AG$16,$L112:$X112,#REF!)))</f>
        <v>0</v>
      </c>
      <c r="AH112" s="230">
        <f>IF(ISERROR(LOOKUP(AH$16,$L112:$X112,#REF!)),0,(LOOKUP(AH$16,$L112:$X112,#REF!)))</f>
        <v>0</v>
      </c>
      <c r="AI112" s="230">
        <f>IF(ISERROR(LOOKUP(AI$16,$L112:$X112,#REF!)),0,(LOOKUP(AI$16,$L112:$X112,#REF!)))</f>
        <v>0</v>
      </c>
      <c r="AJ112" s="230">
        <f>IF(ISERROR(LOOKUP(AJ$16,$L112:$X112,#REF!)),0,(LOOKUP(AJ$16,$L112:$X112,#REF!)))</f>
        <v>0</v>
      </c>
      <c r="AK112" s="230">
        <f>IF(ISERROR(LOOKUP(AK$16,$L112:$X112,#REF!)),0,(LOOKUP(AK$16,$L112:$X112,#REF!)))</f>
        <v>0</v>
      </c>
      <c r="AL112" s="230">
        <f>IF(ISERROR(LOOKUP(AL$16,$L112:$X112,#REF!)),0,(LOOKUP(AL$16,$L112:$X112,#REF!)))</f>
        <v>0</v>
      </c>
      <c r="AM112" s="230">
        <f ca="1">IF(ISERROR(LOOKUP(AM$16,$L112:$X112,#REF!)),0,(LOOKUP(AM$16,$L112:$X112,#REF!)))</f>
        <v>0</v>
      </c>
      <c r="AP112" s="212"/>
      <c r="AQ112" s="212"/>
      <c r="AR112" s="212"/>
      <c r="AS112" s="638"/>
      <c r="AW112" s="223" t="e">
        <v>#REF!</v>
      </c>
    </row>
    <row r="113" spans="1:49" s="166" customFormat="1" ht="18" customHeight="1">
      <c r="A113" s="596">
        <f t="shared" ref="A113" si="189">A110+1</f>
        <v>33</v>
      </c>
      <c r="B113" s="598"/>
      <c r="C113" s="601" t="s">
        <v>4770</v>
      </c>
      <c r="D113" s="601" t="s">
        <v>172</v>
      </c>
      <c r="E113" s="213"/>
      <c r="F113" s="619" t="s">
        <v>139</v>
      </c>
      <c r="G113" s="601" t="s">
        <v>71</v>
      </c>
      <c r="H113" s="606"/>
      <c r="I113" s="212" t="s">
        <v>8</v>
      </c>
      <c r="J113" s="249" t="s">
        <v>61</v>
      </c>
      <c r="K113" s="215">
        <f>WORKDAY(L113,-INDEX(L$12:L$15,MATCH($I113,$I$12:$I$15,0)))</f>
        <v>46315</v>
      </c>
      <c r="L113" s="215">
        <f>WORKDAY(M113,-INDEX(M$12:M$15,MATCH($I113,$I$12:$I$15,0)))</f>
        <v>46318</v>
      </c>
      <c r="M113" s="215">
        <f>WORKDAY(N113,-INDEX(N$12:N$15,MATCH($I113,$I$12:$I$15,0)))</f>
        <v>46332</v>
      </c>
      <c r="N113" s="215">
        <f>WORKDAY(O113,-INDEX(O$12:O$15,MATCH($I113,$I$12:$I$15,0)))</f>
        <v>46335</v>
      </c>
      <c r="O113" s="215">
        <f>WORKDAY(R113,-INDEX(R$12:R$15,MATCH($I113,$I$12:$I$15,0)))</f>
        <v>46349</v>
      </c>
      <c r="P113" s="216">
        <f>U113-L113</f>
        <v>94</v>
      </c>
      <c r="Q113" s="217"/>
      <c r="R113" s="215">
        <f>WORKDAY(S113,-INDEX(S$12:S$15,MATCH($I113,$I$12:$I$15,0)))</f>
        <v>46363</v>
      </c>
      <c r="S113" s="215">
        <f>WORKDAY(T113,-INDEX(T$12:T$15,MATCH($I113,$I$12:$I$15,0)))</f>
        <v>46384</v>
      </c>
      <c r="T113" s="215">
        <f>WORKDAY(U113,-INDEX(U$12:U$15,MATCH($I113,$I$12:$I$15,0)))</f>
        <v>46398</v>
      </c>
      <c r="U113" s="215">
        <f>X113-Y113</f>
        <v>46412</v>
      </c>
      <c r="V113" s="215">
        <f>WORKDAY(U113,INDEX(V$12:V$15,MATCH($I113,$I$12:$I$15,0)))</f>
        <v>46414</v>
      </c>
      <c r="W113" s="218">
        <f>Y113/7</f>
        <v>18</v>
      </c>
      <c r="X113" s="215">
        <f>Z113</f>
        <v>46538</v>
      </c>
      <c r="Y113" s="628">
        <f t="shared" ref="Y113" si="190">18*7</f>
        <v>126</v>
      </c>
      <c r="Z113" s="633">
        <v>46538</v>
      </c>
      <c r="AA113" s="633">
        <v>46538</v>
      </c>
      <c r="AB113" s="637">
        <f t="shared" ref="AB113" si="191">Z113-X114</f>
        <v>0</v>
      </c>
      <c r="AC113" s="220">
        <f>IF(ISERROR(LOOKUP(AC$16,$L113:$X113,#REF!)),0,(LOOKUP(AC$16,$L113:$X113,#REF!)))</f>
        <v>0</v>
      </c>
      <c r="AD113" s="221">
        <f>IF(ISERROR(LOOKUP(AD$16,$L113:$X113,#REF!)),0,(LOOKUP(AD$16,$L113:$X113,#REF!)))</f>
        <v>0</v>
      </c>
      <c r="AE113" s="221">
        <f>IF(ISERROR(LOOKUP(AE$16,$L113:$X113,#REF!)),0,(LOOKUP(AE$16,$L113:$X113,#REF!)))</f>
        <v>0</v>
      </c>
      <c r="AF113" s="221">
        <f>IF(ISERROR(LOOKUP(AF$16,$L113:$X113,#REF!)),0,(LOOKUP(AF$16,$L113:$X113,#REF!)))</f>
        <v>0</v>
      </c>
      <c r="AG113" s="221">
        <f>IF(ISERROR(LOOKUP(AG$16,$L113:$X113,#REF!)),0,(LOOKUP(AG$16,$L113:$X113,#REF!)))</f>
        <v>0</v>
      </c>
      <c r="AH113" s="221">
        <f>IF(ISERROR(LOOKUP(AH$16,$L113:$X113,#REF!)),0,(LOOKUP(AH$16,$L113:$X113,#REF!)))</f>
        <v>0</v>
      </c>
      <c r="AI113" s="221">
        <f>IF(ISERROR(LOOKUP(AI$16,$L113:$X113,#REF!)),0,(LOOKUP(AI$16,$L113:$X113,#REF!)))</f>
        <v>0</v>
      </c>
      <c r="AJ113" s="221">
        <f>IF(ISERROR(LOOKUP(AJ$16,$L113:$X113,#REF!)),0,(LOOKUP(AJ$16,$L113:$X113,#REF!)))</f>
        <v>0</v>
      </c>
      <c r="AK113" s="221">
        <f>IF(ISERROR(LOOKUP(AK$16,$L113:$X113,#REF!)),0,(LOOKUP(AK$16,$L113:$X113,#REF!)))</f>
        <v>0</v>
      </c>
      <c r="AL113" s="221">
        <f>IF(ISERROR(LOOKUP(AL$16,$L113:$X113,#REF!)),0,(LOOKUP(AL$16,$L113:$X113,#REF!)))</f>
        <v>0</v>
      </c>
      <c r="AM113" s="221">
        <f ca="1">IF(ISERROR(LOOKUP(AM$16,$L113:$X113,#REF!)),0,(LOOKUP(AM$16,$L113:$X113,#REF!)))</f>
        <v>0</v>
      </c>
      <c r="AP113" s="215" t="e">
        <f>WORKDAY(AQ113,-INDEX(AQ$12:AQ$15,MATCH($I113,$I$12:$I$15,0)),$AW$17:$AW$148)</f>
        <v>#REF!</v>
      </c>
      <c r="AQ113" s="215" t="e">
        <f>WORKDAY(U113,-INDEX(U$12:U$15,MATCH($I113,$I$12:$I$15,0)),$AW$17:$AW$148)</f>
        <v>#REF!</v>
      </c>
      <c r="AR113" s="215" t="e">
        <f>WORKDAY(U113,-INDEX(U$12:U$15,MATCH($I113,$I$12:$I$15,0)),$AW$17:$AW$148)</f>
        <v>#REF!</v>
      </c>
      <c r="AS113" s="638">
        <v>7</v>
      </c>
      <c r="AW113" s="223" t="e">
        <v>#REF!</v>
      </c>
    </row>
    <row r="114" spans="1:49" s="166" customFormat="1" ht="18" customHeight="1">
      <c r="A114" s="596"/>
      <c r="B114" s="599"/>
      <c r="C114" s="601" t="str">
        <f t="shared" ref="C114" si="192">C113</f>
        <v>RFQ-033</v>
      </c>
      <c r="D114" s="601" t="str">
        <f t="shared" ref="D114:G114" si="193">D113</f>
        <v>Vortex Flow Meter</v>
      </c>
      <c r="E114" s="224"/>
      <c r="F114" s="620" t="str">
        <f t="shared" si="193"/>
        <v>Instrument</v>
      </c>
      <c r="G114" s="601" t="str">
        <f t="shared" si="193"/>
        <v>N</v>
      </c>
      <c r="H114" s="607"/>
      <c r="I114" s="212" t="str">
        <f>I113</f>
        <v>LC</v>
      </c>
      <c r="J114" s="249" t="s">
        <v>65</v>
      </c>
      <c r="K114" s="215">
        <f>K113</f>
        <v>46315</v>
      </c>
      <c r="L114" s="215">
        <f>WORKDAY(IF(K115="",K114,K115),INDEX(L$12:L$15,MATCH($I113,$I$12:$I$15,0)))</f>
        <v>46318</v>
      </c>
      <c r="M114" s="215">
        <f>WORKDAY(IF(L115="",L114,L115),INDEX(M$12:M$15,MATCH($I113,$I$12:$I$15,0)))</f>
        <v>46332</v>
      </c>
      <c r="N114" s="215">
        <f>WORKDAY(IF(M115="",M114,M115),INDEX(N$12:N$15,MATCH($I113,$I$12:$I$15,0)))</f>
        <v>46335</v>
      </c>
      <c r="O114" s="215">
        <f>WORKDAY(IF(N115="",N114,N115),INDEX(O$12:O$15,MATCH($I113,$I$12:$I$15,0)))</f>
        <v>46349</v>
      </c>
      <c r="P114" s="216"/>
      <c r="Q114" s="217"/>
      <c r="R114" s="215">
        <f>WORKDAY(IF(O115="",O114,O115),INDEX(R$12:R$15,MATCH($I113,$I$12:$I$15,0)))</f>
        <v>46363</v>
      </c>
      <c r="S114" s="215">
        <f>WORKDAY(IF(R115="",R114,R115),INDEX(S$12:S$15,MATCH($I113,$I$12:$I$15,0)))</f>
        <v>46384</v>
      </c>
      <c r="T114" s="215">
        <f>WORKDAY(IF(S115="",S114,S115),INDEX(T$12:T$15,MATCH($I113,$I$12:$I$15,0)))</f>
        <v>46398</v>
      </c>
      <c r="U114" s="215">
        <f>WORKDAY(IF(T115="",T114,T115),INDEX(U$12:U$15,MATCH($I113,$I$12:$I$15,0)))</f>
        <v>46412</v>
      </c>
      <c r="V114" s="215">
        <f>WORKDAY(IF(U115="",U114,U115),INDEX(V$12:V$15,MATCH($I113,$I$12:$I$15,0)))</f>
        <v>46414</v>
      </c>
      <c r="W114" s="218"/>
      <c r="X114" s="215">
        <f>U114+Y113</f>
        <v>46538</v>
      </c>
      <c r="Y114" s="628"/>
      <c r="Z114" s="633"/>
      <c r="AA114" s="633"/>
      <c r="AB114" s="637"/>
      <c r="AC114" s="220">
        <f>IF(ISERROR(LOOKUP(AC$16,$L114:$X114,#REF!)),0,(LOOKUP(AC$16,$L114:$X114,#REF!)))</f>
        <v>0</v>
      </c>
      <c r="AD114" s="221">
        <f>IF(ISERROR(LOOKUP(AD$16,$L114:$X114,#REF!)),0,(LOOKUP(AD$16,$L114:$X114,#REF!)))</f>
        <v>0</v>
      </c>
      <c r="AE114" s="221">
        <f>IF(ISERROR(LOOKUP(AE$16,$L114:$X114,#REF!)),0,(LOOKUP(AE$16,$L114:$X114,#REF!)))</f>
        <v>0</v>
      </c>
      <c r="AF114" s="221">
        <f>IF(ISERROR(LOOKUP(AF$16,$L114:$X114,#REF!)),0,(LOOKUP(AF$16,$L114:$X114,#REF!)))</f>
        <v>0</v>
      </c>
      <c r="AG114" s="221">
        <f>IF(ISERROR(LOOKUP(AG$16,$L114:$X114,#REF!)),0,(LOOKUP(AG$16,$L114:$X114,#REF!)))</f>
        <v>0</v>
      </c>
      <c r="AH114" s="221">
        <f>IF(ISERROR(LOOKUP(AH$16,$L114:$X114,#REF!)),0,(LOOKUP(AH$16,$L114:$X114,#REF!)))</f>
        <v>0</v>
      </c>
      <c r="AI114" s="221">
        <f>IF(ISERROR(LOOKUP(AI$16,$L114:$X114,#REF!)),0,(LOOKUP(AI$16,$L114:$X114,#REF!)))</f>
        <v>0</v>
      </c>
      <c r="AJ114" s="221">
        <f>IF(ISERROR(LOOKUP(AJ$16,$L114:$X114,#REF!)),0,(LOOKUP(AJ$16,$L114:$X114,#REF!)))</f>
        <v>0</v>
      </c>
      <c r="AK114" s="221">
        <f>IF(ISERROR(LOOKUP(AK$16,$L114:$X114,#REF!)),0,(LOOKUP(AK$16,$L114:$X114,#REF!)))</f>
        <v>0</v>
      </c>
      <c r="AL114" s="221">
        <f>IF(ISERROR(LOOKUP(AL$16,$L114:$X114,#REF!)),0,(LOOKUP(AL$16,$L114:$X114,#REF!)))</f>
        <v>0</v>
      </c>
      <c r="AM114" s="221">
        <f ca="1">IF(ISERROR(LOOKUP(AM$16,$L114:$X114,#REF!)),0,(LOOKUP(AM$16,$L114:$X114,#REF!)))</f>
        <v>0</v>
      </c>
      <c r="AP114" s="215" t="e">
        <f>WORKDAY(IF(T115="",T114,T115),INDEX(AP$12:AP$15,MATCH($I113,$I$12:$I$15,0)),$AW$17:$AW$148)</f>
        <v>#REF!</v>
      </c>
      <c r="AQ114" s="215" t="e">
        <f>WORKDAY(IF(AP115="",AP114,AP115),INDEX(AQ$12:AQ$15,MATCH($I113,$I$12:$I$15,0)),$AW$17:$AW$148)</f>
        <v>#REF!</v>
      </c>
      <c r="AR114" s="215" t="e">
        <f>WORKDAY(IF(AQ115="",AQ114,AQ115),INDEX(AR$12:AR$15,MATCH($I113,$I$12:$I$15,0)),$AW$17:$AW$148)</f>
        <v>#REF!</v>
      </c>
      <c r="AS114" s="638"/>
      <c r="AW114" s="223" t="e">
        <v>#REF!</v>
      </c>
    </row>
    <row r="115" spans="1:49" s="166" customFormat="1" ht="18" customHeight="1">
      <c r="A115" s="596"/>
      <c r="B115" s="600"/>
      <c r="C115" s="601" t="str">
        <f>C113</f>
        <v>RFQ-033</v>
      </c>
      <c r="D115" s="601" t="str">
        <f t="shared" ref="D115:I115" si="194">D113</f>
        <v>Vortex Flow Meter</v>
      </c>
      <c r="E115" s="225"/>
      <c r="F115" s="621" t="str">
        <f t="shared" si="194"/>
        <v>Instrument</v>
      </c>
      <c r="G115" s="601" t="str">
        <f t="shared" ref="G115" si="195">G113</f>
        <v>N</v>
      </c>
      <c r="H115" s="608"/>
      <c r="I115" s="212" t="str">
        <f t="shared" si="194"/>
        <v>LC</v>
      </c>
      <c r="J115" s="249" t="s">
        <v>67</v>
      </c>
      <c r="K115" s="212"/>
      <c r="L115" s="212"/>
      <c r="M115" s="212"/>
      <c r="N115" s="212"/>
      <c r="O115" s="212"/>
      <c r="P115" s="226"/>
      <c r="Q115" s="227"/>
      <c r="R115" s="212"/>
      <c r="S115" s="212"/>
      <c r="T115" s="212"/>
      <c r="U115" s="212"/>
      <c r="V115" s="212"/>
      <c r="W115" s="228"/>
      <c r="X115" s="212"/>
      <c r="Y115" s="628"/>
      <c r="Z115" s="633"/>
      <c r="AA115" s="633"/>
      <c r="AB115" s="637"/>
      <c r="AC115" s="229">
        <f>IF(ISERROR(LOOKUP(AC$16,$L115:$X115,#REF!)),0,(LOOKUP(AC$16,$L115:$X115,#REF!)))</f>
        <v>0</v>
      </c>
      <c r="AD115" s="230">
        <f>IF(ISERROR(LOOKUP(AD$16,$L115:$X115,#REF!)),0,(LOOKUP(AD$16,$L115:$X115,#REF!)))</f>
        <v>0</v>
      </c>
      <c r="AE115" s="230">
        <f>IF(ISERROR(LOOKUP(AE$16,$L115:$X115,#REF!)),0,(LOOKUP(AE$16,$L115:$X115,#REF!)))</f>
        <v>0</v>
      </c>
      <c r="AF115" s="230">
        <f>IF(ISERROR(LOOKUP(AF$16,$L115:$X115,#REF!)),0,(LOOKUP(AF$16,$L115:$X115,#REF!)))</f>
        <v>0</v>
      </c>
      <c r="AG115" s="230">
        <f>IF(ISERROR(LOOKUP(AG$16,$L115:$X115,#REF!)),0,(LOOKUP(AG$16,$L115:$X115,#REF!)))</f>
        <v>0</v>
      </c>
      <c r="AH115" s="230">
        <f>IF(ISERROR(LOOKUP(AH$16,$L115:$X115,#REF!)),0,(LOOKUP(AH$16,$L115:$X115,#REF!)))</f>
        <v>0</v>
      </c>
      <c r="AI115" s="230">
        <f>IF(ISERROR(LOOKUP(AI$16,$L115:$X115,#REF!)),0,(LOOKUP(AI$16,$L115:$X115,#REF!)))</f>
        <v>0</v>
      </c>
      <c r="AJ115" s="230">
        <f>IF(ISERROR(LOOKUP(AJ$16,$L115:$X115,#REF!)),0,(LOOKUP(AJ$16,$L115:$X115,#REF!)))</f>
        <v>0</v>
      </c>
      <c r="AK115" s="230">
        <f>IF(ISERROR(LOOKUP(AK$16,$L115:$X115,#REF!)),0,(LOOKUP(AK$16,$L115:$X115,#REF!)))</f>
        <v>0</v>
      </c>
      <c r="AL115" s="230">
        <f>IF(ISERROR(LOOKUP(AL$16,$L115:$X115,#REF!)),0,(LOOKUP(AL$16,$L115:$X115,#REF!)))</f>
        <v>0</v>
      </c>
      <c r="AM115" s="230">
        <f ca="1">IF(ISERROR(LOOKUP(AM$16,$L115:$X115,#REF!)),0,(LOOKUP(AM$16,$L115:$X115,#REF!)))</f>
        <v>0</v>
      </c>
      <c r="AP115" s="212"/>
      <c r="AQ115" s="212"/>
      <c r="AR115" s="212"/>
      <c r="AS115" s="638"/>
      <c r="AW115" s="223" t="e">
        <v>#REF!</v>
      </c>
    </row>
    <row r="116" spans="1:49" s="166" customFormat="1" ht="18" customHeight="1">
      <c r="A116" s="596">
        <f t="shared" ref="A116" si="196">A113+1</f>
        <v>34</v>
      </c>
      <c r="B116" s="598"/>
      <c r="C116" s="601" t="s">
        <v>4771</v>
      </c>
      <c r="D116" s="601" t="s">
        <v>175</v>
      </c>
      <c r="E116" s="213"/>
      <c r="F116" s="619" t="s">
        <v>139</v>
      </c>
      <c r="G116" s="601" t="s">
        <v>71</v>
      </c>
      <c r="H116" s="606"/>
      <c r="I116" s="212" t="s">
        <v>8</v>
      </c>
      <c r="J116" s="249" t="s">
        <v>61</v>
      </c>
      <c r="K116" s="215">
        <f>WORKDAY(L116,-INDEX(L$12:L$15,MATCH($I116,$I$12:$I$15,0)))</f>
        <v>46315</v>
      </c>
      <c r="L116" s="215">
        <f>WORKDAY(M116,-INDEX(M$12:M$15,MATCH($I116,$I$12:$I$15,0)))</f>
        <v>46318</v>
      </c>
      <c r="M116" s="215">
        <f>WORKDAY(N116,-INDEX(N$12:N$15,MATCH($I116,$I$12:$I$15,0)))</f>
        <v>46332</v>
      </c>
      <c r="N116" s="215">
        <f>WORKDAY(O116,-INDEX(O$12:O$15,MATCH($I116,$I$12:$I$15,0)))</f>
        <v>46335</v>
      </c>
      <c r="O116" s="215">
        <f>WORKDAY(R116,-INDEX(R$12:R$15,MATCH($I116,$I$12:$I$15,0)))</f>
        <v>46349</v>
      </c>
      <c r="P116" s="216">
        <f>U116-L116</f>
        <v>94</v>
      </c>
      <c r="Q116" s="217"/>
      <c r="R116" s="215">
        <f>WORKDAY(S116,-INDEX(S$12:S$15,MATCH($I116,$I$12:$I$15,0)))</f>
        <v>46363</v>
      </c>
      <c r="S116" s="215">
        <f>WORKDAY(T116,-INDEX(T$12:T$15,MATCH($I116,$I$12:$I$15,0)))</f>
        <v>46384</v>
      </c>
      <c r="T116" s="215">
        <f>WORKDAY(U116,-INDEX(U$12:U$15,MATCH($I116,$I$12:$I$15,0)))</f>
        <v>46398</v>
      </c>
      <c r="U116" s="215">
        <f>X116-Y116</f>
        <v>46412</v>
      </c>
      <c r="V116" s="215">
        <f>WORKDAY(U116,INDEX(V$12:V$15,MATCH($I116,$I$12:$I$15,0)))</f>
        <v>46414</v>
      </c>
      <c r="W116" s="218">
        <f>Y116/7</f>
        <v>18</v>
      </c>
      <c r="X116" s="215">
        <f>Z116</f>
        <v>46538</v>
      </c>
      <c r="Y116" s="628">
        <f t="shared" ref="Y116" si="197">18*7</f>
        <v>126</v>
      </c>
      <c r="Z116" s="633">
        <v>46538</v>
      </c>
      <c r="AA116" s="633">
        <v>46538</v>
      </c>
      <c r="AB116" s="637">
        <f t="shared" ref="AB116" si="198">Z116-X117</f>
        <v>0</v>
      </c>
      <c r="AC116" s="220">
        <f>IF(ISERROR(LOOKUP(AC$16,$L116:$X116,#REF!)),0,(LOOKUP(AC$16,$L116:$X116,#REF!)))</f>
        <v>0</v>
      </c>
      <c r="AD116" s="221">
        <f>IF(ISERROR(LOOKUP(AD$16,$L116:$X116,#REF!)),0,(LOOKUP(AD$16,$L116:$X116,#REF!)))</f>
        <v>0</v>
      </c>
      <c r="AE116" s="221">
        <f>IF(ISERROR(LOOKUP(AE$16,$L116:$X116,#REF!)),0,(LOOKUP(AE$16,$L116:$X116,#REF!)))</f>
        <v>0</v>
      </c>
      <c r="AF116" s="221">
        <f>IF(ISERROR(LOOKUP(AF$16,$L116:$X116,#REF!)),0,(LOOKUP(AF$16,$L116:$X116,#REF!)))</f>
        <v>0</v>
      </c>
      <c r="AG116" s="221">
        <f>IF(ISERROR(LOOKUP(AG$16,$L116:$X116,#REF!)),0,(LOOKUP(AG$16,$L116:$X116,#REF!)))</f>
        <v>0</v>
      </c>
      <c r="AH116" s="221">
        <f>IF(ISERROR(LOOKUP(AH$16,$L116:$X116,#REF!)),0,(LOOKUP(AH$16,$L116:$X116,#REF!)))</f>
        <v>0</v>
      </c>
      <c r="AI116" s="221">
        <f>IF(ISERROR(LOOKUP(AI$16,$L116:$X116,#REF!)),0,(LOOKUP(AI$16,$L116:$X116,#REF!)))</f>
        <v>0</v>
      </c>
      <c r="AJ116" s="221">
        <f>IF(ISERROR(LOOKUP(AJ$16,$L116:$X116,#REF!)),0,(LOOKUP(AJ$16,$L116:$X116,#REF!)))</f>
        <v>0</v>
      </c>
      <c r="AK116" s="221">
        <f>IF(ISERROR(LOOKUP(AK$16,$L116:$X116,#REF!)),0,(LOOKUP(AK$16,$L116:$X116,#REF!)))</f>
        <v>0</v>
      </c>
      <c r="AL116" s="221">
        <f>IF(ISERROR(LOOKUP(AL$16,$L116:$X116,#REF!)),0,(LOOKUP(AL$16,$L116:$X116,#REF!)))</f>
        <v>0</v>
      </c>
      <c r="AM116" s="221">
        <f ca="1">IF(ISERROR(LOOKUP(AM$16,$L116:$X116,#REF!)),0,(LOOKUP(AM$16,$L116:$X116,#REF!)))</f>
        <v>0</v>
      </c>
      <c r="AP116" s="215" t="e">
        <f>WORKDAY(AQ116,-INDEX(AQ$12:AQ$15,MATCH($I116,$I$12:$I$15,0)),$AW$17:$AW$148)</f>
        <v>#REF!</v>
      </c>
      <c r="AQ116" s="215" t="e">
        <f>WORKDAY(U116,-INDEX(U$12:U$15,MATCH($I116,$I$12:$I$15,0)),$AW$17:$AW$148)</f>
        <v>#REF!</v>
      </c>
      <c r="AR116" s="215" t="e">
        <f>WORKDAY(U116,-INDEX(U$12:U$15,MATCH($I116,$I$12:$I$15,0)),$AW$17:$AW$148)</f>
        <v>#REF!</v>
      </c>
      <c r="AS116" s="638">
        <v>7</v>
      </c>
      <c r="AW116" s="223" t="e">
        <v>#REF!</v>
      </c>
    </row>
    <row r="117" spans="1:49" s="166" customFormat="1" ht="18" customHeight="1">
      <c r="A117" s="596"/>
      <c r="B117" s="599"/>
      <c r="C117" s="601" t="str">
        <f t="shared" ref="C117" si="199">C116</f>
        <v>RFQ-034</v>
      </c>
      <c r="D117" s="601" t="str">
        <f t="shared" ref="D117:G117" si="200">D116</f>
        <v>Level Transmitter and Gauge</v>
      </c>
      <c r="E117" s="224"/>
      <c r="F117" s="620" t="str">
        <f t="shared" si="200"/>
        <v>Instrument</v>
      </c>
      <c r="G117" s="601" t="str">
        <f t="shared" si="200"/>
        <v>N</v>
      </c>
      <c r="H117" s="607"/>
      <c r="I117" s="212" t="str">
        <f>I116</f>
        <v>LC</v>
      </c>
      <c r="J117" s="249" t="s">
        <v>65</v>
      </c>
      <c r="K117" s="215">
        <f>K116</f>
        <v>46315</v>
      </c>
      <c r="L117" s="215">
        <f>WORKDAY(IF(K118="",K117,K118),INDEX(L$12:L$15,MATCH($I116,$I$12:$I$15,0)))</f>
        <v>46318</v>
      </c>
      <c r="M117" s="215">
        <f>WORKDAY(IF(L118="",L117,L118),INDEX(M$12:M$15,MATCH($I116,$I$12:$I$15,0)))</f>
        <v>46332</v>
      </c>
      <c r="N117" s="215">
        <f>WORKDAY(IF(M118="",M117,M118),INDEX(N$12:N$15,MATCH($I116,$I$12:$I$15,0)))</f>
        <v>46335</v>
      </c>
      <c r="O117" s="215">
        <f>WORKDAY(IF(N118="",N117,N118),INDEX(O$12:O$15,MATCH($I116,$I$12:$I$15,0)))</f>
        <v>46349</v>
      </c>
      <c r="P117" s="216"/>
      <c r="Q117" s="217"/>
      <c r="R117" s="215">
        <f>WORKDAY(IF(O118="",O117,O118),INDEX(R$12:R$15,MATCH($I116,$I$12:$I$15,0)))</f>
        <v>46363</v>
      </c>
      <c r="S117" s="215">
        <f>WORKDAY(IF(R118="",R117,R118),INDEX(S$12:S$15,MATCH($I116,$I$12:$I$15,0)))</f>
        <v>46384</v>
      </c>
      <c r="T117" s="215">
        <f>WORKDAY(IF(S118="",S117,S118),INDEX(T$12:T$15,MATCH($I116,$I$12:$I$15,0)))</f>
        <v>46398</v>
      </c>
      <c r="U117" s="215">
        <f>WORKDAY(IF(T118="",T117,T118),INDEX(U$12:U$15,MATCH($I116,$I$12:$I$15,0)))</f>
        <v>46412</v>
      </c>
      <c r="V117" s="215">
        <f>WORKDAY(IF(U118="",U117,U118),INDEX(V$12:V$15,MATCH($I116,$I$12:$I$15,0)))</f>
        <v>46414</v>
      </c>
      <c r="W117" s="218"/>
      <c r="X117" s="215">
        <f>U117+Y116</f>
        <v>46538</v>
      </c>
      <c r="Y117" s="628"/>
      <c r="Z117" s="633"/>
      <c r="AA117" s="633"/>
      <c r="AB117" s="637"/>
      <c r="AC117" s="220">
        <f>IF(ISERROR(LOOKUP(AC$16,$L117:$X117,#REF!)),0,(LOOKUP(AC$16,$L117:$X117,#REF!)))</f>
        <v>0</v>
      </c>
      <c r="AD117" s="221">
        <f>IF(ISERROR(LOOKUP(AD$16,$L117:$X117,#REF!)),0,(LOOKUP(AD$16,$L117:$X117,#REF!)))</f>
        <v>0</v>
      </c>
      <c r="AE117" s="221">
        <f>IF(ISERROR(LOOKUP(AE$16,$L117:$X117,#REF!)),0,(LOOKUP(AE$16,$L117:$X117,#REF!)))</f>
        <v>0</v>
      </c>
      <c r="AF117" s="221">
        <f>IF(ISERROR(LOOKUP(AF$16,$L117:$X117,#REF!)),0,(LOOKUP(AF$16,$L117:$X117,#REF!)))</f>
        <v>0</v>
      </c>
      <c r="AG117" s="221">
        <f>IF(ISERROR(LOOKUP(AG$16,$L117:$X117,#REF!)),0,(LOOKUP(AG$16,$L117:$X117,#REF!)))</f>
        <v>0</v>
      </c>
      <c r="AH117" s="221">
        <f>IF(ISERROR(LOOKUP(AH$16,$L117:$X117,#REF!)),0,(LOOKUP(AH$16,$L117:$X117,#REF!)))</f>
        <v>0</v>
      </c>
      <c r="AI117" s="221">
        <f>IF(ISERROR(LOOKUP(AI$16,$L117:$X117,#REF!)),0,(LOOKUP(AI$16,$L117:$X117,#REF!)))</f>
        <v>0</v>
      </c>
      <c r="AJ117" s="221">
        <f>IF(ISERROR(LOOKUP(AJ$16,$L117:$X117,#REF!)),0,(LOOKUP(AJ$16,$L117:$X117,#REF!)))</f>
        <v>0</v>
      </c>
      <c r="AK117" s="221">
        <f>IF(ISERROR(LOOKUP(AK$16,$L117:$X117,#REF!)),0,(LOOKUP(AK$16,$L117:$X117,#REF!)))</f>
        <v>0</v>
      </c>
      <c r="AL117" s="221">
        <f>IF(ISERROR(LOOKUP(AL$16,$L117:$X117,#REF!)),0,(LOOKUP(AL$16,$L117:$X117,#REF!)))</f>
        <v>0</v>
      </c>
      <c r="AM117" s="221">
        <f ca="1">IF(ISERROR(LOOKUP(AM$16,$L117:$X117,#REF!)),0,(LOOKUP(AM$16,$L117:$X117,#REF!)))</f>
        <v>0</v>
      </c>
      <c r="AP117" s="215" t="e">
        <f>WORKDAY(IF(T118="",T117,T118),INDEX(AP$12:AP$15,MATCH($I116,$I$12:$I$15,0)),$AW$17:$AW$148)</f>
        <v>#REF!</v>
      </c>
      <c r="AQ117" s="215" t="e">
        <f>WORKDAY(IF(AP118="",AP117,AP118),INDEX(AQ$12:AQ$15,MATCH($I116,$I$12:$I$15,0)),$AW$17:$AW$148)</f>
        <v>#REF!</v>
      </c>
      <c r="AR117" s="215" t="e">
        <f>WORKDAY(IF(AQ118="",AQ117,AQ118),INDEX(AR$12:AR$15,MATCH($I116,$I$12:$I$15,0)),$AW$17:$AW$148)</f>
        <v>#REF!</v>
      </c>
      <c r="AS117" s="638"/>
      <c r="AW117" s="223" t="e">
        <v>#REF!</v>
      </c>
    </row>
    <row r="118" spans="1:49" s="166" customFormat="1" ht="18" customHeight="1">
      <c r="A118" s="596"/>
      <c r="B118" s="600"/>
      <c r="C118" s="601" t="str">
        <f>C116</f>
        <v>RFQ-034</v>
      </c>
      <c r="D118" s="601" t="str">
        <f t="shared" ref="D118:F118" si="201">D116</f>
        <v>Level Transmitter and Gauge</v>
      </c>
      <c r="E118" s="225"/>
      <c r="F118" s="621" t="str">
        <f t="shared" si="201"/>
        <v>Instrument</v>
      </c>
      <c r="G118" s="601" t="str">
        <f t="shared" ref="G118" si="202">G116</f>
        <v>N</v>
      </c>
      <c r="H118" s="608"/>
      <c r="I118" s="212" t="str">
        <f>I116</f>
        <v>LC</v>
      </c>
      <c r="J118" s="249" t="s">
        <v>67</v>
      </c>
      <c r="K118" s="212"/>
      <c r="L118" s="212"/>
      <c r="M118" s="212"/>
      <c r="N118" s="212"/>
      <c r="O118" s="212"/>
      <c r="P118" s="226"/>
      <c r="Q118" s="227"/>
      <c r="R118" s="212"/>
      <c r="S118" s="212"/>
      <c r="T118" s="212"/>
      <c r="U118" s="212"/>
      <c r="V118" s="212"/>
      <c r="W118" s="228"/>
      <c r="X118" s="212"/>
      <c r="Y118" s="628"/>
      <c r="Z118" s="633"/>
      <c r="AA118" s="633"/>
      <c r="AB118" s="637"/>
      <c r="AC118" s="229">
        <f>IF(ISERROR(LOOKUP(AC$16,$L118:$X118,#REF!)),0,(LOOKUP(AC$16,$L118:$X118,#REF!)))</f>
        <v>0</v>
      </c>
      <c r="AD118" s="230">
        <f>IF(ISERROR(LOOKUP(AD$16,$L118:$X118,#REF!)),0,(LOOKUP(AD$16,$L118:$X118,#REF!)))</f>
        <v>0</v>
      </c>
      <c r="AE118" s="230">
        <f>IF(ISERROR(LOOKUP(AE$16,$L118:$X118,#REF!)),0,(LOOKUP(AE$16,$L118:$X118,#REF!)))</f>
        <v>0</v>
      </c>
      <c r="AF118" s="230">
        <f>IF(ISERROR(LOOKUP(AF$16,$L118:$X118,#REF!)),0,(LOOKUP(AF$16,$L118:$X118,#REF!)))</f>
        <v>0</v>
      </c>
      <c r="AG118" s="230">
        <f>IF(ISERROR(LOOKUP(AG$16,$L118:$X118,#REF!)),0,(LOOKUP(AG$16,$L118:$X118,#REF!)))</f>
        <v>0</v>
      </c>
      <c r="AH118" s="230">
        <f>IF(ISERROR(LOOKUP(AH$16,$L118:$X118,#REF!)),0,(LOOKUP(AH$16,$L118:$X118,#REF!)))</f>
        <v>0</v>
      </c>
      <c r="AI118" s="230">
        <f>IF(ISERROR(LOOKUP(AI$16,$L118:$X118,#REF!)),0,(LOOKUP(AI$16,$L118:$X118,#REF!)))</f>
        <v>0</v>
      </c>
      <c r="AJ118" s="230">
        <f>IF(ISERROR(LOOKUP(AJ$16,$L118:$X118,#REF!)),0,(LOOKUP(AJ$16,$L118:$X118,#REF!)))</f>
        <v>0</v>
      </c>
      <c r="AK118" s="230">
        <f>IF(ISERROR(LOOKUP(AK$16,$L118:$X118,#REF!)),0,(LOOKUP(AK$16,$L118:$X118,#REF!)))</f>
        <v>0</v>
      </c>
      <c r="AL118" s="230">
        <f>IF(ISERROR(LOOKUP(AL$16,$L118:$X118,#REF!)),0,(LOOKUP(AL$16,$L118:$X118,#REF!)))</f>
        <v>0</v>
      </c>
      <c r="AM118" s="230">
        <f ca="1">IF(ISERROR(LOOKUP(AM$16,$L118:$X118,#REF!)),0,(LOOKUP(AM$16,$L118:$X118,#REF!)))</f>
        <v>0</v>
      </c>
      <c r="AP118" s="212"/>
      <c r="AQ118" s="212"/>
      <c r="AR118" s="212"/>
      <c r="AS118" s="638"/>
      <c r="AW118" s="223" t="e">
        <v>#REF!</v>
      </c>
    </row>
    <row r="119" spans="1:49" s="166" customFormat="1" ht="18" customHeight="1">
      <c r="A119" s="596">
        <f t="shared" ref="A119" si="203">A116+1</f>
        <v>35</v>
      </c>
      <c r="B119" s="598"/>
      <c r="C119" s="601" t="s">
        <v>4772</v>
      </c>
      <c r="D119" s="601" t="s">
        <v>177</v>
      </c>
      <c r="E119" s="213"/>
      <c r="F119" s="619" t="s">
        <v>139</v>
      </c>
      <c r="G119" s="601" t="s">
        <v>71</v>
      </c>
      <c r="H119" s="606"/>
      <c r="I119" s="212" t="s">
        <v>8</v>
      </c>
      <c r="J119" s="249" t="s">
        <v>61</v>
      </c>
      <c r="K119" s="215">
        <f>WORKDAY(L119,-INDEX(L$12:L$15,MATCH($I119,$I$12:$I$15,0)))</f>
        <v>46315</v>
      </c>
      <c r="L119" s="215">
        <f>WORKDAY(M119,-INDEX(M$12:M$15,MATCH($I119,$I$12:$I$15,0)))</f>
        <v>46318</v>
      </c>
      <c r="M119" s="215">
        <f>WORKDAY(N119,-INDEX(N$12:N$15,MATCH($I119,$I$12:$I$15,0)))</f>
        <v>46332</v>
      </c>
      <c r="N119" s="215">
        <f>WORKDAY(O119,-INDEX(O$12:O$15,MATCH($I119,$I$12:$I$15,0)))</f>
        <v>46335</v>
      </c>
      <c r="O119" s="215">
        <f>WORKDAY(R119,-INDEX(R$12:R$15,MATCH($I119,$I$12:$I$15,0)))</f>
        <v>46349</v>
      </c>
      <c r="P119" s="216">
        <f>U119-L119</f>
        <v>94</v>
      </c>
      <c r="Q119" s="217"/>
      <c r="R119" s="215">
        <f>WORKDAY(S119,-INDEX(S$12:S$15,MATCH($I119,$I$12:$I$15,0)))</f>
        <v>46363</v>
      </c>
      <c r="S119" s="215">
        <f>WORKDAY(T119,-INDEX(T$12:T$15,MATCH($I119,$I$12:$I$15,0)))</f>
        <v>46384</v>
      </c>
      <c r="T119" s="215">
        <f>WORKDAY(U119,-INDEX(U$12:U$15,MATCH($I119,$I$12:$I$15,0)))</f>
        <v>46398</v>
      </c>
      <c r="U119" s="215">
        <f>X119-Y119</f>
        <v>46412</v>
      </c>
      <c r="V119" s="215">
        <f>WORKDAY(U119,INDEX(V$12:V$15,MATCH($I119,$I$12:$I$15,0)))</f>
        <v>46414</v>
      </c>
      <c r="W119" s="218">
        <f>Y119/7</f>
        <v>18</v>
      </c>
      <c r="X119" s="215">
        <f>Z119</f>
        <v>46538</v>
      </c>
      <c r="Y119" s="628">
        <f>18*7</f>
        <v>126</v>
      </c>
      <c r="Z119" s="633">
        <v>46538</v>
      </c>
      <c r="AA119" s="633">
        <v>46538</v>
      </c>
      <c r="AB119" s="637">
        <f t="shared" ref="AB119" si="204">Z119-X120</f>
        <v>0</v>
      </c>
      <c r="AC119" s="220">
        <f>IF(ISERROR(LOOKUP(AC$16,$L119:$X119,#REF!)),0,(LOOKUP(AC$16,$L119:$X119,#REF!)))</f>
        <v>0</v>
      </c>
      <c r="AD119" s="221">
        <f>IF(ISERROR(LOOKUP(AD$16,$L119:$X119,#REF!)),0,(LOOKUP(AD$16,$L119:$X119,#REF!)))</f>
        <v>0</v>
      </c>
      <c r="AE119" s="221">
        <f>IF(ISERROR(LOOKUP(AE$16,$L119:$X119,#REF!)),0,(LOOKUP(AE$16,$L119:$X119,#REF!)))</f>
        <v>0</v>
      </c>
      <c r="AF119" s="221">
        <f>IF(ISERROR(LOOKUP(AF$16,$L119:$X119,#REF!)),0,(LOOKUP(AF$16,$L119:$X119,#REF!)))</f>
        <v>0</v>
      </c>
      <c r="AG119" s="221">
        <f>IF(ISERROR(LOOKUP(AG$16,$L119:$X119,#REF!)),0,(LOOKUP(AG$16,$L119:$X119,#REF!)))</f>
        <v>0</v>
      </c>
      <c r="AH119" s="221">
        <f>IF(ISERROR(LOOKUP(AH$16,$L119:$X119,#REF!)),0,(LOOKUP(AH$16,$L119:$X119,#REF!)))</f>
        <v>0</v>
      </c>
      <c r="AI119" s="221">
        <f>IF(ISERROR(LOOKUP(AI$16,$L119:$X119,#REF!)),0,(LOOKUP(AI$16,$L119:$X119,#REF!)))</f>
        <v>0</v>
      </c>
      <c r="AJ119" s="221">
        <f>IF(ISERROR(LOOKUP(AJ$16,$L119:$X119,#REF!)),0,(LOOKUP(AJ$16,$L119:$X119,#REF!)))</f>
        <v>0</v>
      </c>
      <c r="AK119" s="221">
        <f>IF(ISERROR(LOOKUP(AK$16,$L119:$X119,#REF!)),0,(LOOKUP(AK$16,$L119:$X119,#REF!)))</f>
        <v>0</v>
      </c>
      <c r="AL119" s="221">
        <f>IF(ISERROR(LOOKUP(AL$16,$L119:$X119,#REF!)),0,(LOOKUP(AL$16,$L119:$X119,#REF!)))</f>
        <v>0</v>
      </c>
      <c r="AM119" s="221">
        <f ca="1">IF(ISERROR(LOOKUP(AM$16,$L119:$X119,#REF!)),0,(LOOKUP(AM$16,$L119:$X119,#REF!)))</f>
        <v>0</v>
      </c>
      <c r="AP119" s="215" t="e">
        <f>WORKDAY(AQ119,-INDEX(AQ$12:AQ$15,MATCH($I119,$I$12:$I$15,0)),$AW$17:$AW$148)</f>
        <v>#REF!</v>
      </c>
      <c r="AQ119" s="215" t="e">
        <f>WORKDAY(U119,-INDEX(U$12:U$15,MATCH($I119,$I$12:$I$15,0)),$AW$17:$AW$148)</f>
        <v>#REF!</v>
      </c>
      <c r="AR119" s="215" t="e">
        <f>WORKDAY(U119,-INDEX(U$12:U$15,MATCH($I119,$I$12:$I$15,0)),$AW$17:$AW$148)</f>
        <v>#REF!</v>
      </c>
      <c r="AS119" s="638">
        <v>7</v>
      </c>
      <c r="AW119" s="223" t="e">
        <v>#REF!</v>
      </c>
    </row>
    <row r="120" spans="1:49" s="166" customFormat="1" ht="18" customHeight="1">
      <c r="A120" s="596"/>
      <c r="B120" s="599"/>
      <c r="C120" s="601" t="str">
        <f t="shared" ref="C120" si="205">C119</f>
        <v>RFQ-035</v>
      </c>
      <c r="D120" s="601" t="str">
        <f t="shared" ref="D120:I120" si="206">D119</f>
        <v>Pig Signaller</v>
      </c>
      <c r="E120" s="224"/>
      <c r="F120" s="620" t="str">
        <f t="shared" si="206"/>
        <v>Instrument</v>
      </c>
      <c r="G120" s="601" t="str">
        <f t="shared" si="206"/>
        <v>N</v>
      </c>
      <c r="H120" s="607"/>
      <c r="I120" s="212" t="str">
        <f t="shared" si="206"/>
        <v>LC</v>
      </c>
      <c r="J120" s="249" t="s">
        <v>65</v>
      </c>
      <c r="K120" s="215">
        <f>K119</f>
        <v>46315</v>
      </c>
      <c r="L120" s="215">
        <f>WORKDAY(IF(K121="",K120,K121),INDEX(L$12:L$15,MATCH($I119,$I$12:$I$15,0)))</f>
        <v>46318</v>
      </c>
      <c r="M120" s="215">
        <f>WORKDAY(IF(L121="",L120,L121),INDEX(M$12:M$15,MATCH($I119,$I$12:$I$15,0)))</f>
        <v>46332</v>
      </c>
      <c r="N120" s="215">
        <f>WORKDAY(IF(M121="",M120,M121),INDEX(N$12:N$15,MATCH($I119,$I$12:$I$15,0)))</f>
        <v>46335</v>
      </c>
      <c r="O120" s="215">
        <f>WORKDAY(IF(N121="",N120,N121),INDEX(O$12:O$15,MATCH($I119,$I$12:$I$15,0)))</f>
        <v>46349</v>
      </c>
      <c r="P120" s="216"/>
      <c r="Q120" s="217"/>
      <c r="R120" s="215">
        <f>WORKDAY(IF(O121="",O120,O121),INDEX(R$12:R$15,MATCH($I119,$I$12:$I$15,0)))</f>
        <v>46363</v>
      </c>
      <c r="S120" s="215">
        <f>WORKDAY(IF(R121="",R120,R121),INDEX(S$12:S$15,MATCH($I119,$I$12:$I$15,0)))</f>
        <v>46384</v>
      </c>
      <c r="T120" s="215">
        <f>WORKDAY(IF(S121="",S120,S121),INDEX(T$12:T$15,MATCH($I119,$I$12:$I$15,0)))</f>
        <v>46398</v>
      </c>
      <c r="U120" s="215">
        <f>WORKDAY(IF(T121="",T120,T121),INDEX(U$12:U$15,MATCH($I119,$I$12:$I$15,0)))</f>
        <v>46412</v>
      </c>
      <c r="V120" s="215">
        <f>WORKDAY(IF(U121="",U120,U121),INDEX(V$12:V$15,MATCH($I119,$I$12:$I$15,0)))</f>
        <v>46414</v>
      </c>
      <c r="W120" s="218"/>
      <c r="X120" s="215">
        <f>U120+Y119</f>
        <v>46538</v>
      </c>
      <c r="Y120" s="628"/>
      <c r="Z120" s="633"/>
      <c r="AA120" s="633"/>
      <c r="AB120" s="637"/>
      <c r="AC120" s="220">
        <f>IF(ISERROR(LOOKUP(AC$16,$L120:$X120,#REF!)),0,(LOOKUP(AC$16,$L120:$X120,#REF!)))</f>
        <v>0</v>
      </c>
      <c r="AD120" s="221">
        <f>IF(ISERROR(LOOKUP(AD$16,$L120:$X120,#REF!)),0,(LOOKUP(AD$16,$L120:$X120,#REF!)))</f>
        <v>0</v>
      </c>
      <c r="AE120" s="221">
        <f>IF(ISERROR(LOOKUP(AE$16,$L120:$X120,#REF!)),0,(LOOKUP(AE$16,$L120:$X120,#REF!)))</f>
        <v>0</v>
      </c>
      <c r="AF120" s="221">
        <f>IF(ISERROR(LOOKUP(AF$16,$L120:$X120,#REF!)),0,(LOOKUP(AF$16,$L120:$X120,#REF!)))</f>
        <v>0</v>
      </c>
      <c r="AG120" s="221">
        <f>IF(ISERROR(LOOKUP(AG$16,$L120:$X120,#REF!)),0,(LOOKUP(AG$16,$L120:$X120,#REF!)))</f>
        <v>0</v>
      </c>
      <c r="AH120" s="221">
        <f>IF(ISERROR(LOOKUP(AH$16,$L120:$X120,#REF!)),0,(LOOKUP(AH$16,$L120:$X120,#REF!)))</f>
        <v>0</v>
      </c>
      <c r="AI120" s="221">
        <f>IF(ISERROR(LOOKUP(AI$16,$L120:$X120,#REF!)),0,(LOOKUP(AI$16,$L120:$X120,#REF!)))</f>
        <v>0</v>
      </c>
      <c r="AJ120" s="221">
        <f>IF(ISERROR(LOOKUP(AJ$16,$L120:$X120,#REF!)),0,(LOOKUP(AJ$16,$L120:$X120,#REF!)))</f>
        <v>0</v>
      </c>
      <c r="AK120" s="221">
        <f>IF(ISERROR(LOOKUP(AK$16,$L120:$X120,#REF!)),0,(LOOKUP(AK$16,$L120:$X120,#REF!)))</f>
        <v>0</v>
      </c>
      <c r="AL120" s="221">
        <f>IF(ISERROR(LOOKUP(AL$16,$L120:$X120,#REF!)),0,(LOOKUP(AL$16,$L120:$X120,#REF!)))</f>
        <v>0</v>
      </c>
      <c r="AM120" s="221">
        <f ca="1">IF(ISERROR(LOOKUP(AM$16,$L120:$X120,#REF!)),0,(LOOKUP(AM$16,$L120:$X120,#REF!)))</f>
        <v>0</v>
      </c>
      <c r="AP120" s="215" t="e">
        <f>WORKDAY(IF(T121="",T120,T121),INDEX(AP$12:AP$15,MATCH($I119,$I$12:$I$15,0)),$AW$17:$AW$148)</f>
        <v>#REF!</v>
      </c>
      <c r="AQ120" s="215" t="e">
        <f>WORKDAY(IF(AP121="",AP120,AP121),INDEX(AQ$12:AQ$15,MATCH($I119,$I$12:$I$15,0)),$AW$17:$AW$148)</f>
        <v>#REF!</v>
      </c>
      <c r="AR120" s="215" t="e">
        <f>WORKDAY(IF(AQ121="",AQ120,AQ121),INDEX(AR$12:AR$15,MATCH($I119,$I$12:$I$15,0)),$AW$17:$AW$148)</f>
        <v>#REF!</v>
      </c>
      <c r="AS120" s="638"/>
      <c r="AW120" s="223" t="e">
        <v>#REF!</v>
      </c>
    </row>
    <row r="121" spans="1:49" s="166" customFormat="1" ht="18" customHeight="1">
      <c r="A121" s="596"/>
      <c r="B121" s="600"/>
      <c r="C121" s="601" t="str">
        <f>C119</f>
        <v>RFQ-035</v>
      </c>
      <c r="D121" s="601" t="str">
        <f t="shared" ref="D121:I121" si="207">D119</f>
        <v>Pig Signaller</v>
      </c>
      <c r="E121" s="225"/>
      <c r="F121" s="621" t="str">
        <f t="shared" si="207"/>
        <v>Instrument</v>
      </c>
      <c r="G121" s="601" t="str">
        <f t="shared" ref="G121" si="208">G119</f>
        <v>N</v>
      </c>
      <c r="H121" s="608"/>
      <c r="I121" s="212" t="str">
        <f t="shared" si="207"/>
        <v>LC</v>
      </c>
      <c r="J121" s="249" t="s">
        <v>67</v>
      </c>
      <c r="K121" s="212"/>
      <c r="L121" s="212"/>
      <c r="M121" s="212"/>
      <c r="N121" s="212"/>
      <c r="O121" s="212"/>
      <c r="P121" s="226"/>
      <c r="Q121" s="227"/>
      <c r="R121" s="212"/>
      <c r="S121" s="212"/>
      <c r="T121" s="212"/>
      <c r="U121" s="212"/>
      <c r="V121" s="212"/>
      <c r="W121" s="228"/>
      <c r="X121" s="212"/>
      <c r="Y121" s="628"/>
      <c r="Z121" s="633"/>
      <c r="AA121" s="633"/>
      <c r="AB121" s="637"/>
      <c r="AC121" s="229">
        <f>IF(ISERROR(LOOKUP(AC$16,$L121:$X121,#REF!)),0,(LOOKUP(AC$16,$L121:$X121,#REF!)))</f>
        <v>0</v>
      </c>
      <c r="AD121" s="230">
        <f>IF(ISERROR(LOOKUP(AD$16,$L121:$X121,#REF!)),0,(LOOKUP(AD$16,$L121:$X121,#REF!)))</f>
        <v>0</v>
      </c>
      <c r="AE121" s="230">
        <f>IF(ISERROR(LOOKUP(AE$16,$L121:$X121,#REF!)),0,(LOOKUP(AE$16,$L121:$X121,#REF!)))</f>
        <v>0</v>
      </c>
      <c r="AF121" s="230">
        <f>IF(ISERROR(LOOKUP(AF$16,$L121:$X121,#REF!)),0,(LOOKUP(AF$16,$L121:$X121,#REF!)))</f>
        <v>0</v>
      </c>
      <c r="AG121" s="230">
        <f>IF(ISERROR(LOOKUP(AG$16,$L121:$X121,#REF!)),0,(LOOKUP(AG$16,$L121:$X121,#REF!)))</f>
        <v>0</v>
      </c>
      <c r="AH121" s="230">
        <f>IF(ISERROR(LOOKUP(AH$16,$L121:$X121,#REF!)),0,(LOOKUP(AH$16,$L121:$X121,#REF!)))</f>
        <v>0</v>
      </c>
      <c r="AI121" s="230">
        <f>IF(ISERROR(LOOKUP(AI$16,$L121:$X121,#REF!)),0,(LOOKUP(AI$16,$L121:$X121,#REF!)))</f>
        <v>0</v>
      </c>
      <c r="AJ121" s="230">
        <f>IF(ISERROR(LOOKUP(AJ$16,$L121:$X121,#REF!)),0,(LOOKUP(AJ$16,$L121:$X121,#REF!)))</f>
        <v>0</v>
      </c>
      <c r="AK121" s="230">
        <f>IF(ISERROR(LOOKUP(AK$16,$L121:$X121,#REF!)),0,(LOOKUP(AK$16,$L121:$X121,#REF!)))</f>
        <v>0</v>
      </c>
      <c r="AL121" s="230">
        <f>IF(ISERROR(LOOKUP(AL$16,$L121:$X121,#REF!)),0,(LOOKUP(AL$16,$L121:$X121,#REF!)))</f>
        <v>0</v>
      </c>
      <c r="AM121" s="230">
        <f ca="1">IF(ISERROR(LOOKUP(AM$16,$L121:$X121,#REF!)),0,(LOOKUP(AM$16,$L121:$X121,#REF!)))</f>
        <v>0</v>
      </c>
      <c r="AP121" s="212"/>
      <c r="AQ121" s="212"/>
      <c r="AR121" s="212"/>
      <c r="AS121" s="638"/>
      <c r="AW121" s="223" t="e">
        <v>#REF!</v>
      </c>
    </row>
    <row r="122" spans="1:49" s="166" customFormat="1" ht="18" customHeight="1">
      <c r="A122" s="596">
        <f t="shared" ref="A122" si="209">A119+1</f>
        <v>36</v>
      </c>
      <c r="B122" s="598"/>
      <c r="C122" s="601" t="s">
        <v>4773</v>
      </c>
      <c r="D122" s="601" t="s">
        <v>180</v>
      </c>
      <c r="E122" s="213"/>
      <c r="F122" s="619" t="s">
        <v>139</v>
      </c>
      <c r="G122" s="601" t="s">
        <v>71</v>
      </c>
      <c r="H122" s="606"/>
      <c r="I122" s="212" t="s">
        <v>8</v>
      </c>
      <c r="J122" s="249" t="s">
        <v>61</v>
      </c>
      <c r="K122" s="215">
        <f>WORKDAY(L122,-INDEX(L$12:L$15,MATCH($I122,$I$12:$I$15,0)))</f>
        <v>46287</v>
      </c>
      <c r="L122" s="215">
        <f>WORKDAY(M122,-INDEX(M$12:M$15,MATCH($I122,$I$12:$I$15,0)))</f>
        <v>46290</v>
      </c>
      <c r="M122" s="215">
        <f>WORKDAY(N122,-INDEX(N$12:N$15,MATCH($I122,$I$12:$I$15,0)))</f>
        <v>46304</v>
      </c>
      <c r="N122" s="215">
        <f>WORKDAY(O122,-INDEX(O$12:O$15,MATCH($I122,$I$12:$I$15,0)))</f>
        <v>46307</v>
      </c>
      <c r="O122" s="215">
        <f>WORKDAY(R122,-INDEX(R$12:R$15,MATCH($I122,$I$12:$I$15,0)))</f>
        <v>46321</v>
      </c>
      <c r="P122" s="216">
        <f>U122-L122</f>
        <v>94</v>
      </c>
      <c r="Q122" s="217"/>
      <c r="R122" s="215">
        <f>WORKDAY(S122,-INDEX(S$12:S$15,MATCH($I122,$I$12:$I$15,0)))</f>
        <v>46335</v>
      </c>
      <c r="S122" s="215">
        <f>WORKDAY(T122,-INDEX(T$12:T$15,MATCH($I122,$I$12:$I$15,0)))</f>
        <v>46356</v>
      </c>
      <c r="T122" s="215">
        <f>WORKDAY(U122,-INDEX(U$12:U$15,MATCH($I122,$I$12:$I$15,0)))</f>
        <v>46370</v>
      </c>
      <c r="U122" s="215">
        <f>X122-Y122</f>
        <v>46384</v>
      </c>
      <c r="V122" s="215">
        <f>WORKDAY(U122,INDEX(V$12:V$15,MATCH($I122,$I$12:$I$15,0)))</f>
        <v>46386</v>
      </c>
      <c r="W122" s="218">
        <f>Y122/7</f>
        <v>22</v>
      </c>
      <c r="X122" s="215">
        <f>Z122</f>
        <v>46538</v>
      </c>
      <c r="Y122" s="628">
        <v>154</v>
      </c>
      <c r="Z122" s="633">
        <v>46538</v>
      </c>
      <c r="AA122" s="633">
        <v>46538</v>
      </c>
      <c r="AB122" s="637">
        <f t="shared" ref="AB122" si="210">Z122-X123</f>
        <v>0</v>
      </c>
      <c r="AC122" s="220">
        <f>IF(ISERROR(LOOKUP(AC$16,$L122:$X122,#REF!)),0,(LOOKUP(AC$16,$L122:$X122,#REF!)))</f>
        <v>0</v>
      </c>
      <c r="AD122" s="221">
        <f>IF(ISERROR(LOOKUP(AD$16,$L122:$X122,#REF!)),0,(LOOKUP(AD$16,$L122:$X122,#REF!)))</f>
        <v>0</v>
      </c>
      <c r="AE122" s="221">
        <f>IF(ISERROR(LOOKUP(AE$16,$L122:$X122,#REF!)),0,(LOOKUP(AE$16,$L122:$X122,#REF!)))</f>
        <v>0</v>
      </c>
      <c r="AF122" s="221">
        <f>IF(ISERROR(LOOKUP(AF$16,$L122:$X122,#REF!)),0,(LOOKUP(AF$16,$L122:$X122,#REF!)))</f>
        <v>0</v>
      </c>
      <c r="AG122" s="221">
        <f>IF(ISERROR(LOOKUP(AG$16,$L122:$X122,#REF!)),0,(LOOKUP(AG$16,$L122:$X122,#REF!)))</f>
        <v>0</v>
      </c>
      <c r="AH122" s="221">
        <f>IF(ISERROR(LOOKUP(AH$16,$L122:$X122,#REF!)),0,(LOOKUP(AH$16,$L122:$X122,#REF!)))</f>
        <v>0</v>
      </c>
      <c r="AI122" s="221">
        <f>IF(ISERROR(LOOKUP(AI$16,$L122:$X122,#REF!)),0,(LOOKUP(AI$16,$L122:$X122,#REF!)))</f>
        <v>0</v>
      </c>
      <c r="AJ122" s="221">
        <f>IF(ISERROR(LOOKUP(AJ$16,$L122:$X122,#REF!)),0,(LOOKUP(AJ$16,$L122:$X122,#REF!)))</f>
        <v>0</v>
      </c>
      <c r="AK122" s="221">
        <f>IF(ISERROR(LOOKUP(AK$16,$L122:$X122,#REF!)),0,(LOOKUP(AK$16,$L122:$X122,#REF!)))</f>
        <v>0</v>
      </c>
      <c r="AL122" s="221">
        <f>IF(ISERROR(LOOKUP(AL$16,$L122:$X122,#REF!)),0,(LOOKUP(AL$16,$L122:$X122,#REF!)))</f>
        <v>0</v>
      </c>
      <c r="AM122" s="221">
        <f ca="1">IF(ISERROR(LOOKUP(AM$16,$L122:$X122,#REF!)),0,(LOOKUP(AM$16,$L122:$X122,#REF!)))</f>
        <v>0</v>
      </c>
      <c r="AP122" s="215" t="e">
        <f>WORKDAY(AQ122,-INDEX(AQ$12:AQ$15,MATCH($I122,$I$12:$I$15,0)),$AW$17:$AW$148)</f>
        <v>#REF!</v>
      </c>
      <c r="AQ122" s="215" t="e">
        <f>WORKDAY(U122,-INDEX(U$12:U$15,MATCH($I122,$I$12:$I$15,0)),$AW$17:$AW$148)</f>
        <v>#REF!</v>
      </c>
      <c r="AR122" s="215" t="e">
        <f>WORKDAY(U122,-INDEX(U$12:U$15,MATCH($I122,$I$12:$I$15,0)),$AW$17:$AW$148)</f>
        <v>#REF!</v>
      </c>
      <c r="AS122" s="638">
        <v>7</v>
      </c>
      <c r="AW122" s="223" t="e">
        <v>#REF!</v>
      </c>
    </row>
    <row r="123" spans="1:49" s="166" customFormat="1" ht="18" customHeight="1">
      <c r="A123" s="596"/>
      <c r="B123" s="599"/>
      <c r="C123" s="601" t="str">
        <f t="shared" ref="C123" si="211">C122</f>
        <v>RFQ-036</v>
      </c>
      <c r="D123" s="601" t="str">
        <f t="shared" ref="D123:G123" si="212">D122</f>
        <v>Rrestriction Orifice</v>
      </c>
      <c r="E123" s="224"/>
      <c r="F123" s="620" t="str">
        <f t="shared" si="212"/>
        <v>Instrument</v>
      </c>
      <c r="G123" s="601" t="str">
        <f t="shared" si="212"/>
        <v>N</v>
      </c>
      <c r="H123" s="607"/>
      <c r="I123" s="212" t="str">
        <f>I122</f>
        <v>LC</v>
      </c>
      <c r="J123" s="249" t="s">
        <v>65</v>
      </c>
      <c r="K123" s="215">
        <f>K122</f>
        <v>46287</v>
      </c>
      <c r="L123" s="215">
        <f>WORKDAY(IF(K124="",K123,K124),INDEX(L$12:L$15,MATCH($I122,$I$12:$I$15,0)))</f>
        <v>46290</v>
      </c>
      <c r="M123" s="215">
        <f>WORKDAY(IF(L124="",L123,L124),INDEX(M$12:M$15,MATCH($I122,$I$12:$I$15,0)))</f>
        <v>46304</v>
      </c>
      <c r="N123" s="215">
        <f>WORKDAY(IF(M124="",M123,M124),INDEX(N$12:N$15,MATCH($I122,$I$12:$I$15,0)))</f>
        <v>46307</v>
      </c>
      <c r="O123" s="215">
        <f>WORKDAY(IF(N124="",N123,N124),INDEX(O$12:O$15,MATCH($I122,$I$12:$I$15,0)))</f>
        <v>46321</v>
      </c>
      <c r="P123" s="216"/>
      <c r="Q123" s="217"/>
      <c r="R123" s="215">
        <f>WORKDAY(IF(O124="",O123,O124),INDEX(R$12:R$15,MATCH($I122,$I$12:$I$15,0)))</f>
        <v>46335</v>
      </c>
      <c r="S123" s="215">
        <f>WORKDAY(IF(R124="",R123,R124),INDEX(S$12:S$15,MATCH($I122,$I$12:$I$15,0)))</f>
        <v>46356</v>
      </c>
      <c r="T123" s="215">
        <f>WORKDAY(IF(S124="",S123,S124),INDEX(T$12:T$15,MATCH($I122,$I$12:$I$15,0)))</f>
        <v>46370</v>
      </c>
      <c r="U123" s="215">
        <f>WORKDAY(IF(T124="",T123,T124),INDEX(U$12:U$15,MATCH($I122,$I$12:$I$15,0)))</f>
        <v>46384</v>
      </c>
      <c r="V123" s="215">
        <f>WORKDAY(IF(U124="",U123,U124),INDEX(V$12:V$15,MATCH($I122,$I$12:$I$15,0)))</f>
        <v>46386</v>
      </c>
      <c r="W123" s="218"/>
      <c r="X123" s="215">
        <f>U123+Y122</f>
        <v>46538</v>
      </c>
      <c r="Y123" s="628"/>
      <c r="Z123" s="633"/>
      <c r="AA123" s="633"/>
      <c r="AB123" s="637"/>
      <c r="AC123" s="220">
        <f>IF(ISERROR(LOOKUP(AC$16,$L123:$X123,#REF!)),0,(LOOKUP(AC$16,$L123:$X123,#REF!)))</f>
        <v>0</v>
      </c>
      <c r="AD123" s="221">
        <f>IF(ISERROR(LOOKUP(AD$16,$L123:$X123,#REF!)),0,(LOOKUP(AD$16,$L123:$X123,#REF!)))</f>
        <v>0</v>
      </c>
      <c r="AE123" s="221">
        <f>IF(ISERROR(LOOKUP(AE$16,$L123:$X123,#REF!)),0,(LOOKUP(AE$16,$L123:$X123,#REF!)))</f>
        <v>0</v>
      </c>
      <c r="AF123" s="221">
        <f>IF(ISERROR(LOOKUP(AF$16,$L123:$X123,#REF!)),0,(LOOKUP(AF$16,$L123:$X123,#REF!)))</f>
        <v>0</v>
      </c>
      <c r="AG123" s="221">
        <f>IF(ISERROR(LOOKUP(AG$16,$L123:$X123,#REF!)),0,(LOOKUP(AG$16,$L123:$X123,#REF!)))</f>
        <v>0</v>
      </c>
      <c r="AH123" s="221">
        <f>IF(ISERROR(LOOKUP(AH$16,$L123:$X123,#REF!)),0,(LOOKUP(AH$16,$L123:$X123,#REF!)))</f>
        <v>0</v>
      </c>
      <c r="AI123" s="221">
        <f>IF(ISERROR(LOOKUP(AI$16,$L123:$X123,#REF!)),0,(LOOKUP(AI$16,$L123:$X123,#REF!)))</f>
        <v>0</v>
      </c>
      <c r="AJ123" s="221">
        <f>IF(ISERROR(LOOKUP(AJ$16,$L123:$X123,#REF!)),0,(LOOKUP(AJ$16,$L123:$X123,#REF!)))</f>
        <v>0</v>
      </c>
      <c r="AK123" s="221">
        <f>IF(ISERROR(LOOKUP(AK$16,$L123:$X123,#REF!)),0,(LOOKUP(AK$16,$L123:$X123,#REF!)))</f>
        <v>0</v>
      </c>
      <c r="AL123" s="221">
        <f>IF(ISERROR(LOOKUP(AL$16,$L123:$X123,#REF!)),0,(LOOKUP(AL$16,$L123:$X123,#REF!)))</f>
        <v>0</v>
      </c>
      <c r="AM123" s="221">
        <f ca="1">IF(ISERROR(LOOKUP(AM$16,$L123:$X123,#REF!)),0,(LOOKUP(AM$16,$L123:$X123,#REF!)))</f>
        <v>0</v>
      </c>
      <c r="AP123" s="215" t="e">
        <f>WORKDAY(IF(T124="",T123,T124),INDEX(AP$12:AP$15,MATCH($I122,$I$12:$I$15,0)),$AW$17:$AW$148)</f>
        <v>#REF!</v>
      </c>
      <c r="AQ123" s="215" t="e">
        <f>WORKDAY(IF(AP124="",AP123,AP124),INDEX(AQ$12:AQ$15,MATCH($I122,$I$12:$I$15,0)),$AW$17:$AW$148)</f>
        <v>#REF!</v>
      </c>
      <c r="AR123" s="215" t="e">
        <f>WORKDAY(IF(AQ124="",AQ123,AQ124),INDEX(AR$12:AR$15,MATCH($I122,$I$12:$I$15,0)),$AW$17:$AW$148)</f>
        <v>#REF!</v>
      </c>
      <c r="AS123" s="638"/>
      <c r="AW123" s="223" t="e">
        <v>#REF!</v>
      </c>
    </row>
    <row r="124" spans="1:49" s="166" customFormat="1" ht="18" customHeight="1">
      <c r="A124" s="596"/>
      <c r="B124" s="600"/>
      <c r="C124" s="601" t="str">
        <f>C122</f>
        <v>RFQ-036</v>
      </c>
      <c r="D124" s="601" t="str">
        <f t="shared" ref="D124:I124" si="213">D122</f>
        <v>Rrestriction Orifice</v>
      </c>
      <c r="E124" s="225"/>
      <c r="F124" s="621" t="str">
        <f t="shared" si="213"/>
        <v>Instrument</v>
      </c>
      <c r="G124" s="601" t="str">
        <f t="shared" ref="G124" si="214">G122</f>
        <v>N</v>
      </c>
      <c r="H124" s="608"/>
      <c r="I124" s="212" t="str">
        <f t="shared" si="213"/>
        <v>LC</v>
      </c>
      <c r="J124" s="249" t="s">
        <v>67</v>
      </c>
      <c r="K124" s="212"/>
      <c r="L124" s="212"/>
      <c r="M124" s="212"/>
      <c r="N124" s="212"/>
      <c r="O124" s="212"/>
      <c r="P124" s="226"/>
      <c r="Q124" s="227"/>
      <c r="R124" s="212"/>
      <c r="S124" s="212"/>
      <c r="T124" s="212"/>
      <c r="U124" s="212"/>
      <c r="V124" s="212"/>
      <c r="W124" s="228"/>
      <c r="X124" s="212"/>
      <c r="Y124" s="628"/>
      <c r="Z124" s="633"/>
      <c r="AA124" s="633"/>
      <c r="AB124" s="637"/>
      <c r="AC124" s="229">
        <f>IF(ISERROR(LOOKUP(AC$16,$L124:$X124,#REF!)),0,(LOOKUP(AC$16,$L124:$X124,#REF!)))</f>
        <v>0</v>
      </c>
      <c r="AD124" s="230">
        <f>IF(ISERROR(LOOKUP(AD$16,$L124:$X124,#REF!)),0,(LOOKUP(AD$16,$L124:$X124,#REF!)))</f>
        <v>0</v>
      </c>
      <c r="AE124" s="230">
        <f>IF(ISERROR(LOOKUP(AE$16,$L124:$X124,#REF!)),0,(LOOKUP(AE$16,$L124:$X124,#REF!)))</f>
        <v>0</v>
      </c>
      <c r="AF124" s="230">
        <f>IF(ISERROR(LOOKUP(AF$16,$L124:$X124,#REF!)),0,(LOOKUP(AF$16,$L124:$X124,#REF!)))</f>
        <v>0</v>
      </c>
      <c r="AG124" s="230">
        <f>IF(ISERROR(LOOKUP(AG$16,$L124:$X124,#REF!)),0,(LOOKUP(AG$16,$L124:$X124,#REF!)))</f>
        <v>0</v>
      </c>
      <c r="AH124" s="230">
        <f>IF(ISERROR(LOOKUP(AH$16,$L124:$X124,#REF!)),0,(LOOKUP(AH$16,$L124:$X124,#REF!)))</f>
        <v>0</v>
      </c>
      <c r="AI124" s="230">
        <f>IF(ISERROR(LOOKUP(AI$16,$L124:$X124,#REF!)),0,(LOOKUP(AI$16,$L124:$X124,#REF!)))</f>
        <v>0</v>
      </c>
      <c r="AJ124" s="230">
        <f>IF(ISERROR(LOOKUP(AJ$16,$L124:$X124,#REF!)),0,(LOOKUP(AJ$16,$L124:$X124,#REF!)))</f>
        <v>0</v>
      </c>
      <c r="AK124" s="230">
        <f>IF(ISERROR(LOOKUP(AK$16,$L124:$X124,#REF!)),0,(LOOKUP(AK$16,$L124:$X124,#REF!)))</f>
        <v>0</v>
      </c>
      <c r="AL124" s="230">
        <f>IF(ISERROR(LOOKUP(AL$16,$L124:$X124,#REF!)),0,(LOOKUP(AL$16,$L124:$X124,#REF!)))</f>
        <v>0</v>
      </c>
      <c r="AM124" s="230">
        <f ca="1">IF(ISERROR(LOOKUP(AM$16,$L124:$X124,#REF!)),0,(LOOKUP(AM$16,$L124:$X124,#REF!)))</f>
        <v>0</v>
      </c>
      <c r="AP124" s="212"/>
      <c r="AQ124" s="212"/>
      <c r="AR124" s="212"/>
      <c r="AS124" s="638"/>
      <c r="AW124" s="223" t="e">
        <v>#REF!</v>
      </c>
    </row>
    <row r="125" spans="1:49" s="166" customFormat="1" ht="18" customHeight="1">
      <c r="A125" s="596">
        <f t="shared" ref="A125" si="215">A122+1</f>
        <v>37</v>
      </c>
      <c r="B125" s="598"/>
      <c r="C125" s="601" t="s">
        <v>4774</v>
      </c>
      <c r="D125" s="601" t="s">
        <v>182</v>
      </c>
      <c r="E125" s="213"/>
      <c r="F125" s="619" t="s">
        <v>139</v>
      </c>
      <c r="G125" s="601" t="s">
        <v>71</v>
      </c>
      <c r="H125" s="606"/>
      <c r="I125" s="212" t="s">
        <v>7</v>
      </c>
      <c r="J125" s="249" t="s">
        <v>61</v>
      </c>
      <c r="K125" s="215">
        <f>WORKDAY(L125,-INDEX(L$12:L$15,MATCH($I125,$I$12:$I$15,0)))</f>
        <v>46209</v>
      </c>
      <c r="L125" s="215">
        <f>WORKDAY(M125,-INDEX(M$12:M$15,MATCH($I125,$I$12:$I$15,0)))</f>
        <v>46210</v>
      </c>
      <c r="M125" s="215">
        <f>WORKDAY(N125,-INDEX(N$12:N$15,MATCH($I125,$I$12:$I$15,0)))</f>
        <v>46217</v>
      </c>
      <c r="N125" s="215">
        <f>WORKDAY(O125,-INDEX(O$12:O$15,MATCH($I125,$I$12:$I$15,0)))</f>
        <v>46218</v>
      </c>
      <c r="O125" s="215">
        <f>WORKDAY(R125,-INDEX(R$12:R$15,MATCH($I125,$I$12:$I$15,0)))</f>
        <v>46225</v>
      </c>
      <c r="P125" s="216">
        <f>U125-L125</f>
        <v>76</v>
      </c>
      <c r="Q125" s="217"/>
      <c r="R125" s="215">
        <f>WORKDAY(S125,-INDEX(S$12:S$15,MATCH($I125,$I$12:$I$15,0)))</f>
        <v>46239</v>
      </c>
      <c r="S125" s="215">
        <f>WORKDAY(T125,-INDEX(T$12:T$15,MATCH($I125,$I$12:$I$15,0)))</f>
        <v>46267</v>
      </c>
      <c r="T125" s="215">
        <f>WORKDAY(U125,-INDEX(U$12:U$15,MATCH($I125,$I$12:$I$15,0)))</f>
        <v>46272</v>
      </c>
      <c r="U125" s="215">
        <f>X125-Y125</f>
        <v>46286</v>
      </c>
      <c r="V125" s="215">
        <f>WORKDAY(U125,INDEX(V$12:V$15,MATCH($I125,$I$12:$I$15,0)))</f>
        <v>46288</v>
      </c>
      <c r="W125" s="218">
        <f>Y125/7</f>
        <v>36</v>
      </c>
      <c r="X125" s="215">
        <f>Z125</f>
        <v>46538</v>
      </c>
      <c r="Y125" s="628">
        <f>36*7</f>
        <v>252</v>
      </c>
      <c r="Z125" s="633">
        <v>46538</v>
      </c>
      <c r="AA125" s="633">
        <v>46538</v>
      </c>
      <c r="AB125" s="637">
        <f t="shared" ref="AB125" si="216">Z125-X126</f>
        <v>0</v>
      </c>
      <c r="AC125" s="220">
        <f>IF(ISERROR(LOOKUP(AC$16,$L125:$X125,#REF!)),0,(LOOKUP(AC$16,$L125:$X125,#REF!)))</f>
        <v>0</v>
      </c>
      <c r="AD125" s="221">
        <f>IF(ISERROR(LOOKUP(AD$16,$L125:$X125,#REF!)),0,(LOOKUP(AD$16,$L125:$X125,#REF!)))</f>
        <v>0</v>
      </c>
      <c r="AE125" s="221">
        <f>IF(ISERROR(LOOKUP(AE$16,$L125:$X125,#REF!)),0,(LOOKUP(AE$16,$L125:$X125,#REF!)))</f>
        <v>0</v>
      </c>
      <c r="AF125" s="221">
        <f>IF(ISERROR(LOOKUP(AF$16,$L125:$X125,#REF!)),0,(LOOKUP(AF$16,$L125:$X125,#REF!)))</f>
        <v>0</v>
      </c>
      <c r="AG125" s="221">
        <f>IF(ISERROR(LOOKUP(AG$16,$L125:$X125,#REF!)),0,(LOOKUP(AG$16,$L125:$X125,#REF!)))</f>
        <v>0</v>
      </c>
      <c r="AH125" s="221">
        <f>IF(ISERROR(LOOKUP(AH$16,$L125:$X125,#REF!)),0,(LOOKUP(AH$16,$L125:$X125,#REF!)))</f>
        <v>0</v>
      </c>
      <c r="AI125" s="221">
        <f>IF(ISERROR(LOOKUP(AI$16,$L125:$X125,#REF!)),0,(LOOKUP(AI$16,$L125:$X125,#REF!)))</f>
        <v>0</v>
      </c>
      <c r="AJ125" s="221">
        <f>IF(ISERROR(LOOKUP(AJ$16,$L125:$X125,#REF!)),0,(LOOKUP(AJ$16,$L125:$X125,#REF!)))</f>
        <v>0</v>
      </c>
      <c r="AK125" s="221">
        <f>IF(ISERROR(LOOKUP(AK$16,$L125:$X125,#REF!)),0,(LOOKUP(AK$16,$L125:$X125,#REF!)))</f>
        <v>0</v>
      </c>
      <c r="AL125" s="221">
        <f>IF(ISERROR(LOOKUP(AL$16,$L125:$X125,#REF!)),0,(LOOKUP(AL$16,$L125:$X125,#REF!)))</f>
        <v>0</v>
      </c>
      <c r="AM125" s="221">
        <f ca="1">IF(ISERROR(LOOKUP(AM$16,$L125:$X125,#REF!)),0,(LOOKUP(AM$16,$L125:$X125,#REF!)))</f>
        <v>0</v>
      </c>
      <c r="AP125" s="215" t="e">
        <f>WORKDAY(AQ125,-INDEX(AQ$12:AQ$15,MATCH($I125,$I$12:$I$15,0)),$AW$17:$AW$148)</f>
        <v>#REF!</v>
      </c>
      <c r="AQ125" s="215" t="e">
        <f>WORKDAY(U125,-INDEX(U$12:U$15,MATCH($I125,$I$12:$I$15,0)),$AW$17:$AW$148)</f>
        <v>#REF!</v>
      </c>
      <c r="AR125" s="215" t="e">
        <f>WORKDAY(U125,-INDEX(U$12:U$15,MATCH($I125,$I$12:$I$15,0)),$AW$17:$AW$148)</f>
        <v>#REF!</v>
      </c>
      <c r="AS125" s="638">
        <v>7</v>
      </c>
      <c r="AW125" s="223" t="e">
        <v>#REF!</v>
      </c>
    </row>
    <row r="126" spans="1:49" s="166" customFormat="1" ht="18" customHeight="1">
      <c r="A126" s="596"/>
      <c r="B126" s="599"/>
      <c r="C126" s="601" t="str">
        <f t="shared" ref="C126" si="217">C125</f>
        <v>RFQ-037</v>
      </c>
      <c r="D126" s="601" t="str">
        <f t="shared" ref="D126:G126" si="218">D125</f>
        <v>PLC System</v>
      </c>
      <c r="E126" s="224"/>
      <c r="F126" s="620" t="str">
        <f t="shared" si="218"/>
        <v>Instrument</v>
      </c>
      <c r="G126" s="601" t="str">
        <f t="shared" si="218"/>
        <v>N</v>
      </c>
      <c r="H126" s="607"/>
      <c r="I126" s="212" t="str">
        <f>I125</f>
        <v>LB</v>
      </c>
      <c r="J126" s="249" t="s">
        <v>65</v>
      </c>
      <c r="K126" s="215">
        <f>K125</f>
        <v>46209</v>
      </c>
      <c r="L126" s="215">
        <f>WORKDAY(IF(K127="",K126,K127),INDEX(L$12:L$15,MATCH($I125,$I$12:$I$15,0)))</f>
        <v>46210</v>
      </c>
      <c r="M126" s="215">
        <f>WORKDAY(IF(L127="",L126,L127),INDEX(M$12:M$15,MATCH($I125,$I$12:$I$15,0)))</f>
        <v>46217</v>
      </c>
      <c r="N126" s="215">
        <f>WORKDAY(IF(M127="",M126,M127),INDEX(N$12:N$15,MATCH($I125,$I$12:$I$15,0)))</f>
        <v>46218</v>
      </c>
      <c r="O126" s="215">
        <f>WORKDAY(IF(N127="",N126,N127),INDEX(O$12:O$15,MATCH($I125,$I$12:$I$15,0)))</f>
        <v>46225</v>
      </c>
      <c r="P126" s="216"/>
      <c r="Q126" s="217"/>
      <c r="R126" s="215">
        <f>WORKDAY(IF(O127="",O126,O127),INDEX(R$12:R$15,MATCH($I125,$I$12:$I$15,0)))</f>
        <v>46239</v>
      </c>
      <c r="S126" s="215">
        <f>WORKDAY(IF(R127="",R126,R127),INDEX(S$12:S$15,MATCH($I125,$I$12:$I$15,0)))</f>
        <v>46267</v>
      </c>
      <c r="T126" s="215">
        <f>WORKDAY(IF(S127="",S126,S127),INDEX(T$12:T$15,MATCH($I125,$I$12:$I$15,0)))</f>
        <v>46272</v>
      </c>
      <c r="U126" s="215">
        <f>WORKDAY(IF(T127="",T126,T127),INDEX(U$12:U$15,MATCH($I125,$I$12:$I$15,0)))</f>
        <v>46286</v>
      </c>
      <c r="V126" s="215">
        <f>WORKDAY(IF(U127="",U126,U127),INDEX(V$12:V$15,MATCH($I125,$I$12:$I$15,0)))</f>
        <v>46288</v>
      </c>
      <c r="W126" s="218"/>
      <c r="X126" s="215">
        <f>U126+Y125</f>
        <v>46538</v>
      </c>
      <c r="Y126" s="628"/>
      <c r="Z126" s="633"/>
      <c r="AA126" s="633"/>
      <c r="AB126" s="637"/>
      <c r="AC126" s="220">
        <f>IF(ISERROR(LOOKUP(AC$16,$L126:$X126,#REF!)),0,(LOOKUP(AC$16,$L126:$X126,#REF!)))</f>
        <v>0</v>
      </c>
      <c r="AD126" s="221">
        <f>IF(ISERROR(LOOKUP(AD$16,$L126:$X126,#REF!)),0,(LOOKUP(AD$16,$L126:$X126,#REF!)))</f>
        <v>0</v>
      </c>
      <c r="AE126" s="221">
        <f>IF(ISERROR(LOOKUP(AE$16,$L126:$X126,#REF!)),0,(LOOKUP(AE$16,$L126:$X126,#REF!)))</f>
        <v>0</v>
      </c>
      <c r="AF126" s="221">
        <f>IF(ISERROR(LOOKUP(AF$16,$L126:$X126,#REF!)),0,(LOOKUP(AF$16,$L126:$X126,#REF!)))</f>
        <v>0</v>
      </c>
      <c r="AG126" s="221">
        <f>IF(ISERROR(LOOKUP(AG$16,$L126:$X126,#REF!)),0,(LOOKUP(AG$16,$L126:$X126,#REF!)))</f>
        <v>0</v>
      </c>
      <c r="AH126" s="221">
        <f>IF(ISERROR(LOOKUP(AH$16,$L126:$X126,#REF!)),0,(LOOKUP(AH$16,$L126:$X126,#REF!)))</f>
        <v>0</v>
      </c>
      <c r="AI126" s="221">
        <f>IF(ISERROR(LOOKUP(AI$16,$L126:$X126,#REF!)),0,(LOOKUP(AI$16,$L126:$X126,#REF!)))</f>
        <v>0</v>
      </c>
      <c r="AJ126" s="221">
        <f>IF(ISERROR(LOOKUP(AJ$16,$L126:$X126,#REF!)),0,(LOOKUP(AJ$16,$L126:$X126,#REF!)))</f>
        <v>0</v>
      </c>
      <c r="AK126" s="221">
        <f>IF(ISERROR(LOOKUP(AK$16,$L126:$X126,#REF!)),0,(LOOKUP(AK$16,$L126:$X126,#REF!)))</f>
        <v>0</v>
      </c>
      <c r="AL126" s="221">
        <f>IF(ISERROR(LOOKUP(AL$16,$L126:$X126,#REF!)),0,(LOOKUP(AL$16,$L126:$X126,#REF!)))</f>
        <v>0</v>
      </c>
      <c r="AM126" s="221">
        <f ca="1">IF(ISERROR(LOOKUP(AM$16,$L126:$X126,#REF!)),0,(LOOKUP(AM$16,$L126:$X126,#REF!)))</f>
        <v>0</v>
      </c>
      <c r="AP126" s="215" t="e">
        <f>WORKDAY(IF(T127="",T126,T127),INDEX(AP$12:AP$15,MATCH($I125,$I$12:$I$15,0)),$AW$17:$AW$148)</f>
        <v>#REF!</v>
      </c>
      <c r="AQ126" s="215" t="e">
        <f>WORKDAY(IF(AP127="",AP126,AP127),INDEX(AQ$12:AQ$15,MATCH($I125,$I$12:$I$15,0)),$AW$17:$AW$148)</f>
        <v>#REF!</v>
      </c>
      <c r="AR126" s="215" t="e">
        <f>WORKDAY(IF(AQ127="",AQ126,AQ127),INDEX(AR$12:AR$15,MATCH($I125,$I$12:$I$15,0)),$AW$17:$AW$148)</f>
        <v>#REF!</v>
      </c>
      <c r="AS126" s="638"/>
      <c r="AW126" s="223" t="e">
        <v>#REF!</v>
      </c>
    </row>
    <row r="127" spans="1:49" s="166" customFormat="1" ht="18" customHeight="1">
      <c r="A127" s="596"/>
      <c r="B127" s="600"/>
      <c r="C127" s="601" t="str">
        <f>C125</f>
        <v>RFQ-037</v>
      </c>
      <c r="D127" s="601" t="str">
        <f t="shared" ref="D127:I127" si="219">D125</f>
        <v>PLC System</v>
      </c>
      <c r="E127" s="225"/>
      <c r="F127" s="621" t="str">
        <f t="shared" si="219"/>
        <v>Instrument</v>
      </c>
      <c r="G127" s="601" t="str">
        <f t="shared" ref="G127" si="220">G125</f>
        <v>N</v>
      </c>
      <c r="H127" s="608"/>
      <c r="I127" s="212" t="str">
        <f t="shared" si="219"/>
        <v>LB</v>
      </c>
      <c r="J127" s="249" t="s">
        <v>67</v>
      </c>
      <c r="K127" s="212"/>
      <c r="L127" s="212"/>
      <c r="M127" s="212"/>
      <c r="N127" s="212"/>
      <c r="O127" s="212"/>
      <c r="P127" s="226"/>
      <c r="Q127" s="227"/>
      <c r="R127" s="212"/>
      <c r="S127" s="212"/>
      <c r="T127" s="212"/>
      <c r="U127" s="212"/>
      <c r="V127" s="212"/>
      <c r="W127" s="228"/>
      <c r="X127" s="212"/>
      <c r="Y127" s="628"/>
      <c r="Z127" s="633"/>
      <c r="AA127" s="633"/>
      <c r="AB127" s="637"/>
      <c r="AC127" s="229">
        <f>IF(ISERROR(LOOKUP(AC$16,$L127:$X127,#REF!)),0,(LOOKUP(AC$16,$L127:$X127,#REF!)))</f>
        <v>0</v>
      </c>
      <c r="AD127" s="230">
        <f>IF(ISERROR(LOOKUP(AD$16,$L127:$X127,#REF!)),0,(LOOKUP(AD$16,$L127:$X127,#REF!)))</f>
        <v>0</v>
      </c>
      <c r="AE127" s="230">
        <f>IF(ISERROR(LOOKUP(AE$16,$L127:$X127,#REF!)),0,(LOOKUP(AE$16,$L127:$X127,#REF!)))</f>
        <v>0</v>
      </c>
      <c r="AF127" s="230">
        <f>IF(ISERROR(LOOKUP(AF$16,$L127:$X127,#REF!)),0,(LOOKUP(AF$16,$L127:$X127,#REF!)))</f>
        <v>0</v>
      </c>
      <c r="AG127" s="230">
        <f>IF(ISERROR(LOOKUP(AG$16,$L127:$X127,#REF!)),0,(LOOKUP(AG$16,$L127:$X127,#REF!)))</f>
        <v>0</v>
      </c>
      <c r="AH127" s="230">
        <f>IF(ISERROR(LOOKUP(AH$16,$L127:$X127,#REF!)),0,(LOOKUP(AH$16,$L127:$X127,#REF!)))</f>
        <v>0</v>
      </c>
      <c r="AI127" s="230">
        <f>IF(ISERROR(LOOKUP(AI$16,$L127:$X127,#REF!)),0,(LOOKUP(AI$16,$L127:$X127,#REF!)))</f>
        <v>0</v>
      </c>
      <c r="AJ127" s="230">
        <f>IF(ISERROR(LOOKUP(AJ$16,$L127:$X127,#REF!)),0,(LOOKUP(AJ$16,$L127:$X127,#REF!)))</f>
        <v>0</v>
      </c>
      <c r="AK127" s="230">
        <f>IF(ISERROR(LOOKUP(AK$16,$L127:$X127,#REF!)),0,(LOOKUP(AK$16,$L127:$X127,#REF!)))</f>
        <v>0</v>
      </c>
      <c r="AL127" s="230">
        <f>IF(ISERROR(LOOKUP(AL$16,$L127:$X127,#REF!)),0,(LOOKUP(AL$16,$L127:$X127,#REF!)))</f>
        <v>0</v>
      </c>
      <c r="AM127" s="230">
        <f ca="1">IF(ISERROR(LOOKUP(AM$16,$L127:$X127,#REF!)),0,(LOOKUP(AM$16,$L127:$X127,#REF!)))</f>
        <v>0</v>
      </c>
      <c r="AP127" s="212"/>
      <c r="AQ127" s="212"/>
      <c r="AR127" s="212"/>
      <c r="AS127" s="638"/>
      <c r="AW127" s="223" t="e">
        <v>#REF!</v>
      </c>
    </row>
    <row r="128" spans="1:49" s="166" customFormat="1" ht="18" customHeight="1">
      <c r="A128" s="596">
        <f t="shared" ref="A128" si="221">A125+1</f>
        <v>38</v>
      </c>
      <c r="B128" s="598"/>
      <c r="C128" s="601" t="s">
        <v>4775</v>
      </c>
      <c r="D128" s="601" t="s">
        <v>185</v>
      </c>
      <c r="E128" s="213"/>
      <c r="F128" s="619" t="s">
        <v>139</v>
      </c>
      <c r="G128" s="601" t="s">
        <v>71</v>
      </c>
      <c r="H128" s="606"/>
      <c r="I128" s="212" t="s">
        <v>8</v>
      </c>
      <c r="J128" s="249" t="s">
        <v>61</v>
      </c>
      <c r="K128" s="215">
        <f>WORKDAY(L128,-INDEX(L$12:L$15,MATCH($I128,$I$12:$I$15,0)))</f>
        <v>46310</v>
      </c>
      <c r="L128" s="215">
        <f>WORKDAY(M128,-INDEX(M$12:M$15,MATCH($I128,$I$12:$I$15,0)))</f>
        <v>46315</v>
      </c>
      <c r="M128" s="215">
        <f>WORKDAY(N128,-INDEX(N$12:N$15,MATCH($I128,$I$12:$I$15,0)))</f>
        <v>46329</v>
      </c>
      <c r="N128" s="215">
        <f>WORKDAY(O128,-INDEX(O$12:O$15,MATCH($I128,$I$12:$I$15,0)))</f>
        <v>46330</v>
      </c>
      <c r="O128" s="215">
        <f>WORKDAY(R128,-INDEX(R$12:R$15,MATCH($I128,$I$12:$I$15,0)))</f>
        <v>46344</v>
      </c>
      <c r="P128" s="216">
        <f>U128-L128</f>
        <v>92</v>
      </c>
      <c r="Q128" s="217"/>
      <c r="R128" s="215">
        <f>WORKDAY(S128,-INDEX(S$12:S$15,MATCH($I128,$I$12:$I$15,0)))</f>
        <v>46358</v>
      </c>
      <c r="S128" s="215">
        <f>WORKDAY(T128,-INDEX(T$12:T$15,MATCH($I128,$I$12:$I$15,0)))</f>
        <v>46379</v>
      </c>
      <c r="T128" s="215">
        <f>WORKDAY(U128,-INDEX(U$12:U$15,MATCH($I128,$I$12:$I$15,0)))</f>
        <v>46393</v>
      </c>
      <c r="U128" s="215">
        <f>X128-Y128</f>
        <v>46407</v>
      </c>
      <c r="V128" s="215">
        <f>WORKDAY(U128,INDEX(V$12:V$15,MATCH($I128,$I$12:$I$15,0)))</f>
        <v>46409</v>
      </c>
      <c r="W128" s="218">
        <f>Y128/7</f>
        <v>18.714285714285701</v>
      </c>
      <c r="X128" s="215">
        <f>Z128</f>
        <v>46538</v>
      </c>
      <c r="Y128" s="628">
        <v>131</v>
      </c>
      <c r="Z128" s="633">
        <v>46538</v>
      </c>
      <c r="AA128" s="633">
        <v>46538</v>
      </c>
      <c r="AB128" s="637">
        <f t="shared" ref="AB128" si="222">Z128-X129</f>
        <v>0</v>
      </c>
      <c r="AC128" s="220">
        <f>IF(ISERROR(LOOKUP(AC$16,$L128:$X128,#REF!)),0,(LOOKUP(AC$16,$L128:$X128,#REF!)))</f>
        <v>0</v>
      </c>
      <c r="AD128" s="221">
        <f>IF(ISERROR(LOOKUP(AD$16,$L128:$X128,#REF!)),0,(LOOKUP(AD$16,$L128:$X128,#REF!)))</f>
        <v>0</v>
      </c>
      <c r="AE128" s="221">
        <f>IF(ISERROR(LOOKUP(AE$16,$L128:$X128,#REF!)),0,(LOOKUP(AE$16,$L128:$X128,#REF!)))</f>
        <v>0</v>
      </c>
      <c r="AF128" s="221">
        <f>IF(ISERROR(LOOKUP(AF$16,$L128:$X128,#REF!)),0,(LOOKUP(AF$16,$L128:$X128,#REF!)))</f>
        <v>0</v>
      </c>
      <c r="AG128" s="221">
        <f>IF(ISERROR(LOOKUP(AG$16,$L128:$X128,#REF!)),0,(LOOKUP(AG$16,$L128:$X128,#REF!)))</f>
        <v>0</v>
      </c>
      <c r="AH128" s="221">
        <f>IF(ISERROR(LOOKUP(AH$16,$L128:$X128,#REF!)),0,(LOOKUP(AH$16,$L128:$X128,#REF!)))</f>
        <v>0</v>
      </c>
      <c r="AI128" s="221">
        <f>IF(ISERROR(LOOKUP(AI$16,$L128:$X128,#REF!)),0,(LOOKUP(AI$16,$L128:$X128,#REF!)))</f>
        <v>0</v>
      </c>
      <c r="AJ128" s="221">
        <f>IF(ISERROR(LOOKUP(AJ$16,$L128:$X128,#REF!)),0,(LOOKUP(AJ$16,$L128:$X128,#REF!)))</f>
        <v>0</v>
      </c>
      <c r="AK128" s="221">
        <f>IF(ISERROR(LOOKUP(AK$16,$L128:$X128,#REF!)),0,(LOOKUP(AK$16,$L128:$X128,#REF!)))</f>
        <v>0</v>
      </c>
      <c r="AL128" s="221">
        <f>IF(ISERROR(LOOKUP(AL$16,$L128:$X128,#REF!)),0,(LOOKUP(AL$16,$L128:$X128,#REF!)))</f>
        <v>0</v>
      </c>
      <c r="AM128" s="221">
        <f ca="1">IF(ISERROR(LOOKUP(AM$16,$L128:$X128,#REF!)),0,(LOOKUP(AM$16,$L128:$X128,#REF!)))</f>
        <v>0</v>
      </c>
      <c r="AP128" s="215" t="e">
        <f>WORKDAY(AQ128,-INDEX(AQ$12:AQ$15,MATCH($I128,$I$12:$I$15,0)),$AW$17:$AW$148)</f>
        <v>#REF!</v>
      </c>
      <c r="AQ128" s="215" t="e">
        <f>WORKDAY(U128,-INDEX(U$12:U$15,MATCH($I128,$I$12:$I$15,0)),$AW$17:$AW$148)</f>
        <v>#REF!</v>
      </c>
      <c r="AR128" s="215" t="e">
        <f>WORKDAY(U128,-INDEX(U$12:U$15,MATCH($I128,$I$12:$I$15,0)),$AW$17:$AW$148)</f>
        <v>#REF!</v>
      </c>
      <c r="AS128" s="638">
        <v>7</v>
      </c>
      <c r="AW128" s="223" t="e">
        <v>#REF!</v>
      </c>
    </row>
    <row r="129" spans="1:49" s="166" customFormat="1" ht="18" customHeight="1">
      <c r="A129" s="596"/>
      <c r="B129" s="599"/>
      <c r="C129" s="601" t="str">
        <f t="shared" ref="C129" si="223">C128</f>
        <v>RFQ-038</v>
      </c>
      <c r="D129" s="601" t="str">
        <f t="shared" ref="D129:G129" si="224">D128</f>
        <v>Fire and Gas Detector</v>
      </c>
      <c r="E129" s="224"/>
      <c r="F129" s="620" t="str">
        <f t="shared" si="224"/>
        <v>Instrument</v>
      </c>
      <c r="G129" s="601" t="str">
        <f t="shared" si="224"/>
        <v>N</v>
      </c>
      <c r="H129" s="607"/>
      <c r="I129" s="212" t="str">
        <f>I128</f>
        <v>LC</v>
      </c>
      <c r="J129" s="249" t="s">
        <v>65</v>
      </c>
      <c r="K129" s="215">
        <f>K128</f>
        <v>46310</v>
      </c>
      <c r="L129" s="215">
        <f>WORKDAY(IF(K130="",K129,K130),INDEX(L$12:L$15,MATCH($I128,$I$12:$I$15,0)))</f>
        <v>46315</v>
      </c>
      <c r="M129" s="215">
        <f>WORKDAY(IF(L130="",L129,L130),INDEX(M$12:M$15,MATCH($I128,$I$12:$I$15,0)))</f>
        <v>46329</v>
      </c>
      <c r="N129" s="215">
        <f>WORKDAY(IF(M130="",M129,M130),INDEX(N$12:N$15,MATCH($I128,$I$12:$I$15,0)))</f>
        <v>46330</v>
      </c>
      <c r="O129" s="215">
        <f>WORKDAY(IF(N130="",N129,N130),INDEX(O$12:O$15,MATCH($I128,$I$12:$I$15,0)))</f>
        <v>46344</v>
      </c>
      <c r="P129" s="216"/>
      <c r="Q129" s="217"/>
      <c r="R129" s="215">
        <f>WORKDAY(IF(O130="",O129,O130),INDEX(R$12:R$15,MATCH($I128,$I$12:$I$15,0)))</f>
        <v>46358</v>
      </c>
      <c r="S129" s="215">
        <f>WORKDAY(IF(R130="",R129,R130),INDEX(S$12:S$15,MATCH($I128,$I$12:$I$15,0)))</f>
        <v>46379</v>
      </c>
      <c r="T129" s="215">
        <f>WORKDAY(IF(S130="",S129,S130),INDEX(T$12:T$15,MATCH($I128,$I$12:$I$15,0)))</f>
        <v>46393</v>
      </c>
      <c r="U129" s="215">
        <f>WORKDAY(IF(T130="",T129,T130),INDEX(U$12:U$15,MATCH($I128,$I$12:$I$15,0)))</f>
        <v>46407</v>
      </c>
      <c r="V129" s="215">
        <f>WORKDAY(IF(U130="",U129,U130),INDEX(V$12:V$15,MATCH($I128,$I$12:$I$15,0)))</f>
        <v>46409</v>
      </c>
      <c r="W129" s="218"/>
      <c r="X129" s="215">
        <f>U129+Y128</f>
        <v>46538</v>
      </c>
      <c r="Y129" s="628"/>
      <c r="Z129" s="633"/>
      <c r="AA129" s="633"/>
      <c r="AB129" s="637"/>
      <c r="AC129" s="220">
        <f>IF(ISERROR(LOOKUP(AC$16,$L129:$X129,#REF!)),0,(LOOKUP(AC$16,$L129:$X129,#REF!)))</f>
        <v>0</v>
      </c>
      <c r="AD129" s="221">
        <f>IF(ISERROR(LOOKUP(AD$16,$L129:$X129,#REF!)),0,(LOOKUP(AD$16,$L129:$X129,#REF!)))</f>
        <v>0</v>
      </c>
      <c r="AE129" s="221">
        <f>IF(ISERROR(LOOKUP(AE$16,$L129:$X129,#REF!)),0,(LOOKUP(AE$16,$L129:$X129,#REF!)))</f>
        <v>0</v>
      </c>
      <c r="AF129" s="221">
        <f>IF(ISERROR(LOOKUP(AF$16,$L129:$X129,#REF!)),0,(LOOKUP(AF$16,$L129:$X129,#REF!)))</f>
        <v>0</v>
      </c>
      <c r="AG129" s="221">
        <f>IF(ISERROR(LOOKUP(AG$16,$L129:$X129,#REF!)),0,(LOOKUP(AG$16,$L129:$X129,#REF!)))</f>
        <v>0</v>
      </c>
      <c r="AH129" s="221">
        <f>IF(ISERROR(LOOKUP(AH$16,$L129:$X129,#REF!)),0,(LOOKUP(AH$16,$L129:$X129,#REF!)))</f>
        <v>0</v>
      </c>
      <c r="AI129" s="221">
        <f>IF(ISERROR(LOOKUP(AI$16,$L129:$X129,#REF!)),0,(LOOKUP(AI$16,$L129:$X129,#REF!)))</f>
        <v>0</v>
      </c>
      <c r="AJ129" s="221">
        <f>IF(ISERROR(LOOKUP(AJ$16,$L129:$X129,#REF!)),0,(LOOKUP(AJ$16,$L129:$X129,#REF!)))</f>
        <v>0</v>
      </c>
      <c r="AK129" s="221">
        <f>IF(ISERROR(LOOKUP(AK$16,$L129:$X129,#REF!)),0,(LOOKUP(AK$16,$L129:$X129,#REF!)))</f>
        <v>0</v>
      </c>
      <c r="AL129" s="221">
        <f>IF(ISERROR(LOOKUP(AL$16,$L129:$X129,#REF!)),0,(LOOKUP(AL$16,$L129:$X129,#REF!)))</f>
        <v>0</v>
      </c>
      <c r="AM129" s="221">
        <f ca="1">IF(ISERROR(LOOKUP(AM$16,$L129:$X129,#REF!)),0,(LOOKUP(AM$16,$L129:$X129,#REF!)))</f>
        <v>0</v>
      </c>
      <c r="AP129" s="215" t="e">
        <f>WORKDAY(IF(T130="",T129,T130),INDEX(AP$12:AP$15,MATCH($I128,$I$12:$I$15,0)),$AW$17:$AW$148)</f>
        <v>#REF!</v>
      </c>
      <c r="AQ129" s="215" t="e">
        <f>WORKDAY(IF(AP130="",AP129,AP130),INDEX(AQ$12:AQ$15,MATCH($I128,$I$12:$I$15,0)),$AW$17:$AW$148)</f>
        <v>#REF!</v>
      </c>
      <c r="AR129" s="215" t="e">
        <f>WORKDAY(IF(AQ130="",AQ129,AQ130),INDEX(AR$12:AR$15,MATCH($I128,$I$12:$I$15,0)),$AW$17:$AW$148)</f>
        <v>#REF!</v>
      </c>
      <c r="AS129" s="638"/>
      <c r="AW129" s="223" t="e">
        <v>#REF!</v>
      </c>
    </row>
    <row r="130" spans="1:49" s="166" customFormat="1" ht="18" customHeight="1">
      <c r="A130" s="596"/>
      <c r="B130" s="600"/>
      <c r="C130" s="601" t="str">
        <f>C128</f>
        <v>RFQ-038</v>
      </c>
      <c r="D130" s="601" t="str">
        <f t="shared" ref="D130:I130" si="225">D128</f>
        <v>Fire and Gas Detector</v>
      </c>
      <c r="E130" s="225"/>
      <c r="F130" s="621" t="str">
        <f t="shared" si="225"/>
        <v>Instrument</v>
      </c>
      <c r="G130" s="601" t="str">
        <f t="shared" ref="G130" si="226">G128</f>
        <v>N</v>
      </c>
      <c r="H130" s="608"/>
      <c r="I130" s="212" t="str">
        <f t="shared" si="225"/>
        <v>LC</v>
      </c>
      <c r="J130" s="249" t="s">
        <v>67</v>
      </c>
      <c r="K130" s="212"/>
      <c r="L130" s="212"/>
      <c r="M130" s="212"/>
      <c r="N130" s="212"/>
      <c r="O130" s="212"/>
      <c r="P130" s="226"/>
      <c r="Q130" s="227"/>
      <c r="R130" s="212"/>
      <c r="S130" s="212"/>
      <c r="T130" s="212"/>
      <c r="U130" s="212"/>
      <c r="V130" s="212"/>
      <c r="W130" s="228"/>
      <c r="X130" s="212"/>
      <c r="Y130" s="628"/>
      <c r="Z130" s="633"/>
      <c r="AA130" s="633"/>
      <c r="AB130" s="637"/>
      <c r="AC130" s="229">
        <f>IF(ISERROR(LOOKUP(AC$16,$L130:$X130,#REF!)),0,(LOOKUP(AC$16,$L130:$X130,#REF!)))</f>
        <v>0</v>
      </c>
      <c r="AD130" s="230">
        <f>IF(ISERROR(LOOKUP(AD$16,$L130:$X130,#REF!)),0,(LOOKUP(AD$16,$L130:$X130,#REF!)))</f>
        <v>0</v>
      </c>
      <c r="AE130" s="230">
        <f>IF(ISERROR(LOOKUP(AE$16,$L130:$X130,#REF!)),0,(LOOKUP(AE$16,$L130:$X130,#REF!)))</f>
        <v>0</v>
      </c>
      <c r="AF130" s="230">
        <f>IF(ISERROR(LOOKUP(AF$16,$L130:$X130,#REF!)),0,(LOOKUP(AF$16,$L130:$X130,#REF!)))</f>
        <v>0</v>
      </c>
      <c r="AG130" s="230">
        <f>IF(ISERROR(LOOKUP(AG$16,$L130:$X130,#REF!)),0,(LOOKUP(AG$16,$L130:$X130,#REF!)))</f>
        <v>0</v>
      </c>
      <c r="AH130" s="230">
        <f>IF(ISERROR(LOOKUP(AH$16,$L130:$X130,#REF!)),0,(LOOKUP(AH$16,$L130:$X130,#REF!)))</f>
        <v>0</v>
      </c>
      <c r="AI130" s="230">
        <f>IF(ISERROR(LOOKUP(AI$16,$L130:$X130,#REF!)),0,(LOOKUP(AI$16,$L130:$X130,#REF!)))</f>
        <v>0</v>
      </c>
      <c r="AJ130" s="230">
        <f>IF(ISERROR(LOOKUP(AJ$16,$L130:$X130,#REF!)),0,(LOOKUP(AJ$16,$L130:$X130,#REF!)))</f>
        <v>0</v>
      </c>
      <c r="AK130" s="230">
        <f>IF(ISERROR(LOOKUP(AK$16,$L130:$X130,#REF!)),0,(LOOKUP(AK$16,$L130:$X130,#REF!)))</f>
        <v>0</v>
      </c>
      <c r="AL130" s="230">
        <f>IF(ISERROR(LOOKUP(AL$16,$L130:$X130,#REF!)),0,(LOOKUP(AL$16,$L130:$X130,#REF!)))</f>
        <v>0</v>
      </c>
      <c r="AM130" s="230">
        <f ca="1">IF(ISERROR(LOOKUP(AM$16,$L130:$X130,#REF!)),0,(LOOKUP(AM$16,$L130:$X130,#REF!)))</f>
        <v>0</v>
      </c>
      <c r="AP130" s="212"/>
      <c r="AQ130" s="212"/>
      <c r="AR130" s="212"/>
      <c r="AS130" s="638"/>
      <c r="AW130" s="223" t="e">
        <v>#REF!</v>
      </c>
    </row>
    <row r="131" spans="1:49" s="166" customFormat="1" ht="18" customHeight="1">
      <c r="A131" s="596">
        <f t="shared" ref="A131" si="227">A128+1</f>
        <v>39</v>
      </c>
      <c r="B131" s="598"/>
      <c r="C131" s="601" t="s">
        <v>4776</v>
      </c>
      <c r="D131" s="601" t="s">
        <v>188</v>
      </c>
      <c r="E131" s="213"/>
      <c r="F131" s="619" t="s">
        <v>139</v>
      </c>
      <c r="G131" s="601" t="s">
        <v>71</v>
      </c>
      <c r="H131" s="606"/>
      <c r="I131" s="212" t="s">
        <v>8</v>
      </c>
      <c r="J131" s="249" t="s">
        <v>61</v>
      </c>
      <c r="K131" s="215">
        <f>WORKDAY(L131,-INDEX(L$12:L$15,MATCH($I131,$I$12:$I$15,0)))</f>
        <v>46315</v>
      </c>
      <c r="L131" s="215">
        <f>WORKDAY(M131,-INDEX(M$12:M$15,MATCH($I131,$I$12:$I$15,0)))</f>
        <v>46318</v>
      </c>
      <c r="M131" s="215">
        <f>WORKDAY(N131,-INDEX(N$12:N$15,MATCH($I131,$I$12:$I$15,0)))</f>
        <v>46332</v>
      </c>
      <c r="N131" s="215">
        <f>WORKDAY(O131,-INDEX(O$12:O$15,MATCH($I131,$I$12:$I$15,0)))</f>
        <v>46335</v>
      </c>
      <c r="O131" s="215">
        <f>WORKDAY(R131,-INDEX(R$12:R$15,MATCH($I131,$I$12:$I$15,0)))</f>
        <v>46349</v>
      </c>
      <c r="P131" s="216">
        <f>U131-L131</f>
        <v>94</v>
      </c>
      <c r="Q131" s="217"/>
      <c r="R131" s="215">
        <f>WORKDAY(S131,-INDEX(S$12:S$15,MATCH($I131,$I$12:$I$15,0)))</f>
        <v>46363</v>
      </c>
      <c r="S131" s="215">
        <f>WORKDAY(T131,-INDEX(T$12:T$15,MATCH($I131,$I$12:$I$15,0)))</f>
        <v>46384</v>
      </c>
      <c r="T131" s="215">
        <f>WORKDAY(U131,-INDEX(U$12:U$15,MATCH($I131,$I$12:$I$15,0)))</f>
        <v>46398</v>
      </c>
      <c r="U131" s="215">
        <f>X131-Y131</f>
        <v>46412</v>
      </c>
      <c r="V131" s="215">
        <f>WORKDAY(U131,INDEX(V$12:V$15,MATCH($I131,$I$12:$I$15,0)))</f>
        <v>46414</v>
      </c>
      <c r="W131" s="218">
        <f>Y131/7</f>
        <v>18</v>
      </c>
      <c r="X131" s="215">
        <f>Z131</f>
        <v>46538</v>
      </c>
      <c r="Y131" s="628">
        <f>18*7</f>
        <v>126</v>
      </c>
      <c r="Z131" s="633">
        <v>46538</v>
      </c>
      <c r="AA131" s="633">
        <v>46538</v>
      </c>
      <c r="AB131" s="637">
        <f t="shared" ref="AB131" si="228">Z131-X132</f>
        <v>0</v>
      </c>
      <c r="AC131" s="220">
        <f>IF(ISERROR(LOOKUP(AC$16,$L131:$X131,#REF!)),0,(LOOKUP(AC$16,$L131:$X131,#REF!)))</f>
        <v>0</v>
      </c>
      <c r="AD131" s="221">
        <f>IF(ISERROR(LOOKUP(AD$16,$L131:$X131,#REF!)),0,(LOOKUP(AD$16,$L131:$X131,#REF!)))</f>
        <v>0</v>
      </c>
      <c r="AE131" s="221">
        <f>IF(ISERROR(LOOKUP(AE$16,$L131:$X131,#REF!)),0,(LOOKUP(AE$16,$L131:$X131,#REF!)))</f>
        <v>0</v>
      </c>
      <c r="AF131" s="221">
        <f>IF(ISERROR(LOOKUP(AF$16,$L131:$X131,#REF!)),0,(LOOKUP(AF$16,$L131:$X131,#REF!)))</f>
        <v>0</v>
      </c>
      <c r="AG131" s="221">
        <f>IF(ISERROR(LOOKUP(AG$16,$L131:$X131,#REF!)),0,(LOOKUP(AG$16,$L131:$X131,#REF!)))</f>
        <v>0</v>
      </c>
      <c r="AH131" s="221">
        <f>IF(ISERROR(LOOKUP(AH$16,$L131:$X131,#REF!)),0,(LOOKUP(AH$16,$L131:$X131,#REF!)))</f>
        <v>0</v>
      </c>
      <c r="AI131" s="221">
        <f>IF(ISERROR(LOOKUP(AI$16,$L131:$X131,#REF!)),0,(LOOKUP(AI$16,$L131:$X131,#REF!)))</f>
        <v>0</v>
      </c>
      <c r="AJ131" s="221">
        <f>IF(ISERROR(LOOKUP(AJ$16,$L131:$X131,#REF!)),0,(LOOKUP(AJ$16,$L131:$X131,#REF!)))</f>
        <v>0</v>
      </c>
      <c r="AK131" s="221">
        <f>IF(ISERROR(LOOKUP(AK$16,$L131:$X131,#REF!)),0,(LOOKUP(AK$16,$L131:$X131,#REF!)))</f>
        <v>0</v>
      </c>
      <c r="AL131" s="221">
        <f>IF(ISERROR(LOOKUP(AL$16,$L131:$X131,#REF!)),0,(LOOKUP(AL$16,$L131:$X131,#REF!)))</f>
        <v>0</v>
      </c>
      <c r="AM131" s="221">
        <f ca="1">IF(ISERROR(LOOKUP(AM$16,$L131:$X131,#REF!)),0,(LOOKUP(AM$16,$L131:$X131,#REF!)))</f>
        <v>0</v>
      </c>
      <c r="AP131" s="215" t="e">
        <f>WORKDAY(AQ131,-INDEX(AQ$12:AQ$15,MATCH($I131,$I$12:$I$15,0)),$AW$17:$AW$148)</f>
        <v>#REF!</v>
      </c>
      <c r="AQ131" s="215" t="e">
        <f>WORKDAY(U131,-INDEX(U$12:U$15,MATCH($I131,$I$12:$I$15,0)),$AW$17:$AW$148)</f>
        <v>#REF!</v>
      </c>
      <c r="AR131" s="215" t="e">
        <f>WORKDAY(U131,-INDEX(U$12:U$15,MATCH($I131,$I$12:$I$15,0)),$AW$17:$AW$148)</f>
        <v>#REF!</v>
      </c>
      <c r="AS131" s="638">
        <v>7</v>
      </c>
      <c r="AW131" s="223" t="e">
        <v>#REF!</v>
      </c>
    </row>
    <row r="132" spans="1:49" s="166" customFormat="1" ht="18" customHeight="1">
      <c r="A132" s="596"/>
      <c r="B132" s="599"/>
      <c r="C132" s="601" t="str">
        <f t="shared" ref="C132" si="229">C131</f>
        <v>RFQ-039</v>
      </c>
      <c r="D132" s="601" t="str">
        <f t="shared" ref="D132:G132" si="230">D131</f>
        <v>Dip Tape Level Indicator</v>
      </c>
      <c r="E132" s="224"/>
      <c r="F132" s="620" t="str">
        <f t="shared" si="230"/>
        <v>Instrument</v>
      </c>
      <c r="G132" s="601" t="str">
        <f t="shared" si="230"/>
        <v>N</v>
      </c>
      <c r="H132" s="607"/>
      <c r="I132" s="212" t="str">
        <f>I131</f>
        <v>LC</v>
      </c>
      <c r="J132" s="249" t="s">
        <v>65</v>
      </c>
      <c r="K132" s="215">
        <f>K131</f>
        <v>46315</v>
      </c>
      <c r="L132" s="215">
        <f>WORKDAY(IF(K133="",K132,K133),INDEX(L$12:L$15,MATCH($I131,$I$12:$I$15,0)))</f>
        <v>46318</v>
      </c>
      <c r="M132" s="215">
        <f>WORKDAY(IF(L133="",L132,L133),INDEX(M$12:M$15,MATCH($I131,$I$12:$I$15,0)))</f>
        <v>46332</v>
      </c>
      <c r="N132" s="215">
        <f>WORKDAY(IF(M133="",M132,M133),INDEX(N$12:N$15,MATCH($I131,$I$12:$I$15,0)))</f>
        <v>46335</v>
      </c>
      <c r="O132" s="215">
        <f>WORKDAY(IF(N133="",N132,N133),INDEX(O$12:O$15,MATCH($I131,$I$12:$I$15,0)))</f>
        <v>46349</v>
      </c>
      <c r="P132" s="216"/>
      <c r="Q132" s="217"/>
      <c r="R132" s="215">
        <f>WORKDAY(IF(O133="",O132,O133),INDEX(R$12:R$15,MATCH($I131,$I$12:$I$15,0)))</f>
        <v>46363</v>
      </c>
      <c r="S132" s="215">
        <f>WORKDAY(IF(R133="",R132,R133),INDEX(S$12:S$15,MATCH($I131,$I$12:$I$15,0)))</f>
        <v>46384</v>
      </c>
      <c r="T132" s="215">
        <f>WORKDAY(IF(S133="",S132,S133),INDEX(T$12:T$15,MATCH($I131,$I$12:$I$15,0)))</f>
        <v>46398</v>
      </c>
      <c r="U132" s="215">
        <f>WORKDAY(IF(T133="",T132,T133),INDEX(U$12:U$15,MATCH($I131,$I$12:$I$15,0)))</f>
        <v>46412</v>
      </c>
      <c r="V132" s="215">
        <f>WORKDAY(IF(U133="",U132,U133),INDEX(V$12:V$15,MATCH($I131,$I$12:$I$15,0)))</f>
        <v>46414</v>
      </c>
      <c r="W132" s="218"/>
      <c r="X132" s="215">
        <f>U132+Y131</f>
        <v>46538</v>
      </c>
      <c r="Y132" s="628"/>
      <c r="Z132" s="633"/>
      <c r="AA132" s="633"/>
      <c r="AB132" s="637"/>
      <c r="AC132" s="220">
        <f>IF(ISERROR(LOOKUP(AC$16,$L132:$X132,#REF!)),0,(LOOKUP(AC$16,$L132:$X132,#REF!)))</f>
        <v>0</v>
      </c>
      <c r="AD132" s="221">
        <f>IF(ISERROR(LOOKUP(AD$16,$L132:$X132,#REF!)),0,(LOOKUP(AD$16,$L132:$X132,#REF!)))</f>
        <v>0</v>
      </c>
      <c r="AE132" s="221">
        <f>IF(ISERROR(LOOKUP(AE$16,$L132:$X132,#REF!)),0,(LOOKUP(AE$16,$L132:$X132,#REF!)))</f>
        <v>0</v>
      </c>
      <c r="AF132" s="221">
        <f>IF(ISERROR(LOOKUP(AF$16,$L132:$X132,#REF!)),0,(LOOKUP(AF$16,$L132:$X132,#REF!)))</f>
        <v>0</v>
      </c>
      <c r="AG132" s="221">
        <f>IF(ISERROR(LOOKUP(AG$16,$L132:$X132,#REF!)),0,(LOOKUP(AG$16,$L132:$X132,#REF!)))</f>
        <v>0</v>
      </c>
      <c r="AH132" s="221">
        <f>IF(ISERROR(LOOKUP(AH$16,$L132:$X132,#REF!)),0,(LOOKUP(AH$16,$L132:$X132,#REF!)))</f>
        <v>0</v>
      </c>
      <c r="AI132" s="221">
        <f>IF(ISERROR(LOOKUP(AI$16,$L132:$X132,#REF!)),0,(LOOKUP(AI$16,$L132:$X132,#REF!)))</f>
        <v>0</v>
      </c>
      <c r="AJ132" s="221">
        <f>IF(ISERROR(LOOKUP(AJ$16,$L132:$X132,#REF!)),0,(LOOKUP(AJ$16,$L132:$X132,#REF!)))</f>
        <v>0</v>
      </c>
      <c r="AK132" s="221">
        <f>IF(ISERROR(LOOKUP(AK$16,$L132:$X132,#REF!)),0,(LOOKUP(AK$16,$L132:$X132,#REF!)))</f>
        <v>0</v>
      </c>
      <c r="AL132" s="221">
        <f>IF(ISERROR(LOOKUP(AL$16,$L132:$X132,#REF!)),0,(LOOKUP(AL$16,$L132:$X132,#REF!)))</f>
        <v>0</v>
      </c>
      <c r="AM132" s="221">
        <f ca="1">IF(ISERROR(LOOKUP(AM$16,$L132:$X132,#REF!)),0,(LOOKUP(AM$16,$L132:$X132,#REF!)))</f>
        <v>0</v>
      </c>
      <c r="AP132" s="215" t="e">
        <f>WORKDAY(IF(T133="",T132,T133),INDEX(AP$12:AP$15,MATCH($I131,$I$12:$I$15,0)),$AW$17:$AW$148)</f>
        <v>#REF!</v>
      </c>
      <c r="AQ132" s="215" t="e">
        <f>WORKDAY(IF(AP133="",AP132,AP133),INDEX(AQ$12:AQ$15,MATCH($I131,$I$12:$I$15,0)),$AW$17:$AW$148)</f>
        <v>#REF!</v>
      </c>
      <c r="AR132" s="215" t="e">
        <f>WORKDAY(IF(AQ133="",AQ132,AQ133),INDEX(AR$12:AR$15,MATCH($I131,$I$12:$I$15,0)),$AW$17:$AW$148)</f>
        <v>#REF!</v>
      </c>
      <c r="AS132" s="638"/>
      <c r="AW132" s="223" t="e">
        <v>#REF!</v>
      </c>
    </row>
    <row r="133" spans="1:49" s="166" customFormat="1" ht="18" customHeight="1">
      <c r="A133" s="596"/>
      <c r="B133" s="600"/>
      <c r="C133" s="601" t="str">
        <f>C131</f>
        <v>RFQ-039</v>
      </c>
      <c r="D133" s="601" t="str">
        <f t="shared" ref="D133:I133" si="231">D131</f>
        <v>Dip Tape Level Indicator</v>
      </c>
      <c r="E133" s="225"/>
      <c r="F133" s="621" t="str">
        <f t="shared" si="231"/>
        <v>Instrument</v>
      </c>
      <c r="G133" s="601" t="str">
        <f t="shared" ref="G133" si="232">G131</f>
        <v>N</v>
      </c>
      <c r="H133" s="608"/>
      <c r="I133" s="212" t="str">
        <f t="shared" si="231"/>
        <v>LC</v>
      </c>
      <c r="J133" s="249" t="s">
        <v>67</v>
      </c>
      <c r="K133" s="212"/>
      <c r="L133" s="212"/>
      <c r="M133" s="212"/>
      <c r="N133" s="212"/>
      <c r="O133" s="212"/>
      <c r="P133" s="226"/>
      <c r="Q133" s="227"/>
      <c r="R133" s="212"/>
      <c r="S133" s="212"/>
      <c r="T133" s="212"/>
      <c r="U133" s="212"/>
      <c r="V133" s="212"/>
      <c r="W133" s="228"/>
      <c r="X133" s="212"/>
      <c r="Y133" s="628"/>
      <c r="Z133" s="633"/>
      <c r="AA133" s="633"/>
      <c r="AB133" s="637"/>
      <c r="AC133" s="229">
        <f>IF(ISERROR(LOOKUP(AC$16,$L133:$X133,#REF!)),0,(LOOKUP(AC$16,$L133:$X133,#REF!)))</f>
        <v>0</v>
      </c>
      <c r="AD133" s="230">
        <f>IF(ISERROR(LOOKUP(AD$16,$L133:$X133,#REF!)),0,(LOOKUP(AD$16,$L133:$X133,#REF!)))</f>
        <v>0</v>
      </c>
      <c r="AE133" s="230">
        <f>IF(ISERROR(LOOKUP(AE$16,$L133:$X133,#REF!)),0,(LOOKUP(AE$16,$L133:$X133,#REF!)))</f>
        <v>0</v>
      </c>
      <c r="AF133" s="230">
        <f>IF(ISERROR(LOOKUP(AF$16,$L133:$X133,#REF!)),0,(LOOKUP(AF$16,$L133:$X133,#REF!)))</f>
        <v>0</v>
      </c>
      <c r="AG133" s="230">
        <f>IF(ISERROR(LOOKUP(AG$16,$L133:$X133,#REF!)),0,(LOOKUP(AG$16,$L133:$X133,#REF!)))</f>
        <v>0</v>
      </c>
      <c r="AH133" s="230">
        <f>IF(ISERROR(LOOKUP(AH$16,$L133:$X133,#REF!)),0,(LOOKUP(AH$16,$L133:$X133,#REF!)))</f>
        <v>0</v>
      </c>
      <c r="AI133" s="230">
        <f>IF(ISERROR(LOOKUP(AI$16,$L133:$X133,#REF!)),0,(LOOKUP(AI$16,$L133:$X133,#REF!)))</f>
        <v>0</v>
      </c>
      <c r="AJ133" s="230">
        <f>IF(ISERROR(LOOKUP(AJ$16,$L133:$X133,#REF!)),0,(LOOKUP(AJ$16,$L133:$X133,#REF!)))</f>
        <v>0</v>
      </c>
      <c r="AK133" s="230">
        <f>IF(ISERROR(LOOKUP(AK$16,$L133:$X133,#REF!)),0,(LOOKUP(AK$16,$L133:$X133,#REF!)))</f>
        <v>0</v>
      </c>
      <c r="AL133" s="230">
        <f>IF(ISERROR(LOOKUP(AL$16,$L133:$X133,#REF!)),0,(LOOKUP(AL$16,$L133:$X133,#REF!)))</f>
        <v>0</v>
      </c>
      <c r="AM133" s="230">
        <f ca="1">IF(ISERROR(LOOKUP(AM$16,$L133:$X133,#REF!)),0,(LOOKUP(AM$16,$L133:$X133,#REF!)))</f>
        <v>0</v>
      </c>
      <c r="AP133" s="212"/>
      <c r="AQ133" s="212"/>
      <c r="AR133" s="212"/>
      <c r="AS133" s="638"/>
      <c r="AW133" s="223" t="e">
        <v>#REF!</v>
      </c>
    </row>
    <row r="134" spans="1:49" s="166" customFormat="1" ht="18" customHeight="1">
      <c r="A134" s="596">
        <f t="shared" ref="A134" si="233">A131+1</f>
        <v>40</v>
      </c>
      <c r="B134" s="598"/>
      <c r="C134" s="601" t="s">
        <v>4777</v>
      </c>
      <c r="D134" s="601" t="s">
        <v>190</v>
      </c>
      <c r="E134" s="213"/>
      <c r="F134" s="619" t="s">
        <v>139</v>
      </c>
      <c r="G134" s="601" t="s">
        <v>71</v>
      </c>
      <c r="H134" s="606"/>
      <c r="I134" s="212" t="s">
        <v>8</v>
      </c>
      <c r="J134" s="249" t="s">
        <v>61</v>
      </c>
      <c r="K134" s="215">
        <f>WORKDAY(L134,-INDEX(L$12:L$15,MATCH($I134,$I$12:$I$15,0)))</f>
        <v>46315</v>
      </c>
      <c r="L134" s="215">
        <f>WORKDAY(M134,-INDEX(M$12:M$15,MATCH($I134,$I$12:$I$15,0)))</f>
        <v>46318</v>
      </c>
      <c r="M134" s="215">
        <f>WORKDAY(N134,-INDEX(N$12:N$15,MATCH($I134,$I$12:$I$15,0)))</f>
        <v>46332</v>
      </c>
      <c r="N134" s="215">
        <f>WORKDAY(O134,-INDEX(O$12:O$15,MATCH($I134,$I$12:$I$15,0)))</f>
        <v>46335</v>
      </c>
      <c r="O134" s="215">
        <f>WORKDAY(R134,-INDEX(R$12:R$15,MATCH($I134,$I$12:$I$15,0)))</f>
        <v>46349</v>
      </c>
      <c r="P134" s="216">
        <f>U134-L134</f>
        <v>94</v>
      </c>
      <c r="Q134" s="217"/>
      <c r="R134" s="215">
        <f>WORKDAY(S134,-INDEX(S$12:S$15,MATCH($I134,$I$12:$I$15,0)))</f>
        <v>46363</v>
      </c>
      <c r="S134" s="215">
        <f>WORKDAY(T134,-INDEX(T$12:T$15,MATCH($I134,$I$12:$I$15,0)))</f>
        <v>46384</v>
      </c>
      <c r="T134" s="215">
        <f>WORKDAY(U134,-INDEX(U$12:U$15,MATCH($I134,$I$12:$I$15,0)))</f>
        <v>46398</v>
      </c>
      <c r="U134" s="215">
        <f>X134-Y134</f>
        <v>46412</v>
      </c>
      <c r="V134" s="215">
        <f>WORKDAY(U134,INDEX(V$12:V$15,MATCH($I134,$I$12:$I$15,0)))</f>
        <v>46414</v>
      </c>
      <c r="W134" s="218">
        <f>Y134/7</f>
        <v>18</v>
      </c>
      <c r="X134" s="215">
        <f>Z134</f>
        <v>46538</v>
      </c>
      <c r="Y134" s="628">
        <f>18*7</f>
        <v>126</v>
      </c>
      <c r="Z134" s="633">
        <v>46538</v>
      </c>
      <c r="AA134" s="633">
        <v>46538</v>
      </c>
      <c r="AB134" s="637">
        <f t="shared" ref="AB134" si="234">Z134-X135</f>
        <v>0</v>
      </c>
      <c r="AC134" s="220">
        <f>IF(ISERROR(LOOKUP(AC$16,$L134:$X134,#REF!)),0,(LOOKUP(AC$16,$L134:$X134,#REF!)))</f>
        <v>0</v>
      </c>
      <c r="AD134" s="221">
        <f>IF(ISERROR(LOOKUP(AD$16,$L134:$X134,#REF!)),0,(LOOKUP(AD$16,$L134:$X134,#REF!)))</f>
        <v>0</v>
      </c>
      <c r="AE134" s="221">
        <f>IF(ISERROR(LOOKUP(AE$16,$L134:$X134,#REF!)),0,(LOOKUP(AE$16,$L134:$X134,#REF!)))</f>
        <v>0</v>
      </c>
      <c r="AF134" s="221">
        <f>IF(ISERROR(LOOKUP(AF$16,$L134:$X134,#REF!)),0,(LOOKUP(AF$16,$L134:$X134,#REF!)))</f>
        <v>0</v>
      </c>
      <c r="AG134" s="221">
        <f>IF(ISERROR(LOOKUP(AG$16,$L134:$X134,#REF!)),0,(LOOKUP(AG$16,$L134:$X134,#REF!)))</f>
        <v>0</v>
      </c>
      <c r="AH134" s="221">
        <f>IF(ISERROR(LOOKUP(AH$16,$L134:$X134,#REF!)),0,(LOOKUP(AH$16,$L134:$X134,#REF!)))</f>
        <v>0</v>
      </c>
      <c r="AI134" s="221">
        <f>IF(ISERROR(LOOKUP(AI$16,$L134:$X134,#REF!)),0,(LOOKUP(AI$16,$L134:$X134,#REF!)))</f>
        <v>0</v>
      </c>
      <c r="AJ134" s="221">
        <f>IF(ISERROR(LOOKUP(AJ$16,$L134:$X134,#REF!)),0,(LOOKUP(AJ$16,$L134:$X134,#REF!)))</f>
        <v>0</v>
      </c>
      <c r="AK134" s="221">
        <f>IF(ISERROR(LOOKUP(AK$16,$L134:$X134,#REF!)),0,(LOOKUP(AK$16,$L134:$X134,#REF!)))</f>
        <v>0</v>
      </c>
      <c r="AL134" s="221">
        <f>IF(ISERROR(LOOKUP(AL$16,$L134:$X134,#REF!)),0,(LOOKUP(AL$16,$L134:$X134,#REF!)))</f>
        <v>0</v>
      </c>
      <c r="AM134" s="221">
        <f ca="1">IF(ISERROR(LOOKUP(AM$16,$L134:$X134,#REF!)),0,(LOOKUP(AM$16,$L134:$X134,#REF!)))</f>
        <v>0</v>
      </c>
      <c r="AP134" s="215" t="e">
        <f>WORKDAY(AQ134,-INDEX(AQ$12:AQ$15,MATCH($I134,$I$12:$I$15,0)),$AW$17:$AW$148)</f>
        <v>#REF!</v>
      </c>
      <c r="AQ134" s="215" t="e">
        <f>WORKDAY(U134,-INDEX(U$12:U$15,MATCH($I134,$I$12:$I$15,0)),$AW$17:$AW$148)</f>
        <v>#REF!</v>
      </c>
      <c r="AR134" s="215" t="e">
        <f>WORKDAY(U134,-INDEX(U$12:U$15,MATCH($I134,$I$12:$I$15,0)),$AW$17:$AW$148)</f>
        <v>#REF!</v>
      </c>
      <c r="AS134" s="638">
        <v>7</v>
      </c>
      <c r="AW134" s="223" t="e">
        <v>#REF!</v>
      </c>
    </row>
    <row r="135" spans="1:49" s="166" customFormat="1" ht="18" customHeight="1">
      <c r="A135" s="596"/>
      <c r="B135" s="599"/>
      <c r="C135" s="601" t="str">
        <f t="shared" ref="C135:I135" si="235">C134</f>
        <v>RFQ-040</v>
      </c>
      <c r="D135" s="601" t="str">
        <f t="shared" ref="D135:G135" si="236">D134</f>
        <v>Position Limit Switches</v>
      </c>
      <c r="E135" s="224"/>
      <c r="F135" s="620" t="str">
        <f t="shared" si="236"/>
        <v>Instrument</v>
      </c>
      <c r="G135" s="601" t="str">
        <f t="shared" si="236"/>
        <v>N</v>
      </c>
      <c r="H135" s="607"/>
      <c r="I135" s="212" t="str">
        <f t="shared" si="235"/>
        <v>LC</v>
      </c>
      <c r="J135" s="249" t="s">
        <v>65</v>
      </c>
      <c r="K135" s="215">
        <f>K134</f>
        <v>46315</v>
      </c>
      <c r="L135" s="215">
        <f>WORKDAY(IF(K136="",K135,K136),INDEX(L$12:L$15,MATCH($I134,$I$12:$I$15,0)))</f>
        <v>46318</v>
      </c>
      <c r="M135" s="215">
        <f>WORKDAY(IF(L136="",L135,L136),INDEX(M$12:M$15,MATCH($I134,$I$12:$I$15,0)))</f>
        <v>46332</v>
      </c>
      <c r="N135" s="215">
        <f>WORKDAY(IF(M136="",M135,M136),INDEX(N$12:N$15,MATCH($I134,$I$12:$I$15,0)))</f>
        <v>46335</v>
      </c>
      <c r="O135" s="215">
        <f>WORKDAY(IF(N136="",N135,N136),INDEX(O$12:O$15,MATCH($I134,$I$12:$I$15,0)))</f>
        <v>46349</v>
      </c>
      <c r="P135" s="216"/>
      <c r="Q135" s="217"/>
      <c r="R135" s="215">
        <f>WORKDAY(IF(O136="",O135,O136),INDEX(R$12:R$15,MATCH($I134,$I$12:$I$15,0)))</f>
        <v>46363</v>
      </c>
      <c r="S135" s="215">
        <f>WORKDAY(IF(R136="",R135,R136),INDEX(S$12:S$15,MATCH($I134,$I$12:$I$15,0)))</f>
        <v>46384</v>
      </c>
      <c r="T135" s="215">
        <f>WORKDAY(IF(S136="",S135,S136),INDEX(T$12:T$15,MATCH($I134,$I$12:$I$15,0)))</f>
        <v>46398</v>
      </c>
      <c r="U135" s="215">
        <f>WORKDAY(IF(T136="",T135,T136),INDEX(U$12:U$15,MATCH($I134,$I$12:$I$15,0)))</f>
        <v>46412</v>
      </c>
      <c r="V135" s="215">
        <f>WORKDAY(IF(U136="",U135,U136),INDEX(V$12:V$15,MATCH($I134,$I$12:$I$15,0)))</f>
        <v>46414</v>
      </c>
      <c r="W135" s="218"/>
      <c r="X135" s="215">
        <f>U135+Y134</f>
        <v>46538</v>
      </c>
      <c r="Y135" s="628"/>
      <c r="Z135" s="633"/>
      <c r="AA135" s="633"/>
      <c r="AB135" s="637"/>
      <c r="AC135" s="220">
        <f>IF(ISERROR(LOOKUP(AC$16,$L135:$X135,#REF!)),0,(LOOKUP(AC$16,$L135:$X135,#REF!)))</f>
        <v>0</v>
      </c>
      <c r="AD135" s="221">
        <f>IF(ISERROR(LOOKUP(AD$16,$L135:$X135,#REF!)),0,(LOOKUP(AD$16,$L135:$X135,#REF!)))</f>
        <v>0</v>
      </c>
      <c r="AE135" s="221">
        <f>IF(ISERROR(LOOKUP(AE$16,$L135:$X135,#REF!)),0,(LOOKUP(AE$16,$L135:$X135,#REF!)))</f>
        <v>0</v>
      </c>
      <c r="AF135" s="221">
        <f>IF(ISERROR(LOOKUP(AF$16,$L135:$X135,#REF!)),0,(LOOKUP(AF$16,$L135:$X135,#REF!)))</f>
        <v>0</v>
      </c>
      <c r="AG135" s="221">
        <f>IF(ISERROR(LOOKUP(AG$16,$L135:$X135,#REF!)),0,(LOOKUP(AG$16,$L135:$X135,#REF!)))</f>
        <v>0</v>
      </c>
      <c r="AH135" s="221">
        <f>IF(ISERROR(LOOKUP(AH$16,$L135:$X135,#REF!)),0,(LOOKUP(AH$16,$L135:$X135,#REF!)))</f>
        <v>0</v>
      </c>
      <c r="AI135" s="221">
        <f>IF(ISERROR(LOOKUP(AI$16,$L135:$X135,#REF!)),0,(LOOKUP(AI$16,$L135:$X135,#REF!)))</f>
        <v>0</v>
      </c>
      <c r="AJ135" s="221">
        <f>IF(ISERROR(LOOKUP(AJ$16,$L135:$X135,#REF!)),0,(LOOKUP(AJ$16,$L135:$X135,#REF!)))</f>
        <v>0</v>
      </c>
      <c r="AK135" s="221">
        <f>IF(ISERROR(LOOKUP(AK$16,$L135:$X135,#REF!)),0,(LOOKUP(AK$16,$L135:$X135,#REF!)))</f>
        <v>0</v>
      </c>
      <c r="AL135" s="221">
        <f>IF(ISERROR(LOOKUP(AL$16,$L135:$X135,#REF!)),0,(LOOKUP(AL$16,$L135:$X135,#REF!)))</f>
        <v>0</v>
      </c>
      <c r="AM135" s="221">
        <f ca="1">IF(ISERROR(LOOKUP(AM$16,$L135:$X135,#REF!)),0,(LOOKUP(AM$16,$L135:$X135,#REF!)))</f>
        <v>0</v>
      </c>
      <c r="AP135" s="215" t="e">
        <f>WORKDAY(IF(T136="",T135,T136),INDEX(AP$12:AP$15,MATCH($I134,$I$12:$I$15,0)),$AW$17:$AW$148)</f>
        <v>#REF!</v>
      </c>
      <c r="AQ135" s="215" t="e">
        <f>WORKDAY(IF(AP136="",AP135,AP136),INDEX(AQ$12:AQ$15,MATCH($I134,$I$12:$I$15,0)),$AW$17:$AW$148)</f>
        <v>#REF!</v>
      </c>
      <c r="AR135" s="215" t="e">
        <f>WORKDAY(IF(AQ136="",AQ135,AQ136),INDEX(AR$12:AR$15,MATCH($I134,$I$12:$I$15,0)),$AW$17:$AW$148)</f>
        <v>#REF!</v>
      </c>
      <c r="AS135" s="638"/>
      <c r="AW135" s="223" t="e">
        <v>#REF!</v>
      </c>
    </row>
    <row r="136" spans="1:49" s="166" customFormat="1" ht="18" customHeight="1">
      <c r="A136" s="596"/>
      <c r="B136" s="600"/>
      <c r="C136" s="601" t="str">
        <f>C134</f>
        <v>RFQ-040</v>
      </c>
      <c r="D136" s="601" t="str">
        <f t="shared" ref="D136:I136" si="237">D134</f>
        <v>Position Limit Switches</v>
      </c>
      <c r="E136" s="225"/>
      <c r="F136" s="621" t="str">
        <f t="shared" si="237"/>
        <v>Instrument</v>
      </c>
      <c r="G136" s="601" t="str">
        <f t="shared" ref="G136" si="238">G134</f>
        <v>N</v>
      </c>
      <c r="H136" s="608"/>
      <c r="I136" s="212" t="str">
        <f t="shared" si="237"/>
        <v>LC</v>
      </c>
      <c r="J136" s="249" t="s">
        <v>67</v>
      </c>
      <c r="K136" s="212"/>
      <c r="L136" s="212"/>
      <c r="M136" s="212"/>
      <c r="N136" s="212"/>
      <c r="O136" s="212"/>
      <c r="P136" s="226"/>
      <c r="Q136" s="227"/>
      <c r="R136" s="212"/>
      <c r="S136" s="212"/>
      <c r="T136" s="212"/>
      <c r="U136" s="212"/>
      <c r="V136" s="212"/>
      <c r="W136" s="228"/>
      <c r="X136" s="212"/>
      <c r="Y136" s="628"/>
      <c r="Z136" s="633"/>
      <c r="AA136" s="633"/>
      <c r="AB136" s="637"/>
      <c r="AC136" s="229">
        <f>IF(ISERROR(LOOKUP(AC$16,$L136:$X136,#REF!)),0,(LOOKUP(AC$16,$L136:$X136,#REF!)))</f>
        <v>0</v>
      </c>
      <c r="AD136" s="230">
        <f>IF(ISERROR(LOOKUP(AD$16,$L136:$X136,#REF!)),0,(LOOKUP(AD$16,$L136:$X136,#REF!)))</f>
        <v>0</v>
      </c>
      <c r="AE136" s="230">
        <f>IF(ISERROR(LOOKUP(AE$16,$L136:$X136,#REF!)),0,(LOOKUP(AE$16,$L136:$X136,#REF!)))</f>
        <v>0</v>
      </c>
      <c r="AF136" s="230">
        <f>IF(ISERROR(LOOKUP(AF$16,$L136:$X136,#REF!)),0,(LOOKUP(AF$16,$L136:$X136,#REF!)))</f>
        <v>0</v>
      </c>
      <c r="AG136" s="230">
        <f>IF(ISERROR(LOOKUP(AG$16,$L136:$X136,#REF!)),0,(LOOKUP(AG$16,$L136:$X136,#REF!)))</f>
        <v>0</v>
      </c>
      <c r="AH136" s="230">
        <f>IF(ISERROR(LOOKUP(AH$16,$L136:$X136,#REF!)),0,(LOOKUP(AH$16,$L136:$X136,#REF!)))</f>
        <v>0</v>
      </c>
      <c r="AI136" s="230">
        <f>IF(ISERROR(LOOKUP(AI$16,$L136:$X136,#REF!)),0,(LOOKUP(AI$16,$L136:$X136,#REF!)))</f>
        <v>0</v>
      </c>
      <c r="AJ136" s="230">
        <f>IF(ISERROR(LOOKUP(AJ$16,$L136:$X136,#REF!)),0,(LOOKUP(AJ$16,$L136:$X136,#REF!)))</f>
        <v>0</v>
      </c>
      <c r="AK136" s="230">
        <f>IF(ISERROR(LOOKUP(AK$16,$L136:$X136,#REF!)),0,(LOOKUP(AK$16,$L136:$X136,#REF!)))</f>
        <v>0</v>
      </c>
      <c r="AL136" s="230">
        <f>IF(ISERROR(LOOKUP(AL$16,$L136:$X136,#REF!)),0,(LOOKUP(AL$16,$L136:$X136,#REF!)))</f>
        <v>0</v>
      </c>
      <c r="AM136" s="230">
        <f ca="1">IF(ISERROR(LOOKUP(AM$16,$L136:$X136,#REF!)),0,(LOOKUP(AM$16,$L136:$X136,#REF!)))</f>
        <v>0</v>
      </c>
      <c r="AP136" s="212"/>
      <c r="AQ136" s="212"/>
      <c r="AR136" s="212"/>
      <c r="AS136" s="638"/>
      <c r="AW136" s="223" t="e">
        <v>#REF!</v>
      </c>
    </row>
    <row r="137" spans="1:49" s="166" customFormat="1" ht="18" customHeight="1">
      <c r="A137" s="596">
        <f t="shared" ref="A137" si="239">A134+1</f>
        <v>41</v>
      </c>
      <c r="B137" s="598"/>
      <c r="C137" s="601" t="s">
        <v>4778</v>
      </c>
      <c r="D137" s="601" t="s">
        <v>193</v>
      </c>
      <c r="E137" s="213"/>
      <c r="F137" s="619" t="s">
        <v>139</v>
      </c>
      <c r="G137" s="601" t="s">
        <v>71</v>
      </c>
      <c r="H137" s="606"/>
      <c r="I137" s="212" t="s">
        <v>8</v>
      </c>
      <c r="J137" s="249" t="s">
        <v>61</v>
      </c>
      <c r="K137" s="215">
        <f>WORKDAY(L137,-INDEX(L$12:L$15,MATCH($I137,$I$12:$I$15,0)))</f>
        <v>46231</v>
      </c>
      <c r="L137" s="215">
        <f>WORKDAY(M137,-INDEX(M$12:M$15,MATCH($I137,$I$12:$I$15,0)))</f>
        <v>46234</v>
      </c>
      <c r="M137" s="215">
        <f>WORKDAY(N137,-INDEX(N$12:N$15,MATCH($I137,$I$12:$I$15,0)))</f>
        <v>46248</v>
      </c>
      <c r="N137" s="215">
        <f>WORKDAY(O137,-INDEX(O$12:O$15,MATCH($I137,$I$12:$I$15,0)))</f>
        <v>46251</v>
      </c>
      <c r="O137" s="215">
        <f>WORKDAY(R137,-INDEX(R$12:R$15,MATCH($I137,$I$12:$I$15,0)))</f>
        <v>46265</v>
      </c>
      <c r="P137" s="216">
        <f>U137-L137</f>
        <v>94</v>
      </c>
      <c r="Q137" s="217"/>
      <c r="R137" s="215">
        <f>WORKDAY(S137,-INDEX(S$12:S$15,MATCH($I137,$I$12:$I$15,0)))</f>
        <v>46279</v>
      </c>
      <c r="S137" s="215">
        <f>WORKDAY(T137,-INDEX(T$12:T$15,MATCH($I137,$I$12:$I$15,0)))</f>
        <v>46300</v>
      </c>
      <c r="T137" s="215">
        <f>WORKDAY(U137,-INDEX(U$12:U$15,MATCH($I137,$I$12:$I$15,0)))</f>
        <v>46314</v>
      </c>
      <c r="U137" s="215">
        <f>X137-Y137</f>
        <v>46328</v>
      </c>
      <c r="V137" s="215">
        <f>WORKDAY(U137,INDEX(V$12:V$15,MATCH($I137,$I$12:$I$15,0)))</f>
        <v>46330</v>
      </c>
      <c r="W137" s="218">
        <f>Y137/7</f>
        <v>30</v>
      </c>
      <c r="X137" s="215">
        <f>Z137</f>
        <v>46538</v>
      </c>
      <c r="Y137" s="628">
        <f>30*7</f>
        <v>210</v>
      </c>
      <c r="Z137" s="633">
        <v>46538</v>
      </c>
      <c r="AA137" s="633">
        <v>46538</v>
      </c>
      <c r="AB137" s="637">
        <f t="shared" ref="AB137" si="240">Z137-X138</f>
        <v>0</v>
      </c>
      <c r="AC137" s="220">
        <f>IF(ISERROR(LOOKUP(AC$16,$L137:$X137,#REF!)),0,(LOOKUP(AC$16,$L137:$X137,#REF!)))</f>
        <v>0</v>
      </c>
      <c r="AD137" s="221">
        <f>IF(ISERROR(LOOKUP(AD$16,$L137:$X137,#REF!)),0,(LOOKUP(AD$16,$L137:$X137,#REF!)))</f>
        <v>0</v>
      </c>
      <c r="AE137" s="221">
        <f>IF(ISERROR(LOOKUP(AE$16,$L137:$X137,#REF!)),0,(LOOKUP(AE$16,$L137:$X137,#REF!)))</f>
        <v>0</v>
      </c>
      <c r="AF137" s="221">
        <f>IF(ISERROR(LOOKUP(AF$16,$L137:$X137,#REF!)),0,(LOOKUP(AF$16,$L137:$X137,#REF!)))</f>
        <v>0</v>
      </c>
      <c r="AG137" s="221">
        <f>IF(ISERROR(LOOKUP(AG$16,$L137:$X137,#REF!)),0,(LOOKUP(AG$16,$L137:$X137,#REF!)))</f>
        <v>0</v>
      </c>
      <c r="AH137" s="221">
        <f>IF(ISERROR(LOOKUP(AH$16,$L137:$X137,#REF!)),0,(LOOKUP(AH$16,$L137:$X137,#REF!)))</f>
        <v>0</v>
      </c>
      <c r="AI137" s="221">
        <f>IF(ISERROR(LOOKUP(AI$16,$L137:$X137,#REF!)),0,(LOOKUP(AI$16,$L137:$X137,#REF!)))</f>
        <v>0</v>
      </c>
      <c r="AJ137" s="221">
        <f>IF(ISERROR(LOOKUP(AJ$16,$L137:$X137,#REF!)),0,(LOOKUP(AJ$16,$L137:$X137,#REF!)))</f>
        <v>0</v>
      </c>
      <c r="AK137" s="221">
        <f>IF(ISERROR(LOOKUP(AK$16,$L137:$X137,#REF!)),0,(LOOKUP(AK$16,$L137:$X137,#REF!)))</f>
        <v>0</v>
      </c>
      <c r="AL137" s="221">
        <f>IF(ISERROR(LOOKUP(AL$16,$L137:$X137,#REF!)),0,(LOOKUP(AL$16,$L137:$X137,#REF!)))</f>
        <v>0</v>
      </c>
      <c r="AM137" s="221">
        <f ca="1">IF(ISERROR(LOOKUP(AM$16,$L137:$X137,#REF!)),0,(LOOKUP(AM$16,$L137:$X137,#REF!)))</f>
        <v>0</v>
      </c>
      <c r="AP137" s="215" t="e">
        <f>WORKDAY(AQ137,-INDEX(AQ$12:AQ$15,MATCH($I137,$I$12:$I$15,0)),$AW$17:$AW$148)</f>
        <v>#REF!</v>
      </c>
      <c r="AQ137" s="215" t="e">
        <f>WORKDAY(U137,-INDEX(U$12:U$15,MATCH($I137,$I$12:$I$15,0)),$AW$17:$AW$148)</f>
        <v>#REF!</v>
      </c>
      <c r="AR137" s="215" t="e">
        <f>WORKDAY(U137,-INDEX(U$12:U$15,MATCH($I137,$I$12:$I$15,0)),$AW$17:$AW$148)</f>
        <v>#REF!</v>
      </c>
      <c r="AS137" s="638">
        <v>7</v>
      </c>
      <c r="AW137" s="223" t="e">
        <v>#REF!</v>
      </c>
    </row>
    <row r="138" spans="1:49" s="166" customFormat="1" ht="18" customHeight="1">
      <c r="A138" s="596"/>
      <c r="B138" s="599"/>
      <c r="C138" s="601" t="str">
        <f t="shared" ref="C138:I138" si="241">C137</f>
        <v>RFQ-041</v>
      </c>
      <c r="D138" s="601" t="str">
        <f t="shared" ref="D138:G138" si="242">D137</f>
        <v>Guided Wave Radar Level Transmitter</v>
      </c>
      <c r="E138" s="224"/>
      <c r="F138" s="620" t="str">
        <f t="shared" si="242"/>
        <v>Instrument</v>
      </c>
      <c r="G138" s="601" t="str">
        <f t="shared" si="242"/>
        <v>N</v>
      </c>
      <c r="H138" s="607"/>
      <c r="I138" s="212" t="str">
        <f t="shared" si="241"/>
        <v>LC</v>
      </c>
      <c r="J138" s="249" t="s">
        <v>65</v>
      </c>
      <c r="K138" s="215">
        <f>K137</f>
        <v>46231</v>
      </c>
      <c r="L138" s="215">
        <f>WORKDAY(IF(K139="",K138,K139),INDEX(L$12:L$15,MATCH($I137,$I$12:$I$15,0)))</f>
        <v>46234</v>
      </c>
      <c r="M138" s="215">
        <f>WORKDAY(IF(L139="",L138,L139),INDEX(M$12:M$15,MATCH($I137,$I$12:$I$15,0)))</f>
        <v>46248</v>
      </c>
      <c r="N138" s="215">
        <f>WORKDAY(IF(M139="",M138,M139),INDEX(N$12:N$15,MATCH($I137,$I$12:$I$15,0)))</f>
        <v>46251</v>
      </c>
      <c r="O138" s="215">
        <f>WORKDAY(IF(N139="",N138,N139),INDEX(O$12:O$15,MATCH($I137,$I$12:$I$15,0)))</f>
        <v>46265</v>
      </c>
      <c r="P138" s="216"/>
      <c r="Q138" s="217"/>
      <c r="R138" s="215">
        <f>WORKDAY(IF(O139="",O138,O139),INDEX(R$12:R$15,MATCH($I137,$I$12:$I$15,0)))</f>
        <v>46279</v>
      </c>
      <c r="S138" s="215">
        <f>WORKDAY(IF(R139="",R138,R139),INDEX(S$12:S$15,MATCH($I137,$I$12:$I$15,0)))</f>
        <v>46300</v>
      </c>
      <c r="T138" s="215">
        <f>WORKDAY(IF(S139="",S138,S139),INDEX(T$12:T$15,MATCH($I137,$I$12:$I$15,0)))</f>
        <v>46314</v>
      </c>
      <c r="U138" s="215">
        <f>WORKDAY(IF(T139="",T138,T139),INDEX(U$12:U$15,MATCH($I137,$I$12:$I$15,0)))</f>
        <v>46328</v>
      </c>
      <c r="V138" s="215">
        <f>WORKDAY(IF(U139="",U138,U139),INDEX(V$12:V$15,MATCH($I137,$I$12:$I$15,0)))</f>
        <v>46330</v>
      </c>
      <c r="W138" s="218"/>
      <c r="X138" s="215">
        <f>U138+Y137</f>
        <v>46538</v>
      </c>
      <c r="Y138" s="628"/>
      <c r="Z138" s="633"/>
      <c r="AA138" s="633"/>
      <c r="AB138" s="637"/>
      <c r="AC138" s="220">
        <f>IF(ISERROR(LOOKUP(AC$16,$L138:$X138,#REF!)),0,(LOOKUP(AC$16,$L138:$X138,#REF!)))</f>
        <v>0</v>
      </c>
      <c r="AD138" s="221">
        <f>IF(ISERROR(LOOKUP(AD$16,$L138:$X138,#REF!)),0,(LOOKUP(AD$16,$L138:$X138,#REF!)))</f>
        <v>0</v>
      </c>
      <c r="AE138" s="221">
        <f>IF(ISERROR(LOOKUP(AE$16,$L138:$X138,#REF!)),0,(LOOKUP(AE$16,$L138:$X138,#REF!)))</f>
        <v>0</v>
      </c>
      <c r="AF138" s="221">
        <f>IF(ISERROR(LOOKUP(AF$16,$L138:$X138,#REF!)),0,(LOOKUP(AF$16,$L138:$X138,#REF!)))</f>
        <v>0</v>
      </c>
      <c r="AG138" s="221">
        <f>IF(ISERROR(LOOKUP(AG$16,$L138:$X138,#REF!)),0,(LOOKUP(AG$16,$L138:$X138,#REF!)))</f>
        <v>0</v>
      </c>
      <c r="AH138" s="221">
        <f>IF(ISERROR(LOOKUP(AH$16,$L138:$X138,#REF!)),0,(LOOKUP(AH$16,$L138:$X138,#REF!)))</f>
        <v>0</v>
      </c>
      <c r="AI138" s="221">
        <f>IF(ISERROR(LOOKUP(AI$16,$L138:$X138,#REF!)),0,(LOOKUP(AI$16,$L138:$X138,#REF!)))</f>
        <v>0</v>
      </c>
      <c r="AJ138" s="221">
        <f>IF(ISERROR(LOOKUP(AJ$16,$L138:$X138,#REF!)),0,(LOOKUP(AJ$16,$L138:$X138,#REF!)))</f>
        <v>0</v>
      </c>
      <c r="AK138" s="221">
        <f>IF(ISERROR(LOOKUP(AK$16,$L138:$X138,#REF!)),0,(LOOKUP(AK$16,$L138:$X138,#REF!)))</f>
        <v>0</v>
      </c>
      <c r="AL138" s="221">
        <f>IF(ISERROR(LOOKUP(AL$16,$L138:$X138,#REF!)),0,(LOOKUP(AL$16,$L138:$X138,#REF!)))</f>
        <v>0</v>
      </c>
      <c r="AM138" s="221">
        <f ca="1">IF(ISERROR(LOOKUP(AM$16,$L138:$X138,#REF!)),0,(LOOKUP(AM$16,$L138:$X138,#REF!)))</f>
        <v>0</v>
      </c>
      <c r="AP138" s="215" t="e">
        <f>WORKDAY(IF(T139="",T138,T139),INDEX(AP$12:AP$15,MATCH($I137,$I$12:$I$15,0)),$AW$17:$AW$148)</f>
        <v>#REF!</v>
      </c>
      <c r="AQ138" s="215" t="e">
        <f>WORKDAY(IF(AP139="",AP138,AP139),INDEX(AQ$12:AQ$15,MATCH($I137,$I$12:$I$15,0)),$AW$17:$AW$148)</f>
        <v>#REF!</v>
      </c>
      <c r="AR138" s="215" t="e">
        <f>WORKDAY(IF(AQ139="",AQ138,AQ139),INDEX(AR$12:AR$15,MATCH($I137,$I$12:$I$15,0)),$AW$17:$AW$148)</f>
        <v>#REF!</v>
      </c>
      <c r="AS138" s="638"/>
      <c r="AW138" s="223" t="e">
        <v>#REF!</v>
      </c>
    </row>
    <row r="139" spans="1:49" s="166" customFormat="1" ht="18" customHeight="1">
      <c r="A139" s="596"/>
      <c r="B139" s="600"/>
      <c r="C139" s="601" t="str">
        <f>C137</f>
        <v>RFQ-041</v>
      </c>
      <c r="D139" s="601" t="str">
        <f t="shared" ref="D139:I139" si="243">D137</f>
        <v>Guided Wave Radar Level Transmitter</v>
      </c>
      <c r="E139" s="225"/>
      <c r="F139" s="621" t="str">
        <f t="shared" si="243"/>
        <v>Instrument</v>
      </c>
      <c r="G139" s="601" t="str">
        <f t="shared" ref="G139" si="244">G137</f>
        <v>N</v>
      </c>
      <c r="H139" s="608"/>
      <c r="I139" s="212" t="str">
        <f t="shared" si="243"/>
        <v>LC</v>
      </c>
      <c r="J139" s="249" t="s">
        <v>67</v>
      </c>
      <c r="K139" s="212"/>
      <c r="L139" s="212"/>
      <c r="M139" s="212"/>
      <c r="N139" s="212"/>
      <c r="O139" s="212"/>
      <c r="P139" s="226"/>
      <c r="Q139" s="227"/>
      <c r="R139" s="212"/>
      <c r="S139" s="212"/>
      <c r="T139" s="212"/>
      <c r="U139" s="212"/>
      <c r="V139" s="212"/>
      <c r="W139" s="228"/>
      <c r="X139" s="212"/>
      <c r="Y139" s="628"/>
      <c r="Z139" s="633"/>
      <c r="AA139" s="633"/>
      <c r="AB139" s="637"/>
      <c r="AC139" s="229">
        <f>IF(ISERROR(LOOKUP(AC$16,$L139:$X139,#REF!)),0,(LOOKUP(AC$16,$L139:$X139,#REF!)))</f>
        <v>0</v>
      </c>
      <c r="AD139" s="230">
        <f>IF(ISERROR(LOOKUP(AD$16,$L139:$X139,#REF!)),0,(LOOKUP(AD$16,$L139:$X139,#REF!)))</f>
        <v>0</v>
      </c>
      <c r="AE139" s="230">
        <f>IF(ISERROR(LOOKUP(AE$16,$L139:$X139,#REF!)),0,(LOOKUP(AE$16,$L139:$X139,#REF!)))</f>
        <v>0</v>
      </c>
      <c r="AF139" s="230">
        <f>IF(ISERROR(LOOKUP(AF$16,$L139:$X139,#REF!)),0,(LOOKUP(AF$16,$L139:$X139,#REF!)))</f>
        <v>0</v>
      </c>
      <c r="AG139" s="230">
        <f>IF(ISERROR(LOOKUP(AG$16,$L139:$X139,#REF!)),0,(LOOKUP(AG$16,$L139:$X139,#REF!)))</f>
        <v>0</v>
      </c>
      <c r="AH139" s="230">
        <f>IF(ISERROR(LOOKUP(AH$16,$L139:$X139,#REF!)),0,(LOOKUP(AH$16,$L139:$X139,#REF!)))</f>
        <v>0</v>
      </c>
      <c r="AI139" s="230">
        <f>IF(ISERROR(LOOKUP(AI$16,$L139:$X139,#REF!)),0,(LOOKUP(AI$16,$L139:$X139,#REF!)))</f>
        <v>0</v>
      </c>
      <c r="AJ139" s="230">
        <f>IF(ISERROR(LOOKUP(AJ$16,$L139:$X139,#REF!)),0,(LOOKUP(AJ$16,$L139:$X139,#REF!)))</f>
        <v>0</v>
      </c>
      <c r="AK139" s="230">
        <f>IF(ISERROR(LOOKUP(AK$16,$L139:$X139,#REF!)),0,(LOOKUP(AK$16,$L139:$X139,#REF!)))</f>
        <v>0</v>
      </c>
      <c r="AL139" s="230">
        <f>IF(ISERROR(LOOKUP(AL$16,$L139:$X139,#REF!)),0,(LOOKUP(AL$16,$L139:$X139,#REF!)))</f>
        <v>0</v>
      </c>
      <c r="AM139" s="230">
        <f ca="1">IF(ISERROR(LOOKUP(AM$16,$L139:$X139,#REF!)),0,(LOOKUP(AM$16,$L139:$X139,#REF!)))</f>
        <v>0</v>
      </c>
      <c r="AP139" s="212"/>
      <c r="AQ139" s="212"/>
      <c r="AR139" s="212"/>
      <c r="AS139" s="638"/>
      <c r="AW139" s="223" t="e">
        <v>#REF!</v>
      </c>
    </row>
    <row r="140" spans="1:49" s="166" customFormat="1" ht="18" customHeight="1">
      <c r="A140" s="596">
        <f t="shared" ref="A140" si="245">A137+1</f>
        <v>42</v>
      </c>
      <c r="B140" s="598"/>
      <c r="C140" s="601" t="s">
        <v>4779</v>
      </c>
      <c r="D140" s="601" t="s">
        <v>195</v>
      </c>
      <c r="E140" s="213"/>
      <c r="F140" s="619" t="s">
        <v>139</v>
      </c>
      <c r="G140" s="601" t="s">
        <v>71</v>
      </c>
      <c r="H140" s="606"/>
      <c r="I140" s="212" t="s">
        <v>8</v>
      </c>
      <c r="J140" s="249" t="s">
        <v>61</v>
      </c>
      <c r="K140" s="215">
        <f>WORKDAY(L140,-INDEX(L$12:L$15,MATCH($I140,$I$12:$I$15,0)))</f>
        <v>46273</v>
      </c>
      <c r="L140" s="215">
        <f>WORKDAY(M140,-INDEX(M$12:M$15,MATCH($I140,$I$12:$I$15,0)))</f>
        <v>46276</v>
      </c>
      <c r="M140" s="215">
        <f>WORKDAY(N140,-INDEX(N$12:N$15,MATCH($I140,$I$12:$I$15,0)))</f>
        <v>46290</v>
      </c>
      <c r="N140" s="215">
        <f>WORKDAY(O140,-INDEX(O$12:O$15,MATCH($I140,$I$12:$I$15,0)))</f>
        <v>46293</v>
      </c>
      <c r="O140" s="215">
        <f>WORKDAY(R140,-INDEX(R$12:R$15,MATCH($I140,$I$12:$I$15,0)))</f>
        <v>46307</v>
      </c>
      <c r="P140" s="216">
        <f>U140-L140</f>
        <v>94</v>
      </c>
      <c r="Q140" s="217"/>
      <c r="R140" s="215">
        <f>WORKDAY(S140,-INDEX(S$12:S$15,MATCH($I140,$I$12:$I$15,0)))</f>
        <v>46321</v>
      </c>
      <c r="S140" s="215">
        <f>WORKDAY(T140,-INDEX(T$12:T$15,MATCH($I140,$I$12:$I$15,0)))</f>
        <v>46342</v>
      </c>
      <c r="T140" s="215">
        <f>WORKDAY(U140,-INDEX(U$12:U$15,MATCH($I140,$I$12:$I$15,0)))</f>
        <v>46356</v>
      </c>
      <c r="U140" s="215">
        <f>X140-Y140</f>
        <v>46370</v>
      </c>
      <c r="V140" s="215">
        <f>WORKDAY(U140,INDEX(V$12:V$15,MATCH($I140,$I$12:$I$15,0)))</f>
        <v>46372</v>
      </c>
      <c r="W140" s="218">
        <f>Y140/7</f>
        <v>24</v>
      </c>
      <c r="X140" s="215">
        <f>Z140</f>
        <v>46538</v>
      </c>
      <c r="Y140" s="628">
        <f>24*7</f>
        <v>168</v>
      </c>
      <c r="Z140" s="633">
        <v>46538</v>
      </c>
      <c r="AA140" s="633">
        <v>46538</v>
      </c>
      <c r="AB140" s="637">
        <f t="shared" ref="AB140" si="246">Z140-X141</f>
        <v>0</v>
      </c>
      <c r="AC140" s="220">
        <f>IF(ISERROR(LOOKUP(AC$16,$L140:$X140,#REF!)),0,(LOOKUP(AC$16,$L140:$X140,#REF!)))</f>
        <v>0</v>
      </c>
      <c r="AD140" s="221">
        <f>IF(ISERROR(LOOKUP(AD$16,$L140:$X140,#REF!)),0,(LOOKUP(AD$16,$L140:$X140,#REF!)))</f>
        <v>0</v>
      </c>
      <c r="AE140" s="221">
        <f>IF(ISERROR(LOOKUP(AE$16,$L140:$X140,#REF!)),0,(LOOKUP(AE$16,$L140:$X140,#REF!)))</f>
        <v>0</v>
      </c>
      <c r="AF140" s="221">
        <f>IF(ISERROR(LOOKUP(AF$16,$L140:$X140,#REF!)),0,(LOOKUP(AF$16,$L140:$X140,#REF!)))</f>
        <v>0</v>
      </c>
      <c r="AG140" s="221">
        <f>IF(ISERROR(LOOKUP(AG$16,$L140:$X140,#REF!)),0,(LOOKUP(AG$16,$L140:$X140,#REF!)))</f>
        <v>0</v>
      </c>
      <c r="AH140" s="221">
        <f>IF(ISERROR(LOOKUP(AH$16,$L140:$X140,#REF!)),0,(LOOKUP(AH$16,$L140:$X140,#REF!)))</f>
        <v>0</v>
      </c>
      <c r="AI140" s="221">
        <f>IF(ISERROR(LOOKUP(AI$16,$L140:$X140,#REF!)),0,(LOOKUP(AI$16,$L140:$X140,#REF!)))</f>
        <v>0</v>
      </c>
      <c r="AJ140" s="221">
        <f>IF(ISERROR(LOOKUP(AJ$16,$L140:$X140,#REF!)),0,(LOOKUP(AJ$16,$L140:$X140,#REF!)))</f>
        <v>0</v>
      </c>
      <c r="AK140" s="221">
        <f>IF(ISERROR(LOOKUP(AK$16,$L140:$X140,#REF!)),0,(LOOKUP(AK$16,$L140:$X140,#REF!)))</f>
        <v>0</v>
      </c>
      <c r="AL140" s="221">
        <f>IF(ISERROR(LOOKUP(AL$16,$L140:$X140,#REF!)),0,(LOOKUP(AL$16,$L140:$X140,#REF!)))</f>
        <v>0</v>
      </c>
      <c r="AM140" s="221">
        <f ca="1">IF(ISERROR(LOOKUP(AM$16,$L140:$X140,#REF!)),0,(LOOKUP(AM$16,$L140:$X140,#REF!)))</f>
        <v>0</v>
      </c>
      <c r="AP140" s="215" t="e">
        <f>WORKDAY(AQ140,-INDEX(AQ$12:AQ$15,MATCH($I140,$I$12:$I$15,0)),$AW$17:$AW$148)</f>
        <v>#REF!</v>
      </c>
      <c r="AQ140" s="215" t="e">
        <f>WORKDAY(U140,-INDEX(U$12:U$15,MATCH($I140,$I$12:$I$15,0)),$AW$17:$AW$148)</f>
        <v>#REF!</v>
      </c>
      <c r="AR140" s="215" t="e">
        <f>WORKDAY(U140,-INDEX(U$12:U$15,MATCH($I140,$I$12:$I$15,0)),$AW$17:$AW$148)</f>
        <v>#REF!</v>
      </c>
      <c r="AS140" s="638">
        <v>7</v>
      </c>
      <c r="AW140" s="223" t="e">
        <v>#REF!</v>
      </c>
    </row>
    <row r="141" spans="1:49" s="166" customFormat="1" ht="18" customHeight="1">
      <c r="A141" s="596"/>
      <c r="B141" s="599"/>
      <c r="C141" s="601" t="str">
        <f t="shared" ref="C141:I141" si="247">C140</f>
        <v>RFQ-042</v>
      </c>
      <c r="D141" s="601" t="str">
        <f t="shared" ref="D141:G141" si="248">D140</f>
        <v>Oil in Water Analyzer</v>
      </c>
      <c r="E141" s="224"/>
      <c r="F141" s="620" t="str">
        <f t="shared" si="248"/>
        <v>Instrument</v>
      </c>
      <c r="G141" s="601" t="str">
        <f t="shared" si="248"/>
        <v>N</v>
      </c>
      <c r="H141" s="607"/>
      <c r="I141" s="212" t="str">
        <f t="shared" si="247"/>
        <v>LC</v>
      </c>
      <c r="J141" s="249" t="s">
        <v>65</v>
      </c>
      <c r="K141" s="215">
        <f>K140</f>
        <v>46273</v>
      </c>
      <c r="L141" s="215">
        <f>WORKDAY(IF(K142="",K141,K142),INDEX(L$12:L$15,MATCH($I140,$I$12:$I$15,0)))</f>
        <v>46276</v>
      </c>
      <c r="M141" s="215">
        <f>WORKDAY(IF(L142="",L141,L142),INDEX(M$12:M$15,MATCH($I140,$I$12:$I$15,0)))</f>
        <v>46290</v>
      </c>
      <c r="N141" s="215">
        <f>WORKDAY(IF(M142="",M141,M142),INDEX(N$12:N$15,MATCH($I140,$I$12:$I$15,0)))</f>
        <v>46293</v>
      </c>
      <c r="O141" s="215">
        <f>WORKDAY(IF(N142="",N141,N142),INDEX(O$12:O$15,MATCH($I140,$I$12:$I$15,0)))</f>
        <v>46307</v>
      </c>
      <c r="P141" s="216"/>
      <c r="Q141" s="217"/>
      <c r="R141" s="215">
        <f>WORKDAY(IF(O142="",O141,O142),INDEX(R$12:R$15,MATCH($I140,$I$12:$I$15,0)))</f>
        <v>46321</v>
      </c>
      <c r="S141" s="215">
        <f>WORKDAY(IF(R142="",R141,R142),INDEX(S$12:S$15,MATCH($I140,$I$12:$I$15,0)))</f>
        <v>46342</v>
      </c>
      <c r="T141" s="215">
        <f>WORKDAY(IF(S142="",S141,S142),INDEX(T$12:T$15,MATCH($I140,$I$12:$I$15,0)))</f>
        <v>46356</v>
      </c>
      <c r="U141" s="215">
        <f>WORKDAY(IF(T142="",T141,T142),INDEX(U$12:U$15,MATCH($I140,$I$12:$I$15,0)))</f>
        <v>46370</v>
      </c>
      <c r="V141" s="215">
        <f>WORKDAY(IF(U142="",U141,U142),INDEX(V$12:V$15,MATCH($I140,$I$12:$I$15,0)))</f>
        <v>46372</v>
      </c>
      <c r="W141" s="218"/>
      <c r="X141" s="215">
        <f>U141+Y140</f>
        <v>46538</v>
      </c>
      <c r="Y141" s="628"/>
      <c r="Z141" s="633"/>
      <c r="AA141" s="633"/>
      <c r="AB141" s="637"/>
      <c r="AC141" s="220">
        <f>IF(ISERROR(LOOKUP(AC$16,$L141:$X141,#REF!)),0,(LOOKUP(AC$16,$L141:$X141,#REF!)))</f>
        <v>0</v>
      </c>
      <c r="AD141" s="221">
        <f>IF(ISERROR(LOOKUP(AD$16,$L141:$X141,#REF!)),0,(LOOKUP(AD$16,$L141:$X141,#REF!)))</f>
        <v>0</v>
      </c>
      <c r="AE141" s="221">
        <f>IF(ISERROR(LOOKUP(AE$16,$L141:$X141,#REF!)),0,(LOOKUP(AE$16,$L141:$X141,#REF!)))</f>
        <v>0</v>
      </c>
      <c r="AF141" s="221">
        <f>IF(ISERROR(LOOKUP(AF$16,$L141:$X141,#REF!)),0,(LOOKUP(AF$16,$L141:$X141,#REF!)))</f>
        <v>0</v>
      </c>
      <c r="AG141" s="221">
        <f>IF(ISERROR(LOOKUP(AG$16,$L141:$X141,#REF!)),0,(LOOKUP(AG$16,$L141:$X141,#REF!)))</f>
        <v>0</v>
      </c>
      <c r="AH141" s="221">
        <f>IF(ISERROR(LOOKUP(AH$16,$L141:$X141,#REF!)),0,(LOOKUP(AH$16,$L141:$X141,#REF!)))</f>
        <v>0</v>
      </c>
      <c r="AI141" s="221">
        <f>IF(ISERROR(LOOKUP(AI$16,$L141:$X141,#REF!)),0,(LOOKUP(AI$16,$L141:$X141,#REF!)))</f>
        <v>0</v>
      </c>
      <c r="AJ141" s="221">
        <f>IF(ISERROR(LOOKUP(AJ$16,$L141:$X141,#REF!)),0,(LOOKUP(AJ$16,$L141:$X141,#REF!)))</f>
        <v>0</v>
      </c>
      <c r="AK141" s="221">
        <f>IF(ISERROR(LOOKUP(AK$16,$L141:$X141,#REF!)),0,(LOOKUP(AK$16,$L141:$X141,#REF!)))</f>
        <v>0</v>
      </c>
      <c r="AL141" s="221">
        <f>IF(ISERROR(LOOKUP(AL$16,$L141:$X141,#REF!)),0,(LOOKUP(AL$16,$L141:$X141,#REF!)))</f>
        <v>0</v>
      </c>
      <c r="AM141" s="221">
        <f ca="1">IF(ISERROR(LOOKUP(AM$16,$L141:$X141,#REF!)),0,(LOOKUP(AM$16,$L141:$X141,#REF!)))</f>
        <v>0</v>
      </c>
      <c r="AP141" s="215" t="e">
        <f>WORKDAY(IF(T142="",T141,T142),INDEX(AP$12:AP$15,MATCH($I140,$I$12:$I$15,0)),$AW$17:$AW$148)</f>
        <v>#REF!</v>
      </c>
      <c r="AQ141" s="215" t="e">
        <f>WORKDAY(IF(AP142="",AP141,AP142),INDEX(AQ$12:AQ$15,MATCH($I140,$I$12:$I$15,0)),$AW$17:$AW$148)</f>
        <v>#REF!</v>
      </c>
      <c r="AR141" s="215" t="e">
        <f>WORKDAY(IF(AQ142="",AQ141,AQ142),INDEX(AR$12:AR$15,MATCH($I140,$I$12:$I$15,0)),$AW$17:$AW$148)</f>
        <v>#REF!</v>
      </c>
      <c r="AS141" s="638"/>
      <c r="AW141" s="223" t="e">
        <v>#REF!</v>
      </c>
    </row>
    <row r="142" spans="1:49" s="166" customFormat="1" ht="18" customHeight="1">
      <c r="A142" s="596"/>
      <c r="B142" s="600"/>
      <c r="C142" s="601" t="str">
        <f>C140</f>
        <v>RFQ-042</v>
      </c>
      <c r="D142" s="601" t="str">
        <f t="shared" ref="D142:I142" si="249">D140</f>
        <v>Oil in Water Analyzer</v>
      </c>
      <c r="E142" s="225"/>
      <c r="F142" s="621" t="str">
        <f t="shared" si="249"/>
        <v>Instrument</v>
      </c>
      <c r="G142" s="601" t="str">
        <f t="shared" ref="G142" si="250">G140</f>
        <v>N</v>
      </c>
      <c r="H142" s="608"/>
      <c r="I142" s="212" t="str">
        <f t="shared" si="249"/>
        <v>LC</v>
      </c>
      <c r="J142" s="249" t="s">
        <v>67</v>
      </c>
      <c r="K142" s="212"/>
      <c r="L142" s="212"/>
      <c r="M142" s="212"/>
      <c r="N142" s="212"/>
      <c r="O142" s="212"/>
      <c r="P142" s="226"/>
      <c r="Q142" s="227"/>
      <c r="R142" s="212"/>
      <c r="S142" s="212"/>
      <c r="T142" s="212"/>
      <c r="U142" s="212"/>
      <c r="V142" s="212"/>
      <c r="W142" s="228"/>
      <c r="X142" s="212"/>
      <c r="Y142" s="628"/>
      <c r="Z142" s="633"/>
      <c r="AA142" s="633"/>
      <c r="AB142" s="637"/>
      <c r="AC142" s="229">
        <f>IF(ISERROR(LOOKUP(AC$16,$L142:$X142,#REF!)),0,(LOOKUP(AC$16,$L142:$X142,#REF!)))</f>
        <v>0</v>
      </c>
      <c r="AD142" s="230">
        <f>IF(ISERROR(LOOKUP(AD$16,$L142:$X142,#REF!)),0,(LOOKUP(AD$16,$L142:$X142,#REF!)))</f>
        <v>0</v>
      </c>
      <c r="AE142" s="230">
        <f>IF(ISERROR(LOOKUP(AE$16,$L142:$X142,#REF!)),0,(LOOKUP(AE$16,$L142:$X142,#REF!)))</f>
        <v>0</v>
      </c>
      <c r="AF142" s="230">
        <f>IF(ISERROR(LOOKUP(AF$16,$L142:$X142,#REF!)),0,(LOOKUP(AF$16,$L142:$X142,#REF!)))</f>
        <v>0</v>
      </c>
      <c r="AG142" s="230">
        <f>IF(ISERROR(LOOKUP(AG$16,$L142:$X142,#REF!)),0,(LOOKUP(AG$16,$L142:$X142,#REF!)))</f>
        <v>0</v>
      </c>
      <c r="AH142" s="230">
        <f>IF(ISERROR(LOOKUP(AH$16,$L142:$X142,#REF!)),0,(LOOKUP(AH$16,$L142:$X142,#REF!)))</f>
        <v>0</v>
      </c>
      <c r="AI142" s="230">
        <f>IF(ISERROR(LOOKUP(AI$16,$L142:$X142,#REF!)),0,(LOOKUP(AI$16,$L142:$X142,#REF!)))</f>
        <v>0</v>
      </c>
      <c r="AJ142" s="230">
        <f>IF(ISERROR(LOOKUP(AJ$16,$L142:$X142,#REF!)),0,(LOOKUP(AJ$16,$L142:$X142,#REF!)))</f>
        <v>0</v>
      </c>
      <c r="AK142" s="230">
        <f>IF(ISERROR(LOOKUP(AK$16,$L142:$X142,#REF!)),0,(LOOKUP(AK$16,$L142:$X142,#REF!)))</f>
        <v>0</v>
      </c>
      <c r="AL142" s="230">
        <f>IF(ISERROR(LOOKUP(AL$16,$L142:$X142,#REF!)),0,(LOOKUP(AL$16,$L142:$X142,#REF!)))</f>
        <v>0</v>
      </c>
      <c r="AM142" s="230">
        <f ca="1">IF(ISERROR(LOOKUP(AM$16,$L142:$X142,#REF!)),0,(LOOKUP(AM$16,$L142:$X142,#REF!)))</f>
        <v>0</v>
      </c>
      <c r="AP142" s="212"/>
      <c r="AQ142" s="212"/>
      <c r="AR142" s="212"/>
      <c r="AS142" s="638"/>
      <c r="AW142" s="223" t="e">
        <v>#REF!</v>
      </c>
    </row>
    <row r="143" spans="1:49" s="166" customFormat="1" ht="18" customHeight="1">
      <c r="A143" s="596">
        <f t="shared" ref="A143" si="251">A140+1</f>
        <v>43</v>
      </c>
      <c r="B143" s="598"/>
      <c r="C143" s="601" t="s">
        <v>4780</v>
      </c>
      <c r="D143" s="601" t="s">
        <v>198</v>
      </c>
      <c r="E143" s="213"/>
      <c r="F143" s="619" t="s">
        <v>139</v>
      </c>
      <c r="G143" s="601" t="s">
        <v>71</v>
      </c>
      <c r="H143" s="606"/>
      <c r="I143" s="212" t="s">
        <v>8</v>
      </c>
      <c r="J143" s="249" t="s">
        <v>61</v>
      </c>
      <c r="K143" s="215">
        <f>WORKDAY(L143,-INDEX(L$12:L$15,MATCH($I143,$I$12:$I$15,0)))</f>
        <v>46381</v>
      </c>
      <c r="L143" s="215">
        <f>WORKDAY(M143,-INDEX(M$12:M$15,MATCH($I143,$I$12:$I$15,0)))</f>
        <v>46386</v>
      </c>
      <c r="M143" s="215">
        <f>WORKDAY(N143,-INDEX(N$12:N$15,MATCH($I143,$I$12:$I$15,0)))</f>
        <v>46400</v>
      </c>
      <c r="N143" s="215">
        <f>WORKDAY(O143,-INDEX(O$12:O$15,MATCH($I143,$I$12:$I$15,0)))</f>
        <v>46401</v>
      </c>
      <c r="O143" s="215">
        <f>WORKDAY(R143,-INDEX(R$12:R$15,MATCH($I143,$I$12:$I$15,0)))</f>
        <v>46415</v>
      </c>
      <c r="P143" s="216">
        <f>U143-L143</f>
        <v>92</v>
      </c>
      <c r="Q143" s="217"/>
      <c r="R143" s="215">
        <f>WORKDAY(S143,-INDEX(S$12:S$15,MATCH($I143,$I$12:$I$15,0)))</f>
        <v>46429</v>
      </c>
      <c r="S143" s="215">
        <f>WORKDAY(T143,-INDEX(T$12:T$15,MATCH($I143,$I$12:$I$15,0)))</f>
        <v>46450</v>
      </c>
      <c r="T143" s="215">
        <f>WORKDAY(U143,-INDEX(U$12:U$15,MATCH($I143,$I$12:$I$15,0)))</f>
        <v>46464</v>
      </c>
      <c r="U143" s="215">
        <f>X143-Y143</f>
        <v>46478</v>
      </c>
      <c r="V143" s="215">
        <f>WORKDAY(U143,INDEX(V$12:V$15,MATCH($I143,$I$12:$I$15,0)))</f>
        <v>46482</v>
      </c>
      <c r="W143" s="218">
        <f>Y143/7</f>
        <v>8.5714285714285694</v>
      </c>
      <c r="X143" s="215">
        <f>Z143</f>
        <v>46538</v>
      </c>
      <c r="Y143" s="628">
        <v>60</v>
      </c>
      <c r="Z143" s="633">
        <v>46538</v>
      </c>
      <c r="AA143" s="633">
        <v>46538</v>
      </c>
      <c r="AB143" s="637">
        <f t="shared" ref="AB143" si="252">Z143-X144</f>
        <v>0</v>
      </c>
      <c r="AC143" s="220">
        <f>IF(ISERROR(LOOKUP(AC$16,$L143:$X143,#REF!)),0,(LOOKUP(AC$16,$L143:$X143,#REF!)))</f>
        <v>0</v>
      </c>
      <c r="AD143" s="221">
        <f>IF(ISERROR(LOOKUP(AD$16,$L143:$X143,#REF!)),0,(LOOKUP(AD$16,$L143:$X143,#REF!)))</f>
        <v>0</v>
      </c>
      <c r="AE143" s="221">
        <f>IF(ISERROR(LOOKUP(AE$16,$L143:$X143,#REF!)),0,(LOOKUP(AE$16,$L143:$X143,#REF!)))</f>
        <v>0</v>
      </c>
      <c r="AF143" s="221">
        <f>IF(ISERROR(LOOKUP(AF$16,$L143:$X143,#REF!)),0,(LOOKUP(AF$16,$L143:$X143,#REF!)))</f>
        <v>0</v>
      </c>
      <c r="AG143" s="221">
        <f>IF(ISERROR(LOOKUP(AG$16,$L143:$X143,#REF!)),0,(LOOKUP(AG$16,$L143:$X143,#REF!)))</f>
        <v>0</v>
      </c>
      <c r="AH143" s="221">
        <f>IF(ISERROR(LOOKUP(AH$16,$L143:$X143,#REF!)),0,(LOOKUP(AH$16,$L143:$X143,#REF!)))</f>
        <v>0</v>
      </c>
      <c r="AI143" s="221">
        <f>IF(ISERROR(LOOKUP(AI$16,$L143:$X143,#REF!)),0,(LOOKUP(AI$16,$L143:$X143,#REF!)))</f>
        <v>0</v>
      </c>
      <c r="AJ143" s="221">
        <f>IF(ISERROR(LOOKUP(AJ$16,$L143:$X143,#REF!)),0,(LOOKUP(AJ$16,$L143:$X143,#REF!)))</f>
        <v>0</v>
      </c>
      <c r="AK143" s="221">
        <f>IF(ISERROR(LOOKUP(AK$16,$L143:$X143,#REF!)),0,(LOOKUP(AK$16,$L143:$X143,#REF!)))</f>
        <v>0</v>
      </c>
      <c r="AL143" s="221">
        <f>IF(ISERROR(LOOKUP(AL$16,$L143:$X143,#REF!)),0,(LOOKUP(AL$16,$L143:$X143,#REF!)))</f>
        <v>0</v>
      </c>
      <c r="AM143" s="221">
        <f ca="1">IF(ISERROR(LOOKUP(AM$16,$L143:$X143,#REF!)),0,(LOOKUP(AM$16,$L143:$X143,#REF!)))</f>
        <v>0</v>
      </c>
      <c r="AP143" s="215" t="e">
        <f>WORKDAY(AQ143,-INDEX(AQ$12:AQ$15,MATCH($I143,$I$12:$I$15,0)),$AW$17:$AW$148)</f>
        <v>#REF!</v>
      </c>
      <c r="AQ143" s="215" t="e">
        <f>WORKDAY(U143,-INDEX(U$12:U$15,MATCH($I143,$I$12:$I$15,0)),$AW$17:$AW$148)</f>
        <v>#REF!</v>
      </c>
      <c r="AR143" s="215" t="e">
        <f>WORKDAY(U143,-INDEX(U$12:U$15,MATCH($I143,$I$12:$I$15,0)),$AW$17:$AW$148)</f>
        <v>#REF!</v>
      </c>
      <c r="AS143" s="638">
        <v>7</v>
      </c>
      <c r="AW143" s="223" t="e">
        <v>#REF!</v>
      </c>
    </row>
    <row r="144" spans="1:49" s="166" customFormat="1" ht="18" customHeight="1">
      <c r="A144" s="596"/>
      <c r="B144" s="599"/>
      <c r="C144" s="601" t="str">
        <f t="shared" ref="C144:I144" si="253">C143</f>
        <v>RFQ-043</v>
      </c>
      <c r="D144" s="601" t="str">
        <f t="shared" ref="D144:G144" si="254">D143</f>
        <v>Level Switch</v>
      </c>
      <c r="E144" s="224"/>
      <c r="F144" s="620" t="str">
        <f t="shared" si="254"/>
        <v>Instrument</v>
      </c>
      <c r="G144" s="601" t="str">
        <f t="shared" si="254"/>
        <v>N</v>
      </c>
      <c r="H144" s="607"/>
      <c r="I144" s="212" t="str">
        <f t="shared" si="253"/>
        <v>LC</v>
      </c>
      <c r="J144" s="249" t="s">
        <v>65</v>
      </c>
      <c r="K144" s="215">
        <f>K143</f>
        <v>46381</v>
      </c>
      <c r="L144" s="215">
        <f>WORKDAY(IF(K145="",K144,K145),INDEX(L$12:L$15,MATCH($I143,$I$12:$I$15,0)))</f>
        <v>46386</v>
      </c>
      <c r="M144" s="215">
        <f>WORKDAY(IF(L145="",L144,L145),INDEX(M$12:M$15,MATCH($I143,$I$12:$I$15,0)))</f>
        <v>46400</v>
      </c>
      <c r="N144" s="215">
        <f>WORKDAY(IF(M145="",M144,M145),INDEX(N$12:N$15,MATCH($I143,$I$12:$I$15,0)))</f>
        <v>46401</v>
      </c>
      <c r="O144" s="215">
        <f>WORKDAY(IF(N145="",N144,N145),INDEX(O$12:O$15,MATCH($I143,$I$12:$I$15,0)))</f>
        <v>46415</v>
      </c>
      <c r="P144" s="216"/>
      <c r="Q144" s="217"/>
      <c r="R144" s="215">
        <f>WORKDAY(IF(O145="",O144,O145),INDEX(R$12:R$15,MATCH($I143,$I$12:$I$15,0)))</f>
        <v>46429</v>
      </c>
      <c r="S144" s="215">
        <f>WORKDAY(IF(R145="",R144,R145),INDEX(S$12:S$15,MATCH($I143,$I$12:$I$15,0)))</f>
        <v>46450</v>
      </c>
      <c r="T144" s="215">
        <f>WORKDAY(IF(S145="",S144,S145),INDEX(T$12:T$15,MATCH($I143,$I$12:$I$15,0)))</f>
        <v>46464</v>
      </c>
      <c r="U144" s="215">
        <f>WORKDAY(IF(T145="",T144,T145),INDEX(U$12:U$15,MATCH($I143,$I$12:$I$15,0)))</f>
        <v>46478</v>
      </c>
      <c r="V144" s="215">
        <f>WORKDAY(IF(U145="",U144,U145),INDEX(V$12:V$15,MATCH($I143,$I$12:$I$15,0)))</f>
        <v>46482</v>
      </c>
      <c r="W144" s="218"/>
      <c r="X144" s="215">
        <f>U144+Y143</f>
        <v>46538</v>
      </c>
      <c r="Y144" s="628"/>
      <c r="Z144" s="633"/>
      <c r="AA144" s="633"/>
      <c r="AB144" s="637"/>
      <c r="AC144" s="220">
        <f>IF(ISERROR(LOOKUP(AC$16,$L144:$X144,#REF!)),0,(LOOKUP(AC$16,$L144:$X144,#REF!)))</f>
        <v>0</v>
      </c>
      <c r="AD144" s="221">
        <f>IF(ISERROR(LOOKUP(AD$16,$L144:$X144,#REF!)),0,(LOOKUP(AD$16,$L144:$X144,#REF!)))</f>
        <v>0</v>
      </c>
      <c r="AE144" s="221">
        <f>IF(ISERROR(LOOKUP(AE$16,$L144:$X144,#REF!)),0,(LOOKUP(AE$16,$L144:$X144,#REF!)))</f>
        <v>0</v>
      </c>
      <c r="AF144" s="221">
        <f>IF(ISERROR(LOOKUP(AF$16,$L144:$X144,#REF!)),0,(LOOKUP(AF$16,$L144:$X144,#REF!)))</f>
        <v>0</v>
      </c>
      <c r="AG144" s="221">
        <f>IF(ISERROR(LOOKUP(AG$16,$L144:$X144,#REF!)),0,(LOOKUP(AG$16,$L144:$X144,#REF!)))</f>
        <v>0</v>
      </c>
      <c r="AH144" s="221">
        <f>IF(ISERROR(LOOKUP(AH$16,$L144:$X144,#REF!)),0,(LOOKUP(AH$16,$L144:$X144,#REF!)))</f>
        <v>0</v>
      </c>
      <c r="AI144" s="221">
        <f>IF(ISERROR(LOOKUP(AI$16,$L144:$X144,#REF!)),0,(LOOKUP(AI$16,$L144:$X144,#REF!)))</f>
        <v>0</v>
      </c>
      <c r="AJ144" s="221">
        <f>IF(ISERROR(LOOKUP(AJ$16,$L144:$X144,#REF!)),0,(LOOKUP(AJ$16,$L144:$X144,#REF!)))</f>
        <v>0</v>
      </c>
      <c r="AK144" s="221">
        <f>IF(ISERROR(LOOKUP(AK$16,$L144:$X144,#REF!)),0,(LOOKUP(AK$16,$L144:$X144,#REF!)))</f>
        <v>0</v>
      </c>
      <c r="AL144" s="221">
        <f>IF(ISERROR(LOOKUP(AL$16,$L144:$X144,#REF!)),0,(LOOKUP(AL$16,$L144:$X144,#REF!)))</f>
        <v>0</v>
      </c>
      <c r="AM144" s="221">
        <f ca="1">IF(ISERROR(LOOKUP(AM$16,$L144:$X144,#REF!)),0,(LOOKUP(AM$16,$L144:$X144,#REF!)))</f>
        <v>0</v>
      </c>
      <c r="AP144" s="215" t="e">
        <f>WORKDAY(IF(T145="",T144,T145),INDEX(AP$12:AP$15,MATCH($I143,$I$12:$I$15,0)),$AW$17:$AW$148)</f>
        <v>#REF!</v>
      </c>
      <c r="AQ144" s="215" t="e">
        <f>WORKDAY(IF(AP145="",AP144,AP145),INDEX(AQ$12:AQ$15,MATCH($I143,$I$12:$I$15,0)),$AW$17:$AW$148)</f>
        <v>#REF!</v>
      </c>
      <c r="AR144" s="215" t="e">
        <f>WORKDAY(IF(AQ145="",AQ144,AQ145),INDEX(AR$12:AR$15,MATCH($I143,$I$12:$I$15,0)),$AW$17:$AW$148)</f>
        <v>#REF!</v>
      </c>
      <c r="AS144" s="638"/>
      <c r="AW144" s="223" t="e">
        <v>#REF!</v>
      </c>
    </row>
    <row r="145" spans="1:49" s="166" customFormat="1" ht="18" customHeight="1">
      <c r="A145" s="596"/>
      <c r="B145" s="600"/>
      <c r="C145" s="601" t="str">
        <f>C143</f>
        <v>RFQ-043</v>
      </c>
      <c r="D145" s="601" t="str">
        <f t="shared" ref="D145:I145" si="255">D143</f>
        <v>Level Switch</v>
      </c>
      <c r="E145" s="225"/>
      <c r="F145" s="621" t="str">
        <f t="shared" si="255"/>
        <v>Instrument</v>
      </c>
      <c r="G145" s="601" t="str">
        <f t="shared" ref="G145" si="256">G143</f>
        <v>N</v>
      </c>
      <c r="H145" s="608"/>
      <c r="I145" s="212" t="str">
        <f t="shared" si="255"/>
        <v>LC</v>
      </c>
      <c r="J145" s="249" t="s">
        <v>67</v>
      </c>
      <c r="K145" s="212"/>
      <c r="L145" s="212"/>
      <c r="M145" s="212"/>
      <c r="N145" s="212"/>
      <c r="O145" s="212"/>
      <c r="P145" s="226"/>
      <c r="Q145" s="227"/>
      <c r="R145" s="212"/>
      <c r="S145" s="212"/>
      <c r="T145" s="212"/>
      <c r="U145" s="212"/>
      <c r="V145" s="212"/>
      <c r="W145" s="228"/>
      <c r="X145" s="212"/>
      <c r="Y145" s="628"/>
      <c r="Z145" s="633"/>
      <c r="AA145" s="633"/>
      <c r="AB145" s="637"/>
      <c r="AC145" s="229">
        <f>IF(ISERROR(LOOKUP(AC$16,$L145:$X145,#REF!)),0,(LOOKUP(AC$16,$L145:$X145,#REF!)))</f>
        <v>0</v>
      </c>
      <c r="AD145" s="230">
        <f>IF(ISERROR(LOOKUP(AD$16,$L145:$X145,#REF!)),0,(LOOKUP(AD$16,$L145:$X145,#REF!)))</f>
        <v>0</v>
      </c>
      <c r="AE145" s="230">
        <f>IF(ISERROR(LOOKUP(AE$16,$L145:$X145,#REF!)),0,(LOOKUP(AE$16,$L145:$X145,#REF!)))</f>
        <v>0</v>
      </c>
      <c r="AF145" s="230">
        <f>IF(ISERROR(LOOKUP(AF$16,$L145:$X145,#REF!)),0,(LOOKUP(AF$16,$L145:$X145,#REF!)))</f>
        <v>0</v>
      </c>
      <c r="AG145" s="230">
        <f>IF(ISERROR(LOOKUP(AG$16,$L145:$X145,#REF!)),0,(LOOKUP(AG$16,$L145:$X145,#REF!)))</f>
        <v>0</v>
      </c>
      <c r="AH145" s="230">
        <f>IF(ISERROR(LOOKUP(AH$16,$L145:$X145,#REF!)),0,(LOOKUP(AH$16,$L145:$X145,#REF!)))</f>
        <v>0</v>
      </c>
      <c r="AI145" s="230">
        <f>IF(ISERROR(LOOKUP(AI$16,$L145:$X145,#REF!)),0,(LOOKUP(AI$16,$L145:$X145,#REF!)))</f>
        <v>0</v>
      </c>
      <c r="AJ145" s="230">
        <f>IF(ISERROR(LOOKUP(AJ$16,$L145:$X145,#REF!)),0,(LOOKUP(AJ$16,$L145:$X145,#REF!)))</f>
        <v>0</v>
      </c>
      <c r="AK145" s="230">
        <f>IF(ISERROR(LOOKUP(AK$16,$L145:$X145,#REF!)),0,(LOOKUP(AK$16,$L145:$X145,#REF!)))</f>
        <v>0</v>
      </c>
      <c r="AL145" s="230">
        <f>IF(ISERROR(LOOKUP(AL$16,$L145:$X145,#REF!)),0,(LOOKUP(AL$16,$L145:$X145,#REF!)))</f>
        <v>0</v>
      </c>
      <c r="AM145" s="230">
        <f ca="1">IF(ISERROR(LOOKUP(AM$16,$L145:$X145,#REF!)),0,(LOOKUP(AM$16,$L145:$X145,#REF!)))</f>
        <v>0</v>
      </c>
      <c r="AP145" s="212"/>
      <c r="AQ145" s="212"/>
      <c r="AR145" s="212"/>
      <c r="AS145" s="638"/>
      <c r="AW145" s="223" t="e">
        <v>#REF!</v>
      </c>
    </row>
    <row r="146" spans="1:49" s="166" customFormat="1" ht="18" customHeight="1">
      <c r="A146" s="596">
        <f t="shared" ref="A146" si="257">A143+1</f>
        <v>44</v>
      </c>
      <c r="B146" s="598"/>
      <c r="C146" s="601" t="s">
        <v>4781</v>
      </c>
      <c r="D146" s="601" t="s">
        <v>201</v>
      </c>
      <c r="E146" s="213"/>
      <c r="F146" s="619" t="s">
        <v>139</v>
      </c>
      <c r="G146" s="601" t="s">
        <v>71</v>
      </c>
      <c r="H146" s="606"/>
      <c r="I146" s="212" t="s">
        <v>8</v>
      </c>
      <c r="J146" s="249" t="s">
        <v>61</v>
      </c>
      <c r="K146" s="215">
        <f>WORKDAY(L146,-INDEX(L$12:L$15,MATCH($I146,$I$12:$I$15,0)))</f>
        <v>46381</v>
      </c>
      <c r="L146" s="215">
        <f>WORKDAY(M146,-INDEX(M$12:M$15,MATCH($I146,$I$12:$I$15,0)))</f>
        <v>46386</v>
      </c>
      <c r="M146" s="215">
        <f>WORKDAY(N146,-INDEX(N$12:N$15,MATCH($I146,$I$12:$I$15,0)))</f>
        <v>46400</v>
      </c>
      <c r="N146" s="215">
        <f>WORKDAY(O146,-INDEX(O$12:O$15,MATCH($I146,$I$12:$I$15,0)))</f>
        <v>46401</v>
      </c>
      <c r="O146" s="215">
        <f>WORKDAY(R146,-INDEX(R$12:R$15,MATCH($I146,$I$12:$I$15,0)))</f>
        <v>46415</v>
      </c>
      <c r="P146" s="216">
        <f>U146-L146</f>
        <v>92</v>
      </c>
      <c r="Q146" s="217"/>
      <c r="R146" s="215">
        <f>WORKDAY(S146,-INDEX(S$12:S$15,MATCH($I146,$I$12:$I$15,0)))</f>
        <v>46429</v>
      </c>
      <c r="S146" s="215">
        <f>WORKDAY(T146,-INDEX(T$12:T$15,MATCH($I146,$I$12:$I$15,0)))</f>
        <v>46450</v>
      </c>
      <c r="T146" s="215">
        <f>WORKDAY(U146,-INDEX(U$12:U$15,MATCH($I146,$I$12:$I$15,0)))</f>
        <v>46464</v>
      </c>
      <c r="U146" s="215">
        <f>X146-Y146</f>
        <v>46478</v>
      </c>
      <c r="V146" s="215">
        <f>WORKDAY(U146,INDEX(V$12:V$15,MATCH($I146,$I$12:$I$15,0)))</f>
        <v>46482</v>
      </c>
      <c r="W146" s="218">
        <f>Y146/7</f>
        <v>8.5714285714285694</v>
      </c>
      <c r="X146" s="215">
        <f>Z146</f>
        <v>46538</v>
      </c>
      <c r="Y146" s="628">
        <v>60</v>
      </c>
      <c r="Z146" s="633">
        <v>46538</v>
      </c>
      <c r="AA146" s="633">
        <v>46538</v>
      </c>
      <c r="AB146" s="637">
        <f t="shared" ref="AB146" si="258">Z146-X147</f>
        <v>0</v>
      </c>
      <c r="AC146" s="220">
        <f>IF(ISERROR(LOOKUP(AC$16,$L146:$X146,#REF!)),0,(LOOKUP(AC$16,$L146:$X146,#REF!)))</f>
        <v>0</v>
      </c>
      <c r="AD146" s="221">
        <f>IF(ISERROR(LOOKUP(AD$16,$L146:$X146,#REF!)),0,(LOOKUP(AD$16,$L146:$X146,#REF!)))</f>
        <v>0</v>
      </c>
      <c r="AE146" s="221">
        <f>IF(ISERROR(LOOKUP(AE$16,$L146:$X146,#REF!)),0,(LOOKUP(AE$16,$L146:$X146,#REF!)))</f>
        <v>0</v>
      </c>
      <c r="AF146" s="221">
        <f>IF(ISERROR(LOOKUP(AF$16,$L146:$X146,#REF!)),0,(LOOKUP(AF$16,$L146:$X146,#REF!)))</f>
        <v>0</v>
      </c>
      <c r="AG146" s="221">
        <f>IF(ISERROR(LOOKUP(AG$16,$L146:$X146,#REF!)),0,(LOOKUP(AG$16,$L146:$X146,#REF!)))</f>
        <v>0</v>
      </c>
      <c r="AH146" s="221">
        <f>IF(ISERROR(LOOKUP(AH$16,$L146:$X146,#REF!)),0,(LOOKUP(AH$16,$L146:$X146,#REF!)))</f>
        <v>0</v>
      </c>
      <c r="AI146" s="221">
        <f>IF(ISERROR(LOOKUP(AI$16,$L146:$X146,#REF!)),0,(LOOKUP(AI$16,$L146:$X146,#REF!)))</f>
        <v>0</v>
      </c>
      <c r="AJ146" s="221">
        <f>IF(ISERROR(LOOKUP(AJ$16,$L146:$X146,#REF!)),0,(LOOKUP(AJ$16,$L146:$X146,#REF!)))</f>
        <v>0</v>
      </c>
      <c r="AK146" s="221">
        <f>IF(ISERROR(LOOKUP(AK$16,$L146:$X146,#REF!)),0,(LOOKUP(AK$16,$L146:$X146,#REF!)))</f>
        <v>0</v>
      </c>
      <c r="AL146" s="221">
        <f>IF(ISERROR(LOOKUP(AL$16,$L146:$X146,#REF!)),0,(LOOKUP(AL$16,$L146:$X146,#REF!)))</f>
        <v>0</v>
      </c>
      <c r="AM146" s="221">
        <f ca="1">IF(ISERROR(LOOKUP(AM$16,$L146:$X146,#REF!)),0,(LOOKUP(AM$16,$L146:$X146,#REF!)))</f>
        <v>0</v>
      </c>
      <c r="AP146" s="215" t="e">
        <f>WORKDAY(AQ146,-INDEX(AQ$12:AQ$15,MATCH($I146,$I$12:$I$15,0)),$AW$17:$AW$148)</f>
        <v>#REF!</v>
      </c>
      <c r="AQ146" s="215" t="e">
        <f>WORKDAY(U146,-INDEX(U$12:U$15,MATCH($I146,$I$12:$I$15,0)),$AW$17:$AW$148)</f>
        <v>#REF!</v>
      </c>
      <c r="AR146" s="215" t="e">
        <f>WORKDAY(U146,-INDEX(U$12:U$15,MATCH($I146,$I$12:$I$15,0)),$AW$17:$AW$148)</f>
        <v>#REF!</v>
      </c>
      <c r="AS146" s="638">
        <v>7</v>
      </c>
      <c r="AW146" s="223" t="e">
        <v>#REF!</v>
      </c>
    </row>
    <row r="147" spans="1:49" s="166" customFormat="1" ht="18" customHeight="1">
      <c r="A147" s="596"/>
      <c r="B147" s="599"/>
      <c r="C147" s="601" t="str">
        <f t="shared" ref="C147:I147" si="259">C146</f>
        <v>RFQ-044</v>
      </c>
      <c r="D147" s="601" t="str">
        <f t="shared" ref="D147:G147" si="260">D146</f>
        <v>Flow Switch</v>
      </c>
      <c r="E147" s="224"/>
      <c r="F147" s="620" t="str">
        <f t="shared" si="260"/>
        <v>Instrument</v>
      </c>
      <c r="G147" s="601" t="str">
        <f t="shared" si="260"/>
        <v>N</v>
      </c>
      <c r="H147" s="607"/>
      <c r="I147" s="212" t="str">
        <f t="shared" si="259"/>
        <v>LC</v>
      </c>
      <c r="J147" s="249" t="s">
        <v>65</v>
      </c>
      <c r="K147" s="215">
        <f>K146</f>
        <v>46381</v>
      </c>
      <c r="L147" s="215">
        <f>WORKDAY(IF(K148="",K147,K148),INDEX(L$12:L$15,MATCH($I146,$I$12:$I$15,0)))</f>
        <v>46386</v>
      </c>
      <c r="M147" s="215">
        <f>WORKDAY(IF(L148="",L147,L148),INDEX(M$12:M$15,MATCH($I146,$I$12:$I$15,0)))</f>
        <v>46400</v>
      </c>
      <c r="N147" s="215">
        <f>WORKDAY(IF(M148="",M147,M148),INDEX(N$12:N$15,MATCH($I146,$I$12:$I$15,0)))</f>
        <v>46401</v>
      </c>
      <c r="O147" s="215">
        <f>WORKDAY(IF(N148="",N147,N148),INDEX(O$12:O$15,MATCH($I146,$I$12:$I$15,0)))</f>
        <v>46415</v>
      </c>
      <c r="P147" s="216"/>
      <c r="Q147" s="217"/>
      <c r="R147" s="215">
        <f>WORKDAY(IF(O148="",O147,O148),INDEX(R$12:R$15,MATCH($I146,$I$12:$I$15,0)))</f>
        <v>46429</v>
      </c>
      <c r="S147" s="215">
        <f>WORKDAY(IF(R148="",R147,R148),INDEX(S$12:S$15,MATCH($I146,$I$12:$I$15,0)))</f>
        <v>46450</v>
      </c>
      <c r="T147" s="215">
        <f>WORKDAY(IF(S148="",S147,S148),INDEX(T$12:T$15,MATCH($I146,$I$12:$I$15,0)))</f>
        <v>46464</v>
      </c>
      <c r="U147" s="215">
        <f>WORKDAY(IF(T148="",T147,T148),INDEX(U$12:U$15,MATCH($I146,$I$12:$I$15,0)))</f>
        <v>46478</v>
      </c>
      <c r="V147" s="215">
        <f>WORKDAY(IF(U148="",U147,U148),INDEX(V$12:V$15,MATCH($I146,$I$12:$I$15,0)))</f>
        <v>46482</v>
      </c>
      <c r="W147" s="218"/>
      <c r="X147" s="215">
        <f>U147+Y146</f>
        <v>46538</v>
      </c>
      <c r="Y147" s="628"/>
      <c r="Z147" s="633"/>
      <c r="AA147" s="633"/>
      <c r="AB147" s="637"/>
      <c r="AC147" s="220">
        <f>IF(ISERROR(LOOKUP(AC$16,$L147:$X147,#REF!)),0,(LOOKUP(AC$16,$L147:$X147,#REF!)))</f>
        <v>0</v>
      </c>
      <c r="AD147" s="221">
        <f>IF(ISERROR(LOOKUP(AD$16,$L147:$X147,#REF!)),0,(LOOKUP(AD$16,$L147:$X147,#REF!)))</f>
        <v>0</v>
      </c>
      <c r="AE147" s="221">
        <f>IF(ISERROR(LOOKUP(AE$16,$L147:$X147,#REF!)),0,(LOOKUP(AE$16,$L147:$X147,#REF!)))</f>
        <v>0</v>
      </c>
      <c r="AF147" s="221">
        <f>IF(ISERROR(LOOKUP(AF$16,$L147:$X147,#REF!)),0,(LOOKUP(AF$16,$L147:$X147,#REF!)))</f>
        <v>0</v>
      </c>
      <c r="AG147" s="221">
        <f>IF(ISERROR(LOOKUP(AG$16,$L147:$X147,#REF!)),0,(LOOKUP(AG$16,$L147:$X147,#REF!)))</f>
        <v>0</v>
      </c>
      <c r="AH147" s="221">
        <f>IF(ISERROR(LOOKUP(AH$16,$L147:$X147,#REF!)),0,(LOOKUP(AH$16,$L147:$X147,#REF!)))</f>
        <v>0</v>
      </c>
      <c r="AI147" s="221">
        <f>IF(ISERROR(LOOKUP(AI$16,$L147:$X147,#REF!)),0,(LOOKUP(AI$16,$L147:$X147,#REF!)))</f>
        <v>0</v>
      </c>
      <c r="AJ147" s="221">
        <f>IF(ISERROR(LOOKUP(AJ$16,$L147:$X147,#REF!)),0,(LOOKUP(AJ$16,$L147:$X147,#REF!)))</f>
        <v>0</v>
      </c>
      <c r="AK147" s="221">
        <f>IF(ISERROR(LOOKUP(AK$16,$L147:$X147,#REF!)),0,(LOOKUP(AK$16,$L147:$X147,#REF!)))</f>
        <v>0</v>
      </c>
      <c r="AL147" s="221">
        <f>IF(ISERROR(LOOKUP(AL$16,$L147:$X147,#REF!)),0,(LOOKUP(AL$16,$L147:$X147,#REF!)))</f>
        <v>0</v>
      </c>
      <c r="AM147" s="221">
        <f ca="1">IF(ISERROR(LOOKUP(AM$16,$L147:$X147,#REF!)),0,(LOOKUP(AM$16,$L147:$X147,#REF!)))</f>
        <v>0</v>
      </c>
      <c r="AP147" s="215" t="e">
        <f>WORKDAY(IF(T148="",T147,T148),INDEX(AP$12:AP$15,MATCH($I146,$I$12:$I$15,0)),$AW$17:$AW$148)</f>
        <v>#REF!</v>
      </c>
      <c r="AQ147" s="215" t="e">
        <f>WORKDAY(IF(AP148="",AP147,AP148),INDEX(AQ$12:AQ$15,MATCH($I146,$I$12:$I$15,0)),$AW$17:$AW$148)</f>
        <v>#REF!</v>
      </c>
      <c r="AR147" s="215" t="e">
        <f>WORKDAY(IF(AQ148="",AQ147,AQ148),INDEX(AR$12:AR$15,MATCH($I146,$I$12:$I$15,0)),$AW$17:$AW$148)</f>
        <v>#REF!</v>
      </c>
      <c r="AS147" s="638"/>
      <c r="AW147" s="223" t="e">
        <v>#REF!</v>
      </c>
    </row>
    <row r="148" spans="1:49" s="166" customFormat="1" ht="18" customHeight="1">
      <c r="A148" s="596"/>
      <c r="B148" s="600"/>
      <c r="C148" s="601" t="str">
        <f>C146</f>
        <v>RFQ-044</v>
      </c>
      <c r="D148" s="601" t="str">
        <f t="shared" ref="D148:I148" si="261">D146</f>
        <v>Flow Switch</v>
      </c>
      <c r="E148" s="225"/>
      <c r="F148" s="621" t="str">
        <f t="shared" si="261"/>
        <v>Instrument</v>
      </c>
      <c r="G148" s="601" t="str">
        <f t="shared" ref="G148" si="262">G146</f>
        <v>N</v>
      </c>
      <c r="H148" s="608"/>
      <c r="I148" s="212" t="str">
        <f t="shared" si="261"/>
        <v>LC</v>
      </c>
      <c r="J148" s="249" t="s">
        <v>67</v>
      </c>
      <c r="K148" s="212"/>
      <c r="L148" s="212"/>
      <c r="M148" s="212"/>
      <c r="N148" s="212"/>
      <c r="O148" s="212"/>
      <c r="P148" s="226"/>
      <c r="Q148" s="227"/>
      <c r="R148" s="212"/>
      <c r="S148" s="212"/>
      <c r="T148" s="212"/>
      <c r="U148" s="212"/>
      <c r="V148" s="212"/>
      <c r="W148" s="228"/>
      <c r="X148" s="212"/>
      <c r="Y148" s="628"/>
      <c r="Z148" s="633"/>
      <c r="AA148" s="633"/>
      <c r="AB148" s="637"/>
      <c r="AC148" s="229">
        <f>IF(ISERROR(LOOKUP(AC$16,$L148:$X148,#REF!)),0,(LOOKUP(AC$16,$L148:$X148,#REF!)))</f>
        <v>0</v>
      </c>
      <c r="AD148" s="230">
        <f>IF(ISERROR(LOOKUP(AD$16,$L148:$X148,#REF!)),0,(LOOKUP(AD$16,$L148:$X148,#REF!)))</f>
        <v>0</v>
      </c>
      <c r="AE148" s="230">
        <f>IF(ISERROR(LOOKUP(AE$16,$L148:$X148,#REF!)),0,(LOOKUP(AE$16,$L148:$X148,#REF!)))</f>
        <v>0</v>
      </c>
      <c r="AF148" s="230">
        <f>IF(ISERROR(LOOKUP(AF$16,$L148:$X148,#REF!)),0,(LOOKUP(AF$16,$L148:$X148,#REF!)))</f>
        <v>0</v>
      </c>
      <c r="AG148" s="230">
        <f>IF(ISERROR(LOOKUP(AG$16,$L148:$X148,#REF!)),0,(LOOKUP(AG$16,$L148:$X148,#REF!)))</f>
        <v>0</v>
      </c>
      <c r="AH148" s="230">
        <f>IF(ISERROR(LOOKUP(AH$16,$L148:$X148,#REF!)),0,(LOOKUP(AH$16,$L148:$X148,#REF!)))</f>
        <v>0</v>
      </c>
      <c r="AI148" s="230">
        <f>IF(ISERROR(LOOKUP(AI$16,$L148:$X148,#REF!)),0,(LOOKUP(AI$16,$L148:$X148,#REF!)))</f>
        <v>0</v>
      </c>
      <c r="AJ148" s="230">
        <f>IF(ISERROR(LOOKUP(AJ$16,$L148:$X148,#REF!)),0,(LOOKUP(AJ$16,$L148:$X148,#REF!)))</f>
        <v>0</v>
      </c>
      <c r="AK148" s="230">
        <f>IF(ISERROR(LOOKUP(AK$16,$L148:$X148,#REF!)),0,(LOOKUP(AK$16,$L148:$X148,#REF!)))</f>
        <v>0</v>
      </c>
      <c r="AL148" s="230">
        <f>IF(ISERROR(LOOKUP(AL$16,$L148:$X148,#REF!)),0,(LOOKUP(AL$16,$L148:$X148,#REF!)))</f>
        <v>0</v>
      </c>
      <c r="AM148" s="230">
        <f ca="1">IF(ISERROR(LOOKUP(AM$16,$L148:$X148,#REF!)),0,(LOOKUP(AM$16,$L148:$X148,#REF!)))</f>
        <v>0</v>
      </c>
      <c r="AP148" s="212"/>
      <c r="AQ148" s="212"/>
      <c r="AR148" s="212"/>
      <c r="AS148" s="638"/>
      <c r="AW148" s="223" t="e">
        <v>#REF!</v>
      </c>
    </row>
    <row r="149" spans="1:49" s="166" customFormat="1" ht="18" customHeight="1">
      <c r="A149" s="596">
        <f t="shared" ref="A149" si="263">A146+1</f>
        <v>45</v>
      </c>
      <c r="B149" s="598"/>
      <c r="C149" s="601" t="s">
        <v>4782</v>
      </c>
      <c r="D149" s="601" t="s">
        <v>203</v>
      </c>
      <c r="E149" s="213"/>
      <c r="F149" s="619" t="s">
        <v>126</v>
      </c>
      <c r="G149" s="601" t="s">
        <v>71</v>
      </c>
      <c r="H149" s="606"/>
      <c r="I149" s="212" t="s">
        <v>7</v>
      </c>
      <c r="J149" s="249" t="s">
        <v>61</v>
      </c>
      <c r="K149" s="215">
        <f>WORKDAY(L149,-INDEX(L$12:L$15,MATCH($I149,$I$12:$I$15,0)))</f>
        <v>46209</v>
      </c>
      <c r="L149" s="215">
        <f>WORKDAY(M149,-INDEX(M$12:M$15,MATCH($I149,$I$12:$I$15,0)))</f>
        <v>46210</v>
      </c>
      <c r="M149" s="215">
        <f>WORKDAY(N149,-INDEX(N$12:N$15,MATCH($I149,$I$12:$I$15,0)))</f>
        <v>46217</v>
      </c>
      <c r="N149" s="215">
        <f>WORKDAY(O149,-INDEX(O$12:O$15,MATCH($I149,$I$12:$I$15,0)))</f>
        <v>46218</v>
      </c>
      <c r="O149" s="215">
        <f>WORKDAY(R149,-INDEX(R$12:R$15,MATCH($I149,$I$12:$I$15,0)))</f>
        <v>46225</v>
      </c>
      <c r="P149" s="216">
        <f>U149-L149</f>
        <v>76</v>
      </c>
      <c r="Q149" s="217"/>
      <c r="R149" s="215">
        <f>WORKDAY(S149,-INDEX(S$12:S$15,MATCH($I149,$I$12:$I$15,0)))</f>
        <v>46239</v>
      </c>
      <c r="S149" s="215">
        <f>WORKDAY(T149,-INDEX(T$12:T$15,MATCH($I149,$I$12:$I$15,0)))</f>
        <v>46267</v>
      </c>
      <c r="T149" s="215">
        <f>WORKDAY(U149,-INDEX(U$12:U$15,MATCH($I149,$I$12:$I$15,0)))</f>
        <v>46272</v>
      </c>
      <c r="U149" s="215">
        <f>X149-Y149</f>
        <v>46286</v>
      </c>
      <c r="V149" s="215">
        <f>WORKDAY(U149,INDEX(V$12:V$15,MATCH($I149,$I$12:$I$15,0)))</f>
        <v>46288</v>
      </c>
      <c r="W149" s="218">
        <f>Y149/7</f>
        <v>36</v>
      </c>
      <c r="X149" s="215">
        <f>Z149</f>
        <v>46538</v>
      </c>
      <c r="Y149" s="628">
        <f>36*7</f>
        <v>252</v>
      </c>
      <c r="Z149" s="633">
        <v>46538</v>
      </c>
      <c r="AA149" s="633">
        <v>46538</v>
      </c>
      <c r="AB149" s="637">
        <f t="shared" ref="AB149" si="264">Z149-X150</f>
        <v>0</v>
      </c>
      <c r="AC149" s="220">
        <f>IF(ISERROR(LOOKUP(AC$16,$L149:$X149,#REF!)),0,(LOOKUP(AC$16,$L149:$X149,#REF!)))</f>
        <v>0</v>
      </c>
      <c r="AD149" s="221">
        <f>IF(ISERROR(LOOKUP(AD$16,$L149:$X149,#REF!)),0,(LOOKUP(AD$16,$L149:$X149,#REF!)))</f>
        <v>0</v>
      </c>
      <c r="AE149" s="221">
        <f>IF(ISERROR(LOOKUP(AE$16,$L149:$X149,#REF!)),0,(LOOKUP(AE$16,$L149:$X149,#REF!)))</f>
        <v>0</v>
      </c>
      <c r="AF149" s="221">
        <f>IF(ISERROR(LOOKUP(AF$16,$L149:$X149,#REF!)),0,(LOOKUP(AF$16,$L149:$X149,#REF!)))</f>
        <v>0</v>
      </c>
      <c r="AG149" s="221">
        <f>IF(ISERROR(LOOKUP(AG$16,$L149:$X149,#REF!)),0,(LOOKUP(AG$16,$L149:$X149,#REF!)))</f>
        <v>0</v>
      </c>
      <c r="AH149" s="221">
        <f>IF(ISERROR(LOOKUP(AH$16,$L149:$X149,#REF!)),0,(LOOKUP(AH$16,$L149:$X149,#REF!)))</f>
        <v>0</v>
      </c>
      <c r="AI149" s="221">
        <f>IF(ISERROR(LOOKUP(AI$16,$L149:$X149,#REF!)),0,(LOOKUP(AI$16,$L149:$X149,#REF!)))</f>
        <v>0</v>
      </c>
      <c r="AJ149" s="221">
        <f>IF(ISERROR(LOOKUP(AJ$16,$L149:$X149,#REF!)),0,(LOOKUP(AJ$16,$L149:$X149,#REF!)))</f>
        <v>0</v>
      </c>
      <c r="AK149" s="221">
        <f>IF(ISERROR(LOOKUP(AK$16,$L149:$X149,#REF!)),0,(LOOKUP(AK$16,$L149:$X149,#REF!)))</f>
        <v>0</v>
      </c>
      <c r="AL149" s="221">
        <f>IF(ISERROR(LOOKUP(AL$16,$L149:$X149,#REF!)),0,(LOOKUP(AL$16,$L149:$X149,#REF!)))</f>
        <v>0</v>
      </c>
      <c r="AM149" s="221">
        <f ca="1">IF(ISERROR(LOOKUP(AM$16,$L149:$X149,#REF!)),0,(LOOKUP(AM$16,$L149:$X149,#REF!)))</f>
        <v>0</v>
      </c>
      <c r="AP149" s="215" t="e">
        <f>WORKDAY(AQ149,-INDEX(AQ$12:AQ$15,MATCH($I149,$I$12:$I$15,0)),$AW$17:$AW$148)</f>
        <v>#REF!</v>
      </c>
      <c r="AQ149" s="215" t="e">
        <f>WORKDAY(U149,-INDEX(U$12:U$15,MATCH($I149,$I$12:$I$15,0)),$AW$17:$AW$148)</f>
        <v>#REF!</v>
      </c>
      <c r="AR149" s="215" t="e">
        <f>WORKDAY(U149,-INDEX(U$12:U$15,MATCH($I149,$I$12:$I$15,0)),$AW$17:$AW$148)</f>
        <v>#REF!</v>
      </c>
      <c r="AS149" s="638">
        <v>7</v>
      </c>
      <c r="AW149" s="223" t="e">
        <v>#REF!</v>
      </c>
    </row>
    <row r="150" spans="1:49" s="166" customFormat="1" ht="18" customHeight="1">
      <c r="A150" s="596"/>
      <c r="B150" s="599"/>
      <c r="C150" s="601" t="str">
        <f t="shared" ref="C150:I150" si="265">C149</f>
        <v>RFQ-045</v>
      </c>
      <c r="D150" s="601" t="str">
        <f t="shared" ref="D150:G150" si="266">D149</f>
        <v>SCADA System</v>
      </c>
      <c r="E150" s="224"/>
      <c r="F150" s="620" t="str">
        <f t="shared" si="266"/>
        <v>Electrical</v>
      </c>
      <c r="G150" s="601" t="str">
        <f t="shared" si="266"/>
        <v>N</v>
      </c>
      <c r="H150" s="607"/>
      <c r="I150" s="212" t="str">
        <f t="shared" si="265"/>
        <v>LB</v>
      </c>
      <c r="J150" s="249" t="s">
        <v>65</v>
      </c>
      <c r="K150" s="215">
        <f>K149</f>
        <v>46209</v>
      </c>
      <c r="L150" s="215">
        <f>WORKDAY(IF(K151="",K150,K151),INDEX(L$12:L$15,MATCH($I149,$I$12:$I$15,0)))</f>
        <v>46210</v>
      </c>
      <c r="M150" s="215">
        <f>WORKDAY(IF(L151="",L150,L151),INDEX(M$12:M$15,MATCH($I149,$I$12:$I$15,0)))</f>
        <v>46217</v>
      </c>
      <c r="N150" s="215">
        <f>WORKDAY(IF(M151="",M150,M151),INDEX(N$12:N$15,MATCH($I149,$I$12:$I$15,0)))</f>
        <v>46218</v>
      </c>
      <c r="O150" s="215">
        <f>WORKDAY(IF(N151="",N150,N151),INDEX(O$12:O$15,MATCH($I149,$I$12:$I$15,0)))</f>
        <v>46225</v>
      </c>
      <c r="P150" s="216"/>
      <c r="Q150" s="217"/>
      <c r="R150" s="215">
        <f>WORKDAY(IF(O151="",O150,O151),INDEX(R$12:R$15,MATCH($I149,$I$12:$I$15,0)))</f>
        <v>46239</v>
      </c>
      <c r="S150" s="215">
        <f>WORKDAY(IF(R151="",R150,R151),INDEX(S$12:S$15,MATCH($I149,$I$12:$I$15,0)))</f>
        <v>46267</v>
      </c>
      <c r="T150" s="215">
        <f>WORKDAY(IF(S151="",S150,S151),INDEX(T$12:T$15,MATCH($I149,$I$12:$I$15,0)))</f>
        <v>46272</v>
      </c>
      <c r="U150" s="215">
        <f>WORKDAY(IF(T151="",T150,T151),INDEX(U$12:U$15,MATCH($I149,$I$12:$I$15,0)))</f>
        <v>46286</v>
      </c>
      <c r="V150" s="215">
        <f>WORKDAY(IF(U151="",U150,U151),INDEX(V$12:V$15,MATCH($I149,$I$12:$I$15,0)))</f>
        <v>46288</v>
      </c>
      <c r="W150" s="218"/>
      <c r="X150" s="215">
        <f>U150+Y149</f>
        <v>46538</v>
      </c>
      <c r="Y150" s="628"/>
      <c r="Z150" s="633"/>
      <c r="AA150" s="633"/>
      <c r="AB150" s="637"/>
      <c r="AC150" s="220">
        <f>IF(ISERROR(LOOKUP(AC$16,$L150:$X150,#REF!)),0,(LOOKUP(AC$16,$L150:$X150,#REF!)))</f>
        <v>0</v>
      </c>
      <c r="AD150" s="221">
        <f>IF(ISERROR(LOOKUP(AD$16,$L150:$X150,#REF!)),0,(LOOKUP(AD$16,$L150:$X150,#REF!)))</f>
        <v>0</v>
      </c>
      <c r="AE150" s="221">
        <f>IF(ISERROR(LOOKUP(AE$16,$L150:$X150,#REF!)),0,(LOOKUP(AE$16,$L150:$X150,#REF!)))</f>
        <v>0</v>
      </c>
      <c r="AF150" s="221">
        <f>IF(ISERROR(LOOKUP(AF$16,$L150:$X150,#REF!)),0,(LOOKUP(AF$16,$L150:$X150,#REF!)))</f>
        <v>0</v>
      </c>
      <c r="AG150" s="221">
        <f>IF(ISERROR(LOOKUP(AG$16,$L150:$X150,#REF!)),0,(LOOKUP(AG$16,$L150:$X150,#REF!)))</f>
        <v>0</v>
      </c>
      <c r="AH150" s="221">
        <f>IF(ISERROR(LOOKUP(AH$16,$L150:$X150,#REF!)),0,(LOOKUP(AH$16,$L150:$X150,#REF!)))</f>
        <v>0</v>
      </c>
      <c r="AI150" s="221">
        <f>IF(ISERROR(LOOKUP(AI$16,$L150:$X150,#REF!)),0,(LOOKUP(AI$16,$L150:$X150,#REF!)))</f>
        <v>0</v>
      </c>
      <c r="AJ150" s="221">
        <f>IF(ISERROR(LOOKUP(AJ$16,$L150:$X150,#REF!)),0,(LOOKUP(AJ$16,$L150:$X150,#REF!)))</f>
        <v>0</v>
      </c>
      <c r="AK150" s="221">
        <f>IF(ISERROR(LOOKUP(AK$16,$L150:$X150,#REF!)),0,(LOOKUP(AK$16,$L150:$X150,#REF!)))</f>
        <v>0</v>
      </c>
      <c r="AL150" s="221">
        <f>IF(ISERROR(LOOKUP(AL$16,$L150:$X150,#REF!)),0,(LOOKUP(AL$16,$L150:$X150,#REF!)))</f>
        <v>0</v>
      </c>
      <c r="AM150" s="221">
        <f ca="1">IF(ISERROR(LOOKUP(AM$16,$L150:$X150,#REF!)),0,(LOOKUP(AM$16,$L150:$X150,#REF!)))</f>
        <v>0</v>
      </c>
      <c r="AP150" s="215" t="e">
        <f>WORKDAY(IF(T151="",T150,T151),INDEX(AP$12:AP$15,MATCH($I149,$I$12:$I$15,0)),$AW$17:$AW$148)</f>
        <v>#REF!</v>
      </c>
      <c r="AQ150" s="215" t="e">
        <f>WORKDAY(IF(AP151="",AP150,AP151),INDEX(AQ$12:AQ$15,MATCH($I149,$I$12:$I$15,0)),$AW$17:$AW$148)</f>
        <v>#REF!</v>
      </c>
      <c r="AR150" s="215" t="e">
        <f>WORKDAY(IF(AQ151="",AQ150,AQ151),INDEX(AR$12:AR$15,MATCH($I149,$I$12:$I$15,0)),$AW$17:$AW$148)</f>
        <v>#REF!</v>
      </c>
      <c r="AS150" s="638"/>
      <c r="AW150" s="223" t="e">
        <v>#REF!</v>
      </c>
    </row>
    <row r="151" spans="1:49" s="166" customFormat="1" ht="18" customHeight="1">
      <c r="A151" s="596"/>
      <c r="B151" s="600"/>
      <c r="C151" s="601" t="str">
        <f>C149</f>
        <v>RFQ-045</v>
      </c>
      <c r="D151" s="601" t="str">
        <f t="shared" ref="D151:I151" si="267">D149</f>
        <v>SCADA System</v>
      </c>
      <c r="E151" s="225"/>
      <c r="F151" s="621" t="str">
        <f t="shared" si="267"/>
        <v>Electrical</v>
      </c>
      <c r="G151" s="601" t="str">
        <f t="shared" ref="G151" si="268">G149</f>
        <v>N</v>
      </c>
      <c r="H151" s="608"/>
      <c r="I151" s="212" t="str">
        <f t="shared" si="267"/>
        <v>LB</v>
      </c>
      <c r="J151" s="249" t="s">
        <v>67</v>
      </c>
      <c r="K151" s="212"/>
      <c r="L151" s="212"/>
      <c r="M151" s="212"/>
      <c r="N151" s="212"/>
      <c r="O151" s="212"/>
      <c r="P151" s="226"/>
      <c r="Q151" s="227"/>
      <c r="R151" s="212"/>
      <c r="S151" s="212"/>
      <c r="T151" s="212"/>
      <c r="U151" s="212"/>
      <c r="V151" s="212"/>
      <c r="W151" s="228"/>
      <c r="X151" s="212"/>
      <c r="Y151" s="628"/>
      <c r="Z151" s="633"/>
      <c r="AA151" s="633"/>
      <c r="AB151" s="637"/>
      <c r="AC151" s="229">
        <f>IF(ISERROR(LOOKUP(AC$16,$L151:$X151,#REF!)),0,(LOOKUP(AC$16,$L151:$X151,#REF!)))</f>
        <v>0</v>
      </c>
      <c r="AD151" s="230">
        <f>IF(ISERROR(LOOKUP(AD$16,$L151:$X151,#REF!)),0,(LOOKUP(AD$16,$L151:$X151,#REF!)))</f>
        <v>0</v>
      </c>
      <c r="AE151" s="230">
        <f>IF(ISERROR(LOOKUP(AE$16,$L151:$X151,#REF!)),0,(LOOKUP(AE$16,$L151:$X151,#REF!)))</f>
        <v>0</v>
      </c>
      <c r="AF151" s="230">
        <f>IF(ISERROR(LOOKUP(AF$16,$L151:$X151,#REF!)),0,(LOOKUP(AF$16,$L151:$X151,#REF!)))</f>
        <v>0</v>
      </c>
      <c r="AG151" s="230">
        <f>IF(ISERROR(LOOKUP(AG$16,$L151:$X151,#REF!)),0,(LOOKUP(AG$16,$L151:$X151,#REF!)))</f>
        <v>0</v>
      </c>
      <c r="AH151" s="230">
        <f>IF(ISERROR(LOOKUP(AH$16,$L151:$X151,#REF!)),0,(LOOKUP(AH$16,$L151:$X151,#REF!)))</f>
        <v>0</v>
      </c>
      <c r="AI151" s="230">
        <f>IF(ISERROR(LOOKUP(AI$16,$L151:$X151,#REF!)),0,(LOOKUP(AI$16,$L151:$X151,#REF!)))</f>
        <v>0</v>
      </c>
      <c r="AJ151" s="230">
        <f>IF(ISERROR(LOOKUP(AJ$16,$L151:$X151,#REF!)),0,(LOOKUP(AJ$16,$L151:$X151,#REF!)))</f>
        <v>0</v>
      </c>
      <c r="AK151" s="230">
        <f>IF(ISERROR(LOOKUP(AK$16,$L151:$X151,#REF!)),0,(LOOKUP(AK$16,$L151:$X151,#REF!)))</f>
        <v>0</v>
      </c>
      <c r="AL151" s="230">
        <f>IF(ISERROR(LOOKUP(AL$16,$L151:$X151,#REF!)),0,(LOOKUP(AL$16,$L151:$X151,#REF!)))</f>
        <v>0</v>
      </c>
      <c r="AM151" s="230">
        <f ca="1">IF(ISERROR(LOOKUP(AM$16,$L151:$X151,#REF!)),0,(LOOKUP(AM$16,$L151:$X151,#REF!)))</f>
        <v>0</v>
      </c>
      <c r="AP151" s="212"/>
      <c r="AQ151" s="212"/>
      <c r="AR151" s="212"/>
      <c r="AS151" s="638"/>
      <c r="AW151" s="223" t="e">
        <v>#REF!</v>
      </c>
    </row>
    <row r="152" spans="1:49" s="166" customFormat="1" ht="18" customHeight="1">
      <c r="A152" s="596">
        <f t="shared" ref="A152" si="269">A149+1</f>
        <v>46</v>
      </c>
      <c r="B152" s="598"/>
      <c r="C152" s="601" t="s">
        <v>4783</v>
      </c>
      <c r="D152" s="601" t="s">
        <v>4784</v>
      </c>
      <c r="E152" s="213"/>
      <c r="F152" s="619" t="s">
        <v>207</v>
      </c>
      <c r="G152" s="601" t="s">
        <v>60</v>
      </c>
      <c r="H152" s="606"/>
      <c r="I152" s="212" t="s">
        <v>8</v>
      </c>
      <c r="J152" s="249" t="s">
        <v>61</v>
      </c>
      <c r="K152" s="215">
        <f>WORKDAY(L152,-INDEX(L$12:L$15,MATCH($I152,$I$12:$I$15,0)))</f>
        <v>46147</v>
      </c>
      <c r="L152" s="215">
        <f>WORKDAY(M152,-INDEX(M$12:M$15,MATCH($I152,$I$12:$I$15,0)))</f>
        <v>46150</v>
      </c>
      <c r="M152" s="215">
        <f>WORKDAY(N152,-INDEX(N$12:N$15,MATCH($I152,$I$12:$I$15,0)))</f>
        <v>46164</v>
      </c>
      <c r="N152" s="215">
        <f>WORKDAY(O152,-INDEX(O$12:O$15,MATCH($I152,$I$12:$I$15,0)))</f>
        <v>46167</v>
      </c>
      <c r="O152" s="215">
        <f>WORKDAY(R152,-INDEX(R$12:R$15,MATCH($I152,$I$12:$I$15,0)))</f>
        <v>46181</v>
      </c>
      <c r="P152" s="216">
        <f>U152-L152</f>
        <v>94</v>
      </c>
      <c r="Q152" s="217"/>
      <c r="R152" s="215">
        <f>WORKDAY(S152,-INDEX(S$12:S$15,MATCH($I152,$I$12:$I$15,0)))</f>
        <v>46195</v>
      </c>
      <c r="S152" s="215">
        <f>WORKDAY(T152,-INDEX(T$12:T$15,MATCH($I152,$I$12:$I$15,0)))</f>
        <v>46216</v>
      </c>
      <c r="T152" s="215">
        <f>WORKDAY(U152,-INDEX(U$12:U$15,MATCH($I152,$I$12:$I$15,0)))</f>
        <v>46230</v>
      </c>
      <c r="U152" s="215">
        <f>X152-Y152</f>
        <v>46244</v>
      </c>
      <c r="V152" s="215">
        <f>WORKDAY(U152,INDEX(V$12:V$15,MATCH($I152,$I$12:$I$15,0)))</f>
        <v>46246</v>
      </c>
      <c r="W152" s="218">
        <f>Y152/7</f>
        <v>42</v>
      </c>
      <c r="X152" s="215">
        <f>Z152</f>
        <v>46538</v>
      </c>
      <c r="Y152" s="628">
        <v>294</v>
      </c>
      <c r="Z152" s="633">
        <v>46538</v>
      </c>
      <c r="AA152" s="633">
        <v>46538</v>
      </c>
      <c r="AB152" s="637">
        <f t="shared" ref="AB152" si="270">Z152-X153</f>
        <v>0</v>
      </c>
      <c r="AC152" s="220">
        <f>IF(ISERROR(LOOKUP(AC$16,$L152:$X152,#REF!)),0,(LOOKUP(AC$16,$L152:$X152,#REF!)))</f>
        <v>0</v>
      </c>
      <c r="AD152" s="221">
        <f>IF(ISERROR(LOOKUP(AD$16,$L152:$X152,#REF!)),0,(LOOKUP(AD$16,$L152:$X152,#REF!)))</f>
        <v>0</v>
      </c>
      <c r="AE152" s="221">
        <f>IF(ISERROR(LOOKUP(AE$16,$L152:$X152,#REF!)),0,(LOOKUP(AE$16,$L152:$X152,#REF!)))</f>
        <v>0</v>
      </c>
      <c r="AF152" s="221">
        <f>IF(ISERROR(LOOKUP(AF$16,$L152:$X152,#REF!)),0,(LOOKUP(AF$16,$L152:$X152,#REF!)))</f>
        <v>0</v>
      </c>
      <c r="AG152" s="221">
        <f>IF(ISERROR(LOOKUP(AG$16,$L152:$X152,#REF!)),0,(LOOKUP(AG$16,$L152:$X152,#REF!)))</f>
        <v>0</v>
      </c>
      <c r="AH152" s="221">
        <f>IF(ISERROR(LOOKUP(AH$16,$L152:$X152,#REF!)),0,(LOOKUP(AH$16,$L152:$X152,#REF!)))</f>
        <v>0</v>
      </c>
      <c r="AI152" s="221">
        <f>IF(ISERROR(LOOKUP(AI$16,$L152:$X152,#REF!)),0,(LOOKUP(AI$16,$L152:$X152,#REF!)))</f>
        <v>0</v>
      </c>
      <c r="AJ152" s="221">
        <f>IF(ISERROR(LOOKUP(AJ$16,$L152:$X152,#REF!)),0,(LOOKUP(AJ$16,$L152:$X152,#REF!)))</f>
        <v>0</v>
      </c>
      <c r="AK152" s="221">
        <f>IF(ISERROR(LOOKUP(AK$16,$L152:$X152,#REF!)),0,(LOOKUP(AK$16,$L152:$X152,#REF!)))</f>
        <v>0</v>
      </c>
      <c r="AL152" s="221">
        <f>IF(ISERROR(LOOKUP(AL$16,$L152:$X152,#REF!)),0,(LOOKUP(AL$16,$L152:$X152,#REF!)))</f>
        <v>0</v>
      </c>
      <c r="AM152" s="221">
        <f ca="1">IF(ISERROR(LOOKUP(AM$16,$L152:$X152,#REF!)),0,(LOOKUP(AM$16,$L152:$X152,#REF!)))</f>
        <v>0</v>
      </c>
      <c r="AP152" s="215" t="e">
        <f>WORKDAY(AQ152,-INDEX(AQ$12:AQ$15,MATCH($I152,$I$12:$I$15,0)),$AW$17:$AW$148)</f>
        <v>#REF!</v>
      </c>
      <c r="AQ152" s="215" t="e">
        <f>WORKDAY(U152,-INDEX(U$12:U$15,MATCH($I152,$I$12:$I$15,0)),$AW$17:$AW$148)</f>
        <v>#REF!</v>
      </c>
      <c r="AR152" s="215" t="e">
        <f>WORKDAY(U152,-INDEX(U$12:U$15,MATCH($I152,$I$12:$I$15,0)),$AW$17:$AW$148)</f>
        <v>#REF!</v>
      </c>
      <c r="AS152" s="638">
        <v>7</v>
      </c>
      <c r="AW152" s="223" t="e">
        <v>#REF!</v>
      </c>
    </row>
    <row r="153" spans="1:49" s="166" customFormat="1" ht="18" customHeight="1">
      <c r="A153" s="596"/>
      <c r="B153" s="599"/>
      <c r="C153" s="601" t="str">
        <f t="shared" ref="C153" si="271">C152</f>
        <v>RFQ-046</v>
      </c>
      <c r="D153" s="601" t="str">
        <f t="shared" ref="D153:I153" si="272">D152</f>
        <v>Telecommunication System (WiMAX, Telephone, Marine Radio)</v>
      </c>
      <c r="E153" s="224"/>
      <c r="F153" s="620" t="str">
        <f t="shared" si="272"/>
        <v>Telecommunication</v>
      </c>
      <c r="G153" s="601" t="str">
        <f t="shared" si="272"/>
        <v>Y</v>
      </c>
      <c r="H153" s="607"/>
      <c r="I153" s="212" t="str">
        <f t="shared" si="272"/>
        <v>LC</v>
      </c>
      <c r="J153" s="249" t="s">
        <v>65</v>
      </c>
      <c r="K153" s="215">
        <f>K152</f>
        <v>46147</v>
      </c>
      <c r="L153" s="215">
        <f>WORKDAY(IF(K154="",K153,K154),INDEX(L$12:L$15,MATCH($I152,$I$12:$I$15,0)))</f>
        <v>46150</v>
      </c>
      <c r="M153" s="215">
        <f>WORKDAY(IF(L154="",L153,L154),INDEX(M$12:M$15,MATCH($I152,$I$12:$I$15,0)))</f>
        <v>46164</v>
      </c>
      <c r="N153" s="215">
        <f>WORKDAY(IF(M154="",M153,M154),INDEX(N$12:N$15,MATCH($I152,$I$12:$I$15,0)))</f>
        <v>46167</v>
      </c>
      <c r="O153" s="215">
        <f>WORKDAY(IF(N154="",N153,N154),INDEX(O$12:O$15,MATCH($I152,$I$12:$I$15,0)))</f>
        <v>46181</v>
      </c>
      <c r="P153" s="216"/>
      <c r="Q153" s="217"/>
      <c r="R153" s="215">
        <f>WORKDAY(IF(O154="",O153,O154),INDEX(R$12:R$15,MATCH($I152,$I$12:$I$15,0)))</f>
        <v>46195</v>
      </c>
      <c r="S153" s="215">
        <f>WORKDAY(IF(R154="",R153,R154),INDEX(S$12:S$15,MATCH($I152,$I$12:$I$15,0)))</f>
        <v>46216</v>
      </c>
      <c r="T153" s="215">
        <f>WORKDAY(IF(S154="",S153,S154),INDEX(T$12:T$15,MATCH($I152,$I$12:$I$15,0)))</f>
        <v>46230</v>
      </c>
      <c r="U153" s="215">
        <f>WORKDAY(IF(T154="",T153,T154),INDEX(U$12:U$15,MATCH($I152,$I$12:$I$15,0)))</f>
        <v>46244</v>
      </c>
      <c r="V153" s="215">
        <f>WORKDAY(IF(U154="",U153,U154),INDEX(V$12:V$15,MATCH($I152,$I$12:$I$15,0)))</f>
        <v>46246</v>
      </c>
      <c r="W153" s="218"/>
      <c r="X153" s="215">
        <f>U153+Y152</f>
        <v>46538</v>
      </c>
      <c r="Y153" s="628"/>
      <c r="Z153" s="633"/>
      <c r="AA153" s="633"/>
      <c r="AB153" s="637"/>
      <c r="AC153" s="220">
        <f>IF(ISERROR(LOOKUP(AC$16,$L153:$X153,#REF!)),0,(LOOKUP(AC$16,$L153:$X153,#REF!)))</f>
        <v>0</v>
      </c>
      <c r="AD153" s="221">
        <f>IF(ISERROR(LOOKUP(AD$16,$L153:$X153,#REF!)),0,(LOOKUP(AD$16,$L153:$X153,#REF!)))</f>
        <v>0</v>
      </c>
      <c r="AE153" s="221">
        <f>IF(ISERROR(LOOKUP(AE$16,$L153:$X153,#REF!)),0,(LOOKUP(AE$16,$L153:$X153,#REF!)))</f>
        <v>0</v>
      </c>
      <c r="AF153" s="221">
        <f>IF(ISERROR(LOOKUP(AF$16,$L153:$X153,#REF!)),0,(LOOKUP(AF$16,$L153:$X153,#REF!)))</f>
        <v>0</v>
      </c>
      <c r="AG153" s="221">
        <f>IF(ISERROR(LOOKUP(AG$16,$L153:$X153,#REF!)),0,(LOOKUP(AG$16,$L153:$X153,#REF!)))</f>
        <v>0</v>
      </c>
      <c r="AH153" s="221">
        <f>IF(ISERROR(LOOKUP(AH$16,$L153:$X153,#REF!)),0,(LOOKUP(AH$16,$L153:$X153,#REF!)))</f>
        <v>0</v>
      </c>
      <c r="AI153" s="221">
        <f>IF(ISERROR(LOOKUP(AI$16,$L153:$X153,#REF!)),0,(LOOKUP(AI$16,$L153:$X153,#REF!)))</f>
        <v>0</v>
      </c>
      <c r="AJ153" s="221">
        <f>IF(ISERROR(LOOKUP(AJ$16,$L153:$X153,#REF!)),0,(LOOKUP(AJ$16,$L153:$X153,#REF!)))</f>
        <v>0</v>
      </c>
      <c r="AK153" s="221">
        <f>IF(ISERROR(LOOKUP(AK$16,$L153:$X153,#REF!)),0,(LOOKUP(AK$16,$L153:$X153,#REF!)))</f>
        <v>0</v>
      </c>
      <c r="AL153" s="221">
        <f>IF(ISERROR(LOOKUP(AL$16,$L153:$X153,#REF!)),0,(LOOKUP(AL$16,$L153:$X153,#REF!)))</f>
        <v>0</v>
      </c>
      <c r="AM153" s="221">
        <f ca="1">IF(ISERROR(LOOKUP(AM$16,$L153:$X153,#REF!)),0,(LOOKUP(AM$16,$L153:$X153,#REF!)))</f>
        <v>0</v>
      </c>
      <c r="AP153" s="215" t="e">
        <f>WORKDAY(IF(T154="",T153,T154),INDEX(AP$12:AP$15,MATCH($I152,$I$12:$I$15,0)),$AW$17:$AW$148)</f>
        <v>#REF!</v>
      </c>
      <c r="AQ153" s="215" t="e">
        <f>WORKDAY(IF(AP154="",AP153,AP154),INDEX(AQ$12:AQ$15,MATCH($I152,$I$12:$I$15,0)),$AW$17:$AW$148)</f>
        <v>#REF!</v>
      </c>
      <c r="AR153" s="215" t="e">
        <f>WORKDAY(IF(AQ154="",AQ153,AQ154),INDEX(AR$12:AR$15,MATCH($I152,$I$12:$I$15,0)),$AW$17:$AW$148)</f>
        <v>#REF!</v>
      </c>
      <c r="AS153" s="638"/>
      <c r="AW153" s="223" t="e">
        <v>#REF!</v>
      </c>
    </row>
    <row r="154" spans="1:49" s="166" customFormat="1" ht="18" customHeight="1">
      <c r="A154" s="596"/>
      <c r="B154" s="600"/>
      <c r="C154" s="601" t="str">
        <f>C152</f>
        <v>RFQ-046</v>
      </c>
      <c r="D154" s="601" t="str">
        <f t="shared" ref="D154:I154" si="273">D152</f>
        <v>Telecommunication System (WiMAX, Telephone, Marine Radio)</v>
      </c>
      <c r="E154" s="225"/>
      <c r="F154" s="621" t="str">
        <f t="shared" si="273"/>
        <v>Telecommunication</v>
      </c>
      <c r="G154" s="601" t="str">
        <f t="shared" ref="G154" si="274">G152</f>
        <v>Y</v>
      </c>
      <c r="H154" s="608"/>
      <c r="I154" s="212" t="str">
        <f t="shared" si="273"/>
        <v>LC</v>
      </c>
      <c r="J154" s="249" t="s">
        <v>67</v>
      </c>
      <c r="K154" s="212"/>
      <c r="L154" s="212"/>
      <c r="M154" s="212"/>
      <c r="N154" s="212"/>
      <c r="O154" s="212"/>
      <c r="P154" s="226"/>
      <c r="Q154" s="227"/>
      <c r="R154" s="212"/>
      <c r="S154" s="212"/>
      <c r="T154" s="212"/>
      <c r="U154" s="212"/>
      <c r="V154" s="212"/>
      <c r="W154" s="228"/>
      <c r="X154" s="212"/>
      <c r="Y154" s="628"/>
      <c r="Z154" s="633"/>
      <c r="AA154" s="633"/>
      <c r="AB154" s="637"/>
      <c r="AC154" s="229">
        <f>IF(ISERROR(LOOKUP(AC$16,$L154:$X154,#REF!)),0,(LOOKUP(AC$16,$L154:$X154,#REF!)))</f>
        <v>0</v>
      </c>
      <c r="AD154" s="230">
        <f>IF(ISERROR(LOOKUP(AD$16,$L154:$X154,#REF!)),0,(LOOKUP(AD$16,$L154:$X154,#REF!)))</f>
        <v>0</v>
      </c>
      <c r="AE154" s="230">
        <f>IF(ISERROR(LOOKUP(AE$16,$L154:$X154,#REF!)),0,(LOOKUP(AE$16,$L154:$X154,#REF!)))</f>
        <v>0</v>
      </c>
      <c r="AF154" s="230">
        <f>IF(ISERROR(LOOKUP(AF$16,$L154:$X154,#REF!)),0,(LOOKUP(AF$16,$L154:$X154,#REF!)))</f>
        <v>0</v>
      </c>
      <c r="AG154" s="230">
        <f>IF(ISERROR(LOOKUP(AG$16,$L154:$X154,#REF!)),0,(LOOKUP(AG$16,$L154:$X154,#REF!)))</f>
        <v>0</v>
      </c>
      <c r="AH154" s="230">
        <f>IF(ISERROR(LOOKUP(AH$16,$L154:$X154,#REF!)),0,(LOOKUP(AH$16,$L154:$X154,#REF!)))</f>
        <v>0</v>
      </c>
      <c r="AI154" s="230">
        <f>IF(ISERROR(LOOKUP(AI$16,$L154:$X154,#REF!)),0,(LOOKUP(AI$16,$L154:$X154,#REF!)))</f>
        <v>0</v>
      </c>
      <c r="AJ154" s="230">
        <f>IF(ISERROR(LOOKUP(AJ$16,$L154:$X154,#REF!)),0,(LOOKUP(AJ$16,$L154:$X154,#REF!)))</f>
        <v>0</v>
      </c>
      <c r="AK154" s="230">
        <f>IF(ISERROR(LOOKUP(AK$16,$L154:$X154,#REF!)),0,(LOOKUP(AK$16,$L154:$X154,#REF!)))</f>
        <v>0</v>
      </c>
      <c r="AL154" s="230">
        <f>IF(ISERROR(LOOKUP(AL$16,$L154:$X154,#REF!)),0,(LOOKUP(AL$16,$L154:$X154,#REF!)))</f>
        <v>0</v>
      </c>
      <c r="AM154" s="230">
        <f ca="1">IF(ISERROR(LOOKUP(AM$16,$L154:$X154,#REF!)),0,(LOOKUP(AM$16,$L154:$X154,#REF!)))</f>
        <v>0</v>
      </c>
      <c r="AP154" s="212"/>
      <c r="AQ154" s="212"/>
      <c r="AR154" s="212"/>
      <c r="AS154" s="638"/>
      <c r="AW154" s="223" t="e">
        <v>#REF!</v>
      </c>
    </row>
    <row r="155" spans="1:49" s="166" customFormat="1" ht="18" customHeight="1">
      <c r="A155" s="596">
        <f t="shared" ref="A155" si="275">A152+1</f>
        <v>47</v>
      </c>
      <c r="B155" s="598"/>
      <c r="C155" s="601" t="s">
        <v>4785</v>
      </c>
      <c r="D155" s="601" t="s">
        <v>210</v>
      </c>
      <c r="E155" s="213"/>
      <c r="F155" s="619" t="s">
        <v>207</v>
      </c>
      <c r="G155" s="601" t="s">
        <v>71</v>
      </c>
      <c r="H155" s="606"/>
      <c r="I155" s="212" t="s">
        <v>8</v>
      </c>
      <c r="J155" s="249" t="s">
        <v>61</v>
      </c>
      <c r="K155" s="215">
        <f>WORKDAY(L155,-INDEX(L$12:L$15,MATCH($I155,$I$12:$I$15,0)))</f>
        <v>46268</v>
      </c>
      <c r="L155" s="215">
        <f>WORKDAY(M155,-INDEX(M$12:M$15,MATCH($I155,$I$12:$I$15,0)))</f>
        <v>46273</v>
      </c>
      <c r="M155" s="215">
        <f>WORKDAY(N155,-INDEX(N$12:N$15,MATCH($I155,$I$12:$I$15,0)))</f>
        <v>46287</v>
      </c>
      <c r="N155" s="215">
        <f>WORKDAY(O155,-INDEX(O$12:O$15,MATCH($I155,$I$12:$I$15,0)))</f>
        <v>46288</v>
      </c>
      <c r="O155" s="215">
        <f>WORKDAY(R155,-INDEX(R$12:R$15,MATCH($I155,$I$12:$I$15,0)))</f>
        <v>46302</v>
      </c>
      <c r="P155" s="216">
        <f>U155-L155</f>
        <v>92</v>
      </c>
      <c r="Q155" s="217"/>
      <c r="R155" s="215">
        <f>WORKDAY(S155,-INDEX(S$12:S$15,MATCH($I155,$I$12:$I$15,0)))</f>
        <v>46316</v>
      </c>
      <c r="S155" s="215">
        <f>WORKDAY(T155,-INDEX(T$12:T$15,MATCH($I155,$I$12:$I$15,0)))</f>
        <v>46337</v>
      </c>
      <c r="T155" s="215">
        <f>WORKDAY(U155,-INDEX(U$12:U$15,MATCH($I155,$I$12:$I$15,0)))</f>
        <v>46351</v>
      </c>
      <c r="U155" s="215">
        <f>X155-Y155</f>
        <v>46365</v>
      </c>
      <c r="V155" s="215">
        <f>WORKDAY(U155,INDEX(V$12:V$15,MATCH($I155,$I$12:$I$15,0)))</f>
        <v>46367</v>
      </c>
      <c r="W155" s="218">
        <f>Y155/7</f>
        <v>16</v>
      </c>
      <c r="X155" s="215">
        <f>Z155</f>
        <v>46477</v>
      </c>
      <c r="Y155" s="628">
        <f>16*7</f>
        <v>112</v>
      </c>
      <c r="Z155" s="633">
        <v>46477</v>
      </c>
      <c r="AA155" s="633">
        <v>46477</v>
      </c>
      <c r="AB155" s="637">
        <f t="shared" ref="AB155" si="276">Z155-X156</f>
        <v>0</v>
      </c>
      <c r="AC155" s="220">
        <f>IF(ISERROR(LOOKUP(AC$16,$L155:$X155,#REF!)),0,(LOOKUP(AC$16,$L155:$X155,#REF!)))</f>
        <v>0</v>
      </c>
      <c r="AD155" s="221">
        <f>IF(ISERROR(LOOKUP(AD$16,$L155:$X155,#REF!)),0,(LOOKUP(AD$16,$L155:$X155,#REF!)))</f>
        <v>0</v>
      </c>
      <c r="AE155" s="221">
        <f>IF(ISERROR(LOOKUP(AE$16,$L155:$X155,#REF!)),0,(LOOKUP(AE$16,$L155:$X155,#REF!)))</f>
        <v>0</v>
      </c>
      <c r="AF155" s="221">
        <f>IF(ISERROR(LOOKUP(AF$16,$L155:$X155,#REF!)),0,(LOOKUP(AF$16,$L155:$X155,#REF!)))</f>
        <v>0</v>
      </c>
      <c r="AG155" s="221">
        <f>IF(ISERROR(LOOKUP(AG$16,$L155:$X155,#REF!)),0,(LOOKUP(AG$16,$L155:$X155,#REF!)))</f>
        <v>0</v>
      </c>
      <c r="AH155" s="221">
        <f>IF(ISERROR(LOOKUP(AH$16,$L155:$X155,#REF!)),0,(LOOKUP(AH$16,$L155:$X155,#REF!)))</f>
        <v>0</v>
      </c>
      <c r="AI155" s="221">
        <f>IF(ISERROR(LOOKUP(AI$16,$L155:$X155,#REF!)),0,(LOOKUP(AI$16,$L155:$X155,#REF!)))</f>
        <v>0</v>
      </c>
      <c r="AJ155" s="221">
        <f>IF(ISERROR(LOOKUP(AJ$16,$L155:$X155,#REF!)),0,(LOOKUP(AJ$16,$L155:$X155,#REF!)))</f>
        <v>0</v>
      </c>
      <c r="AK155" s="221">
        <f>IF(ISERROR(LOOKUP(AK$16,$L155:$X155,#REF!)),0,(LOOKUP(AK$16,$L155:$X155,#REF!)))</f>
        <v>0</v>
      </c>
      <c r="AL155" s="221">
        <f>IF(ISERROR(LOOKUP(AL$16,$L155:$X155,#REF!)),0,(LOOKUP(AL$16,$L155:$X155,#REF!)))</f>
        <v>0</v>
      </c>
      <c r="AM155" s="221">
        <f ca="1">IF(ISERROR(LOOKUP(AM$16,$L155:$X155,#REF!)),0,(LOOKUP(AM$16,$L155:$X155,#REF!)))</f>
        <v>0</v>
      </c>
      <c r="AP155" s="215" t="e">
        <f>WORKDAY(AQ155,-INDEX(AQ$12:AQ$15,MATCH($I155,$I$12:$I$15,0)),$AW$17:$AW$148)</f>
        <v>#REF!</v>
      </c>
      <c r="AQ155" s="215" t="e">
        <f>WORKDAY(U155,-INDEX(U$12:U$15,MATCH($I155,$I$12:$I$15,0)),$AW$17:$AW$148)</f>
        <v>#REF!</v>
      </c>
      <c r="AR155" s="215" t="e">
        <f>WORKDAY(U155,-INDEX(U$12:U$15,MATCH($I155,$I$12:$I$15,0)),$AW$17:$AW$148)</f>
        <v>#REF!</v>
      </c>
      <c r="AS155" s="638">
        <v>7</v>
      </c>
      <c r="AW155" s="223" t="e">
        <v>#REF!</v>
      </c>
    </row>
    <row r="156" spans="1:49" s="166" customFormat="1" ht="18" customHeight="1">
      <c r="A156" s="596"/>
      <c r="B156" s="599"/>
      <c r="C156" s="601" t="str">
        <f t="shared" ref="C156" si="277">C155</f>
        <v>RFQ-047</v>
      </c>
      <c r="D156" s="601" t="s">
        <v>210</v>
      </c>
      <c r="E156" s="224"/>
      <c r="F156" s="620" t="str">
        <f t="shared" ref="F156:G156" si="278">F155</f>
        <v>Telecommunication</v>
      </c>
      <c r="G156" s="601" t="str">
        <f t="shared" si="278"/>
        <v>N</v>
      </c>
      <c r="H156" s="607"/>
      <c r="I156" s="212" t="str">
        <f t="shared" ref="I156" si="279">I155</f>
        <v>LC</v>
      </c>
      <c r="J156" s="249" t="s">
        <v>65</v>
      </c>
      <c r="K156" s="215">
        <f>K155</f>
        <v>46268</v>
      </c>
      <c r="L156" s="215">
        <f>WORKDAY(IF(K157="",K156,K157),INDEX(L$12:L$15,MATCH($I155,$I$12:$I$15,0)))</f>
        <v>46273</v>
      </c>
      <c r="M156" s="215">
        <f>WORKDAY(IF(L157="",L156,L157),INDEX(M$12:M$15,MATCH($I155,$I$12:$I$15,0)))</f>
        <v>46287</v>
      </c>
      <c r="N156" s="215">
        <f>WORKDAY(IF(M157="",M156,M157),INDEX(N$12:N$15,MATCH($I155,$I$12:$I$15,0)))</f>
        <v>46288</v>
      </c>
      <c r="O156" s="215">
        <f>WORKDAY(IF(N157="",N156,N157),INDEX(O$12:O$15,MATCH($I155,$I$12:$I$15,0)))</f>
        <v>46302</v>
      </c>
      <c r="P156" s="216"/>
      <c r="Q156" s="217"/>
      <c r="R156" s="215">
        <f>WORKDAY(IF(O157="",O156,O157),INDEX(R$12:R$15,MATCH($I155,$I$12:$I$15,0)))</f>
        <v>46316</v>
      </c>
      <c r="S156" s="215">
        <f>WORKDAY(IF(R157="",R156,R157),INDEX(S$12:S$15,MATCH($I155,$I$12:$I$15,0)))</f>
        <v>46337</v>
      </c>
      <c r="T156" s="215">
        <f>WORKDAY(IF(S157="",S156,S157),INDEX(T$12:T$15,MATCH($I155,$I$12:$I$15,0)))</f>
        <v>46351</v>
      </c>
      <c r="U156" s="215">
        <f>WORKDAY(IF(T157="",T156,T157),INDEX(U$12:U$15,MATCH($I155,$I$12:$I$15,0)))</f>
        <v>46365</v>
      </c>
      <c r="V156" s="215">
        <f>WORKDAY(IF(U157="",U156,U157),INDEX(V$12:V$15,MATCH($I155,$I$12:$I$15,0)))</f>
        <v>46367</v>
      </c>
      <c r="W156" s="218"/>
      <c r="X156" s="215">
        <f>U156+Y155</f>
        <v>46477</v>
      </c>
      <c r="Y156" s="628"/>
      <c r="Z156" s="633"/>
      <c r="AA156" s="633"/>
      <c r="AB156" s="637"/>
      <c r="AC156" s="220">
        <f>IF(ISERROR(LOOKUP(AC$16,$L156:$X156,#REF!)),0,(LOOKUP(AC$16,$L156:$X156,#REF!)))</f>
        <v>0</v>
      </c>
      <c r="AD156" s="221">
        <f>IF(ISERROR(LOOKUP(AD$16,$L156:$X156,#REF!)),0,(LOOKUP(AD$16,$L156:$X156,#REF!)))</f>
        <v>0</v>
      </c>
      <c r="AE156" s="221">
        <f>IF(ISERROR(LOOKUP(AE$16,$L156:$X156,#REF!)),0,(LOOKUP(AE$16,$L156:$X156,#REF!)))</f>
        <v>0</v>
      </c>
      <c r="AF156" s="221">
        <f>IF(ISERROR(LOOKUP(AF$16,$L156:$X156,#REF!)),0,(LOOKUP(AF$16,$L156:$X156,#REF!)))</f>
        <v>0</v>
      </c>
      <c r="AG156" s="221">
        <f>IF(ISERROR(LOOKUP(AG$16,$L156:$X156,#REF!)),0,(LOOKUP(AG$16,$L156:$X156,#REF!)))</f>
        <v>0</v>
      </c>
      <c r="AH156" s="221">
        <f>IF(ISERROR(LOOKUP(AH$16,$L156:$X156,#REF!)),0,(LOOKUP(AH$16,$L156:$X156,#REF!)))</f>
        <v>0</v>
      </c>
      <c r="AI156" s="221">
        <f>IF(ISERROR(LOOKUP(AI$16,$L156:$X156,#REF!)),0,(LOOKUP(AI$16,$L156:$X156,#REF!)))</f>
        <v>0</v>
      </c>
      <c r="AJ156" s="221">
        <f>IF(ISERROR(LOOKUP(AJ$16,$L156:$X156,#REF!)),0,(LOOKUP(AJ$16,$L156:$X156,#REF!)))</f>
        <v>0</v>
      </c>
      <c r="AK156" s="221">
        <f>IF(ISERROR(LOOKUP(AK$16,$L156:$X156,#REF!)),0,(LOOKUP(AK$16,$L156:$X156,#REF!)))</f>
        <v>0</v>
      </c>
      <c r="AL156" s="221">
        <f>IF(ISERROR(LOOKUP(AL$16,$L156:$X156,#REF!)),0,(LOOKUP(AL$16,$L156:$X156,#REF!)))</f>
        <v>0</v>
      </c>
      <c r="AM156" s="221">
        <f ca="1">IF(ISERROR(LOOKUP(AM$16,$L156:$X156,#REF!)),0,(LOOKUP(AM$16,$L156:$X156,#REF!)))</f>
        <v>0</v>
      </c>
      <c r="AP156" s="215" t="e">
        <f>WORKDAY(IF(T157="",T156,T157),INDEX(AP$12:AP$15,MATCH($I155,$I$12:$I$15,0)),$AW$17:$AW$148)</f>
        <v>#REF!</v>
      </c>
      <c r="AQ156" s="215" t="e">
        <f>WORKDAY(IF(AP157="",AP156,AP157),INDEX(AQ$12:AQ$15,MATCH($I155,$I$12:$I$15,0)),$AW$17:$AW$148)</f>
        <v>#REF!</v>
      </c>
      <c r="AR156" s="215" t="e">
        <f>WORKDAY(IF(AQ157="",AQ156,AQ157),INDEX(AR$12:AR$15,MATCH($I155,$I$12:$I$15,0)),$AW$17:$AW$148)</f>
        <v>#REF!</v>
      </c>
      <c r="AS156" s="638"/>
      <c r="AW156" s="223" t="e">
        <v>#REF!</v>
      </c>
    </row>
    <row r="157" spans="1:49" s="166" customFormat="1" ht="18" customHeight="1">
      <c r="A157" s="596"/>
      <c r="B157" s="600"/>
      <c r="C157" s="601" t="str">
        <f>C155</f>
        <v>RFQ-047</v>
      </c>
      <c r="D157" s="601" t="str">
        <f t="shared" ref="D157:I157" si="280">D155</f>
        <v>Marine Racon</v>
      </c>
      <c r="E157" s="225"/>
      <c r="F157" s="621" t="str">
        <f t="shared" si="280"/>
        <v>Telecommunication</v>
      </c>
      <c r="G157" s="601" t="str">
        <f t="shared" ref="G157" si="281">G155</f>
        <v>N</v>
      </c>
      <c r="H157" s="608"/>
      <c r="I157" s="212" t="str">
        <f t="shared" si="280"/>
        <v>LC</v>
      </c>
      <c r="J157" s="249" t="s">
        <v>67</v>
      </c>
      <c r="K157" s="212"/>
      <c r="L157" s="212"/>
      <c r="M157" s="212"/>
      <c r="N157" s="212"/>
      <c r="O157" s="212"/>
      <c r="P157" s="226"/>
      <c r="Q157" s="227"/>
      <c r="R157" s="212"/>
      <c r="S157" s="212"/>
      <c r="T157" s="212"/>
      <c r="U157" s="212"/>
      <c r="V157" s="212"/>
      <c r="W157" s="228"/>
      <c r="X157" s="212"/>
      <c r="Y157" s="628"/>
      <c r="Z157" s="633"/>
      <c r="AA157" s="633"/>
      <c r="AB157" s="637"/>
      <c r="AC157" s="229">
        <f>IF(ISERROR(LOOKUP(AC$16,$L157:$X157,#REF!)),0,(LOOKUP(AC$16,$L157:$X157,#REF!)))</f>
        <v>0</v>
      </c>
      <c r="AD157" s="230">
        <f>IF(ISERROR(LOOKUP(AD$16,$L157:$X157,#REF!)),0,(LOOKUP(AD$16,$L157:$X157,#REF!)))</f>
        <v>0</v>
      </c>
      <c r="AE157" s="230">
        <f>IF(ISERROR(LOOKUP(AE$16,$L157:$X157,#REF!)),0,(LOOKUP(AE$16,$L157:$X157,#REF!)))</f>
        <v>0</v>
      </c>
      <c r="AF157" s="230">
        <f>IF(ISERROR(LOOKUP(AF$16,$L157:$X157,#REF!)),0,(LOOKUP(AF$16,$L157:$X157,#REF!)))</f>
        <v>0</v>
      </c>
      <c r="AG157" s="230">
        <f>IF(ISERROR(LOOKUP(AG$16,$L157:$X157,#REF!)),0,(LOOKUP(AG$16,$L157:$X157,#REF!)))</f>
        <v>0</v>
      </c>
      <c r="AH157" s="230">
        <f>IF(ISERROR(LOOKUP(AH$16,$L157:$X157,#REF!)),0,(LOOKUP(AH$16,$L157:$X157,#REF!)))</f>
        <v>0</v>
      </c>
      <c r="AI157" s="230">
        <f>IF(ISERROR(LOOKUP(AI$16,$L157:$X157,#REF!)),0,(LOOKUP(AI$16,$L157:$X157,#REF!)))</f>
        <v>0</v>
      </c>
      <c r="AJ157" s="230">
        <f>IF(ISERROR(LOOKUP(AJ$16,$L157:$X157,#REF!)),0,(LOOKUP(AJ$16,$L157:$X157,#REF!)))</f>
        <v>0</v>
      </c>
      <c r="AK157" s="230">
        <f>IF(ISERROR(LOOKUP(AK$16,$L157:$X157,#REF!)),0,(LOOKUP(AK$16,$L157:$X157,#REF!)))</f>
        <v>0</v>
      </c>
      <c r="AL157" s="230">
        <f>IF(ISERROR(LOOKUP(AL$16,$L157:$X157,#REF!)),0,(LOOKUP(AL$16,$L157:$X157,#REF!)))</f>
        <v>0</v>
      </c>
      <c r="AM157" s="230">
        <f ca="1">IF(ISERROR(LOOKUP(AM$16,$L157:$X157,#REF!)),0,(LOOKUP(AM$16,$L157:$X157,#REF!)))</f>
        <v>0</v>
      </c>
      <c r="AP157" s="212"/>
      <c r="AQ157" s="212"/>
      <c r="AR157" s="212"/>
      <c r="AS157" s="638"/>
      <c r="AW157" s="223" t="e">
        <v>#REF!</v>
      </c>
    </row>
    <row r="158" spans="1:49" s="166" customFormat="1" ht="18" customHeight="1">
      <c r="A158" s="596">
        <f t="shared" ref="A158" si="282">A155+1</f>
        <v>48</v>
      </c>
      <c r="B158" s="598"/>
      <c r="C158" s="601" t="s">
        <v>4786</v>
      </c>
      <c r="D158" s="601" t="s">
        <v>213</v>
      </c>
      <c r="E158" s="212"/>
      <c r="F158" s="601" t="s">
        <v>83</v>
      </c>
      <c r="G158" s="601" t="s">
        <v>71</v>
      </c>
      <c r="H158" s="606"/>
      <c r="I158" s="212" t="s">
        <v>8</v>
      </c>
      <c r="J158" s="249" t="s">
        <v>61</v>
      </c>
      <c r="K158" s="215">
        <f>WORKDAY(L158,-INDEX(L$12:L$15,MATCH($I158,$I$12:$I$15,0)))</f>
        <v>46168</v>
      </c>
      <c r="L158" s="215">
        <f>WORKDAY(M158,-INDEX(M$12:M$15,MATCH($I158,$I$12:$I$15,0)))</f>
        <v>46171</v>
      </c>
      <c r="M158" s="215">
        <f>WORKDAY(N158,-INDEX(N$12:N$15,MATCH($I158,$I$12:$I$15,0)))</f>
        <v>46185</v>
      </c>
      <c r="N158" s="215">
        <f>WORKDAY(O158,-INDEX(O$12:O$15,MATCH($I158,$I$12:$I$15,0)))</f>
        <v>46188</v>
      </c>
      <c r="O158" s="215">
        <f>WORKDAY(R158,-INDEX(R$12:R$15,MATCH($I158,$I$12:$I$15,0)))</f>
        <v>46202</v>
      </c>
      <c r="P158" s="216">
        <f>U158-L158</f>
        <v>93</v>
      </c>
      <c r="Q158" s="217"/>
      <c r="R158" s="215">
        <f>WORKDAY(S158,-INDEX(S$12:S$15,MATCH($I158,$I$12:$I$15,0)))</f>
        <v>46216</v>
      </c>
      <c r="S158" s="215">
        <f>WORKDAY(T158,-INDEX(T$12:T$15,MATCH($I158,$I$12:$I$15,0)))</f>
        <v>46237</v>
      </c>
      <c r="T158" s="215">
        <f>WORKDAY(U158,-INDEX(U$12:U$15,MATCH($I158,$I$12:$I$15,0)))</f>
        <v>46251</v>
      </c>
      <c r="U158" s="215">
        <f>X158-Y158</f>
        <v>46264</v>
      </c>
      <c r="V158" s="215">
        <f>WORKDAY(U158,INDEX(V$12:V$15,MATCH($I158,$I$12:$I$15,0)))</f>
        <v>46266</v>
      </c>
      <c r="W158" s="218">
        <f>Y158/7</f>
        <v>26.1428571428571</v>
      </c>
      <c r="X158" s="215">
        <f>Z158</f>
        <v>46447</v>
      </c>
      <c r="Y158" s="628">
        <v>183</v>
      </c>
      <c r="Z158" s="633">
        <v>46447</v>
      </c>
      <c r="AA158" s="633">
        <v>46538</v>
      </c>
      <c r="AB158" s="637">
        <f t="shared" ref="AB158" si="283">Z158-X159</f>
        <v>0</v>
      </c>
      <c r="AC158" s="220">
        <f>IF(ISERROR(LOOKUP(AC$16,$L158:$X158,#REF!)),0,(LOOKUP(AC$16,$L158:$X158,#REF!)))</f>
        <v>0</v>
      </c>
      <c r="AD158" s="221">
        <f>IF(ISERROR(LOOKUP(AD$16,$L158:$X158,#REF!)),0,(LOOKUP(AD$16,$L158:$X158,#REF!)))</f>
        <v>0</v>
      </c>
      <c r="AE158" s="221">
        <f>IF(ISERROR(LOOKUP(AE$16,$L158:$X158,#REF!)),0,(LOOKUP(AE$16,$L158:$X158,#REF!)))</f>
        <v>0</v>
      </c>
      <c r="AF158" s="221">
        <f>IF(ISERROR(LOOKUP(AF$16,$L158:$X158,#REF!)),0,(LOOKUP(AF$16,$L158:$X158,#REF!)))</f>
        <v>0</v>
      </c>
      <c r="AG158" s="221">
        <f>IF(ISERROR(LOOKUP(AG$16,$L158:$X158,#REF!)),0,(LOOKUP(AG$16,$L158:$X158,#REF!)))</f>
        <v>0</v>
      </c>
      <c r="AH158" s="221">
        <f>IF(ISERROR(LOOKUP(AH$16,$L158:$X158,#REF!)),0,(LOOKUP(AH$16,$L158:$X158,#REF!)))</f>
        <v>0</v>
      </c>
      <c r="AI158" s="221">
        <f>IF(ISERROR(LOOKUP(AI$16,$L158:$X158,#REF!)),0,(LOOKUP(AI$16,$L158:$X158,#REF!)))</f>
        <v>0</v>
      </c>
      <c r="AJ158" s="221">
        <f>IF(ISERROR(LOOKUP(AJ$16,$L158:$X158,#REF!)),0,(LOOKUP(AJ$16,$L158:$X158,#REF!)))</f>
        <v>0</v>
      </c>
      <c r="AK158" s="221">
        <f>IF(ISERROR(LOOKUP(AK$16,$L158:$X158,#REF!)),0,(LOOKUP(AK$16,$L158:$X158,#REF!)))</f>
        <v>0</v>
      </c>
      <c r="AL158" s="221">
        <f>IF(ISERROR(LOOKUP(AL$16,$L158:$X158,#REF!)),0,(LOOKUP(AL$16,$L158:$X158,#REF!)))</f>
        <v>0</v>
      </c>
      <c r="AM158" s="221">
        <f ca="1">IF(ISERROR(LOOKUP(AM$16,$L158:$X158,#REF!)),0,(LOOKUP(AM$16,$L158:$X158,#REF!)))</f>
        <v>0</v>
      </c>
      <c r="AP158" s="215" t="e">
        <f>WORKDAY(AQ158,-INDEX(AQ$12:AQ$15,MATCH($I158,$I$12:$I$15,0)),$AW$17:$AW$148)</f>
        <v>#REF!</v>
      </c>
      <c r="AQ158" s="215" t="e">
        <f>WORKDAY(U158,-INDEX(U$12:U$15,MATCH($I158,$I$12:$I$15,0)),$AW$17:$AW$148)</f>
        <v>#REF!</v>
      </c>
      <c r="AR158" s="215" t="e">
        <f>WORKDAY(U158,-INDEX(U$12:U$15,MATCH($I158,$I$12:$I$15,0)),$AW$17:$AW$148)</f>
        <v>#REF!</v>
      </c>
      <c r="AS158" s="638">
        <v>7</v>
      </c>
      <c r="AW158" s="223" t="e">
        <v>#REF!</v>
      </c>
    </row>
    <row r="159" spans="1:49" s="166" customFormat="1" ht="18" customHeight="1">
      <c r="A159" s="596"/>
      <c r="B159" s="599"/>
      <c r="C159" s="601" t="str">
        <f t="shared" ref="C159" si="284">C158</f>
        <v>RFQ-048</v>
      </c>
      <c r="D159" s="601" t="str">
        <f t="shared" ref="D159:I159" si="285">D158</f>
        <v>BALL VALVE (FLANGE END)</v>
      </c>
      <c r="E159" s="212"/>
      <c r="F159" s="601" t="str">
        <f>F158</f>
        <v>Piping</v>
      </c>
      <c r="G159" s="601" t="str">
        <f>G158</f>
        <v>N</v>
      </c>
      <c r="H159" s="607"/>
      <c r="I159" s="212" t="str">
        <f t="shared" si="285"/>
        <v>LC</v>
      </c>
      <c r="J159" s="249" t="s">
        <v>65</v>
      </c>
      <c r="K159" s="215">
        <f>K158</f>
        <v>46168</v>
      </c>
      <c r="L159" s="215">
        <f>WORKDAY(IF(K160="",K159,K160),INDEX(L$12:L$15,MATCH($I158,$I$12:$I$15,0)))</f>
        <v>46171</v>
      </c>
      <c r="M159" s="215">
        <f>WORKDAY(IF(L160="",L159,L160),INDEX(M$12:M$15,MATCH($I158,$I$12:$I$15,0)))</f>
        <v>46185</v>
      </c>
      <c r="N159" s="215">
        <f>WORKDAY(IF(M160="",M159,M160),INDEX(N$12:N$15,MATCH($I158,$I$12:$I$15,0)))</f>
        <v>46188</v>
      </c>
      <c r="O159" s="215">
        <f>WORKDAY(IF(N160="",N159,N160),INDEX(O$12:O$15,MATCH($I158,$I$12:$I$15,0)))</f>
        <v>46202</v>
      </c>
      <c r="P159" s="216"/>
      <c r="Q159" s="217"/>
      <c r="R159" s="215">
        <f>WORKDAY(IF(O160="",O159,O160),INDEX(R$12:R$15,MATCH($I158,$I$12:$I$15,0)))</f>
        <v>46216</v>
      </c>
      <c r="S159" s="215">
        <f>WORKDAY(IF(R160="",R159,R160),INDEX(S$12:S$15,MATCH($I158,$I$12:$I$15,0)))</f>
        <v>46237</v>
      </c>
      <c r="T159" s="215">
        <f>WORKDAY(IF(S160="",S159,S160),INDEX(T$12:T$15,MATCH($I158,$I$12:$I$15,0)))</f>
        <v>46251</v>
      </c>
      <c r="U159" s="215">
        <f>WORKDAY(IF(T160="",T159,T160),INDEX(U$12:U$15,MATCH($I158,$I$12:$I$15,0)))-1</f>
        <v>46264</v>
      </c>
      <c r="V159" s="215">
        <f>WORKDAY(IF(U160="",U159,U160),INDEX(V$12:V$15,MATCH($I158,$I$12:$I$15,0)))</f>
        <v>46266</v>
      </c>
      <c r="W159" s="218"/>
      <c r="X159" s="215">
        <f>U159+Y158</f>
        <v>46447</v>
      </c>
      <c r="Y159" s="628"/>
      <c r="Z159" s="633"/>
      <c r="AA159" s="633"/>
      <c r="AB159" s="637"/>
      <c r="AC159" s="220">
        <f>IF(ISERROR(LOOKUP(AC$16,$L159:$X159,#REF!)),0,(LOOKUP(AC$16,$L159:$X159,#REF!)))</f>
        <v>0</v>
      </c>
      <c r="AD159" s="221">
        <f>IF(ISERROR(LOOKUP(AD$16,$L159:$X159,#REF!)),0,(LOOKUP(AD$16,$L159:$X159,#REF!)))</f>
        <v>0</v>
      </c>
      <c r="AE159" s="221">
        <f>IF(ISERROR(LOOKUP(AE$16,$L159:$X159,#REF!)),0,(LOOKUP(AE$16,$L159:$X159,#REF!)))</f>
        <v>0</v>
      </c>
      <c r="AF159" s="221">
        <f>IF(ISERROR(LOOKUP(AF$16,$L159:$X159,#REF!)),0,(LOOKUP(AF$16,$L159:$X159,#REF!)))</f>
        <v>0</v>
      </c>
      <c r="AG159" s="221">
        <f>IF(ISERROR(LOOKUP(AG$16,$L159:$X159,#REF!)),0,(LOOKUP(AG$16,$L159:$X159,#REF!)))</f>
        <v>0</v>
      </c>
      <c r="AH159" s="221">
        <f>IF(ISERROR(LOOKUP(AH$16,$L159:$X159,#REF!)),0,(LOOKUP(AH$16,$L159:$X159,#REF!)))</f>
        <v>0</v>
      </c>
      <c r="AI159" s="221">
        <f>IF(ISERROR(LOOKUP(AI$16,$L159:$X159,#REF!)),0,(LOOKUP(AI$16,$L159:$X159,#REF!)))</f>
        <v>0</v>
      </c>
      <c r="AJ159" s="221">
        <f>IF(ISERROR(LOOKUP(AJ$16,$L159:$X159,#REF!)),0,(LOOKUP(AJ$16,$L159:$X159,#REF!)))</f>
        <v>0</v>
      </c>
      <c r="AK159" s="221">
        <f>IF(ISERROR(LOOKUP(AK$16,$L159:$X159,#REF!)),0,(LOOKUP(AK$16,$L159:$X159,#REF!)))</f>
        <v>0</v>
      </c>
      <c r="AL159" s="221">
        <f>IF(ISERROR(LOOKUP(AL$16,$L159:$X159,#REF!)),0,(LOOKUP(AL$16,$L159:$X159,#REF!)))</f>
        <v>0</v>
      </c>
      <c r="AM159" s="221">
        <f ca="1">IF(ISERROR(LOOKUP(AM$16,$L159:$X159,#REF!)),0,(LOOKUP(AM$16,$L159:$X159,#REF!)))</f>
        <v>0</v>
      </c>
      <c r="AP159" s="215" t="e">
        <f>WORKDAY(IF(T160="",T159,T160),INDEX(AP$12:AP$15,MATCH($I158,$I$12:$I$15,0)),$AW$17:$AW$148)</f>
        <v>#REF!</v>
      </c>
      <c r="AQ159" s="215" t="e">
        <f>WORKDAY(IF(AP160="",AP159,AP160),INDEX(AQ$12:AQ$15,MATCH($I158,$I$12:$I$15,0)),$AW$17:$AW$148)</f>
        <v>#REF!</v>
      </c>
      <c r="AR159" s="215" t="e">
        <f>WORKDAY(IF(AQ160="",AQ159,AQ160),INDEX(AR$12:AR$15,MATCH($I158,$I$12:$I$15,0)),$AW$17:$AW$148)</f>
        <v>#REF!</v>
      </c>
      <c r="AS159" s="638"/>
      <c r="AW159" s="223" t="e">
        <v>#REF!</v>
      </c>
    </row>
    <row r="160" spans="1:49" s="166" customFormat="1" ht="18" customHeight="1">
      <c r="A160" s="596"/>
      <c r="B160" s="600"/>
      <c r="C160" s="601" t="str">
        <f>C158</f>
        <v>RFQ-048</v>
      </c>
      <c r="D160" s="601" t="str">
        <f t="shared" ref="D160:I160" si="286">D158</f>
        <v>BALL VALVE (FLANGE END)</v>
      </c>
      <c r="E160" s="212"/>
      <c r="F160" s="601" t="str">
        <f>F158</f>
        <v>Piping</v>
      </c>
      <c r="G160" s="601" t="str">
        <f t="shared" ref="G160" si="287">G158</f>
        <v>N</v>
      </c>
      <c r="H160" s="608"/>
      <c r="I160" s="212" t="str">
        <f t="shared" si="286"/>
        <v>LC</v>
      </c>
      <c r="J160" s="249" t="s">
        <v>67</v>
      </c>
      <c r="K160" s="212"/>
      <c r="L160" s="212"/>
      <c r="M160" s="212"/>
      <c r="N160" s="212"/>
      <c r="O160" s="212"/>
      <c r="P160" s="226"/>
      <c r="Q160" s="227"/>
      <c r="R160" s="212"/>
      <c r="S160" s="212"/>
      <c r="T160" s="212"/>
      <c r="U160" s="212"/>
      <c r="V160" s="212"/>
      <c r="W160" s="228"/>
      <c r="X160" s="212"/>
      <c r="Y160" s="628"/>
      <c r="Z160" s="633"/>
      <c r="AA160" s="633"/>
      <c r="AB160" s="637"/>
      <c r="AC160" s="229">
        <f>IF(ISERROR(LOOKUP(AC$16,$L160:$X160,#REF!)),0,(LOOKUP(AC$16,$L160:$X160,#REF!)))</f>
        <v>0</v>
      </c>
      <c r="AD160" s="230">
        <f>IF(ISERROR(LOOKUP(AD$16,$L160:$X160,#REF!)),0,(LOOKUP(AD$16,$L160:$X160,#REF!)))</f>
        <v>0</v>
      </c>
      <c r="AE160" s="230">
        <f>IF(ISERROR(LOOKUP(AE$16,$L160:$X160,#REF!)),0,(LOOKUP(AE$16,$L160:$X160,#REF!)))</f>
        <v>0</v>
      </c>
      <c r="AF160" s="230">
        <f>IF(ISERROR(LOOKUP(AF$16,$L160:$X160,#REF!)),0,(LOOKUP(AF$16,$L160:$X160,#REF!)))</f>
        <v>0</v>
      </c>
      <c r="AG160" s="230">
        <f>IF(ISERROR(LOOKUP(AG$16,$L160:$X160,#REF!)),0,(LOOKUP(AG$16,$L160:$X160,#REF!)))</f>
        <v>0</v>
      </c>
      <c r="AH160" s="230">
        <f>IF(ISERROR(LOOKUP(AH$16,$L160:$X160,#REF!)),0,(LOOKUP(AH$16,$L160:$X160,#REF!)))</f>
        <v>0</v>
      </c>
      <c r="AI160" s="230">
        <f>IF(ISERROR(LOOKUP(AI$16,$L160:$X160,#REF!)),0,(LOOKUP(AI$16,$L160:$X160,#REF!)))</f>
        <v>0</v>
      </c>
      <c r="AJ160" s="230">
        <f>IF(ISERROR(LOOKUP(AJ$16,$L160:$X160,#REF!)),0,(LOOKUP(AJ$16,$L160:$X160,#REF!)))</f>
        <v>0</v>
      </c>
      <c r="AK160" s="230">
        <f>IF(ISERROR(LOOKUP(AK$16,$L160:$X160,#REF!)),0,(LOOKUP(AK$16,$L160:$X160,#REF!)))</f>
        <v>0</v>
      </c>
      <c r="AL160" s="230">
        <f>IF(ISERROR(LOOKUP(AL$16,$L160:$X160,#REF!)),0,(LOOKUP(AL$16,$L160:$X160,#REF!)))</f>
        <v>0</v>
      </c>
      <c r="AM160" s="230">
        <f ca="1">IF(ISERROR(LOOKUP(AM$16,$L160:$X160,#REF!)),0,(LOOKUP(AM$16,$L160:$X160,#REF!)))</f>
        <v>0</v>
      </c>
      <c r="AP160" s="212"/>
      <c r="AQ160" s="212"/>
      <c r="AR160" s="212"/>
      <c r="AS160" s="638"/>
      <c r="AW160" s="223" t="e">
        <v>#REF!</v>
      </c>
    </row>
    <row r="161" spans="1:49" s="166" customFormat="1" ht="18" customHeight="1">
      <c r="A161" s="596">
        <f t="shared" ref="A161" si="288">A158+1</f>
        <v>49</v>
      </c>
      <c r="B161" s="598"/>
      <c r="C161" s="601" t="s">
        <v>4787</v>
      </c>
      <c r="D161" s="601" t="s">
        <v>220</v>
      </c>
      <c r="E161" s="212"/>
      <c r="F161" s="601" t="s">
        <v>83</v>
      </c>
      <c r="G161" s="601" t="s">
        <v>71</v>
      </c>
      <c r="H161" s="606"/>
      <c r="I161" s="212" t="s">
        <v>7</v>
      </c>
      <c r="J161" s="249" t="s">
        <v>61</v>
      </c>
      <c r="K161" s="215">
        <f>WORKDAY(L161,-INDEX(L$12:L$15,MATCH($I161,$I$12:$I$15,0)))</f>
        <v>46188</v>
      </c>
      <c r="L161" s="215">
        <f>WORKDAY(M161,-INDEX(M$12:M$15,MATCH($I161,$I$12:$I$15,0)))</f>
        <v>46189</v>
      </c>
      <c r="M161" s="215">
        <f>WORKDAY(N161,-INDEX(N$12:N$15,MATCH($I161,$I$12:$I$15,0)))</f>
        <v>46196</v>
      </c>
      <c r="N161" s="215">
        <f>WORKDAY(O161,-INDEX(O$12:O$15,MATCH($I161,$I$12:$I$15,0)))</f>
        <v>46197</v>
      </c>
      <c r="O161" s="215">
        <f>WORKDAY(R161,-INDEX(R$12:R$15,MATCH($I161,$I$12:$I$15,0)))</f>
        <v>46204</v>
      </c>
      <c r="P161" s="216">
        <f>U161-L161</f>
        <v>75</v>
      </c>
      <c r="Q161" s="217"/>
      <c r="R161" s="215">
        <f>WORKDAY(S161,-INDEX(S$12:S$15,MATCH($I161,$I$12:$I$15,0)))</f>
        <v>46218</v>
      </c>
      <c r="S161" s="215">
        <f>WORKDAY(T161,-INDEX(T$12:T$15,MATCH($I161,$I$12:$I$15,0)))</f>
        <v>46246</v>
      </c>
      <c r="T161" s="215">
        <f>WORKDAY(U161,-INDEX(U$12:U$15,MATCH($I161,$I$12:$I$15,0)))</f>
        <v>46251</v>
      </c>
      <c r="U161" s="215">
        <f>X161-Y161</f>
        <v>46264</v>
      </c>
      <c r="V161" s="215">
        <f>WORKDAY(U161,INDEX(V$12:V$15,MATCH($I161,$I$12:$I$15,0)))</f>
        <v>46266</v>
      </c>
      <c r="W161" s="218">
        <f>Y161/7</f>
        <v>26.1428571428571</v>
      </c>
      <c r="X161" s="215">
        <f>Z161</f>
        <v>46447</v>
      </c>
      <c r="Y161" s="628">
        <v>183</v>
      </c>
      <c r="Z161" s="633">
        <v>46447</v>
      </c>
      <c r="AA161" s="633">
        <v>46538</v>
      </c>
      <c r="AB161" s="637">
        <f t="shared" ref="AB161" si="289">Z161-X162</f>
        <v>0</v>
      </c>
      <c r="AC161" s="220">
        <f>IF(ISERROR(LOOKUP(AC$16,$L161:$X161,#REF!)),0,(LOOKUP(AC$16,$L161:$X161,#REF!)))</f>
        <v>0</v>
      </c>
      <c r="AD161" s="221">
        <f>IF(ISERROR(LOOKUP(AD$16,$L161:$X161,#REF!)),0,(LOOKUP(AD$16,$L161:$X161,#REF!)))</f>
        <v>0</v>
      </c>
      <c r="AE161" s="221">
        <f>IF(ISERROR(LOOKUP(AE$16,$L161:$X161,#REF!)),0,(LOOKUP(AE$16,$L161:$X161,#REF!)))</f>
        <v>0</v>
      </c>
      <c r="AF161" s="221">
        <f>IF(ISERROR(LOOKUP(AF$16,$L161:$X161,#REF!)),0,(LOOKUP(AF$16,$L161:$X161,#REF!)))</f>
        <v>0</v>
      </c>
      <c r="AG161" s="221">
        <f>IF(ISERROR(LOOKUP(AG$16,$L161:$X161,#REF!)),0,(LOOKUP(AG$16,$L161:$X161,#REF!)))</f>
        <v>0</v>
      </c>
      <c r="AH161" s="221">
        <f>IF(ISERROR(LOOKUP(AH$16,$L161:$X161,#REF!)),0,(LOOKUP(AH$16,$L161:$X161,#REF!)))</f>
        <v>0</v>
      </c>
      <c r="AI161" s="221">
        <f>IF(ISERROR(LOOKUP(AI$16,$L161:$X161,#REF!)),0,(LOOKUP(AI$16,$L161:$X161,#REF!)))</f>
        <v>0</v>
      </c>
      <c r="AJ161" s="221">
        <f>IF(ISERROR(LOOKUP(AJ$16,$L161:$X161,#REF!)),0,(LOOKUP(AJ$16,$L161:$X161,#REF!)))</f>
        <v>0</v>
      </c>
      <c r="AK161" s="221">
        <f>IF(ISERROR(LOOKUP(AK$16,$L161:$X161,#REF!)),0,(LOOKUP(AK$16,$L161:$X161,#REF!)))</f>
        <v>0</v>
      </c>
      <c r="AL161" s="221">
        <f>IF(ISERROR(LOOKUP(AL$16,$L161:$X161,#REF!)),0,(LOOKUP(AL$16,$L161:$X161,#REF!)))</f>
        <v>0</v>
      </c>
      <c r="AM161" s="221">
        <f ca="1">IF(ISERROR(LOOKUP(AM$16,$L161:$X161,#REF!)),0,(LOOKUP(AM$16,$L161:$X161,#REF!)))</f>
        <v>0</v>
      </c>
      <c r="AP161" s="215" t="e">
        <f>WORKDAY(AQ161,-INDEX(AQ$12:AQ$15,MATCH($I161,$I$12:$I$15,0)),$AW$17:$AW$148)</f>
        <v>#REF!</v>
      </c>
      <c r="AQ161" s="215" t="e">
        <f>WORKDAY(U161,-INDEX(U$12:U$15,MATCH($I161,$I$12:$I$15,0)),$AW$17:$AW$148)</f>
        <v>#REF!</v>
      </c>
      <c r="AR161" s="215" t="e">
        <f>WORKDAY(U161,-INDEX(U$12:U$15,MATCH($I161,$I$12:$I$15,0)),$AW$17:$AW$148)</f>
        <v>#REF!</v>
      </c>
      <c r="AS161" s="638">
        <v>7</v>
      </c>
      <c r="AW161" s="223" t="e">
        <v>#REF!</v>
      </c>
    </row>
    <row r="162" spans="1:49" s="166" customFormat="1" ht="18" customHeight="1">
      <c r="A162" s="596"/>
      <c r="B162" s="599"/>
      <c r="C162" s="601" t="str">
        <f t="shared" ref="C162" si="290">C161</f>
        <v>RFQ-049</v>
      </c>
      <c r="D162" s="601" t="str">
        <f t="shared" ref="D162:I162" si="291">D161</f>
        <v>GLOBE VALVE (FLANGE END)</v>
      </c>
      <c r="E162" s="212"/>
      <c r="F162" s="601" t="str">
        <f t="shared" si="291"/>
        <v>Piping</v>
      </c>
      <c r="G162" s="601" t="str">
        <f t="shared" si="291"/>
        <v>N</v>
      </c>
      <c r="H162" s="607"/>
      <c r="I162" s="212" t="str">
        <f t="shared" si="291"/>
        <v>LB</v>
      </c>
      <c r="J162" s="249" t="s">
        <v>65</v>
      </c>
      <c r="K162" s="215">
        <f>K161</f>
        <v>46188</v>
      </c>
      <c r="L162" s="215">
        <f>WORKDAY(IF(K163="",K162,K163),INDEX(L$12:L$15,MATCH($I161,$I$12:$I$15,0)))</f>
        <v>46189</v>
      </c>
      <c r="M162" s="215">
        <f>WORKDAY(IF(L163="",L162,L163),INDEX(M$12:M$15,MATCH($I161,$I$12:$I$15,0)))</f>
        <v>46196</v>
      </c>
      <c r="N162" s="215">
        <f>WORKDAY(IF(M163="",M162,M163),INDEX(N$12:N$15,MATCH($I161,$I$12:$I$15,0)))</f>
        <v>46197</v>
      </c>
      <c r="O162" s="215">
        <f>WORKDAY(IF(N163="",N162,N163),INDEX(O$12:O$15,MATCH($I161,$I$12:$I$15,0)))</f>
        <v>46204</v>
      </c>
      <c r="P162" s="216"/>
      <c r="Q162" s="217"/>
      <c r="R162" s="215">
        <f>WORKDAY(IF(O163="",O162,O163),INDEX(R$12:R$15,MATCH($I161,$I$12:$I$15,0)))</f>
        <v>46218</v>
      </c>
      <c r="S162" s="215">
        <f>WORKDAY(IF(R163="",R162,R163),INDEX(S$12:S$15,MATCH($I161,$I$12:$I$15,0)))</f>
        <v>46246</v>
      </c>
      <c r="T162" s="215">
        <f>WORKDAY(IF(S163="",S162,S163),INDEX(T$12:T$15,MATCH($I161,$I$12:$I$15,0)))</f>
        <v>46251</v>
      </c>
      <c r="U162" s="215">
        <f>WORKDAY(IF(T163="",T162,T163),INDEX(U$12:U$15,MATCH($I161,$I$12:$I$15,0)))-1</f>
        <v>46264</v>
      </c>
      <c r="V162" s="215">
        <f>WORKDAY(IF(U163="",U162,U163),INDEX(V$12:V$15,MATCH($I161,$I$12:$I$15,0)))</f>
        <v>46266</v>
      </c>
      <c r="W162" s="218"/>
      <c r="X162" s="215">
        <f>U162+Y161</f>
        <v>46447</v>
      </c>
      <c r="Y162" s="628"/>
      <c r="Z162" s="633"/>
      <c r="AA162" s="633"/>
      <c r="AB162" s="637"/>
      <c r="AC162" s="220">
        <f>IF(ISERROR(LOOKUP(AC$16,$L162:$X162,#REF!)),0,(LOOKUP(AC$16,$L162:$X162,#REF!)))</f>
        <v>0</v>
      </c>
      <c r="AD162" s="221">
        <f>IF(ISERROR(LOOKUP(AD$16,$L162:$X162,#REF!)),0,(LOOKUP(AD$16,$L162:$X162,#REF!)))</f>
        <v>0</v>
      </c>
      <c r="AE162" s="221">
        <f>IF(ISERROR(LOOKUP(AE$16,$L162:$X162,#REF!)),0,(LOOKUP(AE$16,$L162:$X162,#REF!)))</f>
        <v>0</v>
      </c>
      <c r="AF162" s="221">
        <f>IF(ISERROR(LOOKUP(AF$16,$L162:$X162,#REF!)),0,(LOOKUP(AF$16,$L162:$X162,#REF!)))</f>
        <v>0</v>
      </c>
      <c r="AG162" s="221">
        <f>IF(ISERROR(LOOKUP(AG$16,$L162:$X162,#REF!)),0,(LOOKUP(AG$16,$L162:$X162,#REF!)))</f>
        <v>0</v>
      </c>
      <c r="AH162" s="221">
        <f>IF(ISERROR(LOOKUP(AH$16,$L162:$X162,#REF!)),0,(LOOKUP(AH$16,$L162:$X162,#REF!)))</f>
        <v>0</v>
      </c>
      <c r="AI162" s="221">
        <f>IF(ISERROR(LOOKUP(AI$16,$L162:$X162,#REF!)),0,(LOOKUP(AI$16,$L162:$X162,#REF!)))</f>
        <v>0</v>
      </c>
      <c r="AJ162" s="221">
        <f>IF(ISERROR(LOOKUP(AJ$16,$L162:$X162,#REF!)),0,(LOOKUP(AJ$16,$L162:$X162,#REF!)))</f>
        <v>0</v>
      </c>
      <c r="AK162" s="221">
        <f>IF(ISERROR(LOOKUP(AK$16,$L162:$X162,#REF!)),0,(LOOKUP(AK$16,$L162:$X162,#REF!)))</f>
        <v>0</v>
      </c>
      <c r="AL162" s="221">
        <f>IF(ISERROR(LOOKUP(AL$16,$L162:$X162,#REF!)),0,(LOOKUP(AL$16,$L162:$X162,#REF!)))</f>
        <v>0</v>
      </c>
      <c r="AM162" s="221">
        <f ca="1">IF(ISERROR(LOOKUP(AM$16,$L162:$X162,#REF!)),0,(LOOKUP(AM$16,$L162:$X162,#REF!)))</f>
        <v>0</v>
      </c>
      <c r="AP162" s="215" t="e">
        <f>WORKDAY(IF(T163="",T162,T163),INDEX(AP$12:AP$15,MATCH($I161,$I$12:$I$15,0)),$AW$17:$AW$148)</f>
        <v>#REF!</v>
      </c>
      <c r="AQ162" s="215" t="e">
        <f>WORKDAY(IF(AP163="",AP162,AP163),INDEX(AQ$12:AQ$15,MATCH($I161,$I$12:$I$15,0)),$AW$17:$AW$148)</f>
        <v>#REF!</v>
      </c>
      <c r="AR162" s="215" t="e">
        <f>WORKDAY(IF(AQ163="",AQ162,AQ163),INDEX(AR$12:AR$15,MATCH($I161,$I$12:$I$15,0)),$AW$17:$AW$148)</f>
        <v>#REF!</v>
      </c>
      <c r="AS162" s="638"/>
      <c r="AW162" s="223" t="e">
        <v>#REF!</v>
      </c>
    </row>
    <row r="163" spans="1:49" s="166" customFormat="1" ht="18" customHeight="1">
      <c r="A163" s="596"/>
      <c r="B163" s="600"/>
      <c r="C163" s="601" t="str">
        <f>C161</f>
        <v>RFQ-049</v>
      </c>
      <c r="D163" s="601" t="str">
        <f t="shared" ref="D163:I163" si="292">D161</f>
        <v>GLOBE VALVE (FLANGE END)</v>
      </c>
      <c r="E163" s="212"/>
      <c r="F163" s="601" t="str">
        <f t="shared" si="292"/>
        <v>Piping</v>
      </c>
      <c r="G163" s="601" t="str">
        <f t="shared" ref="G163" si="293">G161</f>
        <v>N</v>
      </c>
      <c r="H163" s="608"/>
      <c r="I163" s="212" t="str">
        <f t="shared" si="292"/>
        <v>LB</v>
      </c>
      <c r="J163" s="249" t="s">
        <v>67</v>
      </c>
      <c r="K163" s="212"/>
      <c r="L163" s="212"/>
      <c r="M163" s="212"/>
      <c r="N163" s="212"/>
      <c r="O163" s="212"/>
      <c r="P163" s="226"/>
      <c r="Q163" s="227"/>
      <c r="R163" s="212"/>
      <c r="S163" s="212"/>
      <c r="T163" s="212"/>
      <c r="U163" s="212"/>
      <c r="V163" s="212"/>
      <c r="W163" s="228"/>
      <c r="X163" s="212"/>
      <c r="Y163" s="628"/>
      <c r="Z163" s="633"/>
      <c r="AA163" s="633"/>
      <c r="AB163" s="637"/>
      <c r="AC163" s="229">
        <f>IF(ISERROR(LOOKUP(AC$16,$L163:$X163,#REF!)),0,(LOOKUP(AC$16,$L163:$X163,#REF!)))</f>
        <v>0</v>
      </c>
      <c r="AD163" s="230">
        <f>IF(ISERROR(LOOKUP(AD$16,$L163:$X163,#REF!)),0,(LOOKUP(AD$16,$L163:$X163,#REF!)))</f>
        <v>0</v>
      </c>
      <c r="AE163" s="230">
        <f>IF(ISERROR(LOOKUP(AE$16,$L163:$X163,#REF!)),0,(LOOKUP(AE$16,$L163:$X163,#REF!)))</f>
        <v>0</v>
      </c>
      <c r="AF163" s="230">
        <f>IF(ISERROR(LOOKUP(AF$16,$L163:$X163,#REF!)),0,(LOOKUP(AF$16,$L163:$X163,#REF!)))</f>
        <v>0</v>
      </c>
      <c r="AG163" s="230">
        <f>IF(ISERROR(LOOKUP(AG$16,$L163:$X163,#REF!)),0,(LOOKUP(AG$16,$L163:$X163,#REF!)))</f>
        <v>0</v>
      </c>
      <c r="AH163" s="230">
        <f>IF(ISERROR(LOOKUP(AH$16,$L163:$X163,#REF!)),0,(LOOKUP(AH$16,$L163:$X163,#REF!)))</f>
        <v>0</v>
      </c>
      <c r="AI163" s="230">
        <f>IF(ISERROR(LOOKUP(AI$16,$L163:$X163,#REF!)),0,(LOOKUP(AI$16,$L163:$X163,#REF!)))</f>
        <v>0</v>
      </c>
      <c r="AJ163" s="230">
        <f>IF(ISERROR(LOOKUP(AJ$16,$L163:$X163,#REF!)),0,(LOOKUP(AJ$16,$L163:$X163,#REF!)))</f>
        <v>0</v>
      </c>
      <c r="AK163" s="230">
        <f>IF(ISERROR(LOOKUP(AK$16,$L163:$X163,#REF!)),0,(LOOKUP(AK$16,$L163:$X163,#REF!)))</f>
        <v>0</v>
      </c>
      <c r="AL163" s="230">
        <f>IF(ISERROR(LOOKUP(AL$16,$L163:$X163,#REF!)),0,(LOOKUP(AL$16,$L163:$X163,#REF!)))</f>
        <v>0</v>
      </c>
      <c r="AM163" s="230">
        <f ca="1">IF(ISERROR(LOOKUP(AM$16,$L163:$X163,#REF!)),0,(LOOKUP(AM$16,$L163:$X163,#REF!)))</f>
        <v>0</v>
      </c>
      <c r="AP163" s="212"/>
      <c r="AQ163" s="212"/>
      <c r="AR163" s="212"/>
      <c r="AS163" s="638"/>
      <c r="AW163" s="223" t="e">
        <v>#REF!</v>
      </c>
    </row>
    <row r="164" spans="1:49" s="166" customFormat="1" ht="18" customHeight="1">
      <c r="A164" s="596">
        <f t="shared" ref="A164" si="294">A161+1</f>
        <v>50</v>
      </c>
      <c r="B164" s="598"/>
      <c r="C164" s="601" t="s">
        <v>4788</v>
      </c>
      <c r="D164" s="601" t="s">
        <v>222</v>
      </c>
      <c r="E164" s="212"/>
      <c r="F164" s="601" t="s">
        <v>83</v>
      </c>
      <c r="G164" s="601" t="s">
        <v>71</v>
      </c>
      <c r="H164" s="606"/>
      <c r="I164" s="212" t="s">
        <v>7</v>
      </c>
      <c r="J164" s="249" t="s">
        <v>61</v>
      </c>
      <c r="K164" s="215">
        <f>WORKDAY(L164,-INDEX(L$12:L$15,MATCH($I164,$I$12:$I$15,0)))</f>
        <v>46188</v>
      </c>
      <c r="L164" s="215">
        <f>WORKDAY(M164,-INDEX(M$12:M$15,MATCH($I164,$I$12:$I$15,0)))</f>
        <v>46189</v>
      </c>
      <c r="M164" s="215">
        <f>WORKDAY(N164,-INDEX(N$12:N$15,MATCH($I164,$I$12:$I$15,0)))</f>
        <v>46196</v>
      </c>
      <c r="N164" s="215">
        <f>WORKDAY(O164,-INDEX(O$12:O$15,MATCH($I164,$I$12:$I$15,0)))</f>
        <v>46197</v>
      </c>
      <c r="O164" s="215">
        <f>WORKDAY(R164,-INDEX(R$12:R$15,MATCH($I164,$I$12:$I$15,0)))</f>
        <v>46204</v>
      </c>
      <c r="P164" s="216">
        <f>U164-L164</f>
        <v>75</v>
      </c>
      <c r="Q164" s="217"/>
      <c r="R164" s="215">
        <f>WORKDAY(S164,-INDEX(S$12:S$15,MATCH($I164,$I$12:$I$15,0)))</f>
        <v>46218</v>
      </c>
      <c r="S164" s="215">
        <f>WORKDAY(T164,-INDEX(T$12:T$15,MATCH($I164,$I$12:$I$15,0)))</f>
        <v>46246</v>
      </c>
      <c r="T164" s="215">
        <f>WORKDAY(U164,-INDEX(U$12:U$15,MATCH($I164,$I$12:$I$15,0)))</f>
        <v>46251</v>
      </c>
      <c r="U164" s="215">
        <f>X164-Y164</f>
        <v>46264</v>
      </c>
      <c r="V164" s="215">
        <f>WORKDAY(U164,INDEX(V$12:V$15,MATCH($I164,$I$12:$I$15,0)))</f>
        <v>46266</v>
      </c>
      <c r="W164" s="218">
        <f>Y164/7</f>
        <v>26.1428571428571</v>
      </c>
      <c r="X164" s="215">
        <f>Z164</f>
        <v>46447</v>
      </c>
      <c r="Y164" s="628">
        <v>183</v>
      </c>
      <c r="Z164" s="633">
        <v>46447</v>
      </c>
      <c r="AA164" s="633">
        <v>46538</v>
      </c>
      <c r="AB164" s="637">
        <f t="shared" ref="AB164" si="295">Z164-X165</f>
        <v>0</v>
      </c>
      <c r="AC164" s="220">
        <f>IF(ISERROR(LOOKUP(AC$16,$L164:$X164,#REF!)),0,(LOOKUP(AC$16,$L164:$X164,#REF!)))</f>
        <v>0</v>
      </c>
      <c r="AD164" s="221">
        <f>IF(ISERROR(LOOKUP(AD$16,$L164:$X164,#REF!)),0,(LOOKUP(AD$16,$L164:$X164,#REF!)))</f>
        <v>0</v>
      </c>
      <c r="AE164" s="221">
        <f>IF(ISERROR(LOOKUP(AE$16,$L164:$X164,#REF!)),0,(LOOKUP(AE$16,$L164:$X164,#REF!)))</f>
        <v>0</v>
      </c>
      <c r="AF164" s="221">
        <f>IF(ISERROR(LOOKUP(AF$16,$L164:$X164,#REF!)),0,(LOOKUP(AF$16,$L164:$X164,#REF!)))</f>
        <v>0</v>
      </c>
      <c r="AG164" s="221">
        <f>IF(ISERROR(LOOKUP(AG$16,$L164:$X164,#REF!)),0,(LOOKUP(AG$16,$L164:$X164,#REF!)))</f>
        <v>0</v>
      </c>
      <c r="AH164" s="221">
        <f>IF(ISERROR(LOOKUP(AH$16,$L164:$X164,#REF!)),0,(LOOKUP(AH$16,$L164:$X164,#REF!)))</f>
        <v>0</v>
      </c>
      <c r="AI164" s="221">
        <f>IF(ISERROR(LOOKUP(AI$16,$L164:$X164,#REF!)),0,(LOOKUP(AI$16,$L164:$X164,#REF!)))</f>
        <v>0</v>
      </c>
      <c r="AJ164" s="221">
        <f>IF(ISERROR(LOOKUP(AJ$16,$L164:$X164,#REF!)),0,(LOOKUP(AJ$16,$L164:$X164,#REF!)))</f>
        <v>0</v>
      </c>
      <c r="AK164" s="221">
        <f>IF(ISERROR(LOOKUP(AK$16,$L164:$X164,#REF!)),0,(LOOKUP(AK$16,$L164:$X164,#REF!)))</f>
        <v>0</v>
      </c>
      <c r="AL164" s="221">
        <f>IF(ISERROR(LOOKUP(AL$16,$L164:$X164,#REF!)),0,(LOOKUP(AL$16,$L164:$X164,#REF!)))</f>
        <v>0</v>
      </c>
      <c r="AM164" s="221">
        <f ca="1">IF(ISERROR(LOOKUP(AM$16,$L164:$X164,#REF!)),0,(LOOKUP(AM$16,$L164:$X164,#REF!)))</f>
        <v>0</v>
      </c>
      <c r="AP164" s="215" t="e">
        <f>WORKDAY(AQ164,-INDEX(AQ$12:AQ$15,MATCH($I164,$I$12:$I$15,0)),$AW$17:$AW$148)</f>
        <v>#REF!</v>
      </c>
      <c r="AQ164" s="215" t="e">
        <f>WORKDAY(U164,-INDEX(U$12:U$15,MATCH($I164,$I$12:$I$15,0)),$AW$17:$AW$148)</f>
        <v>#REF!</v>
      </c>
      <c r="AR164" s="215" t="e">
        <f>WORKDAY(U164,-INDEX(U$12:U$15,MATCH($I164,$I$12:$I$15,0)),$AW$17:$AW$148)</f>
        <v>#REF!</v>
      </c>
      <c r="AS164" s="638">
        <v>7</v>
      </c>
      <c r="AW164" s="223" t="e">
        <v>#REF!</v>
      </c>
    </row>
    <row r="165" spans="1:49" s="166" customFormat="1" ht="18" customHeight="1">
      <c r="A165" s="596"/>
      <c r="B165" s="599"/>
      <c r="C165" s="601" t="str">
        <f t="shared" ref="C165" si="296">C164</f>
        <v>RFQ-050</v>
      </c>
      <c r="D165" s="601" t="str">
        <f t="shared" ref="D165:I165" si="297">D164</f>
        <v>GLOBE VALVE (WELDED END)</v>
      </c>
      <c r="E165" s="212"/>
      <c r="F165" s="601" t="str">
        <f t="shared" si="297"/>
        <v>Piping</v>
      </c>
      <c r="G165" s="601" t="str">
        <f t="shared" si="297"/>
        <v>N</v>
      </c>
      <c r="H165" s="607"/>
      <c r="I165" s="212" t="str">
        <f t="shared" si="297"/>
        <v>LB</v>
      </c>
      <c r="J165" s="249" t="s">
        <v>65</v>
      </c>
      <c r="K165" s="215">
        <f>K164</f>
        <v>46188</v>
      </c>
      <c r="L165" s="215">
        <f>WORKDAY(IF(K166="",K165,K166),INDEX(L$12:L$15,MATCH($I164,$I$12:$I$15,0)))</f>
        <v>46189</v>
      </c>
      <c r="M165" s="215">
        <f>WORKDAY(IF(L166="",L165,L166),INDEX(M$12:M$15,MATCH($I164,$I$12:$I$15,0)))</f>
        <v>46196</v>
      </c>
      <c r="N165" s="215">
        <f>WORKDAY(IF(M166="",M165,M166),INDEX(N$12:N$15,MATCH($I164,$I$12:$I$15,0)))</f>
        <v>46197</v>
      </c>
      <c r="O165" s="215">
        <f>WORKDAY(IF(N166="",N165,N166),INDEX(O$12:O$15,MATCH($I164,$I$12:$I$15,0)))</f>
        <v>46204</v>
      </c>
      <c r="P165" s="216"/>
      <c r="Q165" s="217"/>
      <c r="R165" s="215">
        <f>WORKDAY(IF(O166="",O165,O166),INDEX(R$12:R$15,MATCH($I164,$I$12:$I$15,0)))</f>
        <v>46218</v>
      </c>
      <c r="S165" s="215">
        <f>WORKDAY(IF(R166="",R165,R166),INDEX(S$12:S$15,MATCH($I164,$I$12:$I$15,0)))</f>
        <v>46246</v>
      </c>
      <c r="T165" s="215">
        <f>WORKDAY(IF(S166="",S165,S166),INDEX(T$12:T$15,MATCH($I164,$I$12:$I$15,0)))</f>
        <v>46251</v>
      </c>
      <c r="U165" s="215">
        <f>WORKDAY(IF(T166="",T165,T166),INDEX(U$12:U$15,MATCH($I164,$I$12:$I$15,0)))-1</f>
        <v>46264</v>
      </c>
      <c r="V165" s="215">
        <f>WORKDAY(IF(U166="",U165,U166),INDEX(V$12:V$15,MATCH($I164,$I$12:$I$15,0)))</f>
        <v>46266</v>
      </c>
      <c r="W165" s="218"/>
      <c r="X165" s="215">
        <f>U165+Y164</f>
        <v>46447</v>
      </c>
      <c r="Y165" s="628"/>
      <c r="Z165" s="633"/>
      <c r="AA165" s="633"/>
      <c r="AB165" s="637"/>
      <c r="AC165" s="220">
        <f>IF(ISERROR(LOOKUP(AC$16,$L165:$X165,#REF!)),0,(LOOKUP(AC$16,$L165:$X165,#REF!)))</f>
        <v>0</v>
      </c>
      <c r="AD165" s="221">
        <f>IF(ISERROR(LOOKUP(AD$16,$L165:$X165,#REF!)),0,(LOOKUP(AD$16,$L165:$X165,#REF!)))</f>
        <v>0</v>
      </c>
      <c r="AE165" s="221">
        <f>IF(ISERROR(LOOKUP(AE$16,$L165:$X165,#REF!)),0,(LOOKUP(AE$16,$L165:$X165,#REF!)))</f>
        <v>0</v>
      </c>
      <c r="AF165" s="221">
        <f>IF(ISERROR(LOOKUP(AF$16,$L165:$X165,#REF!)),0,(LOOKUP(AF$16,$L165:$X165,#REF!)))</f>
        <v>0</v>
      </c>
      <c r="AG165" s="221">
        <f>IF(ISERROR(LOOKUP(AG$16,$L165:$X165,#REF!)),0,(LOOKUP(AG$16,$L165:$X165,#REF!)))</f>
        <v>0</v>
      </c>
      <c r="AH165" s="221">
        <f>IF(ISERROR(LOOKUP(AH$16,$L165:$X165,#REF!)),0,(LOOKUP(AH$16,$L165:$X165,#REF!)))</f>
        <v>0</v>
      </c>
      <c r="AI165" s="221">
        <f>IF(ISERROR(LOOKUP(AI$16,$L165:$X165,#REF!)),0,(LOOKUP(AI$16,$L165:$X165,#REF!)))</f>
        <v>0</v>
      </c>
      <c r="AJ165" s="221">
        <f>IF(ISERROR(LOOKUP(AJ$16,$L165:$X165,#REF!)),0,(LOOKUP(AJ$16,$L165:$X165,#REF!)))</f>
        <v>0</v>
      </c>
      <c r="AK165" s="221">
        <f>IF(ISERROR(LOOKUP(AK$16,$L165:$X165,#REF!)),0,(LOOKUP(AK$16,$L165:$X165,#REF!)))</f>
        <v>0</v>
      </c>
      <c r="AL165" s="221">
        <f>IF(ISERROR(LOOKUP(AL$16,$L165:$X165,#REF!)),0,(LOOKUP(AL$16,$L165:$X165,#REF!)))</f>
        <v>0</v>
      </c>
      <c r="AM165" s="221">
        <f ca="1">IF(ISERROR(LOOKUP(AM$16,$L165:$X165,#REF!)),0,(LOOKUP(AM$16,$L165:$X165,#REF!)))</f>
        <v>0</v>
      </c>
      <c r="AP165" s="215" t="e">
        <f>WORKDAY(IF(T166="",T165,T166),INDEX(AP$12:AP$15,MATCH($I164,$I$12:$I$15,0)),$AW$17:$AW$148)</f>
        <v>#REF!</v>
      </c>
      <c r="AQ165" s="215" t="e">
        <f>WORKDAY(IF(AP166="",AP165,AP166),INDEX(AQ$12:AQ$15,MATCH($I164,$I$12:$I$15,0)),$AW$17:$AW$148)</f>
        <v>#REF!</v>
      </c>
      <c r="AR165" s="215" t="e">
        <f>WORKDAY(IF(AQ166="",AQ165,AQ166),INDEX(AR$12:AR$15,MATCH($I164,$I$12:$I$15,0)),$AW$17:$AW$148)</f>
        <v>#REF!</v>
      </c>
      <c r="AS165" s="638"/>
      <c r="AW165" s="223" t="e">
        <v>#REF!</v>
      </c>
    </row>
    <row r="166" spans="1:49" s="166" customFormat="1" ht="18" customHeight="1">
      <c r="A166" s="596"/>
      <c r="B166" s="600"/>
      <c r="C166" s="601" t="str">
        <f>C164</f>
        <v>RFQ-050</v>
      </c>
      <c r="D166" s="601" t="str">
        <f t="shared" ref="D166:I166" si="298">D164</f>
        <v>GLOBE VALVE (WELDED END)</v>
      </c>
      <c r="E166" s="212"/>
      <c r="F166" s="601" t="str">
        <f t="shared" si="298"/>
        <v>Piping</v>
      </c>
      <c r="G166" s="601" t="str">
        <f t="shared" ref="G166" si="299">G164</f>
        <v>N</v>
      </c>
      <c r="H166" s="608"/>
      <c r="I166" s="212" t="str">
        <f t="shared" si="298"/>
        <v>LB</v>
      </c>
      <c r="J166" s="249" t="s">
        <v>67</v>
      </c>
      <c r="K166" s="212"/>
      <c r="L166" s="212"/>
      <c r="M166" s="212"/>
      <c r="N166" s="212"/>
      <c r="O166" s="212"/>
      <c r="P166" s="226"/>
      <c r="Q166" s="227"/>
      <c r="R166" s="212"/>
      <c r="S166" s="212"/>
      <c r="T166" s="212"/>
      <c r="U166" s="212"/>
      <c r="V166" s="212"/>
      <c r="W166" s="228"/>
      <c r="X166" s="212"/>
      <c r="Y166" s="628"/>
      <c r="Z166" s="633"/>
      <c r="AA166" s="633"/>
      <c r="AB166" s="637"/>
      <c r="AC166" s="229">
        <f>IF(ISERROR(LOOKUP(AC$16,$L166:$X166,#REF!)),0,(LOOKUP(AC$16,$L166:$X166,#REF!)))</f>
        <v>0</v>
      </c>
      <c r="AD166" s="230">
        <f>IF(ISERROR(LOOKUP(AD$16,$L166:$X166,#REF!)),0,(LOOKUP(AD$16,$L166:$X166,#REF!)))</f>
        <v>0</v>
      </c>
      <c r="AE166" s="230">
        <f>IF(ISERROR(LOOKUP(AE$16,$L166:$X166,#REF!)),0,(LOOKUP(AE$16,$L166:$X166,#REF!)))</f>
        <v>0</v>
      </c>
      <c r="AF166" s="230">
        <f>IF(ISERROR(LOOKUP(AF$16,$L166:$X166,#REF!)),0,(LOOKUP(AF$16,$L166:$X166,#REF!)))</f>
        <v>0</v>
      </c>
      <c r="AG166" s="230">
        <f>IF(ISERROR(LOOKUP(AG$16,$L166:$X166,#REF!)),0,(LOOKUP(AG$16,$L166:$X166,#REF!)))</f>
        <v>0</v>
      </c>
      <c r="AH166" s="230">
        <f>IF(ISERROR(LOOKUP(AH$16,$L166:$X166,#REF!)),0,(LOOKUP(AH$16,$L166:$X166,#REF!)))</f>
        <v>0</v>
      </c>
      <c r="AI166" s="230">
        <f>IF(ISERROR(LOOKUP(AI$16,$L166:$X166,#REF!)),0,(LOOKUP(AI$16,$L166:$X166,#REF!)))</f>
        <v>0</v>
      </c>
      <c r="AJ166" s="230">
        <f>IF(ISERROR(LOOKUP(AJ$16,$L166:$X166,#REF!)),0,(LOOKUP(AJ$16,$L166:$X166,#REF!)))</f>
        <v>0</v>
      </c>
      <c r="AK166" s="230">
        <f>IF(ISERROR(LOOKUP(AK$16,$L166:$X166,#REF!)),0,(LOOKUP(AK$16,$L166:$X166,#REF!)))</f>
        <v>0</v>
      </c>
      <c r="AL166" s="230">
        <f>IF(ISERROR(LOOKUP(AL$16,$L166:$X166,#REF!)),0,(LOOKUP(AL$16,$L166:$X166,#REF!)))</f>
        <v>0</v>
      </c>
      <c r="AM166" s="230">
        <f ca="1">IF(ISERROR(LOOKUP(AM$16,$L166:$X166,#REF!)),0,(LOOKUP(AM$16,$L166:$X166,#REF!)))</f>
        <v>0</v>
      </c>
      <c r="AP166" s="212"/>
      <c r="AQ166" s="212"/>
      <c r="AR166" s="212"/>
      <c r="AS166" s="638"/>
      <c r="AW166" s="223" t="e">
        <v>#REF!</v>
      </c>
    </row>
    <row r="167" spans="1:49" s="166" customFormat="1" ht="18" customHeight="1">
      <c r="A167" s="596">
        <f t="shared" ref="A167" si="300">A164+1</f>
        <v>51</v>
      </c>
      <c r="B167" s="598"/>
      <c r="C167" s="601" t="s">
        <v>4789</v>
      </c>
      <c r="D167" s="601" t="s">
        <v>224</v>
      </c>
      <c r="E167" s="212"/>
      <c r="F167" s="601" t="s">
        <v>83</v>
      </c>
      <c r="G167" s="601" t="s">
        <v>71</v>
      </c>
      <c r="H167" s="606"/>
      <c r="I167" s="212" t="s">
        <v>7</v>
      </c>
      <c r="J167" s="249" t="s">
        <v>61</v>
      </c>
      <c r="K167" s="215">
        <f>WORKDAY(L167,-INDEX(L$12:L$15,MATCH($I167,$I$12:$I$15,0)))</f>
        <v>46188</v>
      </c>
      <c r="L167" s="215">
        <f>WORKDAY(M167,-INDEX(M$12:M$15,MATCH($I167,$I$12:$I$15,0)))</f>
        <v>46189</v>
      </c>
      <c r="M167" s="215">
        <f>WORKDAY(N167,-INDEX(N$12:N$15,MATCH($I167,$I$12:$I$15,0)))</f>
        <v>46196</v>
      </c>
      <c r="N167" s="215">
        <f>WORKDAY(O167,-INDEX(O$12:O$15,MATCH($I167,$I$12:$I$15,0)))</f>
        <v>46197</v>
      </c>
      <c r="O167" s="215">
        <f>WORKDAY(R167,-INDEX(R$12:R$15,MATCH($I167,$I$12:$I$15,0)))</f>
        <v>46204</v>
      </c>
      <c r="P167" s="216">
        <f>U167-L167</f>
        <v>75</v>
      </c>
      <c r="Q167" s="217"/>
      <c r="R167" s="215">
        <f>WORKDAY(S167,-INDEX(S$12:S$15,MATCH($I167,$I$12:$I$15,0)))</f>
        <v>46218</v>
      </c>
      <c r="S167" s="215">
        <f>WORKDAY(T167,-INDEX(T$12:T$15,MATCH($I167,$I$12:$I$15,0)))</f>
        <v>46246</v>
      </c>
      <c r="T167" s="215">
        <f>WORKDAY(U167,-INDEX(U$12:U$15,MATCH($I167,$I$12:$I$15,0)))</f>
        <v>46251</v>
      </c>
      <c r="U167" s="215">
        <f>X167-Y167</f>
        <v>46264</v>
      </c>
      <c r="V167" s="215">
        <f>WORKDAY(U167,INDEX(V$12:V$15,MATCH($I167,$I$12:$I$15,0)))</f>
        <v>46266</v>
      </c>
      <c r="W167" s="218">
        <f>Y167/7</f>
        <v>26.1428571428571</v>
      </c>
      <c r="X167" s="215">
        <f>Z167</f>
        <v>46447</v>
      </c>
      <c r="Y167" s="628">
        <v>183</v>
      </c>
      <c r="Z167" s="633">
        <v>46447</v>
      </c>
      <c r="AA167" s="633">
        <v>46538</v>
      </c>
      <c r="AB167" s="637">
        <f t="shared" ref="AB167" si="301">Z167-X168</f>
        <v>0</v>
      </c>
      <c r="AC167" s="220">
        <f>IF(ISERROR(LOOKUP(AC$16,$L167:$X167,#REF!)),0,(LOOKUP(AC$16,$L167:$X167,#REF!)))</f>
        <v>0</v>
      </c>
      <c r="AD167" s="221">
        <f>IF(ISERROR(LOOKUP(AD$16,$L167:$X167,#REF!)),0,(LOOKUP(AD$16,$L167:$X167,#REF!)))</f>
        <v>0</v>
      </c>
      <c r="AE167" s="221">
        <f>IF(ISERROR(LOOKUP(AE$16,$L167:$X167,#REF!)),0,(LOOKUP(AE$16,$L167:$X167,#REF!)))</f>
        <v>0</v>
      </c>
      <c r="AF167" s="221">
        <f>IF(ISERROR(LOOKUP(AF$16,$L167:$X167,#REF!)),0,(LOOKUP(AF$16,$L167:$X167,#REF!)))</f>
        <v>0</v>
      </c>
      <c r="AG167" s="221">
        <f>IF(ISERROR(LOOKUP(AG$16,$L167:$X167,#REF!)),0,(LOOKUP(AG$16,$L167:$X167,#REF!)))</f>
        <v>0</v>
      </c>
      <c r="AH167" s="221">
        <f>IF(ISERROR(LOOKUP(AH$16,$L167:$X167,#REF!)),0,(LOOKUP(AH$16,$L167:$X167,#REF!)))</f>
        <v>0</v>
      </c>
      <c r="AI167" s="221">
        <f>IF(ISERROR(LOOKUP(AI$16,$L167:$X167,#REF!)),0,(LOOKUP(AI$16,$L167:$X167,#REF!)))</f>
        <v>0</v>
      </c>
      <c r="AJ167" s="221">
        <f>IF(ISERROR(LOOKUP(AJ$16,$L167:$X167,#REF!)),0,(LOOKUP(AJ$16,$L167:$X167,#REF!)))</f>
        <v>0</v>
      </c>
      <c r="AK167" s="221">
        <f>IF(ISERROR(LOOKUP(AK$16,$L167:$X167,#REF!)),0,(LOOKUP(AK$16,$L167:$X167,#REF!)))</f>
        <v>0</v>
      </c>
      <c r="AL167" s="221">
        <f>IF(ISERROR(LOOKUP(AL$16,$L167:$X167,#REF!)),0,(LOOKUP(AL$16,$L167:$X167,#REF!)))</f>
        <v>0</v>
      </c>
      <c r="AM167" s="221">
        <f ca="1">IF(ISERROR(LOOKUP(AM$16,$L167:$X167,#REF!)),0,(LOOKUP(AM$16,$L167:$X167,#REF!)))</f>
        <v>0</v>
      </c>
      <c r="AP167" s="215" t="e">
        <f>WORKDAY(AQ167,-INDEX(AQ$12:AQ$15,MATCH($I167,$I$12:$I$15,0)),$AW$17:$AW$148)</f>
        <v>#REF!</v>
      </c>
      <c r="AQ167" s="215" t="e">
        <f>WORKDAY(U167,-INDEX(U$12:U$15,MATCH($I167,$I$12:$I$15,0)),$AW$17:$AW$148)</f>
        <v>#REF!</v>
      </c>
      <c r="AR167" s="215" t="e">
        <f>WORKDAY(U167,-INDEX(U$12:U$15,MATCH($I167,$I$12:$I$15,0)),$AW$17:$AW$148)</f>
        <v>#REF!</v>
      </c>
      <c r="AS167" s="638">
        <v>7</v>
      </c>
      <c r="AW167" s="223" t="e">
        <v>#REF!</v>
      </c>
    </row>
    <row r="168" spans="1:49" s="166" customFormat="1" ht="18" customHeight="1">
      <c r="A168" s="596"/>
      <c r="B168" s="599"/>
      <c r="C168" s="601" t="str">
        <f t="shared" ref="C168" si="302">C167</f>
        <v>RFQ-051</v>
      </c>
      <c r="D168" s="601" t="str">
        <f t="shared" ref="D168:I168" si="303">D167</f>
        <v>CHECK VALVE (FLANGE END)</v>
      </c>
      <c r="E168" s="212"/>
      <c r="F168" s="601" t="str">
        <f t="shared" si="303"/>
        <v>Piping</v>
      </c>
      <c r="G168" s="601" t="str">
        <f t="shared" si="303"/>
        <v>N</v>
      </c>
      <c r="H168" s="607"/>
      <c r="I168" s="212" t="str">
        <f t="shared" si="303"/>
        <v>LB</v>
      </c>
      <c r="J168" s="249" t="s">
        <v>65</v>
      </c>
      <c r="K168" s="215">
        <f>K167</f>
        <v>46188</v>
      </c>
      <c r="L168" s="215">
        <f>WORKDAY(IF(K169="",K168,K169),INDEX(L$12:L$15,MATCH($I167,$I$12:$I$15,0)))</f>
        <v>46189</v>
      </c>
      <c r="M168" s="215">
        <f>WORKDAY(IF(L169="",L168,L169),INDEX(M$12:M$15,MATCH($I167,$I$12:$I$15,0)))</f>
        <v>46196</v>
      </c>
      <c r="N168" s="215">
        <f>WORKDAY(IF(M169="",M168,M169),INDEX(N$12:N$15,MATCH($I167,$I$12:$I$15,0)))</f>
        <v>46197</v>
      </c>
      <c r="O168" s="215">
        <f>WORKDAY(IF(N169="",N168,N169),INDEX(O$12:O$15,MATCH($I167,$I$12:$I$15,0)))</f>
        <v>46204</v>
      </c>
      <c r="P168" s="216"/>
      <c r="Q168" s="217"/>
      <c r="R168" s="215">
        <f>WORKDAY(IF(O169="",O168,O169),INDEX(R$12:R$15,MATCH($I167,$I$12:$I$15,0)))</f>
        <v>46218</v>
      </c>
      <c r="S168" s="215">
        <f>WORKDAY(IF(R169="",R168,R169),INDEX(S$12:S$15,MATCH($I167,$I$12:$I$15,0)))</f>
        <v>46246</v>
      </c>
      <c r="T168" s="215">
        <f>WORKDAY(IF(S169="",S168,S169),INDEX(T$12:T$15,MATCH($I167,$I$12:$I$15,0)))</f>
        <v>46251</v>
      </c>
      <c r="U168" s="215">
        <f>WORKDAY(IF(T169="",T168,T169),INDEX(U$12:U$15,MATCH($I167,$I$12:$I$15,0)))-1</f>
        <v>46264</v>
      </c>
      <c r="V168" s="215">
        <f>WORKDAY(IF(U169="",U168,U169),INDEX(V$12:V$15,MATCH($I167,$I$12:$I$15,0)))</f>
        <v>46266</v>
      </c>
      <c r="W168" s="218"/>
      <c r="X168" s="215">
        <f>U168+Y167</f>
        <v>46447</v>
      </c>
      <c r="Y168" s="628"/>
      <c r="Z168" s="633"/>
      <c r="AA168" s="633"/>
      <c r="AB168" s="637"/>
      <c r="AC168" s="220">
        <f>IF(ISERROR(LOOKUP(AC$16,$L168:$X168,#REF!)),0,(LOOKUP(AC$16,$L168:$X168,#REF!)))</f>
        <v>0</v>
      </c>
      <c r="AD168" s="221">
        <f>IF(ISERROR(LOOKUP(AD$16,$L168:$X168,#REF!)),0,(LOOKUP(AD$16,$L168:$X168,#REF!)))</f>
        <v>0</v>
      </c>
      <c r="AE168" s="221">
        <f>IF(ISERROR(LOOKUP(AE$16,$L168:$X168,#REF!)),0,(LOOKUP(AE$16,$L168:$X168,#REF!)))</f>
        <v>0</v>
      </c>
      <c r="AF168" s="221">
        <f>IF(ISERROR(LOOKUP(AF$16,$L168:$X168,#REF!)),0,(LOOKUP(AF$16,$L168:$X168,#REF!)))</f>
        <v>0</v>
      </c>
      <c r="AG168" s="221">
        <f>IF(ISERROR(LOOKUP(AG$16,$L168:$X168,#REF!)),0,(LOOKUP(AG$16,$L168:$X168,#REF!)))</f>
        <v>0</v>
      </c>
      <c r="AH168" s="221">
        <f>IF(ISERROR(LOOKUP(AH$16,$L168:$X168,#REF!)),0,(LOOKUP(AH$16,$L168:$X168,#REF!)))</f>
        <v>0</v>
      </c>
      <c r="AI168" s="221">
        <f>IF(ISERROR(LOOKUP(AI$16,$L168:$X168,#REF!)),0,(LOOKUP(AI$16,$L168:$X168,#REF!)))</f>
        <v>0</v>
      </c>
      <c r="AJ168" s="221">
        <f>IF(ISERROR(LOOKUP(AJ$16,$L168:$X168,#REF!)),0,(LOOKUP(AJ$16,$L168:$X168,#REF!)))</f>
        <v>0</v>
      </c>
      <c r="AK168" s="221">
        <f>IF(ISERROR(LOOKUP(AK$16,$L168:$X168,#REF!)),0,(LOOKUP(AK$16,$L168:$X168,#REF!)))</f>
        <v>0</v>
      </c>
      <c r="AL168" s="221">
        <f>IF(ISERROR(LOOKUP(AL$16,$L168:$X168,#REF!)),0,(LOOKUP(AL$16,$L168:$X168,#REF!)))</f>
        <v>0</v>
      </c>
      <c r="AM168" s="221">
        <f ca="1">IF(ISERROR(LOOKUP(AM$16,$L168:$X168,#REF!)),0,(LOOKUP(AM$16,$L168:$X168,#REF!)))</f>
        <v>0</v>
      </c>
      <c r="AP168" s="215" t="e">
        <f>WORKDAY(IF(T169="",T168,T169),INDEX(AP$12:AP$15,MATCH($I167,$I$12:$I$15,0)),$AW$17:$AW$148)</f>
        <v>#REF!</v>
      </c>
      <c r="AQ168" s="215" t="e">
        <f>WORKDAY(IF(AP169="",AP168,AP169),INDEX(AQ$12:AQ$15,MATCH($I167,$I$12:$I$15,0)),$AW$17:$AW$148)</f>
        <v>#REF!</v>
      </c>
      <c r="AR168" s="215" t="e">
        <f>WORKDAY(IF(AQ169="",AQ168,AQ169),INDEX(AR$12:AR$15,MATCH($I167,$I$12:$I$15,0)),$AW$17:$AW$148)</f>
        <v>#REF!</v>
      </c>
      <c r="AS168" s="638"/>
      <c r="AW168" s="223" t="e">
        <v>#REF!</v>
      </c>
    </row>
    <row r="169" spans="1:49" s="166" customFormat="1" ht="18" customHeight="1">
      <c r="A169" s="596"/>
      <c r="B169" s="600"/>
      <c r="C169" s="601" t="str">
        <f>C167</f>
        <v>RFQ-051</v>
      </c>
      <c r="D169" s="601" t="str">
        <f t="shared" ref="D169:I169" si="304">D167</f>
        <v>CHECK VALVE (FLANGE END)</v>
      </c>
      <c r="E169" s="212"/>
      <c r="F169" s="601" t="str">
        <f t="shared" si="304"/>
        <v>Piping</v>
      </c>
      <c r="G169" s="601" t="str">
        <f t="shared" ref="G169" si="305">G167</f>
        <v>N</v>
      </c>
      <c r="H169" s="608"/>
      <c r="I169" s="212" t="str">
        <f t="shared" si="304"/>
        <v>LB</v>
      </c>
      <c r="J169" s="249" t="s">
        <v>67</v>
      </c>
      <c r="K169" s="212"/>
      <c r="L169" s="212"/>
      <c r="M169" s="212"/>
      <c r="N169" s="212"/>
      <c r="O169" s="212"/>
      <c r="P169" s="226"/>
      <c r="Q169" s="227"/>
      <c r="R169" s="212"/>
      <c r="S169" s="212"/>
      <c r="T169" s="212"/>
      <c r="U169" s="212"/>
      <c r="V169" s="212"/>
      <c r="W169" s="228"/>
      <c r="X169" s="212"/>
      <c r="Y169" s="628"/>
      <c r="Z169" s="633"/>
      <c r="AA169" s="633"/>
      <c r="AB169" s="637"/>
      <c r="AC169" s="229">
        <f>IF(ISERROR(LOOKUP(AC$16,$L169:$X169,#REF!)),0,(LOOKUP(AC$16,$L169:$X169,#REF!)))</f>
        <v>0</v>
      </c>
      <c r="AD169" s="230">
        <f>IF(ISERROR(LOOKUP(AD$16,$L169:$X169,#REF!)),0,(LOOKUP(AD$16,$L169:$X169,#REF!)))</f>
        <v>0</v>
      </c>
      <c r="AE169" s="230">
        <f>IF(ISERROR(LOOKUP(AE$16,$L169:$X169,#REF!)),0,(LOOKUP(AE$16,$L169:$X169,#REF!)))</f>
        <v>0</v>
      </c>
      <c r="AF169" s="230">
        <f>IF(ISERROR(LOOKUP(AF$16,$L169:$X169,#REF!)),0,(LOOKUP(AF$16,$L169:$X169,#REF!)))</f>
        <v>0</v>
      </c>
      <c r="AG169" s="230">
        <f>IF(ISERROR(LOOKUP(AG$16,$L169:$X169,#REF!)),0,(LOOKUP(AG$16,$L169:$X169,#REF!)))</f>
        <v>0</v>
      </c>
      <c r="AH169" s="230">
        <f>IF(ISERROR(LOOKUP(AH$16,$L169:$X169,#REF!)),0,(LOOKUP(AH$16,$L169:$X169,#REF!)))</f>
        <v>0</v>
      </c>
      <c r="AI169" s="230">
        <f>IF(ISERROR(LOOKUP(AI$16,$L169:$X169,#REF!)),0,(LOOKUP(AI$16,$L169:$X169,#REF!)))</f>
        <v>0</v>
      </c>
      <c r="AJ169" s="230">
        <f>IF(ISERROR(LOOKUP(AJ$16,$L169:$X169,#REF!)),0,(LOOKUP(AJ$16,$L169:$X169,#REF!)))</f>
        <v>0</v>
      </c>
      <c r="AK169" s="230">
        <f>IF(ISERROR(LOOKUP(AK$16,$L169:$X169,#REF!)),0,(LOOKUP(AK$16,$L169:$X169,#REF!)))</f>
        <v>0</v>
      </c>
      <c r="AL169" s="230">
        <f>IF(ISERROR(LOOKUP(AL$16,$L169:$X169,#REF!)),0,(LOOKUP(AL$16,$L169:$X169,#REF!)))</f>
        <v>0</v>
      </c>
      <c r="AM169" s="230">
        <f ca="1">IF(ISERROR(LOOKUP(AM$16,$L169:$X169,#REF!)),0,(LOOKUP(AM$16,$L169:$X169,#REF!)))</f>
        <v>0</v>
      </c>
      <c r="AP169" s="212"/>
      <c r="AQ169" s="212"/>
      <c r="AR169" s="212"/>
      <c r="AS169" s="638"/>
      <c r="AW169" s="223" t="e">
        <v>#REF!</v>
      </c>
    </row>
    <row r="170" spans="1:49" s="166" customFormat="1" ht="18" customHeight="1">
      <c r="A170" s="596">
        <f t="shared" ref="A170" si="306">A167+1</f>
        <v>52</v>
      </c>
      <c r="B170" s="598"/>
      <c r="C170" s="601" t="s">
        <v>4790</v>
      </c>
      <c r="D170" s="601" t="s">
        <v>226</v>
      </c>
      <c r="E170" s="212"/>
      <c r="F170" s="601" t="s">
        <v>83</v>
      </c>
      <c r="G170" s="601" t="s">
        <v>71</v>
      </c>
      <c r="H170" s="606"/>
      <c r="I170" s="212" t="s">
        <v>7</v>
      </c>
      <c r="J170" s="249" t="s">
        <v>61</v>
      </c>
      <c r="K170" s="215">
        <f>WORKDAY(L170,-INDEX(L$12:L$15,MATCH($I170,$I$12:$I$15,0)))</f>
        <v>46188</v>
      </c>
      <c r="L170" s="215">
        <f>WORKDAY(M170,-INDEX(M$12:M$15,MATCH($I170,$I$12:$I$15,0)))</f>
        <v>46189</v>
      </c>
      <c r="M170" s="215">
        <f>WORKDAY(N170,-INDEX(N$12:N$15,MATCH($I170,$I$12:$I$15,0)))</f>
        <v>46196</v>
      </c>
      <c r="N170" s="215">
        <f>WORKDAY(O170,-INDEX(O$12:O$15,MATCH($I170,$I$12:$I$15,0)))</f>
        <v>46197</v>
      </c>
      <c r="O170" s="215">
        <f>WORKDAY(R170,-INDEX(R$12:R$15,MATCH($I170,$I$12:$I$15,0)))</f>
        <v>46204</v>
      </c>
      <c r="P170" s="216">
        <f>U170-L170</f>
        <v>75</v>
      </c>
      <c r="Q170" s="217"/>
      <c r="R170" s="215">
        <f>WORKDAY(S170,-INDEX(S$12:S$15,MATCH($I170,$I$12:$I$15,0)))</f>
        <v>46218</v>
      </c>
      <c r="S170" s="215">
        <f>WORKDAY(T170,-INDEX(T$12:T$15,MATCH($I170,$I$12:$I$15,0)))</f>
        <v>46246</v>
      </c>
      <c r="T170" s="215">
        <f>WORKDAY(U170,-INDEX(U$12:U$15,MATCH($I170,$I$12:$I$15,0)))</f>
        <v>46251</v>
      </c>
      <c r="U170" s="215">
        <f>X170-Y170</f>
        <v>46264</v>
      </c>
      <c r="V170" s="215">
        <f>WORKDAY(U170,INDEX(V$12:V$15,MATCH($I170,$I$12:$I$15,0)))</f>
        <v>46266</v>
      </c>
      <c r="W170" s="218">
        <f>Y170/7</f>
        <v>26.1428571428571</v>
      </c>
      <c r="X170" s="215">
        <f>Z170</f>
        <v>46447</v>
      </c>
      <c r="Y170" s="628">
        <v>183</v>
      </c>
      <c r="Z170" s="633">
        <v>46447</v>
      </c>
      <c r="AA170" s="633">
        <v>46538</v>
      </c>
      <c r="AB170" s="637">
        <f t="shared" ref="AB170" si="307">Z170-X171</f>
        <v>0</v>
      </c>
      <c r="AC170" s="220">
        <f>IF(ISERROR(LOOKUP(AC$16,$L170:$X170,#REF!)),0,(LOOKUP(AC$16,$L170:$X170,#REF!)))</f>
        <v>0</v>
      </c>
      <c r="AD170" s="221">
        <f>IF(ISERROR(LOOKUP(AD$16,$L170:$X170,#REF!)),0,(LOOKUP(AD$16,$L170:$X170,#REF!)))</f>
        <v>0</v>
      </c>
      <c r="AE170" s="221">
        <f>IF(ISERROR(LOOKUP(AE$16,$L170:$X170,#REF!)),0,(LOOKUP(AE$16,$L170:$X170,#REF!)))</f>
        <v>0</v>
      </c>
      <c r="AF170" s="221">
        <f>IF(ISERROR(LOOKUP(AF$16,$L170:$X170,#REF!)),0,(LOOKUP(AF$16,$L170:$X170,#REF!)))</f>
        <v>0</v>
      </c>
      <c r="AG170" s="221">
        <f>IF(ISERROR(LOOKUP(AG$16,$L170:$X170,#REF!)),0,(LOOKUP(AG$16,$L170:$X170,#REF!)))</f>
        <v>0</v>
      </c>
      <c r="AH170" s="221">
        <f>IF(ISERROR(LOOKUP(AH$16,$L170:$X170,#REF!)),0,(LOOKUP(AH$16,$L170:$X170,#REF!)))</f>
        <v>0</v>
      </c>
      <c r="AI170" s="221">
        <f>IF(ISERROR(LOOKUP(AI$16,$L170:$X170,#REF!)),0,(LOOKUP(AI$16,$L170:$X170,#REF!)))</f>
        <v>0</v>
      </c>
      <c r="AJ170" s="221">
        <f>IF(ISERROR(LOOKUP(AJ$16,$L170:$X170,#REF!)),0,(LOOKUP(AJ$16,$L170:$X170,#REF!)))</f>
        <v>0</v>
      </c>
      <c r="AK170" s="221">
        <f>IF(ISERROR(LOOKUP(AK$16,$L170:$X170,#REF!)),0,(LOOKUP(AK$16,$L170:$X170,#REF!)))</f>
        <v>0</v>
      </c>
      <c r="AL170" s="221">
        <f>IF(ISERROR(LOOKUP(AL$16,$L170:$X170,#REF!)),0,(LOOKUP(AL$16,$L170:$X170,#REF!)))</f>
        <v>0</v>
      </c>
      <c r="AM170" s="221">
        <f ca="1">IF(ISERROR(LOOKUP(AM$16,$L170:$X170,#REF!)),0,(LOOKUP(AM$16,$L170:$X170,#REF!)))</f>
        <v>0</v>
      </c>
      <c r="AP170" s="215" t="e">
        <f>WORKDAY(AQ170,-INDEX(AQ$12:AQ$15,MATCH($I170,$I$12:$I$15,0)),$AW$17:$AW$148)</f>
        <v>#REF!</v>
      </c>
      <c r="AQ170" s="215" t="e">
        <f>WORKDAY(U170,-INDEX(U$12:U$15,MATCH($I170,$I$12:$I$15,0)),$AW$17:$AW$148)</f>
        <v>#REF!</v>
      </c>
      <c r="AR170" s="215" t="e">
        <f>WORKDAY(U170,-INDEX(U$12:U$15,MATCH($I170,$I$12:$I$15,0)),$AW$17:$AW$148)</f>
        <v>#REF!</v>
      </c>
      <c r="AS170" s="638">
        <v>7</v>
      </c>
      <c r="AW170" s="223" t="e">
        <v>#REF!</v>
      </c>
    </row>
    <row r="171" spans="1:49" s="166" customFormat="1" ht="18" customHeight="1">
      <c r="A171" s="596"/>
      <c r="B171" s="599"/>
      <c r="C171" s="601" t="str">
        <f t="shared" ref="C171" si="308">C170</f>
        <v>RFQ-052</v>
      </c>
      <c r="D171" s="601" t="str">
        <f t="shared" ref="D171:I171" si="309">D170</f>
        <v>CHECK VALVE (WELDED END)</v>
      </c>
      <c r="E171" s="212"/>
      <c r="F171" s="601" t="str">
        <f t="shared" si="309"/>
        <v>Piping</v>
      </c>
      <c r="G171" s="601" t="str">
        <f t="shared" si="309"/>
        <v>N</v>
      </c>
      <c r="H171" s="607"/>
      <c r="I171" s="212" t="str">
        <f t="shared" si="309"/>
        <v>LB</v>
      </c>
      <c r="J171" s="249" t="s">
        <v>65</v>
      </c>
      <c r="K171" s="215">
        <f>K170</f>
        <v>46188</v>
      </c>
      <c r="L171" s="215">
        <f>WORKDAY(IF(K172="",K171,K172),INDEX(L$12:L$15,MATCH($I170,$I$12:$I$15,0)))</f>
        <v>46189</v>
      </c>
      <c r="M171" s="215">
        <f>WORKDAY(IF(L172="",L171,L172),INDEX(M$12:M$15,MATCH($I170,$I$12:$I$15,0)))</f>
        <v>46196</v>
      </c>
      <c r="N171" s="215">
        <f>WORKDAY(IF(M172="",M171,M172),INDEX(N$12:N$15,MATCH($I170,$I$12:$I$15,0)))</f>
        <v>46197</v>
      </c>
      <c r="O171" s="215">
        <f>WORKDAY(IF(N172="",N171,N172),INDEX(O$12:O$15,MATCH($I170,$I$12:$I$15,0)))</f>
        <v>46204</v>
      </c>
      <c r="P171" s="216"/>
      <c r="Q171" s="217"/>
      <c r="R171" s="215">
        <f>WORKDAY(IF(O172="",O171,O172),INDEX(R$12:R$15,MATCH($I170,$I$12:$I$15,0)))</f>
        <v>46218</v>
      </c>
      <c r="S171" s="215">
        <f>WORKDAY(IF(R172="",R171,R172),INDEX(S$12:S$15,MATCH($I170,$I$12:$I$15,0)))</f>
        <v>46246</v>
      </c>
      <c r="T171" s="215">
        <f>WORKDAY(IF(S172="",S171,S172),INDEX(T$12:T$15,MATCH($I170,$I$12:$I$15,0)))</f>
        <v>46251</v>
      </c>
      <c r="U171" s="215">
        <f>WORKDAY(IF(T172="",T171,T172),INDEX(U$12:U$15,MATCH($I170,$I$12:$I$15,0)))-1</f>
        <v>46264</v>
      </c>
      <c r="V171" s="215">
        <f>WORKDAY(IF(U172="",U171,U172),INDEX(V$12:V$15,MATCH($I170,$I$12:$I$15,0)))</f>
        <v>46266</v>
      </c>
      <c r="W171" s="218"/>
      <c r="X171" s="215">
        <f>U171+Y170</f>
        <v>46447</v>
      </c>
      <c r="Y171" s="628"/>
      <c r="Z171" s="633"/>
      <c r="AA171" s="633"/>
      <c r="AB171" s="637"/>
      <c r="AC171" s="220">
        <f>IF(ISERROR(LOOKUP(AC$16,$L171:$X171,#REF!)),0,(LOOKUP(AC$16,$L171:$X171,#REF!)))</f>
        <v>0</v>
      </c>
      <c r="AD171" s="221">
        <f>IF(ISERROR(LOOKUP(AD$16,$L171:$X171,#REF!)),0,(LOOKUP(AD$16,$L171:$X171,#REF!)))</f>
        <v>0</v>
      </c>
      <c r="AE171" s="221">
        <f>IF(ISERROR(LOOKUP(AE$16,$L171:$X171,#REF!)),0,(LOOKUP(AE$16,$L171:$X171,#REF!)))</f>
        <v>0</v>
      </c>
      <c r="AF171" s="221">
        <f>IF(ISERROR(LOOKUP(AF$16,$L171:$X171,#REF!)),0,(LOOKUP(AF$16,$L171:$X171,#REF!)))</f>
        <v>0</v>
      </c>
      <c r="AG171" s="221">
        <f>IF(ISERROR(LOOKUP(AG$16,$L171:$X171,#REF!)),0,(LOOKUP(AG$16,$L171:$X171,#REF!)))</f>
        <v>0</v>
      </c>
      <c r="AH171" s="221">
        <f>IF(ISERROR(LOOKUP(AH$16,$L171:$X171,#REF!)),0,(LOOKUP(AH$16,$L171:$X171,#REF!)))</f>
        <v>0</v>
      </c>
      <c r="AI171" s="221">
        <f>IF(ISERROR(LOOKUP(AI$16,$L171:$X171,#REF!)),0,(LOOKUP(AI$16,$L171:$X171,#REF!)))</f>
        <v>0</v>
      </c>
      <c r="AJ171" s="221">
        <f>IF(ISERROR(LOOKUP(AJ$16,$L171:$X171,#REF!)),0,(LOOKUP(AJ$16,$L171:$X171,#REF!)))</f>
        <v>0</v>
      </c>
      <c r="AK171" s="221">
        <f>IF(ISERROR(LOOKUP(AK$16,$L171:$X171,#REF!)),0,(LOOKUP(AK$16,$L171:$X171,#REF!)))</f>
        <v>0</v>
      </c>
      <c r="AL171" s="221">
        <f>IF(ISERROR(LOOKUP(AL$16,$L171:$X171,#REF!)),0,(LOOKUP(AL$16,$L171:$X171,#REF!)))</f>
        <v>0</v>
      </c>
      <c r="AM171" s="221">
        <f ca="1">IF(ISERROR(LOOKUP(AM$16,$L171:$X171,#REF!)),0,(LOOKUP(AM$16,$L171:$X171,#REF!)))</f>
        <v>0</v>
      </c>
      <c r="AP171" s="215" t="e">
        <f>WORKDAY(IF(T172="",T171,T172),INDEX(AP$12:AP$15,MATCH($I170,$I$12:$I$15,0)),$AW$17:$AW$148)</f>
        <v>#REF!</v>
      </c>
      <c r="AQ171" s="215" t="e">
        <f>WORKDAY(IF(AP172="",AP171,AP172),INDEX(AQ$12:AQ$15,MATCH($I170,$I$12:$I$15,0)),$AW$17:$AW$148)</f>
        <v>#REF!</v>
      </c>
      <c r="AR171" s="215" t="e">
        <f>WORKDAY(IF(AQ172="",AQ171,AQ172),INDEX(AR$12:AR$15,MATCH($I170,$I$12:$I$15,0)),$AW$17:$AW$148)</f>
        <v>#REF!</v>
      </c>
      <c r="AS171" s="638"/>
      <c r="AW171" s="223" t="e">
        <v>#REF!</v>
      </c>
    </row>
    <row r="172" spans="1:49" s="166" customFormat="1" ht="18" customHeight="1">
      <c r="A172" s="596"/>
      <c r="B172" s="600"/>
      <c r="C172" s="601" t="str">
        <f>C170</f>
        <v>RFQ-052</v>
      </c>
      <c r="D172" s="601" t="str">
        <f t="shared" ref="D172:I172" si="310">D170</f>
        <v>CHECK VALVE (WELDED END)</v>
      </c>
      <c r="E172" s="212"/>
      <c r="F172" s="601" t="str">
        <f t="shared" si="310"/>
        <v>Piping</v>
      </c>
      <c r="G172" s="601" t="str">
        <f t="shared" ref="G172" si="311">G170</f>
        <v>N</v>
      </c>
      <c r="H172" s="608"/>
      <c r="I172" s="212" t="str">
        <f t="shared" si="310"/>
        <v>LB</v>
      </c>
      <c r="J172" s="249" t="s">
        <v>67</v>
      </c>
      <c r="K172" s="212"/>
      <c r="L172" s="212"/>
      <c r="M172" s="212"/>
      <c r="N172" s="212"/>
      <c r="O172" s="212"/>
      <c r="P172" s="226"/>
      <c r="Q172" s="227"/>
      <c r="R172" s="212"/>
      <c r="S172" s="212"/>
      <c r="T172" s="212"/>
      <c r="U172" s="212"/>
      <c r="V172" s="212"/>
      <c r="W172" s="228"/>
      <c r="X172" s="212"/>
      <c r="Y172" s="628"/>
      <c r="Z172" s="633"/>
      <c r="AA172" s="633"/>
      <c r="AB172" s="637"/>
      <c r="AC172" s="229">
        <f>IF(ISERROR(LOOKUP(AC$16,$L172:$X172,#REF!)),0,(LOOKUP(AC$16,$L172:$X172,#REF!)))</f>
        <v>0</v>
      </c>
      <c r="AD172" s="230">
        <f>IF(ISERROR(LOOKUP(AD$16,$L172:$X172,#REF!)),0,(LOOKUP(AD$16,$L172:$X172,#REF!)))</f>
        <v>0</v>
      </c>
      <c r="AE172" s="230">
        <f>IF(ISERROR(LOOKUP(AE$16,$L172:$X172,#REF!)),0,(LOOKUP(AE$16,$L172:$X172,#REF!)))</f>
        <v>0</v>
      </c>
      <c r="AF172" s="230">
        <f>IF(ISERROR(LOOKUP(AF$16,$L172:$X172,#REF!)),0,(LOOKUP(AF$16,$L172:$X172,#REF!)))</f>
        <v>0</v>
      </c>
      <c r="AG172" s="230">
        <f>IF(ISERROR(LOOKUP(AG$16,$L172:$X172,#REF!)),0,(LOOKUP(AG$16,$L172:$X172,#REF!)))</f>
        <v>0</v>
      </c>
      <c r="AH172" s="230">
        <f>IF(ISERROR(LOOKUP(AH$16,$L172:$X172,#REF!)),0,(LOOKUP(AH$16,$L172:$X172,#REF!)))</f>
        <v>0</v>
      </c>
      <c r="AI172" s="230">
        <f>IF(ISERROR(LOOKUP(AI$16,$L172:$X172,#REF!)),0,(LOOKUP(AI$16,$L172:$X172,#REF!)))</f>
        <v>0</v>
      </c>
      <c r="AJ172" s="230">
        <f>IF(ISERROR(LOOKUP(AJ$16,$L172:$X172,#REF!)),0,(LOOKUP(AJ$16,$L172:$X172,#REF!)))</f>
        <v>0</v>
      </c>
      <c r="AK172" s="230">
        <f>IF(ISERROR(LOOKUP(AK$16,$L172:$X172,#REF!)),0,(LOOKUP(AK$16,$L172:$X172,#REF!)))</f>
        <v>0</v>
      </c>
      <c r="AL172" s="230">
        <f>IF(ISERROR(LOOKUP(AL$16,$L172:$X172,#REF!)),0,(LOOKUP(AL$16,$L172:$X172,#REF!)))</f>
        <v>0</v>
      </c>
      <c r="AM172" s="230">
        <f ca="1">IF(ISERROR(LOOKUP(AM$16,$L172:$X172,#REF!)),0,(LOOKUP(AM$16,$L172:$X172,#REF!)))</f>
        <v>0</v>
      </c>
      <c r="AP172" s="212"/>
      <c r="AQ172" s="212"/>
      <c r="AR172" s="212"/>
      <c r="AS172" s="638"/>
      <c r="AW172" s="223" t="e">
        <v>#REF!</v>
      </c>
    </row>
    <row r="173" spans="1:49" s="166" customFormat="1" ht="18" customHeight="1">
      <c r="A173" s="596">
        <f t="shared" ref="A173" si="312">A170+1</f>
        <v>53</v>
      </c>
      <c r="B173" s="598"/>
      <c r="C173" s="601" t="s">
        <v>4791</v>
      </c>
      <c r="D173" s="601" t="s">
        <v>228</v>
      </c>
      <c r="E173" s="212"/>
      <c r="F173" s="601" t="s">
        <v>83</v>
      </c>
      <c r="G173" s="601" t="s">
        <v>71</v>
      </c>
      <c r="H173" s="606"/>
      <c r="I173" s="212" t="s">
        <v>7</v>
      </c>
      <c r="J173" s="249" t="s">
        <v>61</v>
      </c>
      <c r="K173" s="215">
        <f>WORKDAY(L173,-INDEX(L$12:L$15,MATCH($I173,$I$12:$I$15,0)))</f>
        <v>46160</v>
      </c>
      <c r="L173" s="215">
        <f>WORKDAY(M173,-INDEX(M$12:M$15,MATCH($I173,$I$12:$I$15,0)))</f>
        <v>46161</v>
      </c>
      <c r="M173" s="215">
        <f>WORKDAY(N173,-INDEX(N$12:N$15,MATCH($I173,$I$12:$I$15,0)))</f>
        <v>46168</v>
      </c>
      <c r="N173" s="215">
        <f>WORKDAY(O173,-INDEX(O$12:O$15,MATCH($I173,$I$12:$I$15,0)))</f>
        <v>46169</v>
      </c>
      <c r="O173" s="215">
        <f>WORKDAY(R173,-INDEX(R$12:R$15,MATCH($I173,$I$12:$I$15,0)))</f>
        <v>46176</v>
      </c>
      <c r="P173" s="216">
        <f>U173-L173</f>
        <v>76</v>
      </c>
      <c r="Q173" s="217"/>
      <c r="R173" s="215">
        <f>WORKDAY(S173,-INDEX(S$12:S$15,MATCH($I173,$I$12:$I$15,0)))</f>
        <v>46190</v>
      </c>
      <c r="S173" s="215">
        <f>WORKDAY(T173,-INDEX(T$12:T$15,MATCH($I173,$I$12:$I$15,0)))</f>
        <v>46218</v>
      </c>
      <c r="T173" s="215">
        <f>WORKDAY(U173,-INDEX(U$12:U$15,MATCH($I173,$I$12:$I$15,0)))</f>
        <v>46223</v>
      </c>
      <c r="U173" s="215">
        <f>X173-Y173</f>
        <v>46237</v>
      </c>
      <c r="V173" s="215">
        <f>WORKDAY(U173,INDEX(V$12:V$15,MATCH($I173,$I$12:$I$15,0)))</f>
        <v>46239</v>
      </c>
      <c r="W173" s="218">
        <f>Y173/7</f>
        <v>30</v>
      </c>
      <c r="X173" s="215">
        <f>Z173</f>
        <v>46447</v>
      </c>
      <c r="Y173" s="628">
        <v>210</v>
      </c>
      <c r="Z173" s="633">
        <v>46447</v>
      </c>
      <c r="AA173" s="633">
        <v>46538</v>
      </c>
      <c r="AB173" s="637">
        <f t="shared" ref="AB173" si="313">Z173-X174</f>
        <v>0</v>
      </c>
      <c r="AC173" s="220">
        <f>IF(ISERROR(LOOKUP(AC$16,$L173:$X173,#REF!)),0,(LOOKUP(AC$16,$L173:$X173,#REF!)))</f>
        <v>0</v>
      </c>
      <c r="AD173" s="221">
        <f>IF(ISERROR(LOOKUP(AD$16,$L173:$X173,#REF!)),0,(LOOKUP(AD$16,$L173:$X173,#REF!)))</f>
        <v>0</v>
      </c>
      <c r="AE173" s="221">
        <f>IF(ISERROR(LOOKUP(AE$16,$L173:$X173,#REF!)),0,(LOOKUP(AE$16,$L173:$X173,#REF!)))</f>
        <v>0</v>
      </c>
      <c r="AF173" s="221">
        <f>IF(ISERROR(LOOKUP(AF$16,$L173:$X173,#REF!)),0,(LOOKUP(AF$16,$L173:$X173,#REF!)))</f>
        <v>0</v>
      </c>
      <c r="AG173" s="221">
        <f>IF(ISERROR(LOOKUP(AG$16,$L173:$X173,#REF!)),0,(LOOKUP(AG$16,$L173:$X173,#REF!)))</f>
        <v>0</v>
      </c>
      <c r="AH173" s="221">
        <f>IF(ISERROR(LOOKUP(AH$16,$L173:$X173,#REF!)),0,(LOOKUP(AH$16,$L173:$X173,#REF!)))</f>
        <v>0</v>
      </c>
      <c r="AI173" s="221">
        <f>IF(ISERROR(LOOKUP(AI$16,$L173:$X173,#REF!)),0,(LOOKUP(AI$16,$L173:$X173,#REF!)))</f>
        <v>0</v>
      </c>
      <c r="AJ173" s="221">
        <f>IF(ISERROR(LOOKUP(AJ$16,$L173:$X173,#REF!)),0,(LOOKUP(AJ$16,$L173:$X173,#REF!)))</f>
        <v>0</v>
      </c>
      <c r="AK173" s="221">
        <f>IF(ISERROR(LOOKUP(AK$16,$L173:$X173,#REF!)),0,(LOOKUP(AK$16,$L173:$X173,#REF!)))</f>
        <v>0</v>
      </c>
      <c r="AL173" s="221">
        <f>IF(ISERROR(LOOKUP(AL$16,$L173:$X173,#REF!)),0,(LOOKUP(AL$16,$L173:$X173,#REF!)))</f>
        <v>0</v>
      </c>
      <c r="AM173" s="221">
        <f ca="1">IF(ISERROR(LOOKUP(AM$16,$L173:$X173,#REF!)),0,(LOOKUP(AM$16,$L173:$X173,#REF!)))</f>
        <v>0</v>
      </c>
      <c r="AP173" s="215" t="e">
        <f>WORKDAY(AQ173,-INDEX(AQ$12:AQ$15,MATCH($I173,$I$12:$I$15,0)),$AW$17:$AW$148)</f>
        <v>#REF!</v>
      </c>
      <c r="AQ173" s="215" t="e">
        <f>WORKDAY(U173,-INDEX(U$12:U$15,MATCH($I173,$I$12:$I$15,0)),$AW$17:$AW$148)</f>
        <v>#REF!</v>
      </c>
      <c r="AR173" s="215" t="e">
        <f>WORKDAY(U173,-INDEX(U$12:U$15,MATCH($I173,$I$12:$I$15,0)),$AW$17:$AW$148)</f>
        <v>#REF!</v>
      </c>
      <c r="AS173" s="638">
        <v>7</v>
      </c>
      <c r="AW173" s="223" t="e">
        <v>#REF!</v>
      </c>
    </row>
    <row r="174" spans="1:49" s="166" customFormat="1" ht="18" customHeight="1">
      <c r="A174" s="596"/>
      <c r="B174" s="599"/>
      <c r="C174" s="601" t="str">
        <f t="shared" ref="C174" si="314">C173</f>
        <v>RFQ-053</v>
      </c>
      <c r="D174" s="601" t="str">
        <f t="shared" ref="D174:I174" si="315">D173</f>
        <v>COMPACT CHECK VALVE (WELDED END)</v>
      </c>
      <c r="E174" s="212"/>
      <c r="F174" s="601" t="str">
        <f t="shared" si="315"/>
        <v>Piping</v>
      </c>
      <c r="G174" s="601" t="str">
        <f t="shared" si="315"/>
        <v>N</v>
      </c>
      <c r="H174" s="607"/>
      <c r="I174" s="212" t="str">
        <f t="shared" si="315"/>
        <v>LB</v>
      </c>
      <c r="J174" s="249" t="s">
        <v>65</v>
      </c>
      <c r="K174" s="215">
        <f>K173</f>
        <v>46160</v>
      </c>
      <c r="L174" s="215">
        <f>WORKDAY(IF(K175="",K174,K175),INDEX(L$12:L$15,MATCH($I173,$I$12:$I$15,0)))</f>
        <v>46161</v>
      </c>
      <c r="M174" s="215">
        <f>WORKDAY(IF(L175="",L174,L175),INDEX(M$12:M$15,MATCH($I173,$I$12:$I$15,0)))</f>
        <v>46168</v>
      </c>
      <c r="N174" s="215">
        <f>WORKDAY(IF(M175="",M174,M175),INDEX(N$12:N$15,MATCH($I173,$I$12:$I$15,0)))</f>
        <v>46169</v>
      </c>
      <c r="O174" s="215">
        <f>WORKDAY(IF(N175="",N174,N175),INDEX(O$12:O$15,MATCH($I173,$I$12:$I$15,0)))</f>
        <v>46176</v>
      </c>
      <c r="P174" s="216"/>
      <c r="Q174" s="217"/>
      <c r="R174" s="215">
        <f>WORKDAY(IF(O175="",O174,O175),INDEX(R$12:R$15,MATCH($I173,$I$12:$I$15,0)))</f>
        <v>46190</v>
      </c>
      <c r="S174" s="215">
        <f>WORKDAY(IF(R175="",R174,R175),INDEX(S$12:S$15,MATCH($I173,$I$12:$I$15,0)))</f>
        <v>46218</v>
      </c>
      <c r="T174" s="215">
        <f>WORKDAY(IF(S175="",S174,S175),INDEX(T$12:T$15,MATCH($I173,$I$12:$I$15,0)))</f>
        <v>46223</v>
      </c>
      <c r="U174" s="215">
        <f>WORKDAY(IF(T175="",T174,T175),INDEX(U$12:U$15,MATCH($I173,$I$12:$I$15,0)))</f>
        <v>46237</v>
      </c>
      <c r="V174" s="215">
        <f>WORKDAY(IF(U175="",U174,U175),INDEX(V$12:V$15,MATCH($I173,$I$12:$I$15,0)))</f>
        <v>46239</v>
      </c>
      <c r="W174" s="218"/>
      <c r="X174" s="215">
        <f>U174+Y173</f>
        <v>46447</v>
      </c>
      <c r="Y174" s="628"/>
      <c r="Z174" s="633"/>
      <c r="AA174" s="633"/>
      <c r="AB174" s="637"/>
      <c r="AC174" s="220">
        <f>IF(ISERROR(LOOKUP(AC$16,$L174:$X174,#REF!)),0,(LOOKUP(AC$16,$L174:$X174,#REF!)))</f>
        <v>0</v>
      </c>
      <c r="AD174" s="221">
        <f>IF(ISERROR(LOOKUP(AD$16,$L174:$X174,#REF!)),0,(LOOKUP(AD$16,$L174:$X174,#REF!)))</f>
        <v>0</v>
      </c>
      <c r="AE174" s="221">
        <f>IF(ISERROR(LOOKUP(AE$16,$L174:$X174,#REF!)),0,(LOOKUP(AE$16,$L174:$X174,#REF!)))</f>
        <v>0</v>
      </c>
      <c r="AF174" s="221">
        <f>IF(ISERROR(LOOKUP(AF$16,$L174:$X174,#REF!)),0,(LOOKUP(AF$16,$L174:$X174,#REF!)))</f>
        <v>0</v>
      </c>
      <c r="AG174" s="221">
        <f>IF(ISERROR(LOOKUP(AG$16,$L174:$X174,#REF!)),0,(LOOKUP(AG$16,$L174:$X174,#REF!)))</f>
        <v>0</v>
      </c>
      <c r="AH174" s="221">
        <f>IF(ISERROR(LOOKUP(AH$16,$L174:$X174,#REF!)),0,(LOOKUP(AH$16,$L174:$X174,#REF!)))</f>
        <v>0</v>
      </c>
      <c r="AI174" s="221">
        <f>IF(ISERROR(LOOKUP(AI$16,$L174:$X174,#REF!)),0,(LOOKUP(AI$16,$L174:$X174,#REF!)))</f>
        <v>0</v>
      </c>
      <c r="AJ174" s="221">
        <f>IF(ISERROR(LOOKUP(AJ$16,$L174:$X174,#REF!)),0,(LOOKUP(AJ$16,$L174:$X174,#REF!)))</f>
        <v>0</v>
      </c>
      <c r="AK174" s="221">
        <f>IF(ISERROR(LOOKUP(AK$16,$L174:$X174,#REF!)),0,(LOOKUP(AK$16,$L174:$X174,#REF!)))</f>
        <v>0</v>
      </c>
      <c r="AL174" s="221">
        <f>IF(ISERROR(LOOKUP(AL$16,$L174:$X174,#REF!)),0,(LOOKUP(AL$16,$L174:$X174,#REF!)))</f>
        <v>0</v>
      </c>
      <c r="AM174" s="221">
        <f ca="1">IF(ISERROR(LOOKUP(AM$16,$L174:$X174,#REF!)),0,(LOOKUP(AM$16,$L174:$X174,#REF!)))</f>
        <v>0</v>
      </c>
      <c r="AP174" s="215" t="e">
        <f>WORKDAY(IF(T175="",T174,T175),INDEX(AP$12:AP$15,MATCH($I173,$I$12:$I$15,0)),$AW$17:$AW$148)</f>
        <v>#REF!</v>
      </c>
      <c r="AQ174" s="215" t="e">
        <f>WORKDAY(IF(AP175="",AP174,AP175),INDEX(AQ$12:AQ$15,MATCH($I173,$I$12:$I$15,0)),$AW$17:$AW$148)</f>
        <v>#REF!</v>
      </c>
      <c r="AR174" s="215" t="e">
        <f>WORKDAY(IF(AQ175="",AQ174,AQ175),INDEX(AR$12:AR$15,MATCH($I173,$I$12:$I$15,0)),$AW$17:$AW$148)</f>
        <v>#REF!</v>
      </c>
      <c r="AS174" s="638"/>
      <c r="AW174" s="223" t="e">
        <v>#REF!</v>
      </c>
    </row>
    <row r="175" spans="1:49" s="166" customFormat="1" ht="18" customHeight="1">
      <c r="A175" s="596"/>
      <c r="B175" s="600"/>
      <c r="C175" s="601" t="str">
        <f>C173</f>
        <v>RFQ-053</v>
      </c>
      <c r="D175" s="601" t="str">
        <f t="shared" ref="D175:I175" si="316">D173</f>
        <v>COMPACT CHECK VALVE (WELDED END)</v>
      </c>
      <c r="E175" s="212"/>
      <c r="F175" s="601" t="str">
        <f t="shared" si="316"/>
        <v>Piping</v>
      </c>
      <c r="G175" s="601" t="str">
        <f t="shared" ref="G175" si="317">G173</f>
        <v>N</v>
      </c>
      <c r="H175" s="608"/>
      <c r="I175" s="212" t="str">
        <f t="shared" si="316"/>
        <v>LB</v>
      </c>
      <c r="J175" s="249" t="s">
        <v>67</v>
      </c>
      <c r="K175" s="212"/>
      <c r="L175" s="212"/>
      <c r="M175" s="212"/>
      <c r="N175" s="212"/>
      <c r="O175" s="212"/>
      <c r="P175" s="226"/>
      <c r="Q175" s="227"/>
      <c r="R175" s="212"/>
      <c r="S175" s="212"/>
      <c r="T175" s="212"/>
      <c r="U175" s="212"/>
      <c r="V175" s="212"/>
      <c r="W175" s="228"/>
      <c r="X175" s="212"/>
      <c r="Y175" s="628"/>
      <c r="Z175" s="633"/>
      <c r="AA175" s="633"/>
      <c r="AB175" s="637"/>
      <c r="AC175" s="229">
        <f>IF(ISERROR(LOOKUP(AC$16,$L175:$X175,#REF!)),0,(LOOKUP(AC$16,$L175:$X175,#REF!)))</f>
        <v>0</v>
      </c>
      <c r="AD175" s="230">
        <f>IF(ISERROR(LOOKUP(AD$16,$L175:$X175,#REF!)),0,(LOOKUP(AD$16,$L175:$X175,#REF!)))</f>
        <v>0</v>
      </c>
      <c r="AE175" s="230">
        <f>IF(ISERROR(LOOKUP(AE$16,$L175:$X175,#REF!)),0,(LOOKUP(AE$16,$L175:$X175,#REF!)))</f>
        <v>0</v>
      </c>
      <c r="AF175" s="230">
        <f>IF(ISERROR(LOOKUP(AF$16,$L175:$X175,#REF!)),0,(LOOKUP(AF$16,$L175:$X175,#REF!)))</f>
        <v>0</v>
      </c>
      <c r="AG175" s="230">
        <f>IF(ISERROR(LOOKUP(AG$16,$L175:$X175,#REF!)),0,(LOOKUP(AG$16,$L175:$X175,#REF!)))</f>
        <v>0</v>
      </c>
      <c r="AH175" s="230">
        <f>IF(ISERROR(LOOKUP(AH$16,$L175:$X175,#REF!)),0,(LOOKUP(AH$16,$L175:$X175,#REF!)))</f>
        <v>0</v>
      </c>
      <c r="AI175" s="230">
        <f>IF(ISERROR(LOOKUP(AI$16,$L175:$X175,#REF!)),0,(LOOKUP(AI$16,$L175:$X175,#REF!)))</f>
        <v>0</v>
      </c>
      <c r="AJ175" s="230">
        <f>IF(ISERROR(LOOKUP(AJ$16,$L175:$X175,#REF!)),0,(LOOKUP(AJ$16,$L175:$X175,#REF!)))</f>
        <v>0</v>
      </c>
      <c r="AK175" s="230">
        <f>IF(ISERROR(LOOKUP(AK$16,$L175:$X175,#REF!)),0,(LOOKUP(AK$16,$L175:$X175,#REF!)))</f>
        <v>0</v>
      </c>
      <c r="AL175" s="230">
        <f>IF(ISERROR(LOOKUP(AL$16,$L175:$X175,#REF!)),0,(LOOKUP(AL$16,$L175:$X175,#REF!)))</f>
        <v>0</v>
      </c>
      <c r="AM175" s="230">
        <f ca="1">IF(ISERROR(LOOKUP(AM$16,$L175:$X175,#REF!)),0,(LOOKUP(AM$16,$L175:$X175,#REF!)))</f>
        <v>0</v>
      </c>
      <c r="AP175" s="248"/>
      <c r="AQ175" s="248"/>
      <c r="AR175" s="248"/>
      <c r="AS175" s="638"/>
      <c r="AW175" s="223"/>
    </row>
    <row r="176" spans="1:49" s="168" customFormat="1" ht="18.600000000000001" customHeight="1">
      <c r="A176" s="596"/>
      <c r="B176" s="598"/>
      <c r="C176" s="601"/>
      <c r="D176" s="609" t="s">
        <v>230</v>
      </c>
      <c r="E176" s="256"/>
      <c r="F176" s="622" t="s">
        <v>231</v>
      </c>
      <c r="G176" s="601" t="str">
        <f>IF(_xlfn.XLOOKUP(C176,'[35]Before Award'!D:D,'[35]Before Award'!AV:AV,"N/A")="N/A","N","Y")</f>
        <v>Y</v>
      </c>
      <c r="H176" s="606"/>
      <c r="I176" s="212" t="s">
        <v>6</v>
      </c>
      <c r="J176" s="249" t="s">
        <v>61</v>
      </c>
      <c r="K176" s="215">
        <f>WORKDAY(L176,-INDEX(L$12:L$15,MATCH($I176,$I$12:$I$15,0)))</f>
        <v>46099</v>
      </c>
      <c r="L176" s="215">
        <f>WORKDAY(M176,-1)</f>
        <v>46100</v>
      </c>
      <c r="M176" s="215">
        <f>WORKDAY(N176,-INDEX(N$12:N$15,MATCH($I176,$I$12:$I$15,0)))</f>
        <v>46101</v>
      </c>
      <c r="N176" s="215">
        <f>WORKDAY(O176,-1)</f>
        <v>46104</v>
      </c>
      <c r="O176" s="215">
        <f>WORKDAY(R176,-5)</f>
        <v>46105</v>
      </c>
      <c r="P176" s="216">
        <f>U176-L176</f>
        <v>24</v>
      </c>
      <c r="Q176" s="217"/>
      <c r="R176" s="215">
        <f>WORKDAY(S176,-1)</f>
        <v>46112</v>
      </c>
      <c r="S176" s="215">
        <f>WORKDAY(T176,-1)</f>
        <v>46113</v>
      </c>
      <c r="T176" s="215">
        <f>WORKDAY(U176,-7)</f>
        <v>46114</v>
      </c>
      <c r="U176" s="215">
        <f>X176-Y176</f>
        <v>46124</v>
      </c>
      <c r="V176" s="215">
        <f>WORKDAY(U176,INDEX(V$12:V$15,MATCH($I176,$I$12:$I$15,0)))</f>
        <v>46126</v>
      </c>
      <c r="W176" s="218">
        <f>Y176/7</f>
        <v>17.1428571428571</v>
      </c>
      <c r="X176" s="215">
        <f>Z176</f>
        <v>46244</v>
      </c>
      <c r="Y176" s="628">
        <v>120</v>
      </c>
      <c r="Z176" s="633">
        <v>46244</v>
      </c>
      <c r="AA176" s="633">
        <v>46244</v>
      </c>
      <c r="AB176" s="637">
        <f t="shared" ref="AB176" si="318">Z176-X177</f>
        <v>0</v>
      </c>
      <c r="AC176" s="242">
        <f>IF(ISERROR(LOOKUP(AC$16,$L176:$X176,#REF!)),0,(LOOKUP(AC$16,$L176:$X176,#REF!)))</f>
        <v>0</v>
      </c>
      <c r="AD176" s="243">
        <f>IF(ISERROR(LOOKUP(AD$16,$L176:$X176,#REF!)),0,(LOOKUP(AD$16,$L176:$X176,#REF!)))</f>
        <v>0</v>
      </c>
      <c r="AE176" s="243">
        <f>IF(ISERROR(LOOKUP(AE$16,$L176:$X176,#REF!)),0,(LOOKUP(AE$16,$L176:$X176,#REF!)))</f>
        <v>0</v>
      </c>
      <c r="AF176" s="243">
        <f>IF(ISERROR(LOOKUP(AF$16,$L176:$X176,#REF!)),0,(LOOKUP(AF$16,$L176:$X176,#REF!)))</f>
        <v>0</v>
      </c>
      <c r="AG176" s="243">
        <f>IF(ISERROR(LOOKUP(AG$16,$L176:$X176,#REF!)),0,(LOOKUP(AG$16,$L176:$X176,#REF!)))</f>
        <v>0</v>
      </c>
      <c r="AH176" s="243">
        <f>IF(ISERROR(LOOKUP(AH$16,$L176:$X176,#REF!)),0,(LOOKUP(AH$16,$L176:$X176,#REF!)))</f>
        <v>0</v>
      </c>
      <c r="AI176" s="243">
        <f>IF(ISERROR(LOOKUP(AI$16,$L176:$X176,#REF!)),0,(LOOKUP(AI$16,$L176:$X176,#REF!)))</f>
        <v>0</v>
      </c>
      <c r="AJ176" s="243">
        <f>IF(ISERROR(LOOKUP(AJ$16,$L176:$X176,#REF!)),0,(LOOKUP(AJ$16,$L176:$X176,#REF!)))</f>
        <v>0</v>
      </c>
      <c r="AK176" s="243">
        <f>IF(ISERROR(LOOKUP(AK$16,$L176:$X176,#REF!)),0,(LOOKUP(AK$16,$L176:$X176,#REF!)))</f>
        <v>0</v>
      </c>
      <c r="AL176" s="243">
        <f>IF(ISERROR(LOOKUP(AL$16,$L176:$X176,#REF!)),0,(LOOKUP(AL$16,$L176:$X176,#REF!)))</f>
        <v>0</v>
      </c>
      <c r="AM176" s="243">
        <f ca="1">IF(ISERROR(LOOKUP(AM$16,$L176:$X176,#REF!)),0,(LOOKUP(AM$16,$L176:$X176,#REF!)))</f>
        <v>0</v>
      </c>
      <c r="AP176" s="215" t="e">
        <f>WORKDAY(AQ176,-INDEX(AQ$12:AQ$15,MATCH($I176,$I$12:$I$15,0)),$AW$17:$AW$148)</f>
        <v>#REF!</v>
      </c>
      <c r="AQ176" s="215" t="e">
        <f>WORKDAY(U176,-INDEX(U$12:U$15,MATCH($I176,$I$12:$I$15,0)),$AW$17:$AW$148)</f>
        <v>#REF!</v>
      </c>
      <c r="AR176" s="215" t="e">
        <f>WORKDAY(U176,-INDEX(U$12:U$15,MATCH($I176,$I$12:$I$15,0)),$AW$17:$AW$148)</f>
        <v>#REF!</v>
      </c>
      <c r="AS176" s="638">
        <v>7</v>
      </c>
      <c r="AW176" s="244"/>
    </row>
    <row r="177" spans="1:49" s="168" customFormat="1" ht="18.600000000000001" customHeight="1">
      <c r="A177" s="596"/>
      <c r="B177" s="599"/>
      <c r="C177" s="601"/>
      <c r="D177" s="609" t="s">
        <v>4792</v>
      </c>
      <c r="E177" s="257"/>
      <c r="F177" s="623"/>
      <c r="G177" s="601" t="str">
        <f>G176</f>
        <v>Y</v>
      </c>
      <c r="H177" s="607"/>
      <c r="I177" s="212" t="str">
        <f t="shared" ref="I177" si="319">I176</f>
        <v>LA</v>
      </c>
      <c r="J177" s="249" t="s">
        <v>65</v>
      </c>
      <c r="K177" s="215">
        <f>K176</f>
        <v>46099</v>
      </c>
      <c r="L177" s="215">
        <f>WORKDAY(IF(K178="",K177,K178),INDEX(L$12:L$15,MATCH($I176,$I$12:$I$15,0)))</f>
        <v>46100</v>
      </c>
      <c r="M177" s="215">
        <f>WORKDAY(IF(L178="",L177,L178),1)</f>
        <v>46101</v>
      </c>
      <c r="N177" s="215">
        <f>WORKDAY(IF(M178="",M177,M178),INDEX(N$12:N$15,MATCH($I176,$I$12:$I$15,0)))</f>
        <v>46104</v>
      </c>
      <c r="O177" s="215">
        <f>WORKDAY(IF(N178="",N177,N178),1)</f>
        <v>46105</v>
      </c>
      <c r="P177" s="216"/>
      <c r="Q177" s="217"/>
      <c r="R177" s="215">
        <f>WORKDAY(IF(O178="",O177,O178),5)</f>
        <v>46112</v>
      </c>
      <c r="S177" s="215">
        <f>WORKDAY(IF(R178="",R177,R178),1)</f>
        <v>46113</v>
      </c>
      <c r="T177" s="215">
        <f>WORKDAY(IF(S178="",S177,S178),1)</f>
        <v>46114</v>
      </c>
      <c r="U177" s="215">
        <f>WORKDAY(IF(T178="",T177,T178),7)-1</f>
        <v>46124</v>
      </c>
      <c r="V177" s="215">
        <f>WORKDAY(IF(U178="",U177,U178),1)</f>
        <v>46125</v>
      </c>
      <c r="W177" s="218"/>
      <c r="X177" s="215">
        <f>U177+Y176</f>
        <v>46244</v>
      </c>
      <c r="Y177" s="628"/>
      <c r="Z177" s="633"/>
      <c r="AA177" s="633"/>
      <c r="AB177" s="637"/>
      <c r="AC177" s="242">
        <f>IF(ISERROR(LOOKUP(AC$16,$L177:$X177,#REF!)),0,(LOOKUP(AC$16,$L177:$X177,#REF!)))</f>
        <v>0</v>
      </c>
      <c r="AD177" s="243">
        <f>IF(ISERROR(LOOKUP(AD$16,$L177:$X177,#REF!)),0,(LOOKUP(AD$16,$L177:$X177,#REF!)))</f>
        <v>0</v>
      </c>
      <c r="AE177" s="243">
        <f>IF(ISERROR(LOOKUP(AE$16,$L177:$X177,#REF!)),0,(LOOKUP(AE$16,$L177:$X177,#REF!)))</f>
        <v>0</v>
      </c>
      <c r="AF177" s="243">
        <f>IF(ISERROR(LOOKUP(AF$16,$L177:$X177,#REF!)),0,(LOOKUP(AF$16,$L177:$X177,#REF!)))</f>
        <v>0</v>
      </c>
      <c r="AG177" s="243">
        <f>IF(ISERROR(LOOKUP(AG$16,$L177:$X177,#REF!)),0,(LOOKUP(AG$16,$L177:$X177,#REF!)))</f>
        <v>0</v>
      </c>
      <c r="AH177" s="243">
        <f>IF(ISERROR(LOOKUP(AH$16,$L177:$X177,#REF!)),0,(LOOKUP(AH$16,$L177:$X177,#REF!)))</f>
        <v>0</v>
      </c>
      <c r="AI177" s="243">
        <f>IF(ISERROR(LOOKUP(AI$16,$L177:$X177,#REF!)),0,(LOOKUP(AI$16,$L177:$X177,#REF!)))</f>
        <v>0</v>
      </c>
      <c r="AJ177" s="243">
        <f>IF(ISERROR(LOOKUP(AJ$16,$L177:$X177,#REF!)),0,(LOOKUP(AJ$16,$L177:$X177,#REF!)))</f>
        <v>0</v>
      </c>
      <c r="AK177" s="243">
        <f>IF(ISERROR(LOOKUP(AK$16,$L177:$X177,#REF!)),0,(LOOKUP(AK$16,$L177:$X177,#REF!)))</f>
        <v>0</v>
      </c>
      <c r="AL177" s="243">
        <f>IF(ISERROR(LOOKUP(AL$16,$L177:$X177,#REF!)),0,(LOOKUP(AL$16,$L177:$X177,#REF!)))</f>
        <v>0</v>
      </c>
      <c r="AM177" s="243">
        <f ca="1">IF(ISERROR(LOOKUP(AM$16,$L177:$X177,#REF!)),0,(LOOKUP(AM$16,$L177:$X177,#REF!)))</f>
        <v>0</v>
      </c>
      <c r="AP177" s="215" t="e">
        <f>WORKDAY(IF(T178="",T177,T178),INDEX(AP$12:AP$15,MATCH($I176,$I$12:$I$15,0)),$AW$17:$AW$148)</f>
        <v>#REF!</v>
      </c>
      <c r="AQ177" s="215" t="e">
        <f>WORKDAY(IF(AP178="",AP177,AP178),INDEX(AQ$12:AQ$15,MATCH($I176,$I$12:$I$15,0)),$AW$17:$AW$148)</f>
        <v>#REF!</v>
      </c>
      <c r="AR177" s="215" t="e">
        <f>WORKDAY(IF(AQ178="",AQ177,AQ178),INDEX(AR$12:AR$15,MATCH($I176,$I$12:$I$15,0)),$AW$17:$AW$148)</f>
        <v>#REF!</v>
      </c>
      <c r="AS177" s="638"/>
      <c r="AW177" s="244"/>
    </row>
    <row r="178" spans="1:49" s="168" customFormat="1" ht="18.600000000000001" customHeight="1">
      <c r="A178" s="596"/>
      <c r="B178" s="600"/>
      <c r="C178" s="601"/>
      <c r="D178" s="609" t="s">
        <v>4792</v>
      </c>
      <c r="E178" s="258"/>
      <c r="F178" s="624"/>
      <c r="G178" s="601" t="str">
        <f t="shared" ref="G178" si="320">G176</f>
        <v>Y</v>
      </c>
      <c r="H178" s="608"/>
      <c r="I178" s="212" t="str">
        <f t="shared" ref="I178" si="321">I176</f>
        <v>LA</v>
      </c>
      <c r="J178" s="249" t="s">
        <v>67</v>
      </c>
      <c r="K178" s="212"/>
      <c r="L178" s="212"/>
      <c r="M178" s="212"/>
      <c r="N178" s="212"/>
      <c r="O178" s="212"/>
      <c r="P178" s="226"/>
      <c r="Q178" s="227"/>
      <c r="R178" s="212"/>
      <c r="S178" s="212"/>
      <c r="T178" s="212"/>
      <c r="U178" s="212"/>
      <c r="V178" s="212"/>
      <c r="W178" s="228"/>
      <c r="X178" s="212"/>
      <c r="Y178" s="628"/>
      <c r="Z178" s="633"/>
      <c r="AA178" s="633"/>
      <c r="AB178" s="637"/>
      <c r="AC178" s="246">
        <f>IF(ISERROR(LOOKUP(AC$16,$L178:$X178,#REF!)),0,(LOOKUP(AC$16,$L178:$X178,#REF!)))</f>
        <v>0</v>
      </c>
      <c r="AD178" s="247">
        <f>IF(ISERROR(LOOKUP(AD$16,$L178:$X178,#REF!)),0,(LOOKUP(AD$16,$L178:$X178,#REF!)))</f>
        <v>0</v>
      </c>
      <c r="AE178" s="247">
        <f>IF(ISERROR(LOOKUP(AE$16,$L178:$X178,#REF!)),0,(LOOKUP(AE$16,$L178:$X178,#REF!)))</f>
        <v>0</v>
      </c>
      <c r="AF178" s="247">
        <f>IF(ISERROR(LOOKUP(AF$16,$L178:$X178,#REF!)),0,(LOOKUP(AF$16,$L178:$X178,#REF!)))</f>
        <v>0</v>
      </c>
      <c r="AG178" s="247">
        <f>IF(ISERROR(LOOKUP(AG$16,$L178:$X178,#REF!)),0,(LOOKUP(AG$16,$L178:$X178,#REF!)))</f>
        <v>0</v>
      </c>
      <c r="AH178" s="247">
        <f>IF(ISERROR(LOOKUP(AH$16,$L178:$X178,#REF!)),0,(LOOKUP(AH$16,$L178:$X178,#REF!)))</f>
        <v>0</v>
      </c>
      <c r="AI178" s="247">
        <f>IF(ISERROR(LOOKUP(AI$16,$L178:$X178,#REF!)),0,(LOOKUP(AI$16,$L178:$X178,#REF!)))</f>
        <v>0</v>
      </c>
      <c r="AJ178" s="247">
        <f>IF(ISERROR(LOOKUP(AJ$16,$L178:$X178,#REF!)),0,(LOOKUP(AJ$16,$L178:$X178,#REF!)))</f>
        <v>0</v>
      </c>
      <c r="AK178" s="247">
        <f>IF(ISERROR(LOOKUP(AK$16,$L178:$X178,#REF!)),0,(LOOKUP(AK$16,$L178:$X178,#REF!)))</f>
        <v>0</v>
      </c>
      <c r="AL178" s="247">
        <f>IF(ISERROR(LOOKUP(AL$16,$L178:$X178,#REF!)),0,(LOOKUP(AL$16,$L178:$X178,#REF!)))</f>
        <v>0</v>
      </c>
      <c r="AM178" s="247">
        <f ca="1">IF(ISERROR(LOOKUP(AM$16,$L178:$X178,#REF!)),0,(LOOKUP(AM$16,$L178:$X178,#REF!)))</f>
        <v>0</v>
      </c>
      <c r="AP178" s="212"/>
      <c r="AQ178" s="212"/>
      <c r="AR178" s="212"/>
      <c r="AS178" s="638"/>
      <c r="AW178" s="244"/>
    </row>
    <row r="179" spans="1:49" s="168" customFormat="1" ht="18.600000000000001" customHeight="1">
      <c r="A179" s="596"/>
      <c r="B179" s="598"/>
      <c r="C179" s="601"/>
      <c r="D179" s="609" t="s">
        <v>4793</v>
      </c>
      <c r="E179" s="256"/>
      <c r="F179" s="622" t="s">
        <v>231</v>
      </c>
      <c r="G179" s="601" t="str">
        <f>IF(_xlfn.XLOOKUP(C179,'[35]Before Award'!D:D,'[35]Before Award'!AV:AV,"N/A")="N/A","N","Y")</f>
        <v>Y</v>
      </c>
      <c r="H179" s="606"/>
      <c r="I179" s="212" t="s">
        <v>6</v>
      </c>
      <c r="J179" s="249" t="s">
        <v>61</v>
      </c>
      <c r="K179" s="215">
        <f>WORKDAY(L179,-INDEX(L$12:L$15,MATCH($I179,$I$12:$I$15,0)))</f>
        <v>46099</v>
      </c>
      <c r="L179" s="215">
        <f>WORKDAY(M179,-1)</f>
        <v>46100</v>
      </c>
      <c r="M179" s="215">
        <f>WORKDAY(N179,-INDEX(N$12:N$15,MATCH($I179,$I$12:$I$15,0)))</f>
        <v>46101</v>
      </c>
      <c r="N179" s="215">
        <f>WORKDAY(O179,-1)</f>
        <v>46104</v>
      </c>
      <c r="O179" s="215">
        <f>WORKDAY(R179,-5)</f>
        <v>46105</v>
      </c>
      <c r="P179" s="216">
        <f>U179-L179</f>
        <v>24</v>
      </c>
      <c r="Q179" s="217"/>
      <c r="R179" s="215">
        <f>WORKDAY(S179,-1)</f>
        <v>46112</v>
      </c>
      <c r="S179" s="215">
        <f>WORKDAY(T179,-1)</f>
        <v>46113</v>
      </c>
      <c r="T179" s="215">
        <f>WORKDAY(U179,-7)</f>
        <v>46114</v>
      </c>
      <c r="U179" s="215">
        <f>X179-Y179</f>
        <v>46124</v>
      </c>
      <c r="V179" s="215">
        <f>WORKDAY(U179,INDEX(V$12:V$15,MATCH($I179,$I$12:$I$15,0)))</f>
        <v>46126</v>
      </c>
      <c r="W179" s="218">
        <f>Y179/7</f>
        <v>17.1428571428571</v>
      </c>
      <c r="X179" s="215">
        <f>Z179</f>
        <v>46244</v>
      </c>
      <c r="Y179" s="628">
        <v>120</v>
      </c>
      <c r="Z179" s="634">
        <v>46244</v>
      </c>
      <c r="AA179" s="633">
        <v>46244</v>
      </c>
      <c r="AB179" s="637">
        <f t="shared" ref="AB179" si="322">Z179-X180</f>
        <v>0</v>
      </c>
      <c r="AC179" s="242">
        <f>IF(ISERROR(LOOKUP(AC$16,$L179:$X179,#REF!)),0,(LOOKUP(AC$16,$L179:$X179,#REF!)))</f>
        <v>0</v>
      </c>
      <c r="AD179" s="243">
        <f>IF(ISERROR(LOOKUP(AD$16,$L179:$X179,#REF!)),0,(LOOKUP(AD$16,$L179:$X179,#REF!)))</f>
        <v>0</v>
      </c>
      <c r="AE179" s="243">
        <f>IF(ISERROR(LOOKUP(AE$16,$L179:$X179,#REF!)),0,(LOOKUP(AE$16,$L179:$X179,#REF!)))</f>
        <v>0</v>
      </c>
      <c r="AF179" s="243">
        <f>IF(ISERROR(LOOKUP(AF$16,$L179:$X179,#REF!)),0,(LOOKUP(AF$16,$L179:$X179,#REF!)))</f>
        <v>0</v>
      </c>
      <c r="AG179" s="243">
        <f>IF(ISERROR(LOOKUP(AG$16,$L179:$X179,#REF!)),0,(LOOKUP(AG$16,$L179:$X179,#REF!)))</f>
        <v>0</v>
      </c>
      <c r="AH179" s="243">
        <f>IF(ISERROR(LOOKUP(AH$16,$L179:$X179,#REF!)),0,(LOOKUP(AH$16,$L179:$X179,#REF!)))</f>
        <v>0</v>
      </c>
      <c r="AI179" s="243">
        <f>IF(ISERROR(LOOKUP(AI$16,$L179:$X179,#REF!)),0,(LOOKUP(AI$16,$L179:$X179,#REF!)))</f>
        <v>0</v>
      </c>
      <c r="AJ179" s="243">
        <f>IF(ISERROR(LOOKUP(AJ$16,$L179:$X179,#REF!)),0,(LOOKUP(AJ$16,$L179:$X179,#REF!)))</f>
        <v>0</v>
      </c>
      <c r="AK179" s="243">
        <f>IF(ISERROR(LOOKUP(AK$16,$L179:$X179,#REF!)),0,(LOOKUP(AK$16,$L179:$X179,#REF!)))</f>
        <v>0</v>
      </c>
      <c r="AL179" s="243">
        <f>IF(ISERROR(LOOKUP(AL$16,$L179:$X179,#REF!)),0,(LOOKUP(AL$16,$L179:$X179,#REF!)))</f>
        <v>0</v>
      </c>
      <c r="AM179" s="243">
        <f ca="1">IF(ISERROR(LOOKUP(AM$16,$L179:$X179,#REF!)),0,(LOOKUP(AM$16,$L179:$X179,#REF!)))</f>
        <v>0</v>
      </c>
      <c r="AP179" s="215" t="e">
        <f>WORKDAY(AQ179,-INDEX(AQ$12:AQ$15,MATCH($I179,$I$12:$I$15,0)),$AW$17:$AW$148)</f>
        <v>#REF!</v>
      </c>
      <c r="AQ179" s="215" t="e">
        <f>WORKDAY(U179,-INDEX(U$12:U$15,MATCH($I179,$I$12:$I$15,0)),$AW$17:$AW$148)</f>
        <v>#REF!</v>
      </c>
      <c r="AR179" s="215" t="e">
        <f>WORKDAY(U179,-INDEX(U$12:U$15,MATCH($I179,$I$12:$I$15,0)),$AW$17:$AW$148)</f>
        <v>#REF!</v>
      </c>
      <c r="AS179" s="638">
        <v>7</v>
      </c>
      <c r="AW179" s="244"/>
    </row>
    <row r="180" spans="1:49" s="168" customFormat="1" ht="18.600000000000001" customHeight="1">
      <c r="A180" s="596"/>
      <c r="B180" s="599"/>
      <c r="C180" s="601"/>
      <c r="D180" s="609"/>
      <c r="E180" s="257"/>
      <c r="F180" s="623"/>
      <c r="G180" s="601" t="str">
        <f>G179</f>
        <v>Y</v>
      </c>
      <c r="H180" s="607"/>
      <c r="I180" s="212" t="str">
        <f t="shared" ref="I180" si="323">I179</f>
        <v>LA</v>
      </c>
      <c r="J180" s="249" t="s">
        <v>65</v>
      </c>
      <c r="K180" s="215">
        <f>K179</f>
        <v>46099</v>
      </c>
      <c r="L180" s="215">
        <f>WORKDAY(IF(K181="",K180,K181),INDEX(L$12:L$15,MATCH($I179,$I$12:$I$15,0)))</f>
        <v>46100</v>
      </c>
      <c r="M180" s="215">
        <f>WORKDAY(IF(L181="",L180,L181),1)</f>
        <v>46101</v>
      </c>
      <c r="N180" s="215">
        <f>WORKDAY(IF(M181="",M180,M181),INDEX(N$12:N$15,MATCH($I179,$I$12:$I$15,0)))</f>
        <v>46104</v>
      </c>
      <c r="O180" s="215">
        <f>WORKDAY(IF(N181="",N180,N181),1)</f>
        <v>46105</v>
      </c>
      <c r="P180" s="216"/>
      <c r="Q180" s="217"/>
      <c r="R180" s="215">
        <f>WORKDAY(IF(O181="",O180,O181),5)</f>
        <v>46112</v>
      </c>
      <c r="S180" s="215">
        <f>WORKDAY(IF(R181="",R180,R181),1)</f>
        <v>46113</v>
      </c>
      <c r="T180" s="215">
        <f>WORKDAY(IF(S181="",S180,S181),1)</f>
        <v>46114</v>
      </c>
      <c r="U180" s="215">
        <f>WORKDAY(IF(T181="",T180,T181),7)-1</f>
        <v>46124</v>
      </c>
      <c r="V180" s="215">
        <f>WORKDAY(IF(U181="",U180,U181),1)</f>
        <v>46125</v>
      </c>
      <c r="W180" s="218"/>
      <c r="X180" s="215">
        <f>U180+Y179</f>
        <v>46244</v>
      </c>
      <c r="Y180" s="628"/>
      <c r="Z180" s="635"/>
      <c r="AA180" s="633"/>
      <c r="AB180" s="637"/>
      <c r="AC180" s="242">
        <f>IF(ISERROR(LOOKUP(AC$16,$L180:$X180,#REF!)),0,(LOOKUP(AC$16,$L180:$X180,#REF!)))</f>
        <v>0</v>
      </c>
      <c r="AD180" s="243">
        <f>IF(ISERROR(LOOKUP(AD$16,$L180:$X180,#REF!)),0,(LOOKUP(AD$16,$L180:$X180,#REF!)))</f>
        <v>0</v>
      </c>
      <c r="AE180" s="243">
        <f>IF(ISERROR(LOOKUP(AE$16,$L180:$X180,#REF!)),0,(LOOKUP(AE$16,$L180:$X180,#REF!)))</f>
        <v>0</v>
      </c>
      <c r="AF180" s="243">
        <f>IF(ISERROR(LOOKUP(AF$16,$L180:$X180,#REF!)),0,(LOOKUP(AF$16,$L180:$X180,#REF!)))</f>
        <v>0</v>
      </c>
      <c r="AG180" s="243">
        <f>IF(ISERROR(LOOKUP(AG$16,$L180:$X180,#REF!)),0,(LOOKUP(AG$16,$L180:$X180,#REF!)))</f>
        <v>0</v>
      </c>
      <c r="AH180" s="243">
        <f>IF(ISERROR(LOOKUP(AH$16,$L180:$X180,#REF!)),0,(LOOKUP(AH$16,$L180:$X180,#REF!)))</f>
        <v>0</v>
      </c>
      <c r="AI180" s="243">
        <f>IF(ISERROR(LOOKUP(AI$16,$L180:$X180,#REF!)),0,(LOOKUP(AI$16,$L180:$X180,#REF!)))</f>
        <v>0</v>
      </c>
      <c r="AJ180" s="243">
        <f>IF(ISERROR(LOOKUP(AJ$16,$L180:$X180,#REF!)),0,(LOOKUP(AJ$16,$L180:$X180,#REF!)))</f>
        <v>0</v>
      </c>
      <c r="AK180" s="243">
        <f>IF(ISERROR(LOOKUP(AK$16,$L180:$X180,#REF!)),0,(LOOKUP(AK$16,$L180:$X180,#REF!)))</f>
        <v>0</v>
      </c>
      <c r="AL180" s="243">
        <f>IF(ISERROR(LOOKUP(AL$16,$L180:$X180,#REF!)),0,(LOOKUP(AL$16,$L180:$X180,#REF!)))</f>
        <v>0</v>
      </c>
      <c r="AM180" s="243">
        <f ca="1">IF(ISERROR(LOOKUP(AM$16,$L180:$X180,#REF!)),0,(LOOKUP(AM$16,$L180:$X180,#REF!)))</f>
        <v>0</v>
      </c>
      <c r="AP180" s="215" t="e">
        <f>WORKDAY(IF(T181="",T180,T181),INDEX(AP$12:AP$15,MATCH($I179,$I$12:$I$15,0)),$AW$17:$AW$148)</f>
        <v>#REF!</v>
      </c>
      <c r="AQ180" s="215" t="e">
        <f>WORKDAY(IF(AP181="",AP180,AP181),INDEX(AQ$12:AQ$15,MATCH($I179,$I$12:$I$15,0)),$AW$17:$AW$148)</f>
        <v>#REF!</v>
      </c>
      <c r="AR180" s="215" t="e">
        <f>WORKDAY(IF(AQ181="",AQ180,AQ181),INDEX(AR$12:AR$15,MATCH($I179,$I$12:$I$15,0)),$AW$17:$AW$148)</f>
        <v>#REF!</v>
      </c>
      <c r="AS180" s="638"/>
      <c r="AW180" s="244"/>
    </row>
    <row r="181" spans="1:49" s="168" customFormat="1" ht="18.600000000000001" customHeight="1">
      <c r="A181" s="596"/>
      <c r="B181" s="600"/>
      <c r="C181" s="601"/>
      <c r="D181" s="609"/>
      <c r="E181" s="258"/>
      <c r="F181" s="624"/>
      <c r="G181" s="601" t="str">
        <f t="shared" ref="G181" si="324">G179</f>
        <v>Y</v>
      </c>
      <c r="H181" s="608"/>
      <c r="I181" s="212" t="str">
        <f t="shared" ref="I181" si="325">I179</f>
        <v>LA</v>
      </c>
      <c r="J181" s="249" t="s">
        <v>67</v>
      </c>
      <c r="K181" s="212"/>
      <c r="L181" s="212"/>
      <c r="M181" s="212"/>
      <c r="N181" s="212"/>
      <c r="O181" s="212"/>
      <c r="P181" s="226"/>
      <c r="Q181" s="227"/>
      <c r="R181" s="212"/>
      <c r="S181" s="212"/>
      <c r="T181" s="212"/>
      <c r="U181" s="212"/>
      <c r="V181" s="212"/>
      <c r="W181" s="228"/>
      <c r="X181" s="212"/>
      <c r="Y181" s="628"/>
      <c r="Z181" s="636"/>
      <c r="AA181" s="633"/>
      <c r="AB181" s="637"/>
      <c r="AC181" s="246">
        <f>IF(ISERROR(LOOKUP(AC$16,$L181:$X181,#REF!)),0,(LOOKUP(AC$16,$L181:$X181,#REF!)))</f>
        <v>0</v>
      </c>
      <c r="AD181" s="247">
        <f>IF(ISERROR(LOOKUP(AD$16,$L181:$X181,#REF!)),0,(LOOKUP(AD$16,$L181:$X181,#REF!)))</f>
        <v>0</v>
      </c>
      <c r="AE181" s="247">
        <f>IF(ISERROR(LOOKUP(AE$16,$L181:$X181,#REF!)),0,(LOOKUP(AE$16,$L181:$X181,#REF!)))</f>
        <v>0</v>
      </c>
      <c r="AF181" s="247">
        <f>IF(ISERROR(LOOKUP(AF$16,$L181:$X181,#REF!)),0,(LOOKUP(AF$16,$L181:$X181,#REF!)))</f>
        <v>0</v>
      </c>
      <c r="AG181" s="247">
        <f>IF(ISERROR(LOOKUP(AG$16,$L181:$X181,#REF!)),0,(LOOKUP(AG$16,$L181:$X181,#REF!)))</f>
        <v>0</v>
      </c>
      <c r="AH181" s="247">
        <f>IF(ISERROR(LOOKUP(AH$16,$L181:$X181,#REF!)),0,(LOOKUP(AH$16,$L181:$X181,#REF!)))</f>
        <v>0</v>
      </c>
      <c r="AI181" s="247">
        <f>IF(ISERROR(LOOKUP(AI$16,$L181:$X181,#REF!)),0,(LOOKUP(AI$16,$L181:$X181,#REF!)))</f>
        <v>0</v>
      </c>
      <c r="AJ181" s="247">
        <f>IF(ISERROR(LOOKUP(AJ$16,$L181:$X181,#REF!)),0,(LOOKUP(AJ$16,$L181:$X181,#REF!)))</f>
        <v>0</v>
      </c>
      <c r="AK181" s="247">
        <f>IF(ISERROR(LOOKUP(AK$16,$L181:$X181,#REF!)),0,(LOOKUP(AK$16,$L181:$X181,#REF!)))</f>
        <v>0</v>
      </c>
      <c r="AL181" s="247">
        <f>IF(ISERROR(LOOKUP(AL$16,$L181:$X181,#REF!)),0,(LOOKUP(AL$16,$L181:$X181,#REF!)))</f>
        <v>0</v>
      </c>
      <c r="AM181" s="247">
        <f ca="1">IF(ISERROR(LOOKUP(AM$16,$L181:$X181,#REF!)),0,(LOOKUP(AM$16,$L181:$X181,#REF!)))</f>
        <v>0</v>
      </c>
      <c r="AP181" s="212"/>
      <c r="AQ181" s="212"/>
      <c r="AR181" s="212"/>
      <c r="AS181" s="638"/>
      <c r="AW181" s="244"/>
    </row>
    <row r="182" spans="1:49" s="168" customFormat="1" ht="18.600000000000001" customHeight="1">
      <c r="A182" s="596"/>
      <c r="B182" s="598"/>
      <c r="C182" s="601"/>
      <c r="D182" s="609" t="s">
        <v>4794</v>
      </c>
      <c r="E182" s="256"/>
      <c r="F182" s="622" t="s">
        <v>231</v>
      </c>
      <c r="G182" s="601" t="str">
        <f>IF(_xlfn.XLOOKUP(C182,'[35]Before Award'!D:D,'[35]Before Award'!AV:AV,"N/A")="N/A","N","Y")</f>
        <v>Y</v>
      </c>
      <c r="H182" s="606"/>
      <c r="I182" s="212" t="s">
        <v>6</v>
      </c>
      <c r="J182" s="249" t="s">
        <v>61</v>
      </c>
      <c r="K182" s="215">
        <f>WORKDAY(L182,-INDEX(L$12:L$15,MATCH($I182,$I$12:$I$15,0)))</f>
        <v>46118</v>
      </c>
      <c r="L182" s="215">
        <f>WORKDAY(M182,-1)</f>
        <v>46119</v>
      </c>
      <c r="M182" s="215">
        <f>WORKDAY(N182,-INDEX(N$12:N$15,MATCH($I182,$I$12:$I$15,0)))</f>
        <v>46120</v>
      </c>
      <c r="N182" s="215">
        <f>WORKDAY(O182,-1)</f>
        <v>46121</v>
      </c>
      <c r="O182" s="215">
        <f>WORKDAY(R182,-5)</f>
        <v>46122</v>
      </c>
      <c r="P182" s="216">
        <f>U182-L182</f>
        <v>23</v>
      </c>
      <c r="Q182" s="217"/>
      <c r="R182" s="215">
        <f>WORKDAY(S182,-1)</f>
        <v>46129</v>
      </c>
      <c r="S182" s="215">
        <f>WORKDAY(T182,-1)</f>
        <v>46132</v>
      </c>
      <c r="T182" s="215">
        <f>WORKDAY(U182,-7)</f>
        <v>46133</v>
      </c>
      <c r="U182" s="215">
        <f>X182-Y182</f>
        <v>46142</v>
      </c>
      <c r="V182" s="215">
        <f>WORKDAY(U182,INDEX(V$12:V$15,MATCH($I182,$I$12:$I$15,0)))</f>
        <v>46146</v>
      </c>
      <c r="W182" s="218">
        <f>Y182/7</f>
        <v>19</v>
      </c>
      <c r="X182" s="215">
        <f>Z182</f>
        <v>46275</v>
      </c>
      <c r="Y182" s="628">
        <f>19*7</f>
        <v>133</v>
      </c>
      <c r="Z182" s="632">
        <v>46275</v>
      </c>
      <c r="AA182" s="633">
        <v>46244</v>
      </c>
      <c r="AB182" s="637">
        <f t="shared" ref="AB182" si="326">Z182-X183</f>
        <v>0</v>
      </c>
      <c r="AC182" s="242">
        <f>IF(ISERROR(LOOKUP(AC$16,$L182:$X182,#REF!)),0,(LOOKUP(AC$16,$L182:$X182,#REF!)))</f>
        <v>0</v>
      </c>
      <c r="AD182" s="243">
        <f>IF(ISERROR(LOOKUP(AD$16,$L182:$X182,#REF!)),0,(LOOKUP(AD$16,$L182:$X182,#REF!)))</f>
        <v>0</v>
      </c>
      <c r="AE182" s="243">
        <f>IF(ISERROR(LOOKUP(AE$16,$L182:$X182,#REF!)),0,(LOOKUP(AE$16,$L182:$X182,#REF!)))</f>
        <v>0</v>
      </c>
      <c r="AF182" s="243">
        <f>IF(ISERROR(LOOKUP(AF$16,$L182:$X182,#REF!)),0,(LOOKUP(AF$16,$L182:$X182,#REF!)))</f>
        <v>0</v>
      </c>
      <c r="AG182" s="243">
        <f>IF(ISERROR(LOOKUP(AG$16,$L182:$X182,#REF!)),0,(LOOKUP(AG$16,$L182:$X182,#REF!)))</f>
        <v>0</v>
      </c>
      <c r="AH182" s="243">
        <f>IF(ISERROR(LOOKUP(AH$16,$L182:$X182,#REF!)),0,(LOOKUP(AH$16,$L182:$X182,#REF!)))</f>
        <v>0</v>
      </c>
      <c r="AI182" s="243">
        <f>IF(ISERROR(LOOKUP(AI$16,$L182:$X182,#REF!)),0,(LOOKUP(AI$16,$L182:$X182,#REF!)))</f>
        <v>0</v>
      </c>
      <c r="AJ182" s="243">
        <f>IF(ISERROR(LOOKUP(AJ$16,$L182:$X182,#REF!)),0,(LOOKUP(AJ$16,$L182:$X182,#REF!)))</f>
        <v>0</v>
      </c>
      <c r="AK182" s="243">
        <f>IF(ISERROR(LOOKUP(AK$16,$L182:$X182,#REF!)),0,(LOOKUP(AK$16,$L182:$X182,#REF!)))</f>
        <v>0</v>
      </c>
      <c r="AL182" s="243">
        <f>IF(ISERROR(LOOKUP(AL$16,$L182:$X182,#REF!)),0,(LOOKUP(AL$16,$L182:$X182,#REF!)))</f>
        <v>0</v>
      </c>
      <c r="AM182" s="243">
        <f ca="1">IF(ISERROR(LOOKUP(AM$16,$L182:$X182,#REF!)),0,(LOOKUP(AM$16,$L182:$X182,#REF!)))</f>
        <v>0</v>
      </c>
      <c r="AP182" s="215" t="e">
        <f>WORKDAY(AQ182,-INDEX(AQ$12:AQ$15,MATCH($I182,$I$12:$I$15,0)),$AW$17:$AW$148)</f>
        <v>#REF!</v>
      </c>
      <c r="AQ182" s="215" t="e">
        <f>WORKDAY(U182,-INDEX(U$12:U$15,MATCH($I182,$I$12:$I$15,0)),$AW$17:$AW$148)</f>
        <v>#REF!</v>
      </c>
      <c r="AR182" s="215" t="e">
        <f>WORKDAY(U182,-INDEX(U$12:U$15,MATCH($I182,$I$12:$I$15,0)),$AW$17:$AW$148)</f>
        <v>#REF!</v>
      </c>
      <c r="AS182" s="638">
        <v>7</v>
      </c>
      <c r="AW182" s="244"/>
    </row>
    <row r="183" spans="1:49" s="168" customFormat="1" ht="18.600000000000001" customHeight="1">
      <c r="A183" s="596"/>
      <c r="B183" s="599"/>
      <c r="C183" s="601"/>
      <c r="D183" s="609" t="s">
        <v>4795</v>
      </c>
      <c r="E183" s="257"/>
      <c r="F183" s="623"/>
      <c r="G183" s="601" t="str">
        <f>G182</f>
        <v>Y</v>
      </c>
      <c r="H183" s="607"/>
      <c r="I183" s="212" t="str">
        <f t="shared" ref="I183" si="327">I182</f>
        <v>LA</v>
      </c>
      <c r="J183" s="249" t="s">
        <v>65</v>
      </c>
      <c r="K183" s="215">
        <f>K182</f>
        <v>46118</v>
      </c>
      <c r="L183" s="215">
        <f>WORKDAY(IF(K184="",K183,K184),INDEX(L$12:L$15,MATCH($I182,$I$12:$I$15,0)))</f>
        <v>46119</v>
      </c>
      <c r="M183" s="215">
        <f>WORKDAY(IF(L184="",L183,L184),1)</f>
        <v>46120</v>
      </c>
      <c r="N183" s="215">
        <f>WORKDAY(IF(M184="",M183,M184),INDEX(N$12:N$15,MATCH($I182,$I$12:$I$15,0)))</f>
        <v>46121</v>
      </c>
      <c r="O183" s="215">
        <f>WORKDAY(IF(N184="",N183,N184),1)</f>
        <v>46122</v>
      </c>
      <c r="P183" s="216"/>
      <c r="Q183" s="217"/>
      <c r="R183" s="215">
        <f>WORKDAY(IF(O184="",O183,O184),5)</f>
        <v>46129</v>
      </c>
      <c r="S183" s="215">
        <f>WORKDAY(IF(R184="",R183,R184),1)</f>
        <v>46132</v>
      </c>
      <c r="T183" s="215">
        <f>WORKDAY(IF(S184="",S183,S184),1)</f>
        <v>46133</v>
      </c>
      <c r="U183" s="215">
        <f>WORKDAY(IF(T184="",T183,T184),7)</f>
        <v>46142</v>
      </c>
      <c r="V183" s="215">
        <f>WORKDAY(IF(U184="",U183,U184),1)</f>
        <v>46143</v>
      </c>
      <c r="W183" s="218"/>
      <c r="X183" s="215">
        <f>U183+Y182</f>
        <v>46275</v>
      </c>
      <c r="Y183" s="628"/>
      <c r="Z183" s="632"/>
      <c r="AA183" s="633"/>
      <c r="AB183" s="637"/>
      <c r="AC183" s="242">
        <f>IF(ISERROR(LOOKUP(AC$16,$L183:$X183,#REF!)),0,(LOOKUP(AC$16,$L183:$X183,#REF!)))</f>
        <v>0</v>
      </c>
      <c r="AD183" s="243">
        <f>IF(ISERROR(LOOKUP(AD$16,$L183:$X183,#REF!)),0,(LOOKUP(AD$16,$L183:$X183,#REF!)))</f>
        <v>0</v>
      </c>
      <c r="AE183" s="243">
        <f>IF(ISERROR(LOOKUP(AE$16,$L183:$X183,#REF!)),0,(LOOKUP(AE$16,$L183:$X183,#REF!)))</f>
        <v>0</v>
      </c>
      <c r="AF183" s="243">
        <f>IF(ISERROR(LOOKUP(AF$16,$L183:$X183,#REF!)),0,(LOOKUP(AF$16,$L183:$X183,#REF!)))</f>
        <v>0</v>
      </c>
      <c r="AG183" s="243">
        <f>IF(ISERROR(LOOKUP(AG$16,$L183:$X183,#REF!)),0,(LOOKUP(AG$16,$L183:$X183,#REF!)))</f>
        <v>0</v>
      </c>
      <c r="AH183" s="243">
        <f>IF(ISERROR(LOOKUP(AH$16,$L183:$X183,#REF!)),0,(LOOKUP(AH$16,$L183:$X183,#REF!)))</f>
        <v>0</v>
      </c>
      <c r="AI183" s="243">
        <f>IF(ISERROR(LOOKUP(AI$16,$L183:$X183,#REF!)),0,(LOOKUP(AI$16,$L183:$X183,#REF!)))</f>
        <v>0</v>
      </c>
      <c r="AJ183" s="243">
        <f>IF(ISERROR(LOOKUP(AJ$16,$L183:$X183,#REF!)),0,(LOOKUP(AJ$16,$L183:$X183,#REF!)))</f>
        <v>0</v>
      </c>
      <c r="AK183" s="243">
        <f>IF(ISERROR(LOOKUP(AK$16,$L183:$X183,#REF!)),0,(LOOKUP(AK$16,$L183:$X183,#REF!)))</f>
        <v>0</v>
      </c>
      <c r="AL183" s="243">
        <f>IF(ISERROR(LOOKUP(AL$16,$L183:$X183,#REF!)),0,(LOOKUP(AL$16,$L183:$X183,#REF!)))</f>
        <v>0</v>
      </c>
      <c r="AM183" s="243">
        <f ca="1">IF(ISERROR(LOOKUP(AM$16,$L183:$X183,#REF!)),0,(LOOKUP(AM$16,$L183:$X183,#REF!)))</f>
        <v>0</v>
      </c>
      <c r="AP183" s="215" t="e">
        <f>WORKDAY(IF(T184="",T183,T184),INDEX(AP$12:AP$15,MATCH($I182,$I$12:$I$15,0)),$AW$17:$AW$148)</f>
        <v>#REF!</v>
      </c>
      <c r="AQ183" s="215" t="e">
        <f>WORKDAY(IF(AP184="",AP183,AP184),INDEX(AQ$12:AQ$15,MATCH($I182,$I$12:$I$15,0)),$AW$17:$AW$148)</f>
        <v>#REF!</v>
      </c>
      <c r="AR183" s="215" t="e">
        <f>WORKDAY(IF(AQ184="",AQ183,AQ184),INDEX(AR$12:AR$15,MATCH($I182,$I$12:$I$15,0)),$AW$17:$AW$148)</f>
        <v>#REF!</v>
      </c>
      <c r="AS183" s="638"/>
      <c r="AW183" s="244"/>
    </row>
    <row r="184" spans="1:49" s="168" customFormat="1" ht="18.600000000000001" customHeight="1">
      <c r="A184" s="596"/>
      <c r="B184" s="600"/>
      <c r="C184" s="601"/>
      <c r="D184" s="609" t="s">
        <v>4795</v>
      </c>
      <c r="E184" s="258"/>
      <c r="F184" s="624"/>
      <c r="G184" s="601" t="str">
        <f t="shared" ref="G184" si="328">G182</f>
        <v>Y</v>
      </c>
      <c r="H184" s="608"/>
      <c r="I184" s="212" t="str">
        <f t="shared" ref="I184" si="329">I182</f>
        <v>LA</v>
      </c>
      <c r="J184" s="249" t="s">
        <v>67</v>
      </c>
      <c r="K184" s="212"/>
      <c r="L184" s="212"/>
      <c r="M184" s="212"/>
      <c r="N184" s="212"/>
      <c r="O184" s="212"/>
      <c r="P184" s="226"/>
      <c r="Q184" s="227"/>
      <c r="R184" s="212"/>
      <c r="S184" s="212"/>
      <c r="T184" s="212"/>
      <c r="U184" s="212"/>
      <c r="V184" s="212"/>
      <c r="W184" s="228"/>
      <c r="X184" s="212"/>
      <c r="Y184" s="628"/>
      <c r="Z184" s="632"/>
      <c r="AA184" s="633"/>
      <c r="AB184" s="637"/>
      <c r="AC184" s="246">
        <f>IF(ISERROR(LOOKUP(AC$16,$L184:$X184,#REF!)),0,(LOOKUP(AC$16,$L184:$X184,#REF!)))</f>
        <v>0</v>
      </c>
      <c r="AD184" s="247">
        <f>IF(ISERROR(LOOKUP(AD$16,$L184:$X184,#REF!)),0,(LOOKUP(AD$16,$L184:$X184,#REF!)))</f>
        <v>0</v>
      </c>
      <c r="AE184" s="247">
        <f>IF(ISERROR(LOOKUP(AE$16,$L184:$X184,#REF!)),0,(LOOKUP(AE$16,$L184:$X184,#REF!)))</f>
        <v>0</v>
      </c>
      <c r="AF184" s="247">
        <f>IF(ISERROR(LOOKUP(AF$16,$L184:$X184,#REF!)),0,(LOOKUP(AF$16,$L184:$X184,#REF!)))</f>
        <v>0</v>
      </c>
      <c r="AG184" s="247">
        <f>IF(ISERROR(LOOKUP(AG$16,$L184:$X184,#REF!)),0,(LOOKUP(AG$16,$L184:$X184,#REF!)))</f>
        <v>0</v>
      </c>
      <c r="AH184" s="247">
        <f>IF(ISERROR(LOOKUP(AH$16,$L184:$X184,#REF!)),0,(LOOKUP(AH$16,$L184:$X184,#REF!)))</f>
        <v>0</v>
      </c>
      <c r="AI184" s="247">
        <f>IF(ISERROR(LOOKUP(AI$16,$L184:$X184,#REF!)),0,(LOOKUP(AI$16,$L184:$X184,#REF!)))</f>
        <v>0</v>
      </c>
      <c r="AJ184" s="247">
        <f>IF(ISERROR(LOOKUP(AJ$16,$L184:$X184,#REF!)),0,(LOOKUP(AJ$16,$L184:$X184,#REF!)))</f>
        <v>0</v>
      </c>
      <c r="AK184" s="247">
        <f>IF(ISERROR(LOOKUP(AK$16,$L184:$X184,#REF!)),0,(LOOKUP(AK$16,$L184:$X184,#REF!)))</f>
        <v>0</v>
      </c>
      <c r="AL184" s="247">
        <f>IF(ISERROR(LOOKUP(AL$16,$L184:$X184,#REF!)),0,(LOOKUP(AL$16,$L184:$X184,#REF!)))</f>
        <v>0</v>
      </c>
      <c r="AM184" s="247">
        <f ca="1">IF(ISERROR(LOOKUP(AM$16,$L184:$X184,#REF!)),0,(LOOKUP(AM$16,$L184:$X184,#REF!)))</f>
        <v>0</v>
      </c>
      <c r="AP184" s="212"/>
      <c r="AQ184" s="212"/>
      <c r="AR184" s="212"/>
      <c r="AS184" s="638"/>
      <c r="AW184" s="244"/>
    </row>
    <row r="185" spans="1:49" s="168" customFormat="1" ht="18.600000000000001" customHeight="1">
      <c r="A185" s="596"/>
      <c r="B185" s="598"/>
      <c r="C185" s="601"/>
      <c r="D185" s="609" t="s">
        <v>4796</v>
      </c>
      <c r="E185" s="256"/>
      <c r="F185" s="622" t="s">
        <v>231</v>
      </c>
      <c r="G185" s="601" t="str">
        <f>IF(_xlfn.XLOOKUP(C185,'[35]Before Award'!D:D,'[35]Before Award'!AV:AV,"N/A")="N/A","N","Y")</f>
        <v>Y</v>
      </c>
      <c r="H185" s="224"/>
      <c r="I185" s="212" t="str">
        <f t="shared" ref="I185" si="330">I183</f>
        <v>LA</v>
      </c>
      <c r="J185" s="249" t="s">
        <v>61</v>
      </c>
      <c r="K185" s="215">
        <f>WORKDAY(L185,-INDEX(L$12:L$15,MATCH($I185,$I$12:$I$15,0)))</f>
        <v>46099</v>
      </c>
      <c r="L185" s="215">
        <f>WORKDAY(M185,-1)</f>
        <v>46100</v>
      </c>
      <c r="M185" s="215">
        <f>WORKDAY(N185,-INDEX(N$12:N$15,MATCH($I185,$I$12:$I$15,0)))</f>
        <v>46101</v>
      </c>
      <c r="N185" s="215">
        <f>WORKDAY(O185,-1)</f>
        <v>46104</v>
      </c>
      <c r="O185" s="215">
        <f>WORKDAY(R185,-5)</f>
        <v>46105</v>
      </c>
      <c r="P185" s="216">
        <f>U185-L185</f>
        <v>24</v>
      </c>
      <c r="Q185" s="217"/>
      <c r="R185" s="215">
        <f>WORKDAY(S185,-1)</f>
        <v>46112</v>
      </c>
      <c r="S185" s="215">
        <f>WORKDAY(T185,-1)</f>
        <v>46113</v>
      </c>
      <c r="T185" s="215">
        <f>WORKDAY(U185,-7)</f>
        <v>46114</v>
      </c>
      <c r="U185" s="215">
        <f>X185-Y185</f>
        <v>46124</v>
      </c>
      <c r="V185" s="215">
        <f>WORKDAY(U185,INDEX(V$12:V$15,MATCH($I185,$I$12:$I$15,0)))</f>
        <v>46126</v>
      </c>
      <c r="W185" s="218">
        <f>Y185/7</f>
        <v>17.1428571428571</v>
      </c>
      <c r="X185" s="215">
        <f>Z185</f>
        <v>46244</v>
      </c>
      <c r="Y185" s="628">
        <v>120</v>
      </c>
      <c r="Z185" s="632">
        <v>46244</v>
      </c>
      <c r="AA185" s="219"/>
      <c r="AB185" s="637">
        <f t="shared" ref="AB185:AB191" si="331">Z185-X186</f>
        <v>0</v>
      </c>
      <c r="AC185" s="246"/>
      <c r="AD185" s="247"/>
      <c r="AE185" s="247"/>
      <c r="AF185" s="247"/>
      <c r="AG185" s="247"/>
      <c r="AH185" s="247"/>
      <c r="AI185" s="247"/>
      <c r="AJ185" s="247"/>
      <c r="AK185" s="247"/>
      <c r="AL185" s="247"/>
      <c r="AM185" s="247"/>
      <c r="AP185" s="212"/>
      <c r="AQ185" s="212"/>
      <c r="AR185" s="212"/>
      <c r="AS185" s="222"/>
      <c r="AW185" s="244"/>
    </row>
    <row r="186" spans="1:49" s="168" customFormat="1" ht="18.600000000000001" customHeight="1">
      <c r="A186" s="596"/>
      <c r="B186" s="599"/>
      <c r="C186" s="601"/>
      <c r="D186" s="609" t="s">
        <v>4795</v>
      </c>
      <c r="E186" s="257"/>
      <c r="F186" s="623"/>
      <c r="G186" s="601" t="str">
        <f t="shared" ref="G186" si="332">G185</f>
        <v>Y</v>
      </c>
      <c r="H186" s="224"/>
      <c r="I186" s="212" t="str">
        <f t="shared" ref="I186" si="333">I184</f>
        <v>LA</v>
      </c>
      <c r="J186" s="249" t="s">
        <v>65</v>
      </c>
      <c r="K186" s="215">
        <f>K185</f>
        <v>46099</v>
      </c>
      <c r="L186" s="215">
        <f>WORKDAY(IF(K187="",K186,K187),INDEX(L$12:L$15,MATCH($I185,$I$12:$I$15,0)))</f>
        <v>46100</v>
      </c>
      <c r="M186" s="215">
        <f>WORKDAY(IF(L187="",L186,L187),1)</f>
        <v>46101</v>
      </c>
      <c r="N186" s="215">
        <f>WORKDAY(IF(M187="",M186,M187),INDEX(N$12:N$15,MATCH($I185,$I$12:$I$15,0)))</f>
        <v>46104</v>
      </c>
      <c r="O186" s="215">
        <f>WORKDAY(IF(N187="",N186,N187),1)</f>
        <v>46105</v>
      </c>
      <c r="P186" s="216"/>
      <c r="Q186" s="217"/>
      <c r="R186" s="215">
        <f>WORKDAY(IF(O187="",O186,O187),5)</f>
        <v>46112</v>
      </c>
      <c r="S186" s="215">
        <f>WORKDAY(IF(R187="",R186,R187),1)</f>
        <v>46113</v>
      </c>
      <c r="T186" s="215">
        <f>WORKDAY(IF(S187="",S186,S187),1)</f>
        <v>46114</v>
      </c>
      <c r="U186" s="215">
        <f>WORKDAY(IF(T187="",T186,T187),7)-1</f>
        <v>46124</v>
      </c>
      <c r="V186" s="215">
        <f>WORKDAY(IF(U187="",U186,U187),1)</f>
        <v>46125</v>
      </c>
      <c r="W186" s="218"/>
      <c r="X186" s="215">
        <f>U186+Y185</f>
        <v>46244</v>
      </c>
      <c r="Y186" s="628"/>
      <c r="Z186" s="632"/>
      <c r="AA186" s="219"/>
      <c r="AB186" s="637"/>
      <c r="AC186" s="246"/>
      <c r="AD186" s="247"/>
      <c r="AE186" s="247"/>
      <c r="AF186" s="247"/>
      <c r="AG186" s="247"/>
      <c r="AH186" s="247"/>
      <c r="AI186" s="247"/>
      <c r="AJ186" s="247"/>
      <c r="AK186" s="247"/>
      <c r="AL186" s="247"/>
      <c r="AM186" s="247"/>
      <c r="AP186" s="212"/>
      <c r="AQ186" s="212"/>
      <c r="AR186" s="212"/>
      <c r="AS186" s="222"/>
      <c r="AW186" s="244"/>
    </row>
    <row r="187" spans="1:49" s="168" customFormat="1" ht="18.600000000000001" customHeight="1">
      <c r="A187" s="596"/>
      <c r="B187" s="600"/>
      <c r="C187" s="601"/>
      <c r="D187" s="609" t="s">
        <v>4795</v>
      </c>
      <c r="E187" s="258"/>
      <c r="F187" s="624"/>
      <c r="G187" s="601" t="str">
        <f t="shared" ref="G187:G193" si="334">G185</f>
        <v>Y</v>
      </c>
      <c r="H187" s="224"/>
      <c r="I187" s="212" t="str">
        <f t="shared" ref="I187" si="335">I185</f>
        <v>LA</v>
      </c>
      <c r="J187" s="249" t="s">
        <v>67</v>
      </c>
      <c r="K187" s="212"/>
      <c r="L187" s="212"/>
      <c r="M187" s="212"/>
      <c r="N187" s="212"/>
      <c r="O187" s="212"/>
      <c r="P187" s="226"/>
      <c r="Q187" s="227"/>
      <c r="R187" s="212"/>
      <c r="S187" s="212"/>
      <c r="T187" s="212"/>
      <c r="U187" s="212"/>
      <c r="V187" s="212"/>
      <c r="W187" s="228"/>
      <c r="X187" s="212"/>
      <c r="Y187" s="628"/>
      <c r="Z187" s="632"/>
      <c r="AA187" s="219"/>
      <c r="AB187" s="637"/>
      <c r="AC187" s="246"/>
      <c r="AD187" s="247"/>
      <c r="AE187" s="247"/>
      <c r="AF187" s="247"/>
      <c r="AG187" s="247"/>
      <c r="AH187" s="247"/>
      <c r="AI187" s="247"/>
      <c r="AJ187" s="247"/>
      <c r="AK187" s="247"/>
      <c r="AL187" s="247"/>
      <c r="AM187" s="247"/>
      <c r="AP187" s="212"/>
      <c r="AQ187" s="212"/>
      <c r="AR187" s="212"/>
      <c r="AS187" s="222"/>
      <c r="AW187" s="244"/>
    </row>
    <row r="188" spans="1:49" s="168" customFormat="1" ht="18.600000000000001" customHeight="1">
      <c r="A188" s="596"/>
      <c r="B188" s="598"/>
      <c r="C188" s="601"/>
      <c r="D188" s="609" t="s">
        <v>4797</v>
      </c>
      <c r="E188" s="256"/>
      <c r="F188" s="622" t="s">
        <v>231</v>
      </c>
      <c r="G188" s="601" t="str">
        <f>IF(_xlfn.XLOOKUP(C188,'[35]Before Award'!D:D,'[35]Before Award'!AV:AV,"N/A")="N/A","N","Y")</f>
        <v>Y</v>
      </c>
      <c r="H188" s="224"/>
      <c r="I188" s="212" t="str">
        <f t="shared" ref="I188" si="336">I186</f>
        <v>LA</v>
      </c>
      <c r="J188" s="249" t="s">
        <v>61</v>
      </c>
      <c r="K188" s="215">
        <f>WORKDAY(L188,-INDEX(L$12:L$15,MATCH($I188,$I$12:$I$15,0)))</f>
        <v>46161</v>
      </c>
      <c r="L188" s="215">
        <f>WORKDAY(M188,-1)</f>
        <v>46162</v>
      </c>
      <c r="M188" s="215">
        <f>WORKDAY(N188,-INDEX(N$12:N$15,MATCH($I188,$I$12:$I$15,0)))</f>
        <v>46163</v>
      </c>
      <c r="N188" s="215">
        <f>WORKDAY(O188,-1)</f>
        <v>46164</v>
      </c>
      <c r="O188" s="215">
        <f>WORKDAY(R188,-5)</f>
        <v>46167</v>
      </c>
      <c r="P188" s="216">
        <f>U188-L188</f>
        <v>23</v>
      </c>
      <c r="Q188" s="217"/>
      <c r="R188" s="215">
        <f>WORKDAY(S188,-1)</f>
        <v>46174</v>
      </c>
      <c r="S188" s="215">
        <f>WORKDAY(T188,-1)</f>
        <v>46175</v>
      </c>
      <c r="T188" s="215">
        <f>WORKDAY(U188,-7)</f>
        <v>46176</v>
      </c>
      <c r="U188" s="215">
        <f>X188-Y188</f>
        <v>46185</v>
      </c>
      <c r="V188" s="215">
        <f>WORKDAY(U188,INDEX(V$12:V$15,MATCH($I188,$I$12:$I$15,0)))</f>
        <v>46189</v>
      </c>
      <c r="W188" s="218">
        <f>Y188/7</f>
        <v>12.8571428571429</v>
      </c>
      <c r="X188" s="215">
        <f>Z188</f>
        <v>46275</v>
      </c>
      <c r="Y188" s="628">
        <v>90</v>
      </c>
      <c r="Z188" s="632">
        <v>46275</v>
      </c>
      <c r="AA188" s="219"/>
      <c r="AB188" s="637">
        <f t="shared" si="331"/>
        <v>0</v>
      </c>
      <c r="AC188" s="246"/>
      <c r="AD188" s="247"/>
      <c r="AE188" s="247"/>
      <c r="AF188" s="247"/>
      <c r="AG188" s="247"/>
      <c r="AH188" s="247"/>
      <c r="AI188" s="247"/>
      <c r="AJ188" s="247"/>
      <c r="AK188" s="247"/>
      <c r="AL188" s="247"/>
      <c r="AM188" s="247"/>
      <c r="AP188" s="212"/>
      <c r="AQ188" s="212"/>
      <c r="AR188" s="212"/>
      <c r="AS188" s="222"/>
      <c r="AW188" s="244"/>
    </row>
    <row r="189" spans="1:49" s="168" customFormat="1" ht="18.600000000000001" customHeight="1">
      <c r="A189" s="596"/>
      <c r="B189" s="599"/>
      <c r="C189" s="601"/>
      <c r="D189" s="609" t="s">
        <v>4798</v>
      </c>
      <c r="E189" s="257"/>
      <c r="F189" s="623"/>
      <c r="G189" s="601" t="str">
        <f t="shared" ref="G189" si="337">G188</f>
        <v>Y</v>
      </c>
      <c r="H189" s="224"/>
      <c r="I189" s="212" t="str">
        <f t="shared" ref="I189" si="338">I187</f>
        <v>LA</v>
      </c>
      <c r="J189" s="249" t="s">
        <v>65</v>
      </c>
      <c r="K189" s="215">
        <f>K188</f>
        <v>46161</v>
      </c>
      <c r="L189" s="215">
        <f>WORKDAY(IF(K190="",K189,K190),INDEX(L$12:L$15,MATCH($I188,$I$12:$I$15,0)))</f>
        <v>46162</v>
      </c>
      <c r="M189" s="215">
        <f>WORKDAY(IF(L190="",L189,L190),1)</f>
        <v>46163</v>
      </c>
      <c r="N189" s="215">
        <f>WORKDAY(IF(M190="",M189,M190),INDEX(N$12:N$15,MATCH($I188,$I$12:$I$15,0)))</f>
        <v>46164</v>
      </c>
      <c r="O189" s="215">
        <f>WORKDAY(IF(N190="",N189,N190),1)</f>
        <v>46167</v>
      </c>
      <c r="P189" s="216"/>
      <c r="Q189" s="217"/>
      <c r="R189" s="215">
        <f>WORKDAY(IF(O190="",O189,O190),5)</f>
        <v>46174</v>
      </c>
      <c r="S189" s="215">
        <f>WORKDAY(IF(R190="",R189,R190),1)</f>
        <v>46175</v>
      </c>
      <c r="T189" s="215">
        <f>WORKDAY(IF(S190="",S189,S190),1)</f>
        <v>46176</v>
      </c>
      <c r="U189" s="215">
        <f>WORKDAY(IF(T190="",T189,T190),7)</f>
        <v>46185</v>
      </c>
      <c r="V189" s="215">
        <f>WORKDAY(IF(U190="",U189,U190),1)</f>
        <v>46188</v>
      </c>
      <c r="W189" s="218"/>
      <c r="X189" s="215">
        <f>U189+Y188</f>
        <v>46275</v>
      </c>
      <c r="Y189" s="628"/>
      <c r="Z189" s="632"/>
      <c r="AA189" s="219"/>
      <c r="AB189" s="637"/>
      <c r="AC189" s="246"/>
      <c r="AD189" s="247"/>
      <c r="AE189" s="247"/>
      <c r="AF189" s="247"/>
      <c r="AG189" s="247"/>
      <c r="AH189" s="247"/>
      <c r="AI189" s="247"/>
      <c r="AJ189" s="247"/>
      <c r="AK189" s="247"/>
      <c r="AL189" s="247"/>
      <c r="AM189" s="247"/>
      <c r="AP189" s="212"/>
      <c r="AQ189" s="212"/>
      <c r="AR189" s="212"/>
      <c r="AS189" s="222"/>
      <c r="AW189" s="244"/>
    </row>
    <row r="190" spans="1:49" s="168" customFormat="1" ht="18.600000000000001" customHeight="1">
      <c r="A190" s="596"/>
      <c r="B190" s="600"/>
      <c r="C190" s="601"/>
      <c r="D190" s="609" t="s">
        <v>4798</v>
      </c>
      <c r="E190" s="258"/>
      <c r="F190" s="624"/>
      <c r="G190" s="601" t="str">
        <f t="shared" si="334"/>
        <v>Y</v>
      </c>
      <c r="H190" s="224"/>
      <c r="I190" s="212" t="str">
        <f t="shared" ref="I190" si="339">I188</f>
        <v>LA</v>
      </c>
      <c r="J190" s="249" t="s">
        <v>67</v>
      </c>
      <c r="K190" s="212"/>
      <c r="L190" s="212"/>
      <c r="M190" s="212"/>
      <c r="N190" s="212"/>
      <c r="O190" s="212"/>
      <c r="P190" s="226"/>
      <c r="Q190" s="227"/>
      <c r="R190" s="212"/>
      <c r="S190" s="212"/>
      <c r="T190" s="212"/>
      <c r="U190" s="212"/>
      <c r="V190" s="212"/>
      <c r="W190" s="228"/>
      <c r="X190" s="212"/>
      <c r="Y190" s="628"/>
      <c r="Z190" s="632"/>
      <c r="AA190" s="219"/>
      <c r="AB190" s="637"/>
      <c r="AC190" s="246"/>
      <c r="AD190" s="247"/>
      <c r="AE190" s="247"/>
      <c r="AF190" s="247"/>
      <c r="AG190" s="247"/>
      <c r="AH190" s="247"/>
      <c r="AI190" s="247"/>
      <c r="AJ190" s="247"/>
      <c r="AK190" s="247"/>
      <c r="AL190" s="247"/>
      <c r="AM190" s="247"/>
      <c r="AP190" s="212"/>
      <c r="AQ190" s="212"/>
      <c r="AR190" s="212"/>
      <c r="AS190" s="222"/>
      <c r="AW190" s="244"/>
    </row>
    <row r="191" spans="1:49" s="168" customFormat="1" ht="18.600000000000001" customHeight="1">
      <c r="A191" s="596"/>
      <c r="B191" s="598"/>
      <c r="C191" s="601"/>
      <c r="D191" s="609" t="s">
        <v>245</v>
      </c>
      <c r="E191" s="256"/>
      <c r="F191" s="622" t="s">
        <v>231</v>
      </c>
      <c r="G191" s="601" t="str">
        <f>IF(_xlfn.XLOOKUP(C191,'[35]Before Award'!D:D,'[35]Before Award'!AV:AV,"N/A")="N/A","N","Y")</f>
        <v>Y</v>
      </c>
      <c r="H191" s="224"/>
      <c r="I191" s="212" t="str">
        <f t="shared" ref="I191" si="340">I189</f>
        <v>LA</v>
      </c>
      <c r="J191" s="249" t="s">
        <v>61</v>
      </c>
      <c r="K191" s="215">
        <f>WORKDAY(L191,-INDEX(L$12:L$15,MATCH($I191,$I$12:$I$15,0)))</f>
        <v>46111</v>
      </c>
      <c r="L191" s="215">
        <f>WORKDAY(M191,-1)</f>
        <v>46112</v>
      </c>
      <c r="M191" s="215">
        <f>WORKDAY(N191,-INDEX(N$12:N$15,MATCH($I191,$I$12:$I$15,0)))</f>
        <v>46113</v>
      </c>
      <c r="N191" s="215">
        <f>WORKDAY(O191,-1)</f>
        <v>46114</v>
      </c>
      <c r="O191" s="215">
        <f>WORKDAY(R191,-5)</f>
        <v>46115</v>
      </c>
      <c r="P191" s="216">
        <f>U191-L191</f>
        <v>23</v>
      </c>
      <c r="Q191" s="217"/>
      <c r="R191" s="215">
        <f>WORKDAY(S191,-1)</f>
        <v>46122</v>
      </c>
      <c r="S191" s="215">
        <f>WORKDAY(T191,-1)</f>
        <v>46125</v>
      </c>
      <c r="T191" s="215">
        <f>WORKDAY(U191,-7)</f>
        <v>46126</v>
      </c>
      <c r="U191" s="215">
        <f>X191-Y191</f>
        <v>46135</v>
      </c>
      <c r="V191" s="215">
        <f>WORKDAY(U191,INDEX(V$12:V$15,MATCH($I191,$I$12:$I$15,0)))</f>
        <v>46139</v>
      </c>
      <c r="W191" s="218">
        <f>Y191/7</f>
        <v>22.8571428571429</v>
      </c>
      <c r="X191" s="215">
        <f>Z191</f>
        <v>46295</v>
      </c>
      <c r="Y191" s="628">
        <f>120+40</f>
        <v>160</v>
      </c>
      <c r="Z191" s="634">
        <v>46295</v>
      </c>
      <c r="AA191" s="219"/>
      <c r="AB191" s="637">
        <f t="shared" si="331"/>
        <v>0</v>
      </c>
      <c r="AC191" s="246"/>
      <c r="AD191" s="247"/>
      <c r="AE191" s="247"/>
      <c r="AF191" s="247"/>
      <c r="AG191" s="247"/>
      <c r="AH191" s="247"/>
      <c r="AI191" s="247"/>
      <c r="AJ191" s="247"/>
      <c r="AK191" s="247"/>
      <c r="AL191" s="247"/>
      <c r="AM191" s="247"/>
      <c r="AP191" s="212"/>
      <c r="AQ191" s="212"/>
      <c r="AR191" s="212"/>
      <c r="AS191" s="222"/>
      <c r="AW191" s="244"/>
    </row>
    <row r="192" spans="1:49" s="168" customFormat="1" ht="18.600000000000001" customHeight="1">
      <c r="A192" s="596"/>
      <c r="B192" s="599"/>
      <c r="C192" s="601"/>
      <c r="D192" s="609"/>
      <c r="E192" s="257"/>
      <c r="F192" s="623"/>
      <c r="G192" s="601" t="str">
        <f t="shared" ref="G192" si="341">G191</f>
        <v>Y</v>
      </c>
      <c r="H192" s="224"/>
      <c r="I192" s="212" t="str">
        <f t="shared" ref="I192" si="342">I190</f>
        <v>LA</v>
      </c>
      <c r="J192" s="249" t="s">
        <v>65</v>
      </c>
      <c r="K192" s="215">
        <f>K191</f>
        <v>46111</v>
      </c>
      <c r="L192" s="215">
        <f>WORKDAY(IF(K193="",K192,K193),INDEX(L$12:L$15,MATCH($I191,$I$12:$I$15,0)))</f>
        <v>46112</v>
      </c>
      <c r="M192" s="215">
        <f>WORKDAY(IF(L193="",L192,L193),1)</f>
        <v>46113</v>
      </c>
      <c r="N192" s="215">
        <f>WORKDAY(IF(M193="",M192,M193),INDEX(N$12:N$15,MATCH($I191,$I$12:$I$15,0)))</f>
        <v>46114</v>
      </c>
      <c r="O192" s="215">
        <f>WORKDAY(IF(N193="",N192,N193),1)</f>
        <v>46115</v>
      </c>
      <c r="P192" s="216"/>
      <c r="Q192" s="217"/>
      <c r="R192" s="215">
        <f>WORKDAY(IF(O193="",O192,O193),5)</f>
        <v>46122</v>
      </c>
      <c r="S192" s="215">
        <f>WORKDAY(IF(R193="",R192,R193),1)</f>
        <v>46125</v>
      </c>
      <c r="T192" s="215">
        <f>WORKDAY(IF(S193="",S192,S193),1)</f>
        <v>46126</v>
      </c>
      <c r="U192" s="215">
        <f>WORKDAY(IF(T193="",T192,T193),7)</f>
        <v>46135</v>
      </c>
      <c r="V192" s="215">
        <f>WORKDAY(IF(U193="",U192,U193),1)</f>
        <v>46136</v>
      </c>
      <c r="W192" s="218"/>
      <c r="X192" s="215">
        <f>U192+Y191</f>
        <v>46295</v>
      </c>
      <c r="Y192" s="628"/>
      <c r="Z192" s="635"/>
      <c r="AA192" s="219"/>
      <c r="AB192" s="637"/>
      <c r="AC192" s="246"/>
      <c r="AD192" s="247"/>
      <c r="AE192" s="247"/>
      <c r="AF192" s="247"/>
      <c r="AG192" s="247"/>
      <c r="AH192" s="247"/>
      <c r="AI192" s="247"/>
      <c r="AJ192" s="247"/>
      <c r="AK192" s="247"/>
      <c r="AL192" s="247"/>
      <c r="AM192" s="247"/>
      <c r="AP192" s="212"/>
      <c r="AQ192" s="212"/>
      <c r="AR192" s="212"/>
      <c r="AS192" s="222"/>
      <c r="AW192" s="244"/>
    </row>
    <row r="193" spans="1:49" s="168" customFormat="1" ht="18.600000000000001" customHeight="1">
      <c r="A193" s="596"/>
      <c r="B193" s="600"/>
      <c r="C193" s="601"/>
      <c r="D193" s="609"/>
      <c r="E193" s="258"/>
      <c r="F193" s="624"/>
      <c r="G193" s="601" t="str">
        <f t="shared" si="334"/>
        <v>Y</v>
      </c>
      <c r="H193" s="224"/>
      <c r="I193" s="212" t="str">
        <f t="shared" ref="I193:I211" si="343">I191</f>
        <v>LA</v>
      </c>
      <c r="J193" s="249" t="s">
        <v>67</v>
      </c>
      <c r="K193" s="212"/>
      <c r="L193" s="212"/>
      <c r="M193" s="212"/>
      <c r="N193" s="212"/>
      <c r="O193" s="212"/>
      <c r="P193" s="226"/>
      <c r="Q193" s="227"/>
      <c r="R193" s="212"/>
      <c r="S193" s="212"/>
      <c r="T193" s="212"/>
      <c r="U193" s="212"/>
      <c r="V193" s="212"/>
      <c r="W193" s="228"/>
      <c r="X193" s="212"/>
      <c r="Y193" s="628"/>
      <c r="Z193" s="636"/>
      <c r="AA193" s="219"/>
      <c r="AB193" s="637"/>
      <c r="AC193" s="246"/>
      <c r="AD193" s="247"/>
      <c r="AE193" s="247"/>
      <c r="AF193" s="247"/>
      <c r="AG193" s="247"/>
      <c r="AH193" s="247"/>
      <c r="AI193" s="247"/>
      <c r="AJ193" s="247"/>
      <c r="AK193" s="247"/>
      <c r="AL193" s="247"/>
      <c r="AM193" s="247"/>
      <c r="AP193" s="212"/>
      <c r="AQ193" s="212"/>
      <c r="AR193" s="212"/>
      <c r="AS193" s="222"/>
      <c r="AW193" s="244"/>
    </row>
    <row r="194" spans="1:49" s="168" customFormat="1" ht="18.600000000000001" customHeight="1">
      <c r="A194" s="596"/>
      <c r="B194" s="598"/>
      <c r="C194" s="601"/>
      <c r="D194" s="601" t="s">
        <v>248</v>
      </c>
      <c r="E194" s="213"/>
      <c r="F194" s="610" t="s">
        <v>231</v>
      </c>
      <c r="G194" s="601" t="str">
        <f>IF(_xlfn.XLOOKUP(C194,'[35]Before Award'!D:D,'[35]Before Award'!AV:AV,"N/A")="N/A","N","Y")</f>
        <v>Y</v>
      </c>
      <c r="H194" s="224"/>
      <c r="I194" s="212" t="str">
        <f t="shared" si="343"/>
        <v>LA</v>
      </c>
      <c r="J194" s="249" t="s">
        <v>61</v>
      </c>
      <c r="K194" s="215">
        <f>WORKDAY(L194,-INDEX(L$12:L$15,MATCH($I194,$I$12:$I$15,0)))</f>
        <v>46122</v>
      </c>
      <c r="L194" s="215">
        <f>WORKDAY(M194,-1)</f>
        <v>46125</v>
      </c>
      <c r="M194" s="215">
        <f>WORKDAY(N194,-INDEX(N$12:N$15,MATCH($I194,$I$12:$I$15,0)))</f>
        <v>46126</v>
      </c>
      <c r="N194" s="215">
        <f>WORKDAY(O194,-1)</f>
        <v>46127</v>
      </c>
      <c r="O194" s="215">
        <f>WORKDAY(R194,-5)</f>
        <v>46128</v>
      </c>
      <c r="P194" s="216">
        <f>U194-L194</f>
        <v>23</v>
      </c>
      <c r="Q194" s="217"/>
      <c r="R194" s="215">
        <f>WORKDAY(S194,-1)</f>
        <v>46135</v>
      </c>
      <c r="S194" s="215">
        <f>WORKDAY(T194,-1)</f>
        <v>46136</v>
      </c>
      <c r="T194" s="215">
        <f>WORKDAY(U194,-7)</f>
        <v>46139</v>
      </c>
      <c r="U194" s="215">
        <f>X194-Y194</f>
        <v>46148</v>
      </c>
      <c r="V194" s="215">
        <f>WORKDAY(U194,INDEX(V$12:V$15,MATCH($I194,$I$12:$I$15,0)))</f>
        <v>46150</v>
      </c>
      <c r="W194" s="218">
        <f>Y194/7</f>
        <v>17.1428571428571</v>
      </c>
      <c r="X194" s="215">
        <f>Z194</f>
        <v>46268</v>
      </c>
      <c r="Y194" s="628">
        <v>120</v>
      </c>
      <c r="Z194" s="634">
        <v>46268</v>
      </c>
      <c r="AA194" s="219"/>
      <c r="AB194" s="637">
        <f t="shared" ref="AB194" si="344">Z194-X195</f>
        <v>0</v>
      </c>
      <c r="AC194" s="246"/>
      <c r="AD194" s="247"/>
      <c r="AE194" s="247"/>
      <c r="AF194" s="247"/>
      <c r="AG194" s="247"/>
      <c r="AH194" s="247"/>
      <c r="AI194" s="247"/>
      <c r="AJ194" s="247"/>
      <c r="AK194" s="247"/>
      <c r="AL194" s="247"/>
      <c r="AM194" s="247"/>
      <c r="AP194" s="212"/>
      <c r="AQ194" s="212"/>
      <c r="AR194" s="212"/>
      <c r="AS194" s="222"/>
      <c r="AU194" s="639">
        <f>AT195+40</f>
        <v>46322</v>
      </c>
      <c r="AW194" s="244"/>
    </row>
    <row r="195" spans="1:49" s="168" customFormat="1" ht="18.600000000000001" customHeight="1">
      <c r="A195" s="596"/>
      <c r="B195" s="599"/>
      <c r="C195" s="601"/>
      <c r="D195" s="601" t="s">
        <v>4792</v>
      </c>
      <c r="E195" s="224"/>
      <c r="F195" s="611"/>
      <c r="G195" s="601" t="str">
        <f t="shared" ref="G195" si="345">G194</f>
        <v>Y</v>
      </c>
      <c r="H195" s="224"/>
      <c r="I195" s="212" t="str">
        <f t="shared" si="343"/>
        <v>LA</v>
      </c>
      <c r="J195" s="249" t="s">
        <v>65</v>
      </c>
      <c r="K195" s="215">
        <f>K194</f>
        <v>46122</v>
      </c>
      <c r="L195" s="215">
        <f>WORKDAY(IF(K196="",K195,K196),INDEX(L$12:L$15,MATCH($I194,$I$12:$I$15,0)))</f>
        <v>46125</v>
      </c>
      <c r="M195" s="215">
        <f>WORKDAY(IF(L196="",L195,L196),1)</f>
        <v>46126</v>
      </c>
      <c r="N195" s="215">
        <f>WORKDAY(IF(M196="",M195,M196),INDEX(N$12:N$15,MATCH($I194,$I$12:$I$15,0)))</f>
        <v>46127</v>
      </c>
      <c r="O195" s="215">
        <f>WORKDAY(IF(N196="",N195,N196),1)</f>
        <v>46128</v>
      </c>
      <c r="P195" s="216"/>
      <c r="Q195" s="217"/>
      <c r="R195" s="215">
        <f>WORKDAY(IF(O196="",O195,O196),5)</f>
        <v>46135</v>
      </c>
      <c r="S195" s="215">
        <f>WORKDAY(IF(R196="",R195,R196),1)</f>
        <v>46136</v>
      </c>
      <c r="T195" s="215">
        <f>WORKDAY(IF(S196="",S195,S196),1)</f>
        <v>46139</v>
      </c>
      <c r="U195" s="215">
        <f>WORKDAY(IF(T196="",T195,T196),7)</f>
        <v>46148</v>
      </c>
      <c r="V195" s="215">
        <f>WORKDAY(IF(U196="",U195,U196),1)</f>
        <v>46149</v>
      </c>
      <c r="W195" s="218"/>
      <c r="X195" s="215">
        <f>U195+Y194</f>
        <v>46268</v>
      </c>
      <c r="Y195" s="628"/>
      <c r="Z195" s="635"/>
      <c r="AA195" s="219"/>
      <c r="AB195" s="637"/>
      <c r="AC195" s="246"/>
      <c r="AD195" s="247"/>
      <c r="AE195" s="247"/>
      <c r="AF195" s="247"/>
      <c r="AG195" s="247"/>
      <c r="AH195" s="247"/>
      <c r="AI195" s="247"/>
      <c r="AJ195" s="247"/>
      <c r="AK195" s="247"/>
      <c r="AL195" s="247"/>
      <c r="AM195" s="247"/>
      <c r="AP195" s="212"/>
      <c r="AQ195" s="212"/>
      <c r="AR195" s="212"/>
      <c r="AS195" s="222"/>
      <c r="AT195" s="259">
        <v>46282</v>
      </c>
      <c r="AU195" s="639"/>
      <c r="AW195" s="244"/>
    </row>
    <row r="196" spans="1:49" s="168" customFormat="1" ht="18.600000000000001" customHeight="1">
      <c r="A196" s="596"/>
      <c r="B196" s="600"/>
      <c r="C196" s="601"/>
      <c r="D196" s="601" t="s">
        <v>4792</v>
      </c>
      <c r="E196" s="225"/>
      <c r="F196" s="612"/>
      <c r="G196" s="601" t="str">
        <f t="shared" ref="G196" si="346">G194</f>
        <v>Y</v>
      </c>
      <c r="H196" s="224"/>
      <c r="I196" s="212" t="str">
        <f t="shared" si="343"/>
        <v>LA</v>
      </c>
      <c r="J196" s="249" t="s">
        <v>67</v>
      </c>
      <c r="K196" s="212"/>
      <c r="L196" s="212"/>
      <c r="M196" s="212"/>
      <c r="N196" s="212"/>
      <c r="O196" s="212"/>
      <c r="P196" s="226"/>
      <c r="Q196" s="227"/>
      <c r="R196" s="212"/>
      <c r="S196" s="212"/>
      <c r="T196" s="212"/>
      <c r="U196" s="212"/>
      <c r="V196" s="212"/>
      <c r="W196" s="228"/>
      <c r="X196" s="212"/>
      <c r="Y196" s="628"/>
      <c r="Z196" s="636"/>
      <c r="AA196" s="219"/>
      <c r="AB196" s="637"/>
      <c r="AC196" s="246"/>
      <c r="AD196" s="247"/>
      <c r="AE196" s="247"/>
      <c r="AF196" s="247"/>
      <c r="AG196" s="247"/>
      <c r="AH196" s="247"/>
      <c r="AI196" s="247"/>
      <c r="AJ196" s="247"/>
      <c r="AK196" s="247"/>
      <c r="AL196" s="247"/>
      <c r="AM196" s="247"/>
      <c r="AP196" s="212"/>
      <c r="AQ196" s="212"/>
      <c r="AR196" s="212"/>
      <c r="AS196" s="222"/>
      <c r="AU196" s="639"/>
      <c r="AW196" s="244"/>
    </row>
    <row r="197" spans="1:49" s="168" customFormat="1" ht="18.600000000000001" customHeight="1">
      <c r="A197" s="596"/>
      <c r="B197" s="598"/>
      <c r="C197" s="601"/>
      <c r="D197" s="601" t="s">
        <v>4799</v>
      </c>
      <c r="E197" s="213"/>
      <c r="F197" s="610" t="s">
        <v>231</v>
      </c>
      <c r="G197" s="601" t="str">
        <f>IF(_xlfn.XLOOKUP(C197,'[35]Before Award'!D:D,'[35]Before Award'!AV:AV,"N/A")="N/A","N","Y")</f>
        <v>Y</v>
      </c>
      <c r="H197" s="224"/>
      <c r="I197" s="212" t="str">
        <f>I192</f>
        <v>LA</v>
      </c>
      <c r="J197" s="249" t="s">
        <v>61</v>
      </c>
      <c r="K197" s="215">
        <f>WORKDAY(L197,-INDEX(L$12:L$15,MATCH($I197,$I$12:$I$15,0)))</f>
        <v>46155</v>
      </c>
      <c r="L197" s="215">
        <f>WORKDAY(M197,-1)</f>
        <v>46156</v>
      </c>
      <c r="M197" s="215">
        <f>WORKDAY(N197,-INDEX(N$12:N$15,MATCH($I197,$I$12:$I$15,0)))</f>
        <v>46157</v>
      </c>
      <c r="N197" s="215">
        <f>WORKDAY(O197,-1)</f>
        <v>46160</v>
      </c>
      <c r="O197" s="215">
        <f>WORKDAY(R197,-5)</f>
        <v>46161</v>
      </c>
      <c r="P197" s="216">
        <f>U197-L197</f>
        <v>23</v>
      </c>
      <c r="Q197" s="217"/>
      <c r="R197" s="215">
        <f>WORKDAY(S197,-1)</f>
        <v>46168</v>
      </c>
      <c r="S197" s="215">
        <f>WORKDAY(T197,-1)</f>
        <v>46169</v>
      </c>
      <c r="T197" s="215">
        <f>WORKDAY(U197,-7)</f>
        <v>46170</v>
      </c>
      <c r="U197" s="215">
        <f>X197-Y197</f>
        <v>46179</v>
      </c>
      <c r="V197" s="215">
        <f>WORKDAY(U197,INDEX(V$12:V$15,MATCH($I197,$I$12:$I$15,0)))</f>
        <v>46182</v>
      </c>
      <c r="W197" s="218">
        <f>Y197/7</f>
        <v>19</v>
      </c>
      <c r="X197" s="215">
        <f>Z197</f>
        <v>46312</v>
      </c>
      <c r="Y197" s="628">
        <f>19*7</f>
        <v>133</v>
      </c>
      <c r="Z197" s="633">
        <v>46312</v>
      </c>
      <c r="AA197" s="219"/>
      <c r="AB197" s="637">
        <f t="shared" ref="AB197" si="347">Z197-X198</f>
        <v>0</v>
      </c>
      <c r="AC197" s="246"/>
      <c r="AD197" s="247"/>
      <c r="AE197" s="247"/>
      <c r="AF197" s="247"/>
      <c r="AG197" s="247"/>
      <c r="AH197" s="247"/>
      <c r="AI197" s="247"/>
      <c r="AJ197" s="247"/>
      <c r="AK197" s="247"/>
      <c r="AL197" s="247"/>
      <c r="AM197" s="247"/>
      <c r="AP197" s="212"/>
      <c r="AQ197" s="212"/>
      <c r="AR197" s="212"/>
      <c r="AS197" s="222"/>
      <c r="AW197" s="244"/>
    </row>
    <row r="198" spans="1:49" s="168" customFormat="1" ht="18.600000000000001" customHeight="1">
      <c r="A198" s="596"/>
      <c r="B198" s="599"/>
      <c r="C198" s="601"/>
      <c r="D198" s="601"/>
      <c r="E198" s="224"/>
      <c r="F198" s="611"/>
      <c r="G198" s="601" t="str">
        <f t="shared" ref="G198" si="348">G197</f>
        <v>Y</v>
      </c>
      <c r="H198" s="224"/>
      <c r="I198" s="212" t="str">
        <f>I193</f>
        <v>LA</v>
      </c>
      <c r="J198" s="249" t="s">
        <v>65</v>
      </c>
      <c r="K198" s="215">
        <f>K197</f>
        <v>46155</v>
      </c>
      <c r="L198" s="215">
        <f>WORKDAY(IF(K199="",K198,K199),INDEX(L$12:L$15,MATCH($I197,$I$12:$I$15,0)))</f>
        <v>46156</v>
      </c>
      <c r="M198" s="215">
        <f>WORKDAY(IF(L199="",L198,L199),1)</f>
        <v>46157</v>
      </c>
      <c r="N198" s="215">
        <f>WORKDAY(IF(M199="",M198,M199),INDEX(N$12:N$15,MATCH($I197,$I$12:$I$15,0)))</f>
        <v>46160</v>
      </c>
      <c r="O198" s="215">
        <f>WORKDAY(IF(N199="",N198,N199),1)</f>
        <v>46161</v>
      </c>
      <c r="P198" s="216"/>
      <c r="Q198" s="217"/>
      <c r="R198" s="215">
        <f>WORKDAY(IF(O199="",O198,O199),5)</f>
        <v>46168</v>
      </c>
      <c r="S198" s="215">
        <f>WORKDAY(IF(R199="",R198,R199),1)</f>
        <v>46169</v>
      </c>
      <c r="T198" s="215">
        <f>WORKDAY(IF(S199="",S198,S199),1)</f>
        <v>46170</v>
      </c>
      <c r="U198" s="215">
        <f>WORKDAY(IF(T199="",T198,T199),7)-2</f>
        <v>46179</v>
      </c>
      <c r="V198" s="215">
        <f>WORKDAY(IF(U199="",U198,U199),1)</f>
        <v>46181</v>
      </c>
      <c r="W198" s="218"/>
      <c r="X198" s="215">
        <f>U198+Y197</f>
        <v>46312</v>
      </c>
      <c r="Y198" s="628"/>
      <c r="Z198" s="633"/>
      <c r="AA198" s="219"/>
      <c r="AB198" s="637"/>
      <c r="AC198" s="246"/>
      <c r="AD198" s="247"/>
      <c r="AE198" s="247"/>
      <c r="AF198" s="247"/>
      <c r="AG198" s="247"/>
      <c r="AH198" s="247"/>
      <c r="AI198" s="247"/>
      <c r="AJ198" s="247"/>
      <c r="AK198" s="247"/>
      <c r="AL198" s="247"/>
      <c r="AM198" s="247"/>
      <c r="AP198" s="212"/>
      <c r="AQ198" s="212"/>
      <c r="AR198" s="212"/>
      <c r="AS198" s="222"/>
      <c r="AW198" s="244"/>
    </row>
    <row r="199" spans="1:49" s="168" customFormat="1" ht="18.600000000000001" customHeight="1">
      <c r="A199" s="596"/>
      <c r="B199" s="600"/>
      <c r="C199" s="601"/>
      <c r="D199" s="601"/>
      <c r="E199" s="225"/>
      <c r="F199" s="612"/>
      <c r="G199" s="601" t="str">
        <f t="shared" ref="G199" si="349">G197</f>
        <v>Y</v>
      </c>
      <c r="H199" s="224"/>
      <c r="I199" s="212" t="str">
        <f t="shared" si="343"/>
        <v>LA</v>
      </c>
      <c r="J199" s="249" t="s">
        <v>67</v>
      </c>
      <c r="K199" s="212"/>
      <c r="L199" s="212"/>
      <c r="M199" s="212"/>
      <c r="N199" s="212"/>
      <c r="O199" s="212"/>
      <c r="P199" s="226"/>
      <c r="Q199" s="227"/>
      <c r="R199" s="212"/>
      <c r="S199" s="212"/>
      <c r="T199" s="212"/>
      <c r="U199" s="212"/>
      <c r="V199" s="212"/>
      <c r="W199" s="228"/>
      <c r="X199" s="212"/>
      <c r="Y199" s="628"/>
      <c r="Z199" s="633"/>
      <c r="AA199" s="219"/>
      <c r="AB199" s="637"/>
      <c r="AC199" s="246"/>
      <c r="AD199" s="247"/>
      <c r="AE199" s="247"/>
      <c r="AF199" s="247"/>
      <c r="AG199" s="247"/>
      <c r="AH199" s="247"/>
      <c r="AI199" s="247"/>
      <c r="AJ199" s="247"/>
      <c r="AK199" s="247"/>
      <c r="AL199" s="247"/>
      <c r="AM199" s="247"/>
      <c r="AP199" s="212"/>
      <c r="AQ199" s="212"/>
      <c r="AR199" s="212"/>
      <c r="AS199" s="222"/>
      <c r="AW199" s="244"/>
    </row>
    <row r="200" spans="1:49" s="168" customFormat="1" ht="18.600000000000001" customHeight="1">
      <c r="A200" s="596"/>
      <c r="B200" s="598"/>
      <c r="C200" s="601"/>
      <c r="D200" s="601" t="s">
        <v>4800</v>
      </c>
      <c r="E200" s="213"/>
      <c r="F200" s="610" t="s">
        <v>231</v>
      </c>
      <c r="G200" s="601" t="str">
        <f>IF(_xlfn.XLOOKUP(C200,'[35]Before Award'!D:D,'[35]Before Award'!AV:AV,"N/A")="N/A","N","Y")</f>
        <v>Y</v>
      </c>
      <c r="H200" s="224"/>
      <c r="I200" s="212" t="str">
        <f>I195</f>
        <v>LA</v>
      </c>
      <c r="J200" s="249" t="s">
        <v>61</v>
      </c>
      <c r="K200" s="215">
        <f>WORKDAY(L200,-INDEX(L$12:L$15,MATCH($I200,$I$12:$I$15,0)))</f>
        <v>46136</v>
      </c>
      <c r="L200" s="215">
        <f>WORKDAY(M200,-1)</f>
        <v>46139</v>
      </c>
      <c r="M200" s="215">
        <f>WORKDAY(N200,-INDEX(N$12:N$15,MATCH($I200,$I$12:$I$15,0)))</f>
        <v>46140</v>
      </c>
      <c r="N200" s="215">
        <f>WORKDAY(O200,-1)</f>
        <v>46141</v>
      </c>
      <c r="O200" s="215">
        <f>WORKDAY(R200,-5)</f>
        <v>46142</v>
      </c>
      <c r="P200" s="216">
        <f>U200-L200</f>
        <v>23</v>
      </c>
      <c r="Q200" s="217"/>
      <c r="R200" s="215">
        <f>WORKDAY(S200,-1)</f>
        <v>46149</v>
      </c>
      <c r="S200" s="215">
        <f>WORKDAY(T200,-1)</f>
        <v>46150</v>
      </c>
      <c r="T200" s="215">
        <f>WORKDAY(U200,-7)</f>
        <v>46153</v>
      </c>
      <c r="U200" s="215">
        <f>X200-Y200</f>
        <v>46162</v>
      </c>
      <c r="V200" s="215">
        <f>WORKDAY(U200,INDEX(V$12:V$15,MATCH($I200,$I$12:$I$15,0)))</f>
        <v>46164</v>
      </c>
      <c r="W200" s="218">
        <f>Y200/7</f>
        <v>22.8571428571429</v>
      </c>
      <c r="X200" s="215">
        <f>Z200</f>
        <v>46322</v>
      </c>
      <c r="Y200" s="628">
        <f>120+40</f>
        <v>160</v>
      </c>
      <c r="Z200" s="633">
        <v>46322</v>
      </c>
      <c r="AA200" s="219"/>
      <c r="AB200" s="637">
        <f t="shared" ref="AB200" si="350">Z200-X201</f>
        <v>0</v>
      </c>
      <c r="AC200" s="246"/>
      <c r="AD200" s="247"/>
      <c r="AE200" s="247"/>
      <c r="AF200" s="247"/>
      <c r="AG200" s="247"/>
      <c r="AH200" s="247"/>
      <c r="AI200" s="247"/>
      <c r="AJ200" s="247"/>
      <c r="AK200" s="247"/>
      <c r="AL200" s="247"/>
      <c r="AM200" s="247"/>
      <c r="AP200" s="212"/>
      <c r="AQ200" s="212"/>
      <c r="AR200" s="212"/>
      <c r="AS200" s="222"/>
      <c r="AW200" s="244"/>
    </row>
    <row r="201" spans="1:49" s="168" customFormat="1" ht="18.600000000000001" customHeight="1">
      <c r="A201" s="596"/>
      <c r="B201" s="599"/>
      <c r="C201" s="601"/>
      <c r="D201" s="601"/>
      <c r="E201" s="224"/>
      <c r="F201" s="611"/>
      <c r="G201" s="601" t="str">
        <f t="shared" ref="G201" si="351">G200</f>
        <v>Y</v>
      </c>
      <c r="H201" s="224"/>
      <c r="I201" s="212" t="str">
        <f>I196</f>
        <v>LA</v>
      </c>
      <c r="J201" s="249" t="s">
        <v>65</v>
      </c>
      <c r="K201" s="215">
        <f>K200</f>
        <v>46136</v>
      </c>
      <c r="L201" s="215">
        <f>WORKDAY(IF(K202="",K201,K202),INDEX(L$12:L$15,MATCH($I200,$I$12:$I$15,0)))</f>
        <v>46139</v>
      </c>
      <c r="M201" s="215">
        <f>WORKDAY(IF(L202="",L201,L202),1)</f>
        <v>46140</v>
      </c>
      <c r="N201" s="215">
        <f>WORKDAY(IF(M202="",M201,M202),INDEX(N$12:N$15,MATCH($I200,$I$12:$I$15,0)))</f>
        <v>46141</v>
      </c>
      <c r="O201" s="215">
        <f>WORKDAY(IF(N202="",N201,N202),1)</f>
        <v>46142</v>
      </c>
      <c r="P201" s="216"/>
      <c r="Q201" s="217"/>
      <c r="R201" s="215">
        <f>WORKDAY(IF(O202="",O201,O202),5)</f>
        <v>46149</v>
      </c>
      <c r="S201" s="215">
        <f>WORKDAY(IF(R202="",R201,R202),1)</f>
        <v>46150</v>
      </c>
      <c r="T201" s="215">
        <f>WORKDAY(IF(S202="",S201,S202),1)</f>
        <v>46153</v>
      </c>
      <c r="U201" s="215">
        <f>WORKDAY(IF(T202="",T201,T202),7)</f>
        <v>46162</v>
      </c>
      <c r="V201" s="215">
        <f>WORKDAY(IF(U202="",U201,U202),1)</f>
        <v>46163</v>
      </c>
      <c r="W201" s="218"/>
      <c r="X201" s="215">
        <f>U201+Y200</f>
        <v>46322</v>
      </c>
      <c r="Y201" s="628"/>
      <c r="Z201" s="633"/>
      <c r="AA201" s="219"/>
      <c r="AB201" s="637"/>
      <c r="AC201" s="246"/>
      <c r="AD201" s="247"/>
      <c r="AE201" s="247"/>
      <c r="AF201" s="247"/>
      <c r="AG201" s="247"/>
      <c r="AH201" s="247"/>
      <c r="AI201" s="247"/>
      <c r="AJ201" s="247"/>
      <c r="AK201" s="247"/>
      <c r="AL201" s="247"/>
      <c r="AM201" s="247"/>
      <c r="AP201" s="212"/>
      <c r="AQ201" s="212"/>
      <c r="AR201" s="212"/>
      <c r="AS201" s="222"/>
      <c r="AW201" s="244"/>
    </row>
    <row r="202" spans="1:49" s="168" customFormat="1" ht="18.600000000000001" customHeight="1">
      <c r="A202" s="596"/>
      <c r="B202" s="600"/>
      <c r="C202" s="601"/>
      <c r="D202" s="601"/>
      <c r="E202" s="225"/>
      <c r="F202" s="612"/>
      <c r="G202" s="601" t="str">
        <f t="shared" ref="G202:G208" si="352">G200</f>
        <v>Y</v>
      </c>
      <c r="H202" s="224"/>
      <c r="I202" s="212" t="str">
        <f t="shared" si="343"/>
        <v>LA</v>
      </c>
      <c r="J202" s="249" t="s">
        <v>67</v>
      </c>
      <c r="K202" s="212"/>
      <c r="L202" s="212"/>
      <c r="M202" s="212"/>
      <c r="N202" s="212"/>
      <c r="O202" s="212"/>
      <c r="P202" s="226"/>
      <c r="Q202" s="227"/>
      <c r="R202" s="212"/>
      <c r="S202" s="212"/>
      <c r="T202" s="212"/>
      <c r="U202" s="212"/>
      <c r="V202" s="212"/>
      <c r="W202" s="228"/>
      <c r="X202" s="212"/>
      <c r="Y202" s="628"/>
      <c r="Z202" s="633"/>
      <c r="AA202" s="219"/>
      <c r="AB202" s="637"/>
      <c r="AC202" s="246"/>
      <c r="AD202" s="247"/>
      <c r="AE202" s="247"/>
      <c r="AF202" s="247"/>
      <c r="AG202" s="247"/>
      <c r="AH202" s="247"/>
      <c r="AI202" s="247"/>
      <c r="AJ202" s="247"/>
      <c r="AK202" s="247"/>
      <c r="AL202" s="247"/>
      <c r="AM202" s="247"/>
      <c r="AP202" s="212"/>
      <c r="AQ202" s="212"/>
      <c r="AR202" s="212"/>
      <c r="AS202" s="222"/>
      <c r="AW202" s="244"/>
    </row>
    <row r="203" spans="1:49" s="168" customFormat="1" ht="18.600000000000001" customHeight="1">
      <c r="A203" s="596"/>
      <c r="B203" s="598"/>
      <c r="C203" s="601"/>
      <c r="D203" s="601" t="s">
        <v>254</v>
      </c>
      <c r="E203" s="213"/>
      <c r="F203" s="610" t="s">
        <v>231</v>
      </c>
      <c r="G203" s="601" t="str">
        <f>IF(_xlfn.XLOOKUP(C203,'[35]Before Award'!D:D,'[35]Before Award'!AV:AV,"N/A")="N/A","N","Y")</f>
        <v>Y</v>
      </c>
      <c r="H203" s="224"/>
      <c r="I203" s="212" t="str">
        <f t="shared" si="343"/>
        <v>LA</v>
      </c>
      <c r="J203" s="249" t="s">
        <v>61</v>
      </c>
      <c r="K203" s="215">
        <f>WORKDAY(L203,-INDEX(L$12:L$15,MATCH($I203,$I$12:$I$15,0)))</f>
        <v>46136</v>
      </c>
      <c r="L203" s="215">
        <f>WORKDAY(M203,-1)</f>
        <v>46139</v>
      </c>
      <c r="M203" s="215">
        <f>WORKDAY(N203,-INDEX(N$12:N$15,MATCH($I203,$I$12:$I$15,0)))</f>
        <v>46140</v>
      </c>
      <c r="N203" s="215">
        <f>WORKDAY(O203,-1)</f>
        <v>46141</v>
      </c>
      <c r="O203" s="215">
        <f>WORKDAY(R203,-5)</f>
        <v>46142</v>
      </c>
      <c r="P203" s="216">
        <f>U203-L203</f>
        <v>23</v>
      </c>
      <c r="Q203" s="217"/>
      <c r="R203" s="215">
        <f>WORKDAY(S203,-1)</f>
        <v>46149</v>
      </c>
      <c r="S203" s="215">
        <f>WORKDAY(T203,-1)</f>
        <v>46150</v>
      </c>
      <c r="T203" s="215">
        <f>WORKDAY(U203,-7)</f>
        <v>46153</v>
      </c>
      <c r="U203" s="215">
        <f>X203-Y203</f>
        <v>46162</v>
      </c>
      <c r="V203" s="215">
        <f>WORKDAY(U203,INDEX(V$12:V$15,MATCH($I203,$I$12:$I$15,0)))</f>
        <v>46164</v>
      </c>
      <c r="W203" s="218">
        <f>Y203/7</f>
        <v>22.8571428571429</v>
      </c>
      <c r="X203" s="215">
        <f>Z203</f>
        <v>46322</v>
      </c>
      <c r="Y203" s="628">
        <f>120+40</f>
        <v>160</v>
      </c>
      <c r="Z203" s="633">
        <v>46322</v>
      </c>
      <c r="AA203" s="219"/>
      <c r="AB203" s="637">
        <f t="shared" ref="AB203" si="353">Z203-X204</f>
        <v>0</v>
      </c>
      <c r="AC203" s="246"/>
      <c r="AD203" s="247"/>
      <c r="AE203" s="247"/>
      <c r="AF203" s="247"/>
      <c r="AG203" s="247"/>
      <c r="AH203" s="247"/>
      <c r="AI203" s="247"/>
      <c r="AJ203" s="247"/>
      <c r="AK203" s="247"/>
      <c r="AL203" s="247"/>
      <c r="AM203" s="247"/>
      <c r="AP203" s="212"/>
      <c r="AQ203" s="212"/>
      <c r="AR203" s="212"/>
      <c r="AS203" s="222"/>
      <c r="AW203" s="244"/>
    </row>
    <row r="204" spans="1:49" s="168" customFormat="1" ht="18.600000000000001" customHeight="1">
      <c r="A204" s="596"/>
      <c r="B204" s="599"/>
      <c r="C204" s="601"/>
      <c r="D204" s="601"/>
      <c r="E204" s="224"/>
      <c r="F204" s="611"/>
      <c r="G204" s="601" t="str">
        <f t="shared" ref="G204" si="354">G203</f>
        <v>Y</v>
      </c>
      <c r="H204" s="224"/>
      <c r="I204" s="212" t="str">
        <f t="shared" si="343"/>
        <v>LA</v>
      </c>
      <c r="J204" s="249" t="s">
        <v>65</v>
      </c>
      <c r="K204" s="215">
        <f>K203</f>
        <v>46136</v>
      </c>
      <c r="L204" s="215">
        <f>WORKDAY(IF(K205="",K204,K205),INDEX(L$12:L$15,MATCH($I203,$I$12:$I$15,0)))</f>
        <v>46139</v>
      </c>
      <c r="M204" s="215">
        <f>WORKDAY(IF(L205="",L204,L205),1)</f>
        <v>46140</v>
      </c>
      <c r="N204" s="215">
        <f>WORKDAY(IF(M205="",M204,M205),INDEX(N$12:N$15,MATCH($I203,$I$12:$I$15,0)))</f>
        <v>46141</v>
      </c>
      <c r="O204" s="215">
        <f>WORKDAY(IF(N205="",N204,N205),1)</f>
        <v>46142</v>
      </c>
      <c r="P204" s="216"/>
      <c r="Q204" s="217"/>
      <c r="R204" s="215">
        <f>WORKDAY(IF(O205="",O204,O205),5)</f>
        <v>46149</v>
      </c>
      <c r="S204" s="215">
        <f>WORKDAY(IF(R205="",R204,R205),1)</f>
        <v>46150</v>
      </c>
      <c r="T204" s="215">
        <f>WORKDAY(IF(S205="",S204,S205),1)</f>
        <v>46153</v>
      </c>
      <c r="U204" s="215">
        <f>WORKDAY(IF(T205="",T204,T205),7)</f>
        <v>46162</v>
      </c>
      <c r="V204" s="215">
        <f>WORKDAY(IF(U205="",U204,U205),1)</f>
        <v>46163</v>
      </c>
      <c r="W204" s="218"/>
      <c r="X204" s="215">
        <f>U204+Y203</f>
        <v>46322</v>
      </c>
      <c r="Y204" s="628"/>
      <c r="Z204" s="633"/>
      <c r="AA204" s="219"/>
      <c r="AB204" s="637"/>
      <c r="AC204" s="246"/>
      <c r="AD204" s="247"/>
      <c r="AE204" s="247"/>
      <c r="AF204" s="247"/>
      <c r="AG204" s="247"/>
      <c r="AH204" s="247"/>
      <c r="AI204" s="247"/>
      <c r="AJ204" s="247"/>
      <c r="AK204" s="247"/>
      <c r="AL204" s="247"/>
      <c r="AM204" s="247"/>
      <c r="AP204" s="212"/>
      <c r="AQ204" s="212"/>
      <c r="AR204" s="212"/>
      <c r="AS204" s="222"/>
      <c r="AW204" s="244"/>
    </row>
    <row r="205" spans="1:49" s="168" customFormat="1" ht="18.600000000000001" customHeight="1">
      <c r="A205" s="596"/>
      <c r="B205" s="600"/>
      <c r="C205" s="601"/>
      <c r="D205" s="601"/>
      <c r="E205" s="225"/>
      <c r="F205" s="612"/>
      <c r="G205" s="601" t="str">
        <f t="shared" si="352"/>
        <v>Y</v>
      </c>
      <c r="H205" s="224"/>
      <c r="I205" s="212" t="str">
        <f t="shared" si="343"/>
        <v>LA</v>
      </c>
      <c r="J205" s="249" t="s">
        <v>67</v>
      </c>
      <c r="K205" s="212"/>
      <c r="L205" s="212"/>
      <c r="M205" s="212"/>
      <c r="N205" s="212"/>
      <c r="O205" s="212"/>
      <c r="P205" s="226"/>
      <c r="Q205" s="227"/>
      <c r="R205" s="212"/>
      <c r="S205" s="212"/>
      <c r="T205" s="212"/>
      <c r="U205" s="212"/>
      <c r="V205" s="212"/>
      <c r="W205" s="228"/>
      <c r="X205" s="212"/>
      <c r="Y205" s="628"/>
      <c r="Z205" s="633"/>
      <c r="AA205" s="219"/>
      <c r="AB205" s="637"/>
      <c r="AC205" s="246"/>
      <c r="AD205" s="247"/>
      <c r="AE205" s="247"/>
      <c r="AF205" s="247"/>
      <c r="AG205" s="247"/>
      <c r="AH205" s="247"/>
      <c r="AI205" s="247"/>
      <c r="AJ205" s="247"/>
      <c r="AK205" s="247"/>
      <c r="AL205" s="247"/>
      <c r="AM205" s="247"/>
      <c r="AP205" s="212"/>
      <c r="AQ205" s="212"/>
      <c r="AR205" s="212"/>
      <c r="AS205" s="222"/>
      <c r="AW205" s="244"/>
    </row>
    <row r="206" spans="1:49" s="168" customFormat="1" ht="18.600000000000001" customHeight="1">
      <c r="A206" s="596"/>
      <c r="B206" s="598"/>
      <c r="C206" s="601"/>
      <c r="D206" s="601" t="s">
        <v>257</v>
      </c>
      <c r="E206" s="213"/>
      <c r="F206" s="610" t="s">
        <v>231</v>
      </c>
      <c r="G206" s="601" t="str">
        <f>IF(_xlfn.XLOOKUP(C206,'[35]Before Award'!D:D,'[35]Before Award'!AV:AV,"N/A")="N/A","N","Y")</f>
        <v>Y</v>
      </c>
      <c r="H206" s="224"/>
      <c r="I206" s="212" t="str">
        <f t="shared" si="343"/>
        <v>LA</v>
      </c>
      <c r="J206" s="249" t="s">
        <v>61</v>
      </c>
      <c r="K206" s="215">
        <f>WORKDAY(L206,-INDEX(L$12:L$15,MATCH($I206,$I$12:$I$15,0)))</f>
        <v>46281</v>
      </c>
      <c r="L206" s="215">
        <f>WORKDAY(M206,-1)</f>
        <v>46282</v>
      </c>
      <c r="M206" s="215">
        <f>WORKDAY(N206,-INDEX(N$12:N$15,MATCH($I206,$I$12:$I$15,0)))</f>
        <v>46283</v>
      </c>
      <c r="N206" s="215">
        <f>WORKDAY(O206,-1)</f>
        <v>46286</v>
      </c>
      <c r="O206" s="215">
        <f>WORKDAY(R206,-5)</f>
        <v>46287</v>
      </c>
      <c r="P206" s="216">
        <f>U206-L206</f>
        <v>25</v>
      </c>
      <c r="Q206" s="217"/>
      <c r="R206" s="215">
        <f>WORKDAY(S206,-1)</f>
        <v>46294</v>
      </c>
      <c r="S206" s="215">
        <f>WORKDAY(T206,-1)</f>
        <v>46295</v>
      </c>
      <c r="T206" s="215">
        <f>WORKDAY(U206,-7)</f>
        <v>46296</v>
      </c>
      <c r="U206" s="215">
        <f>X206-Y206</f>
        <v>46307</v>
      </c>
      <c r="V206" s="215">
        <f>WORKDAY(U206,INDEX(V$12:V$15,MATCH($I206,$I$12:$I$15,0)))</f>
        <v>46309</v>
      </c>
      <c r="W206" s="218">
        <f>Y206/7</f>
        <v>17.1428571428571</v>
      </c>
      <c r="X206" s="215">
        <f>Z206</f>
        <v>46427</v>
      </c>
      <c r="Y206" s="628">
        <v>120</v>
      </c>
      <c r="Z206" s="634">
        <v>46427</v>
      </c>
      <c r="AA206" s="219"/>
      <c r="AB206" s="637">
        <f t="shared" ref="AB206" si="355">Z206-X207</f>
        <v>0</v>
      </c>
      <c r="AC206" s="246"/>
      <c r="AD206" s="247"/>
      <c r="AE206" s="247"/>
      <c r="AF206" s="247"/>
      <c r="AG206" s="247"/>
      <c r="AH206" s="247"/>
      <c r="AI206" s="247"/>
      <c r="AJ206" s="247"/>
      <c r="AK206" s="247"/>
      <c r="AL206" s="247"/>
      <c r="AM206" s="247"/>
      <c r="AP206" s="212"/>
      <c r="AQ206" s="212"/>
      <c r="AR206" s="212"/>
      <c r="AS206" s="222"/>
      <c r="AW206" s="244"/>
    </row>
    <row r="207" spans="1:49" s="168" customFormat="1" ht="18.600000000000001" customHeight="1">
      <c r="A207" s="596"/>
      <c r="B207" s="599"/>
      <c r="C207" s="601"/>
      <c r="D207" s="601" t="s">
        <v>4792</v>
      </c>
      <c r="E207" s="224"/>
      <c r="F207" s="611"/>
      <c r="G207" s="601" t="str">
        <f t="shared" ref="G207" si="356">G206</f>
        <v>Y</v>
      </c>
      <c r="H207" s="224"/>
      <c r="I207" s="212" t="str">
        <f t="shared" si="343"/>
        <v>LA</v>
      </c>
      <c r="J207" s="249" t="s">
        <v>65</v>
      </c>
      <c r="K207" s="215">
        <f>K206</f>
        <v>46281</v>
      </c>
      <c r="L207" s="215">
        <f>WORKDAY(IF(K208="",K207,K208),INDEX(L$12:L$15,MATCH($I206,$I$12:$I$15,0)))</f>
        <v>46282</v>
      </c>
      <c r="M207" s="215">
        <f>WORKDAY(IF(L208="",L207,L208),1)</f>
        <v>46283</v>
      </c>
      <c r="N207" s="215">
        <f>WORKDAY(IF(M208="",M207,M208),INDEX(N$12:N$15,MATCH($I206,$I$12:$I$15,0)))</f>
        <v>46286</v>
      </c>
      <c r="O207" s="215">
        <f>WORKDAY(IF(N208="",N207,N208),1)</f>
        <v>46287</v>
      </c>
      <c r="P207" s="216"/>
      <c r="Q207" s="217"/>
      <c r="R207" s="215">
        <f>WORKDAY(IF(O208="",O207,O208),5)</f>
        <v>46294</v>
      </c>
      <c r="S207" s="215">
        <f>WORKDAY(IF(R208="",R207,R208),1)</f>
        <v>46295</v>
      </c>
      <c r="T207" s="215">
        <f>WORKDAY(IF(S208="",S207,S208),1)</f>
        <v>46296</v>
      </c>
      <c r="U207" s="215">
        <f>WORKDAY(IF(T208="",T207,T208),7)</f>
        <v>46307</v>
      </c>
      <c r="V207" s="215">
        <f>WORKDAY(IF(U208="",U207,U208),1)</f>
        <v>46308</v>
      </c>
      <c r="W207" s="218"/>
      <c r="X207" s="215">
        <f>U207+Y206</f>
        <v>46427</v>
      </c>
      <c r="Y207" s="628"/>
      <c r="Z207" s="635"/>
      <c r="AA207" s="219"/>
      <c r="AB207" s="637"/>
      <c r="AC207" s="246"/>
      <c r="AD207" s="247"/>
      <c r="AE207" s="247"/>
      <c r="AF207" s="247"/>
      <c r="AG207" s="247"/>
      <c r="AH207" s="247"/>
      <c r="AI207" s="247"/>
      <c r="AJ207" s="247"/>
      <c r="AK207" s="247"/>
      <c r="AL207" s="247"/>
      <c r="AM207" s="247"/>
      <c r="AP207" s="212"/>
      <c r="AQ207" s="212"/>
      <c r="AR207" s="212"/>
      <c r="AS207" s="222"/>
      <c r="AW207" s="244"/>
    </row>
    <row r="208" spans="1:49" s="168" customFormat="1" ht="18.600000000000001" customHeight="1">
      <c r="A208" s="596"/>
      <c r="B208" s="600"/>
      <c r="C208" s="601"/>
      <c r="D208" s="601" t="s">
        <v>4792</v>
      </c>
      <c r="E208" s="225"/>
      <c r="F208" s="612"/>
      <c r="G208" s="601" t="str">
        <f t="shared" si="352"/>
        <v>Y</v>
      </c>
      <c r="H208" s="224"/>
      <c r="I208" s="212" t="str">
        <f t="shared" si="343"/>
        <v>LA</v>
      </c>
      <c r="J208" s="249" t="s">
        <v>67</v>
      </c>
      <c r="K208" s="212"/>
      <c r="L208" s="212"/>
      <c r="M208" s="212"/>
      <c r="N208" s="212"/>
      <c r="O208" s="212"/>
      <c r="P208" s="226"/>
      <c r="Q208" s="227"/>
      <c r="R208" s="212"/>
      <c r="S208" s="212"/>
      <c r="T208" s="212"/>
      <c r="U208" s="212"/>
      <c r="V208" s="212"/>
      <c r="W208" s="228"/>
      <c r="X208" s="212"/>
      <c r="Y208" s="628"/>
      <c r="Z208" s="636"/>
      <c r="AA208" s="219"/>
      <c r="AB208" s="637"/>
      <c r="AC208" s="246"/>
      <c r="AD208" s="247"/>
      <c r="AE208" s="247"/>
      <c r="AF208" s="247"/>
      <c r="AG208" s="247"/>
      <c r="AH208" s="247"/>
      <c r="AI208" s="247"/>
      <c r="AJ208" s="247"/>
      <c r="AK208" s="247"/>
      <c r="AL208" s="247"/>
      <c r="AM208" s="247"/>
      <c r="AP208" s="212"/>
      <c r="AQ208" s="212"/>
      <c r="AR208" s="212"/>
      <c r="AS208" s="222"/>
      <c r="AW208" s="244"/>
    </row>
    <row r="209" spans="1:49" s="168" customFormat="1" ht="18.600000000000001" customHeight="1">
      <c r="A209" s="596"/>
      <c r="B209" s="598"/>
      <c r="C209" s="601"/>
      <c r="D209" s="601" t="s">
        <v>260</v>
      </c>
      <c r="E209" s="213"/>
      <c r="F209" s="610" t="s">
        <v>231</v>
      </c>
      <c r="G209" s="601" t="str">
        <f>IF(_xlfn.XLOOKUP(C209,'[35]Before Award'!D:D,'[35]Before Award'!AV:AV,"N/A")="N/A","N","Y")</f>
        <v>Y</v>
      </c>
      <c r="H209" s="224"/>
      <c r="I209" s="212" t="str">
        <f t="shared" si="343"/>
        <v>LA</v>
      </c>
      <c r="J209" s="249" t="s">
        <v>61</v>
      </c>
      <c r="K209" s="215">
        <f>WORKDAY(L209,-INDEX(L$12:L$15,MATCH($I209,$I$12:$I$15,0)))</f>
        <v>46297</v>
      </c>
      <c r="L209" s="215">
        <f>WORKDAY(M209,-1)</f>
        <v>46300</v>
      </c>
      <c r="M209" s="215">
        <f>WORKDAY(N209,-INDEX(N$12:N$15,MATCH($I209,$I$12:$I$15,0)))</f>
        <v>46301</v>
      </c>
      <c r="N209" s="215">
        <f>WORKDAY(O209,-1)</f>
        <v>46302</v>
      </c>
      <c r="O209" s="215">
        <f>WORKDAY(R209,-5)</f>
        <v>46303</v>
      </c>
      <c r="P209" s="216">
        <f>U209-L209</f>
        <v>23</v>
      </c>
      <c r="Q209" s="217"/>
      <c r="R209" s="215">
        <f>WORKDAY(S209,-1)</f>
        <v>46310</v>
      </c>
      <c r="S209" s="215">
        <f>WORKDAY(T209,-1)</f>
        <v>46311</v>
      </c>
      <c r="T209" s="215">
        <f>WORKDAY(U209,-7)</f>
        <v>46314</v>
      </c>
      <c r="U209" s="215">
        <f>X209-Y209</f>
        <v>46323</v>
      </c>
      <c r="V209" s="215">
        <f>WORKDAY(U209,INDEX(V$12:V$15,MATCH($I209,$I$12:$I$15,0)))</f>
        <v>46325</v>
      </c>
      <c r="W209" s="218">
        <f>Y209/7</f>
        <v>22.8571428571429</v>
      </c>
      <c r="X209" s="215">
        <f>Z209</f>
        <v>46483</v>
      </c>
      <c r="Y209" s="628">
        <f>120+40</f>
        <v>160</v>
      </c>
      <c r="Z209" s="634">
        <v>46483</v>
      </c>
      <c r="AA209" s="219"/>
      <c r="AB209" s="637">
        <f t="shared" ref="AB209" si="357">Z209-X210</f>
        <v>0</v>
      </c>
      <c r="AC209" s="246"/>
      <c r="AD209" s="247"/>
      <c r="AE209" s="247"/>
      <c r="AF209" s="247"/>
      <c r="AG209" s="247"/>
      <c r="AH209" s="247"/>
      <c r="AI209" s="247"/>
      <c r="AJ209" s="247"/>
      <c r="AK209" s="247"/>
      <c r="AL209" s="247"/>
      <c r="AM209" s="247"/>
      <c r="AP209" s="212"/>
      <c r="AQ209" s="212"/>
      <c r="AR209" s="212"/>
      <c r="AS209" s="222"/>
      <c r="AW209" s="244"/>
    </row>
    <row r="210" spans="1:49" s="168" customFormat="1" ht="18.600000000000001" customHeight="1">
      <c r="A210" s="596"/>
      <c r="B210" s="599"/>
      <c r="C210" s="601"/>
      <c r="D210" s="601"/>
      <c r="E210" s="224"/>
      <c r="F210" s="611"/>
      <c r="G210" s="601" t="str">
        <f t="shared" ref="G210" si="358">G209</f>
        <v>Y</v>
      </c>
      <c r="H210" s="224"/>
      <c r="I210" s="212" t="str">
        <f t="shared" si="343"/>
        <v>LA</v>
      </c>
      <c r="J210" s="249" t="s">
        <v>65</v>
      </c>
      <c r="K210" s="215">
        <f>K209</f>
        <v>46297</v>
      </c>
      <c r="L210" s="215">
        <f>WORKDAY(IF(K211="",K210,K211),INDEX(L$12:L$15,MATCH($I209,$I$12:$I$15,0)))</f>
        <v>46300</v>
      </c>
      <c r="M210" s="215">
        <f>WORKDAY(IF(L211="",L210,L211),1)</f>
        <v>46301</v>
      </c>
      <c r="N210" s="215">
        <f>WORKDAY(IF(M211="",M210,M211),INDEX(N$12:N$15,MATCH($I209,$I$12:$I$15,0)))</f>
        <v>46302</v>
      </c>
      <c r="O210" s="215">
        <f>WORKDAY(IF(N211="",N210,N211),1)</f>
        <v>46303</v>
      </c>
      <c r="P210" s="216"/>
      <c r="Q210" s="217"/>
      <c r="R210" s="215">
        <f>WORKDAY(IF(O211="",O210,O211),5)</f>
        <v>46310</v>
      </c>
      <c r="S210" s="215">
        <f>WORKDAY(IF(R211="",R210,R211),1)</f>
        <v>46311</v>
      </c>
      <c r="T210" s="215">
        <f>WORKDAY(IF(S211="",S210,S211),1)</f>
        <v>46314</v>
      </c>
      <c r="U210" s="215">
        <f>WORKDAY(IF(T211="",T210,T211),7)</f>
        <v>46323</v>
      </c>
      <c r="V210" s="215">
        <f>WORKDAY(IF(U211="",U210,U211),1)</f>
        <v>46324</v>
      </c>
      <c r="W210" s="218"/>
      <c r="X210" s="215">
        <f>U210+Y209</f>
        <v>46483</v>
      </c>
      <c r="Y210" s="628"/>
      <c r="Z210" s="635"/>
      <c r="AA210" s="219"/>
      <c r="AB210" s="637"/>
      <c r="AC210" s="246"/>
      <c r="AD210" s="247"/>
      <c r="AE210" s="247"/>
      <c r="AF210" s="247"/>
      <c r="AG210" s="247"/>
      <c r="AH210" s="247"/>
      <c r="AI210" s="247"/>
      <c r="AJ210" s="247"/>
      <c r="AK210" s="247"/>
      <c r="AL210" s="247"/>
      <c r="AM210" s="247"/>
      <c r="AP210" s="212"/>
      <c r="AQ210" s="212"/>
      <c r="AR210" s="212"/>
      <c r="AS210" s="222"/>
      <c r="AW210" s="244"/>
    </row>
    <row r="211" spans="1:49" s="168" customFormat="1" ht="18.600000000000001" customHeight="1">
      <c r="A211" s="596"/>
      <c r="B211" s="600"/>
      <c r="C211" s="601"/>
      <c r="D211" s="601"/>
      <c r="E211" s="225"/>
      <c r="F211" s="612"/>
      <c r="G211" s="601" t="str">
        <f t="shared" ref="G211" si="359">G209</f>
        <v>Y</v>
      </c>
      <c r="H211" s="224"/>
      <c r="I211" s="212" t="str">
        <f t="shared" si="343"/>
        <v>LA</v>
      </c>
      <c r="J211" s="249" t="s">
        <v>67</v>
      </c>
      <c r="K211" s="212"/>
      <c r="L211" s="212"/>
      <c r="M211" s="212"/>
      <c r="N211" s="212"/>
      <c r="O211" s="212"/>
      <c r="P211" s="226"/>
      <c r="Q211" s="227"/>
      <c r="R211" s="212"/>
      <c r="S211" s="212"/>
      <c r="T211" s="212"/>
      <c r="U211" s="212"/>
      <c r="V211" s="212"/>
      <c r="W211" s="228"/>
      <c r="X211" s="212"/>
      <c r="Y211" s="628"/>
      <c r="Z211" s="636"/>
      <c r="AA211" s="219"/>
      <c r="AB211" s="637"/>
      <c r="AC211" s="246"/>
      <c r="AD211" s="247"/>
      <c r="AE211" s="247"/>
      <c r="AF211" s="247"/>
      <c r="AG211" s="247"/>
      <c r="AH211" s="247"/>
      <c r="AI211" s="247"/>
      <c r="AJ211" s="247"/>
      <c r="AK211" s="247"/>
      <c r="AL211" s="247"/>
      <c r="AM211" s="247"/>
      <c r="AP211" s="212"/>
      <c r="AQ211" s="212"/>
      <c r="AR211" s="212"/>
      <c r="AS211" s="222"/>
      <c r="AW211" s="244"/>
    </row>
    <row r="212" spans="1:49" s="166" customFormat="1" ht="18" customHeight="1">
      <c r="A212" s="596"/>
      <c r="B212" s="598"/>
      <c r="C212" s="601"/>
      <c r="D212" s="601" t="s">
        <v>262</v>
      </c>
      <c r="E212" s="212"/>
      <c r="F212" s="601" t="s">
        <v>83</v>
      </c>
      <c r="G212" s="601" t="s">
        <v>71</v>
      </c>
      <c r="H212" s="606"/>
      <c r="I212" s="212" t="s">
        <v>6</v>
      </c>
      <c r="J212" s="249" t="s">
        <v>61</v>
      </c>
      <c r="K212" s="215">
        <f>WORKDAY(L212,-INDEX(L$12:L$15,MATCH($I212,$I$12:$I$15,0)))</f>
        <v>46030</v>
      </c>
      <c r="L212" s="215">
        <f>WORKDAY(M212,-INDEX(M$12:M$15,MATCH($I212,$I$12:$I$15,0)))</f>
        <v>46031</v>
      </c>
      <c r="M212" s="215">
        <f>WORKDAY(N212,-INDEX(N$12:N$15,MATCH($I212,$I$12:$I$15,0)))</f>
        <v>46038</v>
      </c>
      <c r="N212" s="215">
        <f>WORKDAY(O212,-INDEX(O$12:O$15,MATCH($I212,$I$12:$I$15,0)))</f>
        <v>46041</v>
      </c>
      <c r="O212" s="215">
        <f>WORKDAY(R212,-INDEX(R$12:R$15,MATCH($I212,$I$12:$I$15,0)))</f>
        <v>46048</v>
      </c>
      <c r="P212" s="216">
        <f>U212-L212</f>
        <v>76</v>
      </c>
      <c r="Q212" s="217"/>
      <c r="R212" s="215">
        <f>WORKDAY(S212,-INDEX(S$12:S$15,MATCH($I212,$I$12:$I$15,0)))</f>
        <v>46062</v>
      </c>
      <c r="S212" s="215">
        <f>WORKDAY(T212,-INDEX(T$12:T$15,MATCH($I212,$I$12:$I$15,0)))</f>
        <v>46090</v>
      </c>
      <c r="T212" s="215">
        <f>WORKDAY(U212,-INDEX(U$12:U$15,MATCH($I212,$I$12:$I$15,0)))</f>
        <v>46093</v>
      </c>
      <c r="U212" s="215">
        <f>X212-Y212</f>
        <v>46107</v>
      </c>
      <c r="V212" s="215">
        <f>WORKDAY(U212,INDEX(V$12:V$15,MATCH($I212,$I$12:$I$15,0)))</f>
        <v>46111</v>
      </c>
      <c r="W212" s="218">
        <f>Y212/7</f>
        <v>24</v>
      </c>
      <c r="X212" s="215">
        <f>Z212</f>
        <v>46275</v>
      </c>
      <c r="Y212" s="628">
        <v>168</v>
      </c>
      <c r="Z212" s="633">
        <v>46275</v>
      </c>
      <c r="AA212" s="633">
        <v>46538</v>
      </c>
      <c r="AB212" s="637">
        <f t="shared" ref="AB212" si="360">Z212-X213</f>
        <v>2</v>
      </c>
      <c r="AC212" s="220">
        <f>IF(ISERROR(LOOKUP(AC$16,$L212:$X212,#REF!)),0,(LOOKUP(AC$16,$L212:$X212,#REF!)))</f>
        <v>0</v>
      </c>
      <c r="AD212" s="221">
        <f>IF(ISERROR(LOOKUP(AD$16,$L212:$X212,#REF!)),0,(LOOKUP(AD$16,$L212:$X212,#REF!)))</f>
        <v>0</v>
      </c>
      <c r="AE212" s="221">
        <f>IF(ISERROR(LOOKUP(AE$16,$L212:$X212,#REF!)),0,(LOOKUP(AE$16,$L212:$X212,#REF!)))</f>
        <v>0</v>
      </c>
      <c r="AF212" s="221">
        <f>IF(ISERROR(LOOKUP(AF$16,$L212:$X212,#REF!)),0,(LOOKUP(AF$16,$L212:$X212,#REF!)))</f>
        <v>0</v>
      </c>
      <c r="AG212" s="221">
        <f>IF(ISERROR(LOOKUP(AG$16,$L212:$X212,#REF!)),0,(LOOKUP(AG$16,$L212:$X212,#REF!)))</f>
        <v>0</v>
      </c>
      <c r="AH212" s="221">
        <f>IF(ISERROR(LOOKUP(AH$16,$L212:$X212,#REF!)),0,(LOOKUP(AH$16,$L212:$X212,#REF!)))</f>
        <v>0</v>
      </c>
      <c r="AI212" s="221">
        <f>IF(ISERROR(LOOKUP(AI$16,$L212:$X212,#REF!)),0,(LOOKUP(AI$16,$L212:$X212,#REF!)))</f>
        <v>0</v>
      </c>
      <c r="AJ212" s="221">
        <f>IF(ISERROR(LOOKUP(AJ$16,$L212:$X212,#REF!)),0,(LOOKUP(AJ$16,$L212:$X212,#REF!)))</f>
        <v>0</v>
      </c>
      <c r="AK212" s="221">
        <f>IF(ISERROR(LOOKUP(AK$16,$L212:$X212,#REF!)),0,(LOOKUP(AK$16,$L212:$X212,#REF!)))</f>
        <v>0</v>
      </c>
      <c r="AL212" s="221">
        <f>IF(ISERROR(LOOKUP(AL$16,$L212:$X212,#REF!)),0,(LOOKUP(AL$16,$L212:$X212,#REF!)))</f>
        <v>0</v>
      </c>
      <c r="AM212" s="221">
        <f ca="1">IF(ISERROR(LOOKUP(AM$16,$L212:$X212,#REF!)),0,(LOOKUP(AM$16,$L212:$X212,#REF!)))</f>
        <v>0</v>
      </c>
      <c r="AP212" s="215" t="e">
        <f>WORKDAY(AQ212,-INDEX(AQ$12:AQ$15,MATCH($I212,$I$12:$I$15,0)),$AW$17:$AW$148)</f>
        <v>#REF!</v>
      </c>
      <c r="AQ212" s="215" t="e">
        <f>WORKDAY(U212,-INDEX(U$12:U$15,MATCH($I212,$I$12:$I$15,0)),$AW$17:$AW$148)</f>
        <v>#REF!</v>
      </c>
      <c r="AR212" s="215" t="e">
        <f>WORKDAY(U212,-INDEX(U$12:U$15,MATCH($I212,$I$12:$I$15,0)),$AW$17:$AW$148)</f>
        <v>#REF!</v>
      </c>
      <c r="AS212" s="638">
        <v>7</v>
      </c>
      <c r="AW212" s="223"/>
    </row>
    <row r="213" spans="1:49" s="166" customFormat="1" ht="18" customHeight="1">
      <c r="A213" s="596"/>
      <c r="B213" s="599"/>
      <c r="C213" s="601"/>
      <c r="D213" s="601"/>
      <c r="E213" s="212"/>
      <c r="F213" s="601" t="str">
        <f t="shared" ref="F213:G213" si="361">F212</f>
        <v>Piping</v>
      </c>
      <c r="G213" s="601" t="str">
        <f t="shared" si="361"/>
        <v>N</v>
      </c>
      <c r="H213" s="607"/>
      <c r="I213" s="212" t="str">
        <f t="shared" ref="I213" si="362">I212</f>
        <v>LA</v>
      </c>
      <c r="J213" s="249" t="s">
        <v>65</v>
      </c>
      <c r="K213" s="215">
        <f>K212</f>
        <v>46030</v>
      </c>
      <c r="L213" s="215">
        <f>WORKDAY(IF(K214="",K213,K214),INDEX(L$12:L$15,MATCH($I212,$I$12:$I$15,0)))</f>
        <v>46031</v>
      </c>
      <c r="M213" s="215">
        <f>WORKDAY(IF(L214="",L213,L214),INDEX(M$12:M$15,MATCH($I212,$I$12:$I$15,0)))</f>
        <v>46038</v>
      </c>
      <c r="N213" s="215">
        <f>WORKDAY(IF(M214="",M213,M214),INDEX(N$12:N$15,MATCH($I212,$I$12:$I$15,0)))</f>
        <v>46041</v>
      </c>
      <c r="O213" s="215">
        <f>WORKDAY(IF(N214="",N213,N214),INDEX(O$12:O$15,MATCH($I212,$I$12:$I$15,0)))</f>
        <v>46048</v>
      </c>
      <c r="P213" s="216"/>
      <c r="Q213" s="217"/>
      <c r="R213" s="215">
        <f>WORKDAY(IF(O214="",O213,O214),INDEX(R$12:R$15,MATCH($I212,$I$12:$I$15,0)))</f>
        <v>46062</v>
      </c>
      <c r="S213" s="215">
        <f>WORKDAY(IF(R214="",R213,R214),INDEX(S$12:S$15,MATCH($I212,$I$12:$I$15,0)))</f>
        <v>46090</v>
      </c>
      <c r="T213" s="215">
        <f>WORKDAY(IF(S214="",S213,S214),INDEX(T$12:T$15,MATCH($I212,$I$12:$I$15,0)))</f>
        <v>46093</v>
      </c>
      <c r="U213" s="215">
        <f>WORKDAY(IF(T214="",T213,T214),INDEX(U$12:U$15,MATCH($I212,$I$12:$I$15,0)))-2</f>
        <v>46105</v>
      </c>
      <c r="V213" s="215">
        <f>WORKDAY(IF(U214="",U213,U214),INDEX(V$12:V$15,MATCH($I212,$I$12:$I$15,0)))</f>
        <v>46107</v>
      </c>
      <c r="W213" s="218"/>
      <c r="X213" s="215">
        <f>U213+Y212</f>
        <v>46273</v>
      </c>
      <c r="Y213" s="628"/>
      <c r="Z213" s="633"/>
      <c r="AA213" s="633"/>
      <c r="AB213" s="637"/>
      <c r="AC213" s="220">
        <f>IF(ISERROR(LOOKUP(AC$16,$L213:$X213,#REF!)),0,(LOOKUP(AC$16,$L213:$X213,#REF!)))</f>
        <v>0</v>
      </c>
      <c r="AD213" s="221">
        <f>IF(ISERROR(LOOKUP(AD$16,$L213:$X213,#REF!)),0,(LOOKUP(AD$16,$L213:$X213,#REF!)))</f>
        <v>0</v>
      </c>
      <c r="AE213" s="221">
        <f>IF(ISERROR(LOOKUP(AE$16,$L213:$X213,#REF!)),0,(LOOKUP(AE$16,$L213:$X213,#REF!)))</f>
        <v>0</v>
      </c>
      <c r="AF213" s="221">
        <f>IF(ISERROR(LOOKUP(AF$16,$L213:$X213,#REF!)),0,(LOOKUP(AF$16,$L213:$X213,#REF!)))</f>
        <v>0</v>
      </c>
      <c r="AG213" s="221">
        <f>IF(ISERROR(LOOKUP(AG$16,$L213:$X213,#REF!)),0,(LOOKUP(AG$16,$L213:$X213,#REF!)))</f>
        <v>0</v>
      </c>
      <c r="AH213" s="221">
        <f>IF(ISERROR(LOOKUP(AH$16,$L213:$X213,#REF!)),0,(LOOKUP(AH$16,$L213:$X213,#REF!)))</f>
        <v>0</v>
      </c>
      <c r="AI213" s="221">
        <f>IF(ISERROR(LOOKUP(AI$16,$L213:$X213,#REF!)),0,(LOOKUP(AI$16,$L213:$X213,#REF!)))</f>
        <v>0</v>
      </c>
      <c r="AJ213" s="221">
        <f>IF(ISERROR(LOOKUP(AJ$16,$L213:$X213,#REF!)),0,(LOOKUP(AJ$16,$L213:$X213,#REF!)))</f>
        <v>0</v>
      </c>
      <c r="AK213" s="221">
        <f>IF(ISERROR(LOOKUP(AK$16,$L213:$X213,#REF!)),0,(LOOKUP(AK$16,$L213:$X213,#REF!)))</f>
        <v>0</v>
      </c>
      <c r="AL213" s="221">
        <f>IF(ISERROR(LOOKUP(AL$16,$L213:$X213,#REF!)),0,(LOOKUP(AL$16,$L213:$X213,#REF!)))</f>
        <v>0</v>
      </c>
      <c r="AM213" s="221">
        <f ca="1">IF(ISERROR(LOOKUP(AM$16,$L213:$X213,#REF!)),0,(LOOKUP(AM$16,$L213:$X213,#REF!)))</f>
        <v>0</v>
      </c>
      <c r="AP213" s="215" t="e">
        <f>WORKDAY(IF(T214="",T213,T214),INDEX(AP$12:AP$15,MATCH($I212,$I$12:$I$15,0)),$AW$17:$AW$148)</f>
        <v>#REF!</v>
      </c>
      <c r="AQ213" s="215" t="e">
        <f>WORKDAY(IF(AP214="",AP213,AP214),INDEX(AQ$12:AQ$15,MATCH($I212,$I$12:$I$15,0)),$AW$17:$AW$148)</f>
        <v>#REF!</v>
      </c>
      <c r="AR213" s="215" t="e">
        <f>WORKDAY(IF(AQ214="",AQ213,AQ214),INDEX(AR$12:AR$15,MATCH($I212,$I$12:$I$15,0)),$AW$17:$AW$148)</f>
        <v>#REF!</v>
      </c>
      <c r="AS213" s="638"/>
      <c r="AW213" s="223"/>
    </row>
    <row r="214" spans="1:49" s="166" customFormat="1" ht="18" customHeight="1">
      <c r="A214" s="596"/>
      <c r="B214" s="600"/>
      <c r="C214" s="601"/>
      <c r="D214" s="601"/>
      <c r="E214" s="212"/>
      <c r="F214" s="601" t="str">
        <f t="shared" ref="F214:G214" si="363">F212</f>
        <v>Piping</v>
      </c>
      <c r="G214" s="601" t="str">
        <f t="shared" si="363"/>
        <v>N</v>
      </c>
      <c r="H214" s="608"/>
      <c r="I214" s="212" t="str">
        <f t="shared" ref="I214" si="364">I212</f>
        <v>LA</v>
      </c>
      <c r="J214" s="249" t="s">
        <v>67</v>
      </c>
      <c r="K214" s="212"/>
      <c r="L214" s="212"/>
      <c r="M214" s="212"/>
      <c r="N214" s="212"/>
      <c r="O214" s="212"/>
      <c r="P214" s="226"/>
      <c r="Q214" s="227"/>
      <c r="R214" s="212"/>
      <c r="S214" s="212"/>
      <c r="T214" s="212"/>
      <c r="U214" s="212"/>
      <c r="V214" s="212"/>
      <c r="W214" s="228"/>
      <c r="X214" s="212"/>
      <c r="Y214" s="628"/>
      <c r="Z214" s="633"/>
      <c r="AA214" s="633"/>
      <c r="AB214" s="637"/>
      <c r="AC214" s="229">
        <f>IF(ISERROR(LOOKUP(AC$16,$L214:$X214,#REF!)),0,(LOOKUP(AC$16,$L214:$X214,#REF!)))</f>
        <v>0</v>
      </c>
      <c r="AD214" s="230">
        <f>IF(ISERROR(LOOKUP(AD$16,$L214:$X214,#REF!)),0,(LOOKUP(AD$16,$L214:$X214,#REF!)))</f>
        <v>0</v>
      </c>
      <c r="AE214" s="230">
        <f>IF(ISERROR(LOOKUP(AE$16,$L214:$X214,#REF!)),0,(LOOKUP(AE$16,$L214:$X214,#REF!)))</f>
        <v>0</v>
      </c>
      <c r="AF214" s="230">
        <f>IF(ISERROR(LOOKUP(AF$16,$L214:$X214,#REF!)),0,(LOOKUP(AF$16,$L214:$X214,#REF!)))</f>
        <v>0</v>
      </c>
      <c r="AG214" s="230">
        <f>IF(ISERROR(LOOKUP(AG$16,$L214:$X214,#REF!)),0,(LOOKUP(AG$16,$L214:$X214,#REF!)))</f>
        <v>0</v>
      </c>
      <c r="AH214" s="230">
        <f>IF(ISERROR(LOOKUP(AH$16,$L214:$X214,#REF!)),0,(LOOKUP(AH$16,$L214:$X214,#REF!)))</f>
        <v>0</v>
      </c>
      <c r="AI214" s="230">
        <f>IF(ISERROR(LOOKUP(AI$16,$L214:$X214,#REF!)),0,(LOOKUP(AI$16,$L214:$X214,#REF!)))</f>
        <v>0</v>
      </c>
      <c r="AJ214" s="230">
        <f>IF(ISERROR(LOOKUP(AJ$16,$L214:$X214,#REF!)),0,(LOOKUP(AJ$16,$L214:$X214,#REF!)))</f>
        <v>0</v>
      </c>
      <c r="AK214" s="230">
        <f>IF(ISERROR(LOOKUP(AK$16,$L214:$X214,#REF!)),0,(LOOKUP(AK$16,$L214:$X214,#REF!)))</f>
        <v>0</v>
      </c>
      <c r="AL214" s="230">
        <f>IF(ISERROR(LOOKUP(AL$16,$L214:$X214,#REF!)),0,(LOOKUP(AL$16,$L214:$X214,#REF!)))</f>
        <v>0</v>
      </c>
      <c r="AM214" s="230">
        <f ca="1">IF(ISERROR(LOOKUP(AM$16,$L214:$X214,#REF!)),0,(LOOKUP(AM$16,$L214:$X214,#REF!)))</f>
        <v>0</v>
      </c>
      <c r="AP214" s="248"/>
      <c r="AQ214" s="248"/>
      <c r="AR214" s="248"/>
      <c r="AS214" s="638"/>
      <c r="AW214" s="223"/>
    </row>
    <row r="215" spans="1:49" s="166" customFormat="1" ht="18" customHeight="1">
      <c r="A215" s="596"/>
      <c r="B215" s="598"/>
      <c r="C215" s="601"/>
      <c r="D215" s="601" t="s">
        <v>4801</v>
      </c>
      <c r="E215" s="212"/>
      <c r="F215" s="601" t="s">
        <v>83</v>
      </c>
      <c r="G215" s="601" t="s">
        <v>71</v>
      </c>
      <c r="H215" s="606"/>
      <c r="I215" s="212" t="s">
        <v>6</v>
      </c>
      <c r="J215" s="249" t="s">
        <v>61</v>
      </c>
      <c r="K215" s="215">
        <f>WORKDAY(L215,-INDEX(L$12:L$15,MATCH($I215,$I$12:$I$15,0)))</f>
        <v>46139</v>
      </c>
      <c r="L215" s="215">
        <f>WORKDAY(M215,-INDEX(M$12:M$15,MATCH($I215,$I$12:$I$15,0)))</f>
        <v>46140</v>
      </c>
      <c r="M215" s="215">
        <f>WORKDAY(N215,-INDEX(N$12:N$15,MATCH($I215,$I$12:$I$15,0)))</f>
        <v>46147</v>
      </c>
      <c r="N215" s="215">
        <f>WORKDAY(O215,-INDEX(O$12:O$15,MATCH($I215,$I$12:$I$15,0)))</f>
        <v>46148</v>
      </c>
      <c r="O215" s="215">
        <f>WORKDAY(R215,-INDEX(R$12:R$15,MATCH($I215,$I$12:$I$15,0)))</f>
        <v>46155</v>
      </c>
      <c r="P215" s="216">
        <f>U215-L215</f>
        <v>74</v>
      </c>
      <c r="Q215" s="217"/>
      <c r="R215" s="215">
        <f>WORKDAY(S215,-INDEX(S$12:S$15,MATCH($I215,$I$12:$I$15,0)))</f>
        <v>46169</v>
      </c>
      <c r="S215" s="215">
        <f>WORKDAY(T215,-INDEX(T$12:T$15,MATCH($I215,$I$12:$I$15,0)))</f>
        <v>46197</v>
      </c>
      <c r="T215" s="215">
        <f>WORKDAY(U215,-INDEX(U$12:U$15,MATCH($I215,$I$12:$I$15,0)))</f>
        <v>46202</v>
      </c>
      <c r="U215" s="215">
        <f>X215-Y215</f>
        <v>46214</v>
      </c>
      <c r="V215" s="215">
        <f>WORKDAY(U215,INDEX(V$12:V$15,MATCH($I215,$I$12:$I$15,0)))</f>
        <v>46217</v>
      </c>
      <c r="W215" s="218">
        <f>Y215/7</f>
        <v>24</v>
      </c>
      <c r="X215" s="215">
        <f>Z215</f>
        <v>46382</v>
      </c>
      <c r="Y215" s="628">
        <v>168</v>
      </c>
      <c r="Z215" s="633">
        <v>46382</v>
      </c>
      <c r="AA215" s="633">
        <v>46538</v>
      </c>
      <c r="AB215" s="637">
        <f t="shared" ref="AB215" si="365">Z215-X216</f>
        <v>0</v>
      </c>
      <c r="AC215" s="220">
        <f>IF(ISERROR(LOOKUP(AC$16,$L215:$X215,#REF!)),0,(LOOKUP(AC$16,$L215:$X215,#REF!)))</f>
        <v>0</v>
      </c>
      <c r="AD215" s="221">
        <f>IF(ISERROR(LOOKUP(AD$16,$L215:$X215,#REF!)),0,(LOOKUP(AD$16,$L215:$X215,#REF!)))</f>
        <v>0</v>
      </c>
      <c r="AE215" s="221">
        <f>IF(ISERROR(LOOKUP(AE$16,$L215:$X215,#REF!)),0,(LOOKUP(AE$16,$L215:$X215,#REF!)))</f>
        <v>0</v>
      </c>
      <c r="AF215" s="221">
        <f>IF(ISERROR(LOOKUP(AF$16,$L215:$X215,#REF!)),0,(LOOKUP(AF$16,$L215:$X215,#REF!)))</f>
        <v>0</v>
      </c>
      <c r="AG215" s="221">
        <f>IF(ISERROR(LOOKUP(AG$16,$L215:$X215,#REF!)),0,(LOOKUP(AG$16,$L215:$X215,#REF!)))</f>
        <v>0</v>
      </c>
      <c r="AH215" s="221">
        <f>IF(ISERROR(LOOKUP(AH$16,$L215:$X215,#REF!)),0,(LOOKUP(AH$16,$L215:$X215,#REF!)))</f>
        <v>0</v>
      </c>
      <c r="AI215" s="221">
        <f>IF(ISERROR(LOOKUP(AI$16,$L215:$X215,#REF!)),0,(LOOKUP(AI$16,$L215:$X215,#REF!)))</f>
        <v>0</v>
      </c>
      <c r="AJ215" s="221">
        <f>IF(ISERROR(LOOKUP(AJ$16,$L215:$X215,#REF!)),0,(LOOKUP(AJ$16,$L215:$X215,#REF!)))</f>
        <v>0</v>
      </c>
      <c r="AK215" s="221">
        <f>IF(ISERROR(LOOKUP(AK$16,$L215:$X215,#REF!)),0,(LOOKUP(AK$16,$L215:$X215,#REF!)))</f>
        <v>0</v>
      </c>
      <c r="AL215" s="221">
        <f>IF(ISERROR(LOOKUP(AL$16,$L215:$X215,#REF!)),0,(LOOKUP(AL$16,$L215:$X215,#REF!)))</f>
        <v>0</v>
      </c>
      <c r="AM215" s="221">
        <f ca="1">IF(ISERROR(LOOKUP(AM$16,$L215:$X215,#REF!)),0,(LOOKUP(AM$16,$L215:$X215,#REF!)))</f>
        <v>0</v>
      </c>
      <c r="AP215" s="215" t="e">
        <f>WORKDAY(AQ215,-INDEX(AQ$12:AQ$15,MATCH($I215,$I$12:$I$15,0)),$AW$17:$AW$148)</f>
        <v>#REF!</v>
      </c>
      <c r="AQ215" s="215" t="e">
        <f>WORKDAY(U215,-INDEX(U$12:U$15,MATCH($I215,$I$12:$I$15,0)),$AW$17:$AW$148)</f>
        <v>#REF!</v>
      </c>
      <c r="AR215" s="215" t="e">
        <f>WORKDAY(U215,-INDEX(U$12:U$15,MATCH($I215,$I$12:$I$15,0)),$AW$17:$AW$148)</f>
        <v>#REF!</v>
      </c>
      <c r="AS215" s="638">
        <v>7</v>
      </c>
      <c r="AW215" s="223"/>
    </row>
    <row r="216" spans="1:49" s="166" customFormat="1" ht="18" customHeight="1">
      <c r="A216" s="596"/>
      <c r="B216" s="599"/>
      <c r="C216" s="601"/>
      <c r="D216" s="601" t="s">
        <v>4801</v>
      </c>
      <c r="E216" s="212"/>
      <c r="F216" s="601" t="str">
        <f t="shared" ref="F216:G216" si="366">F215</f>
        <v>Piping</v>
      </c>
      <c r="G216" s="601" t="str">
        <f t="shared" si="366"/>
        <v>N</v>
      </c>
      <c r="H216" s="607"/>
      <c r="I216" s="212" t="str">
        <f t="shared" ref="I216" si="367">I215</f>
        <v>LA</v>
      </c>
      <c r="J216" s="249" t="s">
        <v>65</v>
      </c>
      <c r="K216" s="215">
        <f>K215</f>
        <v>46139</v>
      </c>
      <c r="L216" s="215">
        <f>WORKDAY(IF(K217="",K216,K217),INDEX(L$12:L$15,MATCH($I215,$I$12:$I$15,0)))</f>
        <v>46140</v>
      </c>
      <c r="M216" s="215">
        <f>WORKDAY(IF(L217="",L216,L217),INDEX(M$12:M$15,MATCH($I215,$I$12:$I$15,0)))</f>
        <v>46147</v>
      </c>
      <c r="N216" s="215">
        <f>WORKDAY(IF(M217="",M216,M217),INDEX(N$12:N$15,MATCH($I215,$I$12:$I$15,0)))</f>
        <v>46148</v>
      </c>
      <c r="O216" s="215">
        <f>WORKDAY(IF(N217="",N216,N217),INDEX(O$12:O$15,MATCH($I215,$I$12:$I$15,0)))</f>
        <v>46155</v>
      </c>
      <c r="P216" s="216"/>
      <c r="Q216" s="217"/>
      <c r="R216" s="215">
        <f>WORKDAY(IF(O217="",O216,O217),INDEX(R$12:R$15,MATCH($I215,$I$12:$I$15,0)))</f>
        <v>46169</v>
      </c>
      <c r="S216" s="215">
        <f>WORKDAY(IF(R217="",R216,R217),INDEX(S$12:S$15,MATCH($I215,$I$12:$I$15,0)))</f>
        <v>46197</v>
      </c>
      <c r="T216" s="215">
        <f>WORKDAY(IF(S217="",S216,S217),INDEX(T$12:T$15,MATCH($I215,$I$12:$I$15,0)))</f>
        <v>46202</v>
      </c>
      <c r="U216" s="215">
        <f>WORKDAY(IF(T217="",T216,T217),INDEX(U$12:U$15,MATCH($I215,$I$12:$I$15,0)))-2</f>
        <v>46214</v>
      </c>
      <c r="V216" s="215">
        <f>WORKDAY(IF(U217="",U216,U217),INDEX(V$12:V$15,MATCH($I215,$I$12:$I$15,0)))</f>
        <v>46217</v>
      </c>
      <c r="W216" s="218"/>
      <c r="X216" s="215">
        <f>U216+Y215</f>
        <v>46382</v>
      </c>
      <c r="Y216" s="628"/>
      <c r="Z216" s="633"/>
      <c r="AA216" s="633"/>
      <c r="AB216" s="637"/>
      <c r="AC216" s="220">
        <f>IF(ISERROR(LOOKUP(AC$16,$L216:$X216,#REF!)),0,(LOOKUP(AC$16,$L216:$X216,#REF!)))</f>
        <v>0</v>
      </c>
      <c r="AD216" s="221">
        <f>IF(ISERROR(LOOKUP(AD$16,$L216:$X216,#REF!)),0,(LOOKUP(AD$16,$L216:$X216,#REF!)))</f>
        <v>0</v>
      </c>
      <c r="AE216" s="221">
        <f>IF(ISERROR(LOOKUP(AE$16,$L216:$X216,#REF!)),0,(LOOKUP(AE$16,$L216:$X216,#REF!)))</f>
        <v>0</v>
      </c>
      <c r="AF216" s="221">
        <f>IF(ISERROR(LOOKUP(AF$16,$L216:$X216,#REF!)),0,(LOOKUP(AF$16,$L216:$X216,#REF!)))</f>
        <v>0</v>
      </c>
      <c r="AG216" s="221">
        <f>IF(ISERROR(LOOKUP(AG$16,$L216:$X216,#REF!)),0,(LOOKUP(AG$16,$L216:$X216,#REF!)))</f>
        <v>0</v>
      </c>
      <c r="AH216" s="221">
        <f>IF(ISERROR(LOOKUP(AH$16,$L216:$X216,#REF!)),0,(LOOKUP(AH$16,$L216:$X216,#REF!)))</f>
        <v>0</v>
      </c>
      <c r="AI216" s="221">
        <f>IF(ISERROR(LOOKUP(AI$16,$L216:$X216,#REF!)),0,(LOOKUP(AI$16,$L216:$X216,#REF!)))</f>
        <v>0</v>
      </c>
      <c r="AJ216" s="221">
        <f>IF(ISERROR(LOOKUP(AJ$16,$L216:$X216,#REF!)),0,(LOOKUP(AJ$16,$L216:$X216,#REF!)))</f>
        <v>0</v>
      </c>
      <c r="AK216" s="221">
        <f>IF(ISERROR(LOOKUP(AK$16,$L216:$X216,#REF!)),0,(LOOKUP(AK$16,$L216:$X216,#REF!)))</f>
        <v>0</v>
      </c>
      <c r="AL216" s="221">
        <f>IF(ISERROR(LOOKUP(AL$16,$L216:$X216,#REF!)),0,(LOOKUP(AL$16,$L216:$X216,#REF!)))</f>
        <v>0</v>
      </c>
      <c r="AM216" s="221">
        <f ca="1">IF(ISERROR(LOOKUP(AM$16,$L216:$X216,#REF!)),0,(LOOKUP(AM$16,$L216:$X216,#REF!)))</f>
        <v>0</v>
      </c>
      <c r="AP216" s="215" t="e">
        <f>WORKDAY(IF(T217="",T216,T217),INDEX(AP$12:AP$15,MATCH($I215,$I$12:$I$15,0)),$AW$17:$AW$148)</f>
        <v>#REF!</v>
      </c>
      <c r="AQ216" s="215" t="e">
        <f>WORKDAY(IF(AP217="",AP216,AP217),INDEX(AQ$12:AQ$15,MATCH($I215,$I$12:$I$15,0)),$AW$17:$AW$148)</f>
        <v>#REF!</v>
      </c>
      <c r="AR216" s="215" t="e">
        <f>WORKDAY(IF(AQ217="",AQ216,AQ217),INDEX(AR$12:AR$15,MATCH($I215,$I$12:$I$15,0)),$AW$17:$AW$148)</f>
        <v>#REF!</v>
      </c>
      <c r="AS216" s="638"/>
      <c r="AW216" s="223"/>
    </row>
    <row r="217" spans="1:49" s="166" customFormat="1" ht="18" customHeight="1">
      <c r="A217" s="596"/>
      <c r="B217" s="600"/>
      <c r="C217" s="601"/>
      <c r="D217" s="601" t="s">
        <v>4801</v>
      </c>
      <c r="E217" s="212"/>
      <c r="F217" s="601" t="str">
        <f t="shared" ref="F217:G217" si="368">F215</f>
        <v>Piping</v>
      </c>
      <c r="G217" s="601" t="str">
        <f t="shared" si="368"/>
        <v>N</v>
      </c>
      <c r="H217" s="608"/>
      <c r="I217" s="212" t="str">
        <f t="shared" ref="I217" si="369">I215</f>
        <v>LA</v>
      </c>
      <c r="J217" s="249" t="s">
        <v>67</v>
      </c>
      <c r="K217" s="212"/>
      <c r="L217" s="212"/>
      <c r="M217" s="212"/>
      <c r="N217" s="212"/>
      <c r="O217" s="212"/>
      <c r="P217" s="226"/>
      <c r="Q217" s="227"/>
      <c r="R217" s="212"/>
      <c r="S217" s="212"/>
      <c r="T217" s="212"/>
      <c r="U217" s="212"/>
      <c r="V217" s="212"/>
      <c r="W217" s="228"/>
      <c r="X217" s="212"/>
      <c r="Y217" s="628"/>
      <c r="Z217" s="633"/>
      <c r="AA217" s="633"/>
      <c r="AB217" s="637"/>
      <c r="AC217" s="229">
        <f>IF(ISERROR(LOOKUP(AC$16,$L217:$X217,#REF!)),0,(LOOKUP(AC$16,$L217:$X217,#REF!)))</f>
        <v>0</v>
      </c>
      <c r="AD217" s="230">
        <f>IF(ISERROR(LOOKUP(AD$16,$L217:$X217,#REF!)),0,(LOOKUP(AD$16,$L217:$X217,#REF!)))</f>
        <v>0</v>
      </c>
      <c r="AE217" s="230">
        <f>IF(ISERROR(LOOKUP(AE$16,$L217:$X217,#REF!)),0,(LOOKUP(AE$16,$L217:$X217,#REF!)))</f>
        <v>0</v>
      </c>
      <c r="AF217" s="230">
        <f>IF(ISERROR(LOOKUP(AF$16,$L217:$X217,#REF!)),0,(LOOKUP(AF$16,$L217:$X217,#REF!)))</f>
        <v>0</v>
      </c>
      <c r="AG217" s="230">
        <f>IF(ISERROR(LOOKUP(AG$16,$L217:$X217,#REF!)),0,(LOOKUP(AG$16,$L217:$X217,#REF!)))</f>
        <v>0</v>
      </c>
      <c r="AH217" s="230">
        <f>IF(ISERROR(LOOKUP(AH$16,$L217:$X217,#REF!)),0,(LOOKUP(AH$16,$L217:$X217,#REF!)))</f>
        <v>0</v>
      </c>
      <c r="AI217" s="230">
        <f>IF(ISERROR(LOOKUP(AI$16,$L217:$X217,#REF!)),0,(LOOKUP(AI$16,$L217:$X217,#REF!)))</f>
        <v>0</v>
      </c>
      <c r="AJ217" s="230">
        <f>IF(ISERROR(LOOKUP(AJ$16,$L217:$X217,#REF!)),0,(LOOKUP(AJ$16,$L217:$X217,#REF!)))</f>
        <v>0</v>
      </c>
      <c r="AK217" s="230">
        <f>IF(ISERROR(LOOKUP(AK$16,$L217:$X217,#REF!)),0,(LOOKUP(AK$16,$L217:$X217,#REF!)))</f>
        <v>0</v>
      </c>
      <c r="AL217" s="230">
        <f>IF(ISERROR(LOOKUP(AL$16,$L217:$X217,#REF!)),0,(LOOKUP(AL$16,$L217:$X217,#REF!)))</f>
        <v>0</v>
      </c>
      <c r="AM217" s="230">
        <f ca="1">IF(ISERROR(LOOKUP(AM$16,$L217:$X217,#REF!)),0,(LOOKUP(AM$16,$L217:$X217,#REF!)))</f>
        <v>0</v>
      </c>
      <c r="AP217" s="248"/>
      <c r="AQ217" s="248"/>
      <c r="AR217" s="248"/>
      <c r="AS217" s="638"/>
      <c r="AW217" s="223"/>
    </row>
    <row r="218" spans="1:49" s="166" customFormat="1" ht="18" customHeight="1">
      <c r="A218" s="596"/>
      <c r="B218" s="598"/>
      <c r="C218" s="601"/>
      <c r="D218" s="601" t="s">
        <v>265</v>
      </c>
      <c r="E218" s="212"/>
      <c r="F218" s="601" t="s">
        <v>83</v>
      </c>
      <c r="G218" s="601" t="s">
        <v>71</v>
      </c>
      <c r="H218" s="606"/>
      <c r="I218" s="212" t="s">
        <v>9</v>
      </c>
      <c r="J218" s="249" t="s">
        <v>61</v>
      </c>
      <c r="K218" s="215">
        <f>WORKDAY(L218,-INDEX(L$12:L$15,MATCH($I218,$I$12:$I$15,0)))</f>
        <v>46248</v>
      </c>
      <c r="L218" s="215">
        <f>WORKDAY(M218,-INDEX(M$12:M$15,MATCH($I218,$I$12:$I$15,0)))</f>
        <v>46253</v>
      </c>
      <c r="M218" s="215">
        <f>WORKDAY(N218,-INDEX(N$12:N$15,MATCH($I218,$I$12:$I$15,0)))</f>
        <v>46260</v>
      </c>
      <c r="N218" s="215">
        <f>WORKDAY(O218,-INDEX(O$12:O$15,MATCH($I218,$I$12:$I$15,0)))</f>
        <v>46261</v>
      </c>
      <c r="O218" s="215">
        <f>WORKDAY(R218,-INDEX(R$12:R$15,MATCH($I218,$I$12:$I$15,0)))</f>
        <v>46266</v>
      </c>
      <c r="P218" s="216">
        <f>U218-L218</f>
        <v>39</v>
      </c>
      <c r="Q218" s="217"/>
      <c r="R218" s="215">
        <f>WORKDAY(S218,-INDEX(S$12:S$15,MATCH($I218,$I$12:$I$15,0)))</f>
        <v>46273</v>
      </c>
      <c r="S218" s="215">
        <f>WORKDAY(T218,-INDEX(T$12:T$15,MATCH($I218,$I$12:$I$15,0)))</f>
        <v>46282</v>
      </c>
      <c r="T218" s="215">
        <f>WORKDAY(U218,-INDEX(U$12:U$15,MATCH($I218,$I$12:$I$15,0)))</f>
        <v>46286</v>
      </c>
      <c r="U218" s="215">
        <f>X218-Y218</f>
        <v>46292</v>
      </c>
      <c r="V218" s="215">
        <f>WORKDAY(U218,INDEX(V$12:V$15,MATCH($I218,$I$12:$I$15,0)))</f>
        <v>46294</v>
      </c>
      <c r="W218" s="218">
        <f>Y218/7</f>
        <v>12.8571428571429</v>
      </c>
      <c r="X218" s="215">
        <f>Z218</f>
        <v>46382</v>
      </c>
      <c r="Y218" s="628">
        <v>90</v>
      </c>
      <c r="Z218" s="633">
        <v>46382</v>
      </c>
      <c r="AA218" s="633">
        <v>46538</v>
      </c>
      <c r="AB218" s="637">
        <f t="shared" ref="AB218" si="370">Z218-X219</f>
        <v>0</v>
      </c>
      <c r="AC218" s="220">
        <f>IF(ISERROR(LOOKUP(AC$16,$L218:$X218,#REF!)),0,(LOOKUP(AC$16,$L218:$X218,#REF!)))</f>
        <v>0</v>
      </c>
      <c r="AD218" s="221">
        <f>IF(ISERROR(LOOKUP(AD$16,$L218:$X218,#REF!)),0,(LOOKUP(AD$16,$L218:$X218,#REF!)))</f>
        <v>0</v>
      </c>
      <c r="AE218" s="221">
        <f>IF(ISERROR(LOOKUP(AE$16,$L218:$X218,#REF!)),0,(LOOKUP(AE$16,$L218:$X218,#REF!)))</f>
        <v>0</v>
      </c>
      <c r="AF218" s="221">
        <f>IF(ISERROR(LOOKUP(AF$16,$L218:$X218,#REF!)),0,(LOOKUP(AF$16,$L218:$X218,#REF!)))</f>
        <v>0</v>
      </c>
      <c r="AG218" s="221">
        <f>IF(ISERROR(LOOKUP(AG$16,$L218:$X218,#REF!)),0,(LOOKUP(AG$16,$L218:$X218,#REF!)))</f>
        <v>0</v>
      </c>
      <c r="AH218" s="221">
        <f>IF(ISERROR(LOOKUP(AH$16,$L218:$X218,#REF!)),0,(LOOKUP(AH$16,$L218:$X218,#REF!)))</f>
        <v>0</v>
      </c>
      <c r="AI218" s="221">
        <f>IF(ISERROR(LOOKUP(AI$16,$L218:$X218,#REF!)),0,(LOOKUP(AI$16,$L218:$X218,#REF!)))</f>
        <v>0</v>
      </c>
      <c r="AJ218" s="221">
        <f>IF(ISERROR(LOOKUP(AJ$16,$L218:$X218,#REF!)),0,(LOOKUP(AJ$16,$L218:$X218,#REF!)))</f>
        <v>0</v>
      </c>
      <c r="AK218" s="221">
        <f>IF(ISERROR(LOOKUP(AK$16,$L218:$X218,#REF!)),0,(LOOKUP(AK$16,$L218:$X218,#REF!)))</f>
        <v>0</v>
      </c>
      <c r="AL218" s="221">
        <f>IF(ISERROR(LOOKUP(AL$16,$L218:$X218,#REF!)),0,(LOOKUP(AL$16,$L218:$X218,#REF!)))</f>
        <v>0</v>
      </c>
      <c r="AM218" s="221">
        <f ca="1">IF(ISERROR(LOOKUP(AM$16,$L218:$X218,#REF!)),0,(LOOKUP(AM$16,$L218:$X218,#REF!)))</f>
        <v>0</v>
      </c>
      <c r="AP218" s="215" t="e">
        <f>WORKDAY(AQ218,-INDEX(AQ$12:AQ$15,MATCH($I218,$I$12:$I$15,0)),$AW$17:$AW$148)</f>
        <v>#REF!</v>
      </c>
      <c r="AQ218" s="215" t="e">
        <f>WORKDAY(U218,-INDEX(U$12:U$15,MATCH($I218,$I$12:$I$15,0)),$AW$17:$AW$148)</f>
        <v>#REF!</v>
      </c>
      <c r="AR218" s="215" t="e">
        <f>WORKDAY(U218,-INDEX(U$12:U$15,MATCH($I218,$I$12:$I$15,0)),$AW$17:$AW$148)</f>
        <v>#REF!</v>
      </c>
      <c r="AS218" s="638">
        <v>7</v>
      </c>
      <c r="AW218" s="223"/>
    </row>
    <row r="219" spans="1:49" s="166" customFormat="1" ht="18" customHeight="1">
      <c r="A219" s="596"/>
      <c r="B219" s="599"/>
      <c r="C219" s="601"/>
      <c r="D219" s="601" t="s">
        <v>265</v>
      </c>
      <c r="E219" s="212"/>
      <c r="F219" s="601" t="str">
        <f t="shared" ref="F219:G219" si="371">F218</f>
        <v>Piping</v>
      </c>
      <c r="G219" s="601" t="str">
        <f t="shared" si="371"/>
        <v>N</v>
      </c>
      <c r="H219" s="607"/>
      <c r="I219" s="212" t="str">
        <f t="shared" ref="I219" si="372">I218</f>
        <v>LD</v>
      </c>
      <c r="J219" s="249" t="s">
        <v>65</v>
      </c>
      <c r="K219" s="215">
        <f>K218</f>
        <v>46248</v>
      </c>
      <c r="L219" s="215">
        <f>WORKDAY(IF(K220="",K219,K220),INDEX(L$12:L$15,MATCH($I218,$I$12:$I$15,0)))</f>
        <v>46253</v>
      </c>
      <c r="M219" s="215">
        <f>WORKDAY(IF(L220="",L219,L220),INDEX(M$12:M$15,MATCH($I218,$I$12:$I$15,0)))</f>
        <v>46260</v>
      </c>
      <c r="N219" s="215">
        <f>WORKDAY(IF(M220="",M219,M220),INDEX(N$12:N$15,MATCH($I218,$I$12:$I$15,0)))</f>
        <v>46261</v>
      </c>
      <c r="O219" s="215">
        <f>WORKDAY(IF(N220="",N219,N220),INDEX(O$12:O$15,MATCH($I218,$I$12:$I$15,0)))</f>
        <v>46266</v>
      </c>
      <c r="P219" s="216"/>
      <c r="Q219" s="217"/>
      <c r="R219" s="215">
        <f>WORKDAY(IF(O220="",O219,O220),INDEX(R$12:R$15,MATCH($I218,$I$12:$I$15,0)))</f>
        <v>46273</v>
      </c>
      <c r="S219" s="215">
        <f>WORKDAY(IF(R220="",R219,R220),INDEX(S$12:S$15,MATCH($I218,$I$12:$I$15,0)))</f>
        <v>46282</v>
      </c>
      <c r="T219" s="215">
        <f>WORKDAY(IF(S220="",S219,S220),INDEX(T$12:T$15,MATCH($I218,$I$12:$I$15,0)))</f>
        <v>46286</v>
      </c>
      <c r="U219" s="215">
        <f>WORKDAY(IF(T220="",T219,T220),INDEX(U$12:U$15,MATCH($I218,$I$12:$I$15,0)))-1</f>
        <v>46292</v>
      </c>
      <c r="V219" s="215">
        <f>WORKDAY(IF(U220="",U219,U220),INDEX(V$12:V$15,MATCH($I218,$I$12:$I$15,0)))</f>
        <v>46294</v>
      </c>
      <c r="W219" s="218"/>
      <c r="X219" s="215">
        <f>U219+Y218</f>
        <v>46382</v>
      </c>
      <c r="Y219" s="628"/>
      <c r="Z219" s="633"/>
      <c r="AA219" s="633"/>
      <c r="AB219" s="637"/>
      <c r="AC219" s="220">
        <f>IF(ISERROR(LOOKUP(AC$16,$L219:$X219,#REF!)),0,(LOOKUP(AC$16,$L219:$X219,#REF!)))</f>
        <v>0</v>
      </c>
      <c r="AD219" s="221">
        <f>IF(ISERROR(LOOKUP(AD$16,$L219:$X219,#REF!)),0,(LOOKUP(AD$16,$L219:$X219,#REF!)))</f>
        <v>0</v>
      </c>
      <c r="AE219" s="221">
        <f>IF(ISERROR(LOOKUP(AE$16,$L219:$X219,#REF!)),0,(LOOKUP(AE$16,$L219:$X219,#REF!)))</f>
        <v>0</v>
      </c>
      <c r="AF219" s="221">
        <f>IF(ISERROR(LOOKUP(AF$16,$L219:$X219,#REF!)),0,(LOOKUP(AF$16,$L219:$X219,#REF!)))</f>
        <v>0</v>
      </c>
      <c r="AG219" s="221">
        <f>IF(ISERROR(LOOKUP(AG$16,$L219:$X219,#REF!)),0,(LOOKUP(AG$16,$L219:$X219,#REF!)))</f>
        <v>0</v>
      </c>
      <c r="AH219" s="221">
        <f>IF(ISERROR(LOOKUP(AH$16,$L219:$X219,#REF!)),0,(LOOKUP(AH$16,$L219:$X219,#REF!)))</f>
        <v>0</v>
      </c>
      <c r="AI219" s="221">
        <f>IF(ISERROR(LOOKUP(AI$16,$L219:$X219,#REF!)),0,(LOOKUP(AI$16,$L219:$X219,#REF!)))</f>
        <v>0</v>
      </c>
      <c r="AJ219" s="221">
        <f>IF(ISERROR(LOOKUP(AJ$16,$L219:$X219,#REF!)),0,(LOOKUP(AJ$16,$L219:$X219,#REF!)))</f>
        <v>0</v>
      </c>
      <c r="AK219" s="221">
        <f>IF(ISERROR(LOOKUP(AK$16,$L219:$X219,#REF!)),0,(LOOKUP(AK$16,$L219:$X219,#REF!)))</f>
        <v>0</v>
      </c>
      <c r="AL219" s="221">
        <f>IF(ISERROR(LOOKUP(AL$16,$L219:$X219,#REF!)),0,(LOOKUP(AL$16,$L219:$X219,#REF!)))</f>
        <v>0</v>
      </c>
      <c r="AM219" s="221">
        <f ca="1">IF(ISERROR(LOOKUP(AM$16,$L219:$X219,#REF!)),0,(LOOKUP(AM$16,$L219:$X219,#REF!)))</f>
        <v>0</v>
      </c>
      <c r="AP219" s="215" t="e">
        <f>WORKDAY(IF(T220="",T219,T220),INDEX(AP$12:AP$15,MATCH($I218,$I$12:$I$15,0)),$AW$17:$AW$148)</f>
        <v>#REF!</v>
      </c>
      <c r="AQ219" s="215" t="e">
        <f>WORKDAY(IF(AP220="",AP219,AP220),INDEX(AQ$12:AQ$15,MATCH($I218,$I$12:$I$15,0)),$AW$17:$AW$148)</f>
        <v>#REF!</v>
      </c>
      <c r="AR219" s="215" t="e">
        <f>WORKDAY(IF(AQ220="",AQ219,AQ220),INDEX(AR$12:AR$15,MATCH($I218,$I$12:$I$15,0)),$AW$17:$AW$148)</f>
        <v>#REF!</v>
      </c>
      <c r="AS219" s="638"/>
      <c r="AW219" s="223"/>
    </row>
    <row r="220" spans="1:49" s="166" customFormat="1" ht="18" customHeight="1">
      <c r="A220" s="596"/>
      <c r="B220" s="600"/>
      <c r="C220" s="601"/>
      <c r="D220" s="601" t="s">
        <v>265</v>
      </c>
      <c r="E220" s="212"/>
      <c r="F220" s="601" t="str">
        <f t="shared" ref="F220:G220" si="373">F218</f>
        <v>Piping</v>
      </c>
      <c r="G220" s="601" t="str">
        <f t="shared" si="373"/>
        <v>N</v>
      </c>
      <c r="H220" s="608"/>
      <c r="I220" s="212" t="str">
        <f t="shared" ref="I220" si="374">I218</f>
        <v>LD</v>
      </c>
      <c r="J220" s="249" t="s">
        <v>67</v>
      </c>
      <c r="K220" s="212"/>
      <c r="L220" s="212"/>
      <c r="M220" s="212"/>
      <c r="N220" s="212"/>
      <c r="O220" s="212"/>
      <c r="P220" s="226"/>
      <c r="Q220" s="227"/>
      <c r="R220" s="212"/>
      <c r="S220" s="212"/>
      <c r="T220" s="212"/>
      <c r="U220" s="212"/>
      <c r="V220" s="212"/>
      <c r="W220" s="228"/>
      <c r="X220" s="212"/>
      <c r="Y220" s="628"/>
      <c r="Z220" s="633"/>
      <c r="AA220" s="633"/>
      <c r="AB220" s="637"/>
      <c r="AC220" s="229">
        <f>IF(ISERROR(LOOKUP(AC$16,$L220:$X220,#REF!)),0,(LOOKUP(AC$16,$L220:$X220,#REF!)))</f>
        <v>0</v>
      </c>
      <c r="AD220" s="230">
        <f>IF(ISERROR(LOOKUP(AD$16,$L220:$X220,#REF!)),0,(LOOKUP(AD$16,$L220:$X220,#REF!)))</f>
        <v>0</v>
      </c>
      <c r="AE220" s="230">
        <f>IF(ISERROR(LOOKUP(AE$16,$L220:$X220,#REF!)),0,(LOOKUP(AE$16,$L220:$X220,#REF!)))</f>
        <v>0</v>
      </c>
      <c r="AF220" s="230">
        <f>IF(ISERROR(LOOKUP(AF$16,$L220:$X220,#REF!)),0,(LOOKUP(AF$16,$L220:$X220,#REF!)))</f>
        <v>0</v>
      </c>
      <c r="AG220" s="230">
        <f>IF(ISERROR(LOOKUP(AG$16,$L220:$X220,#REF!)),0,(LOOKUP(AG$16,$L220:$X220,#REF!)))</f>
        <v>0</v>
      </c>
      <c r="AH220" s="230">
        <f>IF(ISERROR(LOOKUP(AH$16,$L220:$X220,#REF!)),0,(LOOKUP(AH$16,$L220:$X220,#REF!)))</f>
        <v>0</v>
      </c>
      <c r="AI220" s="230">
        <f>IF(ISERROR(LOOKUP(AI$16,$L220:$X220,#REF!)),0,(LOOKUP(AI$16,$L220:$X220,#REF!)))</f>
        <v>0</v>
      </c>
      <c r="AJ220" s="230">
        <f>IF(ISERROR(LOOKUP(AJ$16,$L220:$X220,#REF!)),0,(LOOKUP(AJ$16,$L220:$X220,#REF!)))</f>
        <v>0</v>
      </c>
      <c r="AK220" s="230">
        <f>IF(ISERROR(LOOKUP(AK$16,$L220:$X220,#REF!)),0,(LOOKUP(AK$16,$L220:$X220,#REF!)))</f>
        <v>0</v>
      </c>
      <c r="AL220" s="230">
        <f>IF(ISERROR(LOOKUP(AL$16,$L220:$X220,#REF!)),0,(LOOKUP(AL$16,$L220:$X220,#REF!)))</f>
        <v>0</v>
      </c>
      <c r="AM220" s="230">
        <f ca="1">IF(ISERROR(LOOKUP(AM$16,$L220:$X220,#REF!)),0,(LOOKUP(AM$16,$L220:$X220,#REF!)))</f>
        <v>0</v>
      </c>
      <c r="AP220" s="248"/>
      <c r="AQ220" s="248"/>
      <c r="AR220" s="248"/>
      <c r="AS220" s="638"/>
      <c r="AW220" s="223"/>
    </row>
    <row r="221" spans="1:49" s="166" customFormat="1" ht="18" customHeight="1">
      <c r="A221" s="596"/>
      <c r="B221" s="598"/>
      <c r="C221" s="601"/>
      <c r="D221" s="601" t="s">
        <v>267</v>
      </c>
      <c r="E221" s="212"/>
      <c r="F221" s="601" t="s">
        <v>83</v>
      </c>
      <c r="G221" s="601" t="s">
        <v>71</v>
      </c>
      <c r="H221" s="606"/>
      <c r="I221" s="212" t="s">
        <v>9</v>
      </c>
      <c r="J221" s="249" t="s">
        <v>61</v>
      </c>
      <c r="K221" s="215">
        <f>WORKDAY(L221,-INDEX(L$12:L$15,MATCH($I221,$I$12:$I$15,0)))</f>
        <v>46248</v>
      </c>
      <c r="L221" s="215">
        <f>WORKDAY(M221,-INDEX(M$12:M$15,MATCH($I221,$I$12:$I$15,0)))</f>
        <v>46253</v>
      </c>
      <c r="M221" s="215">
        <f>WORKDAY(N221,-INDEX(N$12:N$15,MATCH($I221,$I$12:$I$15,0)))</f>
        <v>46260</v>
      </c>
      <c r="N221" s="215">
        <f>WORKDAY(O221,-INDEX(O$12:O$15,MATCH($I221,$I$12:$I$15,0)))</f>
        <v>46261</v>
      </c>
      <c r="O221" s="215">
        <f>WORKDAY(R221,-INDEX(R$12:R$15,MATCH($I221,$I$12:$I$15,0)))</f>
        <v>46266</v>
      </c>
      <c r="P221" s="216">
        <f>U221-L221</f>
        <v>39</v>
      </c>
      <c r="Q221" s="217"/>
      <c r="R221" s="215">
        <f>WORKDAY(S221,-INDEX(S$12:S$15,MATCH($I221,$I$12:$I$15,0)))</f>
        <v>46273</v>
      </c>
      <c r="S221" s="215">
        <f>WORKDAY(T221,-INDEX(T$12:T$15,MATCH($I221,$I$12:$I$15,0)))</f>
        <v>46282</v>
      </c>
      <c r="T221" s="215">
        <f>WORKDAY(U221,-INDEX(U$12:U$15,MATCH($I221,$I$12:$I$15,0)))</f>
        <v>46286</v>
      </c>
      <c r="U221" s="215">
        <f>X221-Y221</f>
        <v>46292</v>
      </c>
      <c r="V221" s="215">
        <f>WORKDAY(U221,INDEX(V$12:V$15,MATCH($I221,$I$12:$I$15,0)))</f>
        <v>46294</v>
      </c>
      <c r="W221" s="218">
        <f>Y221/7</f>
        <v>12.8571428571429</v>
      </c>
      <c r="X221" s="215">
        <f>Z221</f>
        <v>46382</v>
      </c>
      <c r="Y221" s="628">
        <v>90</v>
      </c>
      <c r="Z221" s="633">
        <v>46382</v>
      </c>
      <c r="AA221" s="633">
        <v>46538</v>
      </c>
      <c r="AB221" s="637">
        <f t="shared" ref="AB221" si="375">Z221-X222</f>
        <v>0</v>
      </c>
      <c r="AC221" s="220">
        <f>IF(ISERROR(LOOKUP(AC$16,$L221:$X221,#REF!)),0,(LOOKUP(AC$16,$L221:$X221,#REF!)))</f>
        <v>0</v>
      </c>
      <c r="AD221" s="221">
        <f>IF(ISERROR(LOOKUP(AD$16,$L221:$X221,#REF!)),0,(LOOKUP(AD$16,$L221:$X221,#REF!)))</f>
        <v>0</v>
      </c>
      <c r="AE221" s="221">
        <f>IF(ISERROR(LOOKUP(AE$16,$L221:$X221,#REF!)),0,(LOOKUP(AE$16,$L221:$X221,#REF!)))</f>
        <v>0</v>
      </c>
      <c r="AF221" s="221">
        <f>IF(ISERROR(LOOKUP(AF$16,$L221:$X221,#REF!)),0,(LOOKUP(AF$16,$L221:$X221,#REF!)))</f>
        <v>0</v>
      </c>
      <c r="AG221" s="221">
        <f>IF(ISERROR(LOOKUP(AG$16,$L221:$X221,#REF!)),0,(LOOKUP(AG$16,$L221:$X221,#REF!)))</f>
        <v>0</v>
      </c>
      <c r="AH221" s="221">
        <f>IF(ISERROR(LOOKUP(AH$16,$L221:$X221,#REF!)),0,(LOOKUP(AH$16,$L221:$X221,#REF!)))</f>
        <v>0</v>
      </c>
      <c r="AI221" s="221">
        <f>IF(ISERROR(LOOKUP(AI$16,$L221:$X221,#REF!)),0,(LOOKUP(AI$16,$L221:$X221,#REF!)))</f>
        <v>0</v>
      </c>
      <c r="AJ221" s="221">
        <f>IF(ISERROR(LOOKUP(AJ$16,$L221:$X221,#REF!)),0,(LOOKUP(AJ$16,$L221:$X221,#REF!)))</f>
        <v>0</v>
      </c>
      <c r="AK221" s="221">
        <f>IF(ISERROR(LOOKUP(AK$16,$L221:$X221,#REF!)),0,(LOOKUP(AK$16,$L221:$X221,#REF!)))</f>
        <v>0</v>
      </c>
      <c r="AL221" s="221">
        <f>IF(ISERROR(LOOKUP(AL$16,$L221:$X221,#REF!)),0,(LOOKUP(AL$16,$L221:$X221,#REF!)))</f>
        <v>0</v>
      </c>
      <c r="AM221" s="221">
        <f ca="1">IF(ISERROR(LOOKUP(AM$16,$L221:$X221,#REF!)),0,(LOOKUP(AM$16,$L221:$X221,#REF!)))</f>
        <v>0</v>
      </c>
      <c r="AP221" s="215" t="e">
        <f>WORKDAY(AQ221,-INDEX(AQ$12:AQ$15,MATCH($I221,$I$12:$I$15,0)),$AW$17:$AW$148)</f>
        <v>#REF!</v>
      </c>
      <c r="AQ221" s="215" t="e">
        <f>WORKDAY(U221,-INDEX(U$12:U$15,MATCH($I221,$I$12:$I$15,0)),$AW$17:$AW$148)</f>
        <v>#REF!</v>
      </c>
      <c r="AR221" s="215" t="e">
        <f>WORKDAY(U221,-INDEX(U$12:U$15,MATCH($I221,$I$12:$I$15,0)),$AW$17:$AW$148)</f>
        <v>#REF!</v>
      </c>
      <c r="AS221" s="638">
        <v>7</v>
      </c>
      <c r="AW221" s="223"/>
    </row>
    <row r="222" spans="1:49" s="166" customFormat="1" ht="18" customHeight="1">
      <c r="A222" s="596"/>
      <c r="B222" s="599"/>
      <c r="C222" s="601"/>
      <c r="D222" s="601" t="s">
        <v>267</v>
      </c>
      <c r="E222" s="212"/>
      <c r="F222" s="601" t="str">
        <f t="shared" ref="F222:G222" si="376">F221</f>
        <v>Piping</v>
      </c>
      <c r="G222" s="601" t="str">
        <f t="shared" si="376"/>
        <v>N</v>
      </c>
      <c r="H222" s="607"/>
      <c r="I222" s="212" t="str">
        <f t="shared" ref="I222" si="377">I221</f>
        <v>LD</v>
      </c>
      <c r="J222" s="249" t="s">
        <v>65</v>
      </c>
      <c r="K222" s="215">
        <f>K221</f>
        <v>46248</v>
      </c>
      <c r="L222" s="215">
        <f>WORKDAY(IF(K223="",K222,K223),INDEX(L$12:L$15,MATCH($I221,$I$12:$I$15,0)))</f>
        <v>46253</v>
      </c>
      <c r="M222" s="215">
        <f>WORKDAY(IF(L223="",L222,L223),INDEX(M$12:M$15,MATCH($I221,$I$12:$I$15,0)))</f>
        <v>46260</v>
      </c>
      <c r="N222" s="215">
        <f>WORKDAY(IF(M223="",M222,M223),INDEX(N$12:N$15,MATCH($I221,$I$12:$I$15,0)))</f>
        <v>46261</v>
      </c>
      <c r="O222" s="215">
        <f>WORKDAY(IF(N223="",N222,N223),INDEX(O$12:O$15,MATCH($I221,$I$12:$I$15,0)))</f>
        <v>46266</v>
      </c>
      <c r="P222" s="216"/>
      <c r="Q222" s="217"/>
      <c r="R222" s="215">
        <f>WORKDAY(IF(O223="",O222,O223),INDEX(R$12:R$15,MATCH($I221,$I$12:$I$15,0)))</f>
        <v>46273</v>
      </c>
      <c r="S222" s="215">
        <f>WORKDAY(IF(R223="",R222,R223),INDEX(S$12:S$15,MATCH($I221,$I$12:$I$15,0)))</f>
        <v>46282</v>
      </c>
      <c r="T222" s="215">
        <f>WORKDAY(IF(S223="",S222,S223),INDEX(T$12:T$15,MATCH($I221,$I$12:$I$15,0)))</f>
        <v>46286</v>
      </c>
      <c r="U222" s="215">
        <f>WORKDAY(IF(T223="",T222,T223),INDEX(U$12:U$15,MATCH($I221,$I$12:$I$15,0)))-1</f>
        <v>46292</v>
      </c>
      <c r="V222" s="215">
        <f>WORKDAY(IF(U223="",U222,U223),INDEX(V$12:V$15,MATCH($I221,$I$12:$I$15,0)))</f>
        <v>46294</v>
      </c>
      <c r="W222" s="218"/>
      <c r="X222" s="215">
        <f>U222+Y221</f>
        <v>46382</v>
      </c>
      <c r="Y222" s="628"/>
      <c r="Z222" s="633"/>
      <c r="AA222" s="633"/>
      <c r="AB222" s="637"/>
      <c r="AC222" s="220">
        <f>IF(ISERROR(LOOKUP(AC$16,$L222:$X222,#REF!)),0,(LOOKUP(AC$16,$L222:$X222,#REF!)))</f>
        <v>0</v>
      </c>
      <c r="AD222" s="221">
        <f>IF(ISERROR(LOOKUP(AD$16,$L222:$X222,#REF!)),0,(LOOKUP(AD$16,$L222:$X222,#REF!)))</f>
        <v>0</v>
      </c>
      <c r="AE222" s="221">
        <f>IF(ISERROR(LOOKUP(AE$16,$L222:$X222,#REF!)),0,(LOOKUP(AE$16,$L222:$X222,#REF!)))</f>
        <v>0</v>
      </c>
      <c r="AF222" s="221">
        <f>IF(ISERROR(LOOKUP(AF$16,$L222:$X222,#REF!)),0,(LOOKUP(AF$16,$L222:$X222,#REF!)))</f>
        <v>0</v>
      </c>
      <c r="AG222" s="221">
        <f>IF(ISERROR(LOOKUP(AG$16,$L222:$X222,#REF!)),0,(LOOKUP(AG$16,$L222:$X222,#REF!)))</f>
        <v>0</v>
      </c>
      <c r="AH222" s="221">
        <f>IF(ISERROR(LOOKUP(AH$16,$L222:$X222,#REF!)),0,(LOOKUP(AH$16,$L222:$X222,#REF!)))</f>
        <v>0</v>
      </c>
      <c r="AI222" s="221">
        <f>IF(ISERROR(LOOKUP(AI$16,$L222:$X222,#REF!)),0,(LOOKUP(AI$16,$L222:$X222,#REF!)))</f>
        <v>0</v>
      </c>
      <c r="AJ222" s="221">
        <f>IF(ISERROR(LOOKUP(AJ$16,$L222:$X222,#REF!)),0,(LOOKUP(AJ$16,$L222:$X222,#REF!)))</f>
        <v>0</v>
      </c>
      <c r="AK222" s="221">
        <f>IF(ISERROR(LOOKUP(AK$16,$L222:$X222,#REF!)),0,(LOOKUP(AK$16,$L222:$X222,#REF!)))</f>
        <v>0</v>
      </c>
      <c r="AL222" s="221">
        <f>IF(ISERROR(LOOKUP(AL$16,$L222:$X222,#REF!)),0,(LOOKUP(AL$16,$L222:$X222,#REF!)))</f>
        <v>0</v>
      </c>
      <c r="AM222" s="221">
        <f ca="1">IF(ISERROR(LOOKUP(AM$16,$L222:$X222,#REF!)),0,(LOOKUP(AM$16,$L222:$X222,#REF!)))</f>
        <v>0</v>
      </c>
      <c r="AP222" s="215" t="e">
        <f>WORKDAY(IF(T223="",T222,T223),INDEX(AP$12:AP$15,MATCH($I221,$I$12:$I$15,0)),$AW$17:$AW$148)</f>
        <v>#REF!</v>
      </c>
      <c r="AQ222" s="215" t="e">
        <f>WORKDAY(IF(AP223="",AP222,AP223),INDEX(AQ$12:AQ$15,MATCH($I221,$I$12:$I$15,0)),$AW$17:$AW$148)</f>
        <v>#REF!</v>
      </c>
      <c r="AR222" s="215" t="e">
        <f>WORKDAY(IF(AQ223="",AQ222,AQ223),INDEX(AR$12:AR$15,MATCH($I221,$I$12:$I$15,0)),$AW$17:$AW$148)</f>
        <v>#REF!</v>
      </c>
      <c r="AS222" s="638"/>
      <c r="AW222" s="223"/>
    </row>
    <row r="223" spans="1:49" s="166" customFormat="1" ht="18" customHeight="1">
      <c r="A223" s="596"/>
      <c r="B223" s="600"/>
      <c r="C223" s="601"/>
      <c r="D223" s="601" t="s">
        <v>267</v>
      </c>
      <c r="E223" s="212"/>
      <c r="F223" s="601" t="str">
        <f t="shared" ref="F223:G223" si="378">F221</f>
        <v>Piping</v>
      </c>
      <c r="G223" s="601" t="str">
        <f t="shared" si="378"/>
        <v>N</v>
      </c>
      <c r="H223" s="608"/>
      <c r="I223" s="212" t="str">
        <f t="shared" ref="I223" si="379">I221</f>
        <v>LD</v>
      </c>
      <c r="J223" s="249" t="s">
        <v>67</v>
      </c>
      <c r="K223" s="212"/>
      <c r="L223" s="212"/>
      <c r="M223" s="212"/>
      <c r="N223" s="212"/>
      <c r="O223" s="212"/>
      <c r="P223" s="226"/>
      <c r="Q223" s="227"/>
      <c r="R223" s="212"/>
      <c r="S223" s="212"/>
      <c r="T223" s="212"/>
      <c r="U223" s="212"/>
      <c r="V223" s="212"/>
      <c r="W223" s="228"/>
      <c r="X223" s="212"/>
      <c r="Y223" s="628"/>
      <c r="Z223" s="633"/>
      <c r="AA223" s="633"/>
      <c r="AB223" s="637"/>
      <c r="AC223" s="229">
        <f>IF(ISERROR(LOOKUP(AC$16,$L223:$X223,#REF!)),0,(LOOKUP(AC$16,$L223:$X223,#REF!)))</f>
        <v>0</v>
      </c>
      <c r="AD223" s="230">
        <f>IF(ISERROR(LOOKUP(AD$16,$L223:$X223,#REF!)),0,(LOOKUP(AD$16,$L223:$X223,#REF!)))</f>
        <v>0</v>
      </c>
      <c r="AE223" s="230">
        <f>IF(ISERROR(LOOKUP(AE$16,$L223:$X223,#REF!)),0,(LOOKUP(AE$16,$L223:$X223,#REF!)))</f>
        <v>0</v>
      </c>
      <c r="AF223" s="230">
        <f>IF(ISERROR(LOOKUP(AF$16,$L223:$X223,#REF!)),0,(LOOKUP(AF$16,$L223:$X223,#REF!)))</f>
        <v>0</v>
      </c>
      <c r="AG223" s="230">
        <f>IF(ISERROR(LOOKUP(AG$16,$L223:$X223,#REF!)),0,(LOOKUP(AG$16,$L223:$X223,#REF!)))</f>
        <v>0</v>
      </c>
      <c r="AH223" s="230">
        <f>IF(ISERROR(LOOKUP(AH$16,$L223:$X223,#REF!)),0,(LOOKUP(AH$16,$L223:$X223,#REF!)))</f>
        <v>0</v>
      </c>
      <c r="AI223" s="230">
        <f>IF(ISERROR(LOOKUP(AI$16,$L223:$X223,#REF!)),0,(LOOKUP(AI$16,$L223:$X223,#REF!)))</f>
        <v>0</v>
      </c>
      <c r="AJ223" s="230">
        <f>IF(ISERROR(LOOKUP(AJ$16,$L223:$X223,#REF!)),0,(LOOKUP(AJ$16,$L223:$X223,#REF!)))</f>
        <v>0</v>
      </c>
      <c r="AK223" s="230">
        <f>IF(ISERROR(LOOKUP(AK$16,$L223:$X223,#REF!)),0,(LOOKUP(AK$16,$L223:$X223,#REF!)))</f>
        <v>0</v>
      </c>
      <c r="AL223" s="230">
        <f>IF(ISERROR(LOOKUP(AL$16,$L223:$X223,#REF!)),0,(LOOKUP(AL$16,$L223:$X223,#REF!)))</f>
        <v>0</v>
      </c>
      <c r="AM223" s="230">
        <f ca="1">IF(ISERROR(LOOKUP(AM$16,$L223:$X223,#REF!)),0,(LOOKUP(AM$16,$L223:$X223,#REF!)))</f>
        <v>0</v>
      </c>
      <c r="AP223" s="248"/>
      <c r="AQ223" s="248"/>
      <c r="AR223" s="248"/>
      <c r="AS223" s="638"/>
      <c r="AW223" s="223"/>
    </row>
    <row r="224" spans="1:49" s="166" customFormat="1" ht="18" customHeight="1">
      <c r="A224" s="596"/>
      <c r="B224" s="598"/>
      <c r="C224" s="601"/>
      <c r="D224" s="601" t="s">
        <v>269</v>
      </c>
      <c r="E224" s="212"/>
      <c r="F224" s="601" t="s">
        <v>83</v>
      </c>
      <c r="G224" s="601" t="s">
        <v>71</v>
      </c>
      <c r="H224" s="606"/>
      <c r="I224" s="212" t="s">
        <v>9</v>
      </c>
      <c r="J224" s="249" t="s">
        <v>61</v>
      </c>
      <c r="K224" s="215">
        <f>WORKDAY(L224,-INDEX(L$12:L$15,MATCH($I224,$I$12:$I$15,0)))</f>
        <v>46169</v>
      </c>
      <c r="L224" s="215">
        <f>WORKDAY(M224,-INDEX(M$12:M$15,MATCH($I224,$I$12:$I$15,0)))</f>
        <v>46174</v>
      </c>
      <c r="M224" s="215">
        <f>WORKDAY(N224,-INDEX(N$12:N$15,MATCH($I224,$I$12:$I$15,0)))</f>
        <v>46181</v>
      </c>
      <c r="N224" s="215">
        <f>WORKDAY(O224,-INDEX(O$12:O$15,MATCH($I224,$I$12:$I$15,0)))</f>
        <v>46182</v>
      </c>
      <c r="O224" s="215">
        <f>WORKDAY(R224,-INDEX(R$12:R$15,MATCH($I224,$I$12:$I$15,0)))</f>
        <v>46185</v>
      </c>
      <c r="P224" s="216">
        <f>U224-L224</f>
        <v>38</v>
      </c>
      <c r="Q224" s="217"/>
      <c r="R224" s="215">
        <f>WORKDAY(S224,-INDEX(S$12:S$15,MATCH($I224,$I$12:$I$15,0)))</f>
        <v>46192</v>
      </c>
      <c r="S224" s="215">
        <f>WORKDAY(T224,-INDEX(T$12:T$15,MATCH($I224,$I$12:$I$15,0)))</f>
        <v>46203</v>
      </c>
      <c r="T224" s="215">
        <f>WORKDAY(U224,-INDEX(U$12:U$15,MATCH($I224,$I$12:$I$15,0)))</f>
        <v>46205</v>
      </c>
      <c r="U224" s="215">
        <f>X224-Y224</f>
        <v>46212</v>
      </c>
      <c r="V224" s="215">
        <f>WORKDAY(U224,INDEX(V$12:V$15,MATCH($I224,$I$12:$I$15,0)))</f>
        <v>46216</v>
      </c>
      <c r="W224" s="218">
        <f>Y224/7</f>
        <v>24.285714285714299</v>
      </c>
      <c r="X224" s="215">
        <f>Z224</f>
        <v>46382</v>
      </c>
      <c r="Y224" s="628">
        <v>170</v>
      </c>
      <c r="Z224" s="633">
        <v>46382</v>
      </c>
      <c r="AA224" s="633">
        <v>46538</v>
      </c>
      <c r="AB224" s="637">
        <f t="shared" ref="AB224" si="380">Z224-X225</f>
        <v>0</v>
      </c>
      <c r="AC224" s="220">
        <f>IF(ISERROR(LOOKUP(AC$16,$L224:$X224,#REF!)),0,(LOOKUP(AC$16,$L224:$X224,#REF!)))</f>
        <v>0</v>
      </c>
      <c r="AD224" s="221">
        <f>IF(ISERROR(LOOKUP(AD$16,$L224:$X224,#REF!)),0,(LOOKUP(AD$16,$L224:$X224,#REF!)))</f>
        <v>0</v>
      </c>
      <c r="AE224" s="221">
        <f>IF(ISERROR(LOOKUP(AE$16,$L224:$X224,#REF!)),0,(LOOKUP(AE$16,$L224:$X224,#REF!)))</f>
        <v>0</v>
      </c>
      <c r="AF224" s="221">
        <f>IF(ISERROR(LOOKUP(AF$16,$L224:$X224,#REF!)),0,(LOOKUP(AF$16,$L224:$X224,#REF!)))</f>
        <v>0</v>
      </c>
      <c r="AG224" s="221">
        <f>IF(ISERROR(LOOKUP(AG$16,$L224:$X224,#REF!)),0,(LOOKUP(AG$16,$L224:$X224,#REF!)))</f>
        <v>0</v>
      </c>
      <c r="AH224" s="221">
        <f>IF(ISERROR(LOOKUP(AH$16,$L224:$X224,#REF!)),0,(LOOKUP(AH$16,$L224:$X224,#REF!)))</f>
        <v>0</v>
      </c>
      <c r="AI224" s="221">
        <f>IF(ISERROR(LOOKUP(AI$16,$L224:$X224,#REF!)),0,(LOOKUP(AI$16,$L224:$X224,#REF!)))</f>
        <v>0</v>
      </c>
      <c r="AJ224" s="221">
        <f>IF(ISERROR(LOOKUP(AJ$16,$L224:$X224,#REF!)),0,(LOOKUP(AJ$16,$L224:$X224,#REF!)))</f>
        <v>0</v>
      </c>
      <c r="AK224" s="221">
        <f>IF(ISERROR(LOOKUP(AK$16,$L224:$X224,#REF!)),0,(LOOKUP(AK$16,$L224:$X224,#REF!)))</f>
        <v>0</v>
      </c>
      <c r="AL224" s="221">
        <f>IF(ISERROR(LOOKUP(AL$16,$L224:$X224,#REF!)),0,(LOOKUP(AL$16,$L224:$X224,#REF!)))</f>
        <v>0</v>
      </c>
      <c r="AM224" s="221">
        <f ca="1">IF(ISERROR(LOOKUP(AM$16,$L224:$X224,#REF!)),0,(LOOKUP(AM$16,$L224:$X224,#REF!)))</f>
        <v>0</v>
      </c>
      <c r="AP224" s="215" t="e">
        <f>WORKDAY(AQ224,-INDEX(AQ$12:AQ$15,MATCH($I224,$I$12:$I$15,0)),$AW$17:$AW$148)</f>
        <v>#REF!</v>
      </c>
      <c r="AQ224" s="215" t="e">
        <f>WORKDAY(U224,-INDEX(U$12:U$15,MATCH($I224,$I$12:$I$15,0)),$AW$17:$AW$148)</f>
        <v>#REF!</v>
      </c>
      <c r="AR224" s="215" t="e">
        <f>WORKDAY(U224,-INDEX(U$12:U$15,MATCH($I224,$I$12:$I$15,0)),$AW$17:$AW$148)</f>
        <v>#REF!</v>
      </c>
      <c r="AS224" s="638">
        <v>7</v>
      </c>
      <c r="AW224" s="223"/>
    </row>
    <row r="225" spans="1:49" s="166" customFormat="1" ht="18" customHeight="1">
      <c r="A225" s="596"/>
      <c r="B225" s="599"/>
      <c r="C225" s="601"/>
      <c r="D225" s="601" t="s">
        <v>269</v>
      </c>
      <c r="E225" s="212"/>
      <c r="F225" s="601" t="str">
        <f t="shared" ref="F225:G225" si="381">F224</f>
        <v>Piping</v>
      </c>
      <c r="G225" s="601" t="str">
        <f t="shared" si="381"/>
        <v>N</v>
      </c>
      <c r="H225" s="607"/>
      <c r="I225" s="212" t="str">
        <f t="shared" ref="I225" si="382">I224</f>
        <v>LD</v>
      </c>
      <c r="J225" s="249" t="s">
        <v>65</v>
      </c>
      <c r="K225" s="215">
        <f>K224</f>
        <v>46169</v>
      </c>
      <c r="L225" s="215">
        <f>WORKDAY(IF(K226="",K225,K226),INDEX(L$12:L$15,MATCH($I224,$I$12:$I$15,0)))</f>
        <v>46174</v>
      </c>
      <c r="M225" s="215">
        <f>WORKDAY(IF(L226="",L225,L226),INDEX(M$12:M$15,MATCH($I224,$I$12:$I$15,0)))</f>
        <v>46181</v>
      </c>
      <c r="N225" s="215">
        <f>WORKDAY(IF(M226="",M225,M226),INDEX(N$12:N$15,MATCH($I224,$I$12:$I$15,0)))</f>
        <v>46182</v>
      </c>
      <c r="O225" s="215">
        <f>WORKDAY(IF(N226="",N225,N226),INDEX(O$12:O$15,MATCH($I224,$I$12:$I$15,0)))</f>
        <v>46185</v>
      </c>
      <c r="P225" s="216"/>
      <c r="Q225" s="217"/>
      <c r="R225" s="215">
        <f>WORKDAY(IF(O226="",O225,O226),INDEX(R$12:R$15,MATCH($I224,$I$12:$I$15,0)))</f>
        <v>46192</v>
      </c>
      <c r="S225" s="215">
        <f>WORKDAY(IF(R226="",R225,R226),INDEX(S$12:S$15,MATCH($I224,$I$12:$I$15,0)))</f>
        <v>46203</v>
      </c>
      <c r="T225" s="215">
        <f>WORKDAY(IF(S226="",S225,S226),INDEX(T$12:T$15,MATCH($I224,$I$12:$I$15,0)))</f>
        <v>46205</v>
      </c>
      <c r="U225" s="215">
        <f>WORKDAY(IF(T226="",T225,T226),INDEX(U$12:U$15,MATCH($I224,$I$12:$I$15,0)))</f>
        <v>46212</v>
      </c>
      <c r="V225" s="215">
        <f>WORKDAY(IF(U226="",U225,U226),INDEX(V$12:V$15,MATCH($I224,$I$12:$I$15,0)))</f>
        <v>46216</v>
      </c>
      <c r="W225" s="218"/>
      <c r="X225" s="215">
        <f>U225+Y224</f>
        <v>46382</v>
      </c>
      <c r="Y225" s="628"/>
      <c r="Z225" s="633"/>
      <c r="AA225" s="633"/>
      <c r="AB225" s="637"/>
      <c r="AC225" s="220">
        <f>IF(ISERROR(LOOKUP(AC$16,$L225:$X225,#REF!)),0,(LOOKUP(AC$16,$L225:$X225,#REF!)))</f>
        <v>0</v>
      </c>
      <c r="AD225" s="221">
        <f>IF(ISERROR(LOOKUP(AD$16,$L225:$X225,#REF!)),0,(LOOKUP(AD$16,$L225:$X225,#REF!)))</f>
        <v>0</v>
      </c>
      <c r="AE225" s="221">
        <f>IF(ISERROR(LOOKUP(AE$16,$L225:$X225,#REF!)),0,(LOOKUP(AE$16,$L225:$X225,#REF!)))</f>
        <v>0</v>
      </c>
      <c r="AF225" s="221">
        <f>IF(ISERROR(LOOKUP(AF$16,$L225:$X225,#REF!)),0,(LOOKUP(AF$16,$L225:$X225,#REF!)))</f>
        <v>0</v>
      </c>
      <c r="AG225" s="221">
        <f>IF(ISERROR(LOOKUP(AG$16,$L225:$X225,#REF!)),0,(LOOKUP(AG$16,$L225:$X225,#REF!)))</f>
        <v>0</v>
      </c>
      <c r="AH225" s="221">
        <f>IF(ISERROR(LOOKUP(AH$16,$L225:$X225,#REF!)),0,(LOOKUP(AH$16,$L225:$X225,#REF!)))</f>
        <v>0</v>
      </c>
      <c r="AI225" s="221">
        <f>IF(ISERROR(LOOKUP(AI$16,$L225:$X225,#REF!)),0,(LOOKUP(AI$16,$L225:$X225,#REF!)))</f>
        <v>0</v>
      </c>
      <c r="AJ225" s="221">
        <f>IF(ISERROR(LOOKUP(AJ$16,$L225:$X225,#REF!)),0,(LOOKUP(AJ$16,$L225:$X225,#REF!)))</f>
        <v>0</v>
      </c>
      <c r="AK225" s="221">
        <f>IF(ISERROR(LOOKUP(AK$16,$L225:$X225,#REF!)),0,(LOOKUP(AK$16,$L225:$X225,#REF!)))</f>
        <v>0</v>
      </c>
      <c r="AL225" s="221">
        <f>IF(ISERROR(LOOKUP(AL$16,$L225:$X225,#REF!)),0,(LOOKUP(AL$16,$L225:$X225,#REF!)))</f>
        <v>0</v>
      </c>
      <c r="AM225" s="221">
        <f ca="1">IF(ISERROR(LOOKUP(AM$16,$L225:$X225,#REF!)),0,(LOOKUP(AM$16,$L225:$X225,#REF!)))</f>
        <v>0</v>
      </c>
      <c r="AP225" s="215" t="e">
        <f>WORKDAY(IF(T226="",T225,T226),INDEX(AP$12:AP$15,MATCH($I224,$I$12:$I$15,0)),$AW$17:$AW$148)</f>
        <v>#REF!</v>
      </c>
      <c r="AQ225" s="215" t="e">
        <f>WORKDAY(IF(AP226="",AP225,AP226),INDEX(AQ$12:AQ$15,MATCH($I224,$I$12:$I$15,0)),$AW$17:$AW$148)</f>
        <v>#REF!</v>
      </c>
      <c r="AR225" s="215" t="e">
        <f>WORKDAY(IF(AQ226="",AQ225,AQ226),INDEX(AR$12:AR$15,MATCH($I224,$I$12:$I$15,0)),$AW$17:$AW$148)</f>
        <v>#REF!</v>
      </c>
      <c r="AS225" s="638"/>
      <c r="AW225" s="223"/>
    </row>
    <row r="226" spans="1:49" s="166" customFormat="1" ht="18" customHeight="1">
      <c r="A226" s="596"/>
      <c r="B226" s="600"/>
      <c r="C226" s="601"/>
      <c r="D226" s="601" t="s">
        <v>269</v>
      </c>
      <c r="E226" s="212"/>
      <c r="F226" s="601" t="str">
        <f t="shared" ref="F226:G226" si="383">F224</f>
        <v>Piping</v>
      </c>
      <c r="G226" s="601" t="str">
        <f t="shared" si="383"/>
        <v>N</v>
      </c>
      <c r="H226" s="608"/>
      <c r="I226" s="212" t="str">
        <f t="shared" ref="I226" si="384">I224</f>
        <v>LD</v>
      </c>
      <c r="J226" s="249" t="s">
        <v>67</v>
      </c>
      <c r="K226" s="212"/>
      <c r="L226" s="212"/>
      <c r="M226" s="212"/>
      <c r="N226" s="212"/>
      <c r="O226" s="212"/>
      <c r="P226" s="226"/>
      <c r="Q226" s="227"/>
      <c r="R226" s="212"/>
      <c r="S226" s="212"/>
      <c r="T226" s="212"/>
      <c r="U226" s="212"/>
      <c r="V226" s="212"/>
      <c r="W226" s="228"/>
      <c r="X226" s="212"/>
      <c r="Y226" s="628"/>
      <c r="Z226" s="633"/>
      <c r="AA226" s="633"/>
      <c r="AB226" s="637"/>
      <c r="AC226" s="229">
        <f>IF(ISERROR(LOOKUP(AC$16,$L226:$X226,#REF!)),0,(LOOKUP(AC$16,$L226:$X226,#REF!)))</f>
        <v>0</v>
      </c>
      <c r="AD226" s="230">
        <f>IF(ISERROR(LOOKUP(AD$16,$L226:$X226,#REF!)),0,(LOOKUP(AD$16,$L226:$X226,#REF!)))</f>
        <v>0</v>
      </c>
      <c r="AE226" s="230">
        <f>IF(ISERROR(LOOKUP(AE$16,$L226:$X226,#REF!)),0,(LOOKUP(AE$16,$L226:$X226,#REF!)))</f>
        <v>0</v>
      </c>
      <c r="AF226" s="230">
        <f>IF(ISERROR(LOOKUP(AF$16,$L226:$X226,#REF!)),0,(LOOKUP(AF$16,$L226:$X226,#REF!)))</f>
        <v>0</v>
      </c>
      <c r="AG226" s="230">
        <f>IF(ISERROR(LOOKUP(AG$16,$L226:$X226,#REF!)),0,(LOOKUP(AG$16,$L226:$X226,#REF!)))</f>
        <v>0</v>
      </c>
      <c r="AH226" s="230">
        <f>IF(ISERROR(LOOKUP(AH$16,$L226:$X226,#REF!)),0,(LOOKUP(AH$16,$L226:$X226,#REF!)))</f>
        <v>0</v>
      </c>
      <c r="AI226" s="230">
        <f>IF(ISERROR(LOOKUP(AI$16,$L226:$X226,#REF!)),0,(LOOKUP(AI$16,$L226:$X226,#REF!)))</f>
        <v>0</v>
      </c>
      <c r="AJ226" s="230">
        <f>IF(ISERROR(LOOKUP(AJ$16,$L226:$X226,#REF!)),0,(LOOKUP(AJ$16,$L226:$X226,#REF!)))</f>
        <v>0</v>
      </c>
      <c r="AK226" s="230">
        <f>IF(ISERROR(LOOKUP(AK$16,$L226:$X226,#REF!)),0,(LOOKUP(AK$16,$L226:$X226,#REF!)))</f>
        <v>0</v>
      </c>
      <c r="AL226" s="230">
        <f>IF(ISERROR(LOOKUP(AL$16,$L226:$X226,#REF!)),0,(LOOKUP(AL$16,$L226:$X226,#REF!)))</f>
        <v>0</v>
      </c>
      <c r="AM226" s="230">
        <f ca="1">IF(ISERROR(LOOKUP(AM$16,$L226:$X226,#REF!)),0,(LOOKUP(AM$16,$L226:$X226,#REF!)))</f>
        <v>0</v>
      </c>
      <c r="AP226" s="248"/>
      <c r="AQ226" s="248"/>
      <c r="AR226" s="248"/>
      <c r="AS226" s="638"/>
      <c r="AW226" s="223"/>
    </row>
    <row r="227" spans="1:49" s="166" customFormat="1" ht="18" customHeight="1">
      <c r="A227" s="596"/>
      <c r="B227" s="598"/>
      <c r="C227" s="601"/>
      <c r="D227" s="601" t="s">
        <v>271</v>
      </c>
      <c r="E227" s="212"/>
      <c r="F227" s="601" t="s">
        <v>83</v>
      </c>
      <c r="G227" s="601" t="s">
        <v>71</v>
      </c>
      <c r="H227" s="606"/>
      <c r="I227" s="212" t="s">
        <v>9</v>
      </c>
      <c r="J227" s="249" t="s">
        <v>61</v>
      </c>
      <c r="K227" s="215">
        <f>WORKDAY(L227,-INDEX(L$12:L$15,MATCH($I227,$I$12:$I$15,0)))</f>
        <v>46169</v>
      </c>
      <c r="L227" s="215">
        <f>WORKDAY(M227,-INDEX(M$12:M$15,MATCH($I227,$I$12:$I$15,0)))</f>
        <v>46174</v>
      </c>
      <c r="M227" s="215">
        <f>WORKDAY(N227,-INDEX(N$12:N$15,MATCH($I227,$I$12:$I$15,0)))</f>
        <v>46181</v>
      </c>
      <c r="N227" s="215">
        <f>WORKDAY(O227,-INDEX(O$12:O$15,MATCH($I227,$I$12:$I$15,0)))</f>
        <v>46182</v>
      </c>
      <c r="O227" s="215">
        <f>WORKDAY(R227,-INDEX(R$12:R$15,MATCH($I227,$I$12:$I$15,0)))</f>
        <v>46185</v>
      </c>
      <c r="P227" s="216">
        <f>U227-L227</f>
        <v>38</v>
      </c>
      <c r="Q227" s="217"/>
      <c r="R227" s="215">
        <f>WORKDAY(S227,-INDEX(S$12:S$15,MATCH($I227,$I$12:$I$15,0)))</f>
        <v>46192</v>
      </c>
      <c r="S227" s="215">
        <f>WORKDAY(T227,-INDEX(T$12:T$15,MATCH($I227,$I$12:$I$15,0)))</f>
        <v>46203</v>
      </c>
      <c r="T227" s="215">
        <f>WORKDAY(U227,-INDEX(U$12:U$15,MATCH($I227,$I$12:$I$15,0)))</f>
        <v>46205</v>
      </c>
      <c r="U227" s="215">
        <f>X227-Y227</f>
        <v>46212</v>
      </c>
      <c r="V227" s="215">
        <f>WORKDAY(U227,INDEX(V$12:V$15,MATCH($I227,$I$12:$I$15,0)))</f>
        <v>46216</v>
      </c>
      <c r="W227" s="218">
        <f>Y227/7</f>
        <v>24.285714285714299</v>
      </c>
      <c r="X227" s="215">
        <f>Z227</f>
        <v>46382</v>
      </c>
      <c r="Y227" s="628">
        <v>170</v>
      </c>
      <c r="Z227" s="633">
        <v>46382</v>
      </c>
      <c r="AA227" s="633">
        <v>46538</v>
      </c>
      <c r="AB227" s="637">
        <f t="shared" ref="AB227" si="385">Z227-X228</f>
        <v>0</v>
      </c>
      <c r="AC227" s="220">
        <f>IF(ISERROR(LOOKUP(AC$16,$L227:$X227,#REF!)),0,(LOOKUP(AC$16,$L227:$X227,#REF!)))</f>
        <v>0</v>
      </c>
      <c r="AD227" s="221">
        <f>IF(ISERROR(LOOKUP(AD$16,$L227:$X227,#REF!)),0,(LOOKUP(AD$16,$L227:$X227,#REF!)))</f>
        <v>0</v>
      </c>
      <c r="AE227" s="221">
        <f>IF(ISERROR(LOOKUP(AE$16,$L227:$X227,#REF!)),0,(LOOKUP(AE$16,$L227:$X227,#REF!)))</f>
        <v>0</v>
      </c>
      <c r="AF227" s="221">
        <f>IF(ISERROR(LOOKUP(AF$16,$L227:$X227,#REF!)),0,(LOOKUP(AF$16,$L227:$X227,#REF!)))</f>
        <v>0</v>
      </c>
      <c r="AG227" s="221">
        <f>IF(ISERROR(LOOKUP(AG$16,$L227:$X227,#REF!)),0,(LOOKUP(AG$16,$L227:$X227,#REF!)))</f>
        <v>0</v>
      </c>
      <c r="AH227" s="221">
        <f>IF(ISERROR(LOOKUP(AH$16,$L227:$X227,#REF!)),0,(LOOKUP(AH$16,$L227:$X227,#REF!)))</f>
        <v>0</v>
      </c>
      <c r="AI227" s="221">
        <f>IF(ISERROR(LOOKUP(AI$16,$L227:$X227,#REF!)),0,(LOOKUP(AI$16,$L227:$X227,#REF!)))</f>
        <v>0</v>
      </c>
      <c r="AJ227" s="221">
        <f>IF(ISERROR(LOOKUP(AJ$16,$L227:$X227,#REF!)),0,(LOOKUP(AJ$16,$L227:$X227,#REF!)))</f>
        <v>0</v>
      </c>
      <c r="AK227" s="221">
        <f>IF(ISERROR(LOOKUP(AK$16,$L227:$X227,#REF!)),0,(LOOKUP(AK$16,$L227:$X227,#REF!)))</f>
        <v>0</v>
      </c>
      <c r="AL227" s="221">
        <f>IF(ISERROR(LOOKUP(AL$16,$L227:$X227,#REF!)),0,(LOOKUP(AL$16,$L227:$X227,#REF!)))</f>
        <v>0</v>
      </c>
      <c r="AM227" s="221">
        <f ca="1">IF(ISERROR(LOOKUP(AM$16,$L227:$X227,#REF!)),0,(LOOKUP(AM$16,$L227:$X227,#REF!)))</f>
        <v>0</v>
      </c>
      <c r="AP227" s="215" t="e">
        <f>WORKDAY(AQ227,-INDEX(AQ$12:AQ$15,MATCH($I227,$I$12:$I$15,0)),$AW$17:$AW$148)</f>
        <v>#REF!</v>
      </c>
      <c r="AQ227" s="215" t="e">
        <f>WORKDAY(U227,-INDEX(U$12:U$15,MATCH($I227,$I$12:$I$15,0)),$AW$17:$AW$148)</f>
        <v>#REF!</v>
      </c>
      <c r="AR227" s="215" t="e">
        <f>WORKDAY(U227,-INDEX(U$12:U$15,MATCH($I227,$I$12:$I$15,0)),$AW$17:$AW$148)</f>
        <v>#REF!</v>
      </c>
      <c r="AS227" s="638">
        <v>7</v>
      </c>
      <c r="AW227" s="223"/>
    </row>
    <row r="228" spans="1:49" s="166" customFormat="1" ht="18" customHeight="1">
      <c r="A228" s="596"/>
      <c r="B228" s="599"/>
      <c r="C228" s="601"/>
      <c r="D228" s="601" t="s">
        <v>271</v>
      </c>
      <c r="E228" s="212"/>
      <c r="F228" s="601" t="str">
        <f t="shared" ref="F228:G228" si="386">F227</f>
        <v>Piping</v>
      </c>
      <c r="G228" s="601" t="str">
        <f t="shared" si="386"/>
        <v>N</v>
      </c>
      <c r="H228" s="607"/>
      <c r="I228" s="212" t="str">
        <f t="shared" ref="I228" si="387">I227</f>
        <v>LD</v>
      </c>
      <c r="J228" s="249" t="s">
        <v>65</v>
      </c>
      <c r="K228" s="215">
        <f>K227</f>
        <v>46169</v>
      </c>
      <c r="L228" s="215">
        <f>WORKDAY(IF(K229="",K228,K229),INDEX(L$12:L$15,MATCH($I227,$I$12:$I$15,0)))</f>
        <v>46174</v>
      </c>
      <c r="M228" s="215">
        <f>WORKDAY(IF(L229="",L228,L229),INDEX(M$12:M$15,MATCH($I227,$I$12:$I$15,0)))</f>
        <v>46181</v>
      </c>
      <c r="N228" s="215">
        <f>WORKDAY(IF(M229="",M228,M229),INDEX(N$12:N$15,MATCH($I227,$I$12:$I$15,0)))</f>
        <v>46182</v>
      </c>
      <c r="O228" s="215">
        <f>WORKDAY(IF(N229="",N228,N229),INDEX(O$12:O$15,MATCH($I227,$I$12:$I$15,0)))</f>
        <v>46185</v>
      </c>
      <c r="P228" s="216"/>
      <c r="Q228" s="217"/>
      <c r="R228" s="215">
        <f>WORKDAY(IF(O229="",O228,O229),INDEX(R$12:R$15,MATCH($I227,$I$12:$I$15,0)))</f>
        <v>46192</v>
      </c>
      <c r="S228" s="215">
        <f>WORKDAY(IF(R229="",R228,R229),INDEX(S$12:S$15,MATCH($I227,$I$12:$I$15,0)))</f>
        <v>46203</v>
      </c>
      <c r="T228" s="215">
        <f>WORKDAY(IF(S229="",S228,S229),INDEX(T$12:T$15,MATCH($I227,$I$12:$I$15,0)))</f>
        <v>46205</v>
      </c>
      <c r="U228" s="215">
        <f>WORKDAY(IF(T229="",T228,T229),INDEX(U$12:U$15,MATCH($I227,$I$12:$I$15,0)))</f>
        <v>46212</v>
      </c>
      <c r="V228" s="215">
        <f>WORKDAY(IF(U229="",U228,U229),INDEX(V$12:V$15,MATCH($I227,$I$12:$I$15,0)))</f>
        <v>46216</v>
      </c>
      <c r="W228" s="218"/>
      <c r="X228" s="215">
        <f>U228+Y227</f>
        <v>46382</v>
      </c>
      <c r="Y228" s="628"/>
      <c r="Z228" s="633"/>
      <c r="AA228" s="633"/>
      <c r="AB228" s="637"/>
      <c r="AC228" s="220">
        <f>IF(ISERROR(LOOKUP(AC$16,$L228:$X228,#REF!)),0,(LOOKUP(AC$16,$L228:$X228,#REF!)))</f>
        <v>0</v>
      </c>
      <c r="AD228" s="221">
        <f>IF(ISERROR(LOOKUP(AD$16,$L228:$X228,#REF!)),0,(LOOKUP(AD$16,$L228:$X228,#REF!)))</f>
        <v>0</v>
      </c>
      <c r="AE228" s="221">
        <f>IF(ISERROR(LOOKUP(AE$16,$L228:$X228,#REF!)),0,(LOOKUP(AE$16,$L228:$X228,#REF!)))</f>
        <v>0</v>
      </c>
      <c r="AF228" s="221">
        <f>IF(ISERROR(LOOKUP(AF$16,$L228:$X228,#REF!)),0,(LOOKUP(AF$16,$L228:$X228,#REF!)))</f>
        <v>0</v>
      </c>
      <c r="AG228" s="221">
        <f>IF(ISERROR(LOOKUP(AG$16,$L228:$X228,#REF!)),0,(LOOKUP(AG$16,$L228:$X228,#REF!)))</f>
        <v>0</v>
      </c>
      <c r="AH228" s="221">
        <f>IF(ISERROR(LOOKUP(AH$16,$L228:$X228,#REF!)),0,(LOOKUP(AH$16,$L228:$X228,#REF!)))</f>
        <v>0</v>
      </c>
      <c r="AI228" s="221">
        <f>IF(ISERROR(LOOKUP(AI$16,$L228:$X228,#REF!)),0,(LOOKUP(AI$16,$L228:$X228,#REF!)))</f>
        <v>0</v>
      </c>
      <c r="AJ228" s="221">
        <f>IF(ISERROR(LOOKUP(AJ$16,$L228:$X228,#REF!)),0,(LOOKUP(AJ$16,$L228:$X228,#REF!)))</f>
        <v>0</v>
      </c>
      <c r="AK228" s="221">
        <f>IF(ISERROR(LOOKUP(AK$16,$L228:$X228,#REF!)),0,(LOOKUP(AK$16,$L228:$X228,#REF!)))</f>
        <v>0</v>
      </c>
      <c r="AL228" s="221">
        <f>IF(ISERROR(LOOKUP(AL$16,$L228:$X228,#REF!)),0,(LOOKUP(AL$16,$L228:$X228,#REF!)))</f>
        <v>0</v>
      </c>
      <c r="AM228" s="221">
        <f ca="1">IF(ISERROR(LOOKUP(AM$16,$L228:$X228,#REF!)),0,(LOOKUP(AM$16,$L228:$X228,#REF!)))</f>
        <v>0</v>
      </c>
      <c r="AP228" s="215" t="e">
        <f>WORKDAY(IF(T229="",T228,T229),INDEX(AP$12:AP$15,MATCH($I227,$I$12:$I$15,0)),$AW$17:$AW$148)</f>
        <v>#REF!</v>
      </c>
      <c r="AQ228" s="215" t="e">
        <f>WORKDAY(IF(AP229="",AP228,AP229),INDEX(AQ$12:AQ$15,MATCH($I227,$I$12:$I$15,0)),$AW$17:$AW$148)</f>
        <v>#REF!</v>
      </c>
      <c r="AR228" s="215" t="e">
        <f>WORKDAY(IF(AQ229="",AQ228,AQ229),INDEX(AR$12:AR$15,MATCH($I227,$I$12:$I$15,0)),$AW$17:$AW$148)</f>
        <v>#REF!</v>
      </c>
      <c r="AS228" s="638"/>
      <c r="AW228" s="223"/>
    </row>
    <row r="229" spans="1:49" s="166" customFormat="1" ht="18" customHeight="1">
      <c r="A229" s="596"/>
      <c r="B229" s="600"/>
      <c r="C229" s="601"/>
      <c r="D229" s="601" t="s">
        <v>271</v>
      </c>
      <c r="E229" s="212"/>
      <c r="F229" s="601" t="str">
        <f t="shared" ref="F229:G229" si="388">F227</f>
        <v>Piping</v>
      </c>
      <c r="G229" s="601" t="str">
        <f t="shared" si="388"/>
        <v>N</v>
      </c>
      <c r="H229" s="608"/>
      <c r="I229" s="212" t="str">
        <f t="shared" ref="I229" si="389">I227</f>
        <v>LD</v>
      </c>
      <c r="J229" s="249" t="s">
        <v>67</v>
      </c>
      <c r="K229" s="212"/>
      <c r="L229" s="212"/>
      <c r="M229" s="212"/>
      <c r="N229" s="212"/>
      <c r="O229" s="212"/>
      <c r="P229" s="226"/>
      <c r="Q229" s="227"/>
      <c r="R229" s="212"/>
      <c r="S229" s="212"/>
      <c r="T229" s="212"/>
      <c r="U229" s="212"/>
      <c r="V229" s="212"/>
      <c r="W229" s="228"/>
      <c r="X229" s="212"/>
      <c r="Y229" s="628"/>
      <c r="Z229" s="633"/>
      <c r="AA229" s="633"/>
      <c r="AB229" s="637"/>
      <c r="AC229" s="229">
        <f>IF(ISERROR(LOOKUP(AC$16,$L229:$X229,#REF!)),0,(LOOKUP(AC$16,$L229:$X229,#REF!)))</f>
        <v>0</v>
      </c>
      <c r="AD229" s="230">
        <f>IF(ISERROR(LOOKUP(AD$16,$L229:$X229,#REF!)),0,(LOOKUP(AD$16,$L229:$X229,#REF!)))</f>
        <v>0</v>
      </c>
      <c r="AE229" s="230">
        <f>IF(ISERROR(LOOKUP(AE$16,$L229:$X229,#REF!)),0,(LOOKUP(AE$16,$L229:$X229,#REF!)))</f>
        <v>0</v>
      </c>
      <c r="AF229" s="230">
        <f>IF(ISERROR(LOOKUP(AF$16,$L229:$X229,#REF!)),0,(LOOKUP(AF$16,$L229:$X229,#REF!)))</f>
        <v>0</v>
      </c>
      <c r="AG229" s="230">
        <f>IF(ISERROR(LOOKUP(AG$16,$L229:$X229,#REF!)),0,(LOOKUP(AG$16,$L229:$X229,#REF!)))</f>
        <v>0</v>
      </c>
      <c r="AH229" s="230">
        <f>IF(ISERROR(LOOKUP(AH$16,$L229:$X229,#REF!)),0,(LOOKUP(AH$16,$L229:$X229,#REF!)))</f>
        <v>0</v>
      </c>
      <c r="AI229" s="230">
        <f>IF(ISERROR(LOOKUP(AI$16,$L229:$X229,#REF!)),0,(LOOKUP(AI$16,$L229:$X229,#REF!)))</f>
        <v>0</v>
      </c>
      <c r="AJ229" s="230">
        <f>IF(ISERROR(LOOKUP(AJ$16,$L229:$X229,#REF!)),0,(LOOKUP(AJ$16,$L229:$X229,#REF!)))</f>
        <v>0</v>
      </c>
      <c r="AK229" s="230">
        <f>IF(ISERROR(LOOKUP(AK$16,$L229:$X229,#REF!)),0,(LOOKUP(AK$16,$L229:$X229,#REF!)))</f>
        <v>0</v>
      </c>
      <c r="AL229" s="230">
        <f>IF(ISERROR(LOOKUP(AL$16,$L229:$X229,#REF!)),0,(LOOKUP(AL$16,$L229:$X229,#REF!)))</f>
        <v>0</v>
      </c>
      <c r="AM229" s="230">
        <f ca="1">IF(ISERROR(LOOKUP(AM$16,$L229:$X229,#REF!)),0,(LOOKUP(AM$16,$L229:$X229,#REF!)))</f>
        <v>0</v>
      </c>
      <c r="AP229" s="248"/>
      <c r="AQ229" s="248"/>
      <c r="AR229" s="248"/>
      <c r="AS229" s="638"/>
      <c r="AW229" s="223"/>
    </row>
    <row r="230" spans="1:49" s="166" customFormat="1" ht="18" customHeight="1">
      <c r="A230" s="596"/>
      <c r="B230" s="598"/>
      <c r="C230" s="601"/>
      <c r="D230" s="601" t="s">
        <v>273</v>
      </c>
      <c r="E230" s="212"/>
      <c r="F230" s="601" t="s">
        <v>83</v>
      </c>
      <c r="G230" s="601" t="s">
        <v>71</v>
      </c>
      <c r="H230" s="606"/>
      <c r="I230" s="212" t="s">
        <v>9</v>
      </c>
      <c r="J230" s="249" t="s">
        <v>61</v>
      </c>
      <c r="K230" s="215">
        <f>WORKDAY(L230,-INDEX(L$12:L$15,MATCH($I230,$I$12:$I$15,0)))</f>
        <v>46248</v>
      </c>
      <c r="L230" s="215">
        <f>WORKDAY(M230,-INDEX(M$12:M$15,MATCH($I230,$I$12:$I$15,0)))</f>
        <v>46253</v>
      </c>
      <c r="M230" s="215">
        <f>WORKDAY(N230,-INDEX(N$12:N$15,MATCH($I230,$I$12:$I$15,0)))</f>
        <v>46260</v>
      </c>
      <c r="N230" s="215">
        <f>WORKDAY(O230,-INDEX(O$12:O$15,MATCH($I230,$I$12:$I$15,0)))</f>
        <v>46261</v>
      </c>
      <c r="O230" s="215">
        <f>WORKDAY(R230,-INDEX(R$12:R$15,MATCH($I230,$I$12:$I$15,0)))</f>
        <v>46266</v>
      </c>
      <c r="P230" s="216">
        <f>U230-L230</f>
        <v>39</v>
      </c>
      <c r="Q230" s="217"/>
      <c r="R230" s="215">
        <f>WORKDAY(S230,-INDEX(S$12:S$15,MATCH($I230,$I$12:$I$15,0)))</f>
        <v>46273</v>
      </c>
      <c r="S230" s="215">
        <f>WORKDAY(T230,-INDEX(T$12:T$15,MATCH($I230,$I$12:$I$15,0)))</f>
        <v>46282</v>
      </c>
      <c r="T230" s="215">
        <f>WORKDAY(U230,-INDEX(U$12:U$15,MATCH($I230,$I$12:$I$15,0)))</f>
        <v>46286</v>
      </c>
      <c r="U230" s="215">
        <f>X230-Y230</f>
        <v>46292</v>
      </c>
      <c r="V230" s="215">
        <f>WORKDAY(U230,INDEX(V$12:V$15,MATCH($I230,$I$12:$I$15,0)))</f>
        <v>46294</v>
      </c>
      <c r="W230" s="218">
        <f>Y230/7</f>
        <v>12.8571428571429</v>
      </c>
      <c r="X230" s="215">
        <f>Z230</f>
        <v>46382</v>
      </c>
      <c r="Y230" s="628">
        <v>90</v>
      </c>
      <c r="Z230" s="633">
        <v>46382</v>
      </c>
      <c r="AA230" s="633">
        <v>46538</v>
      </c>
      <c r="AB230" s="637">
        <f t="shared" ref="AB230" si="390">Z230-X231</f>
        <v>0</v>
      </c>
      <c r="AC230" s="220">
        <f>IF(ISERROR(LOOKUP(AC$16,$L230:$X230,#REF!)),0,(LOOKUP(AC$16,$L230:$X230,#REF!)))</f>
        <v>0</v>
      </c>
      <c r="AD230" s="221">
        <f>IF(ISERROR(LOOKUP(AD$16,$L230:$X230,#REF!)),0,(LOOKUP(AD$16,$L230:$X230,#REF!)))</f>
        <v>0</v>
      </c>
      <c r="AE230" s="221">
        <f>IF(ISERROR(LOOKUP(AE$16,$L230:$X230,#REF!)),0,(LOOKUP(AE$16,$L230:$X230,#REF!)))</f>
        <v>0</v>
      </c>
      <c r="AF230" s="221">
        <f>IF(ISERROR(LOOKUP(AF$16,$L230:$X230,#REF!)),0,(LOOKUP(AF$16,$L230:$X230,#REF!)))</f>
        <v>0</v>
      </c>
      <c r="AG230" s="221">
        <f>IF(ISERROR(LOOKUP(AG$16,$L230:$X230,#REF!)),0,(LOOKUP(AG$16,$L230:$X230,#REF!)))</f>
        <v>0</v>
      </c>
      <c r="AH230" s="221">
        <f>IF(ISERROR(LOOKUP(AH$16,$L230:$X230,#REF!)),0,(LOOKUP(AH$16,$L230:$X230,#REF!)))</f>
        <v>0</v>
      </c>
      <c r="AI230" s="221">
        <f>IF(ISERROR(LOOKUP(AI$16,$L230:$X230,#REF!)),0,(LOOKUP(AI$16,$L230:$X230,#REF!)))</f>
        <v>0</v>
      </c>
      <c r="AJ230" s="221">
        <f>IF(ISERROR(LOOKUP(AJ$16,$L230:$X230,#REF!)),0,(LOOKUP(AJ$16,$L230:$X230,#REF!)))</f>
        <v>0</v>
      </c>
      <c r="AK230" s="221">
        <f>IF(ISERROR(LOOKUP(AK$16,$L230:$X230,#REF!)),0,(LOOKUP(AK$16,$L230:$X230,#REF!)))</f>
        <v>0</v>
      </c>
      <c r="AL230" s="221">
        <f>IF(ISERROR(LOOKUP(AL$16,$L230:$X230,#REF!)),0,(LOOKUP(AL$16,$L230:$X230,#REF!)))</f>
        <v>0</v>
      </c>
      <c r="AM230" s="221">
        <f ca="1">IF(ISERROR(LOOKUP(AM$16,$L230:$X230,#REF!)),0,(LOOKUP(AM$16,$L230:$X230,#REF!)))</f>
        <v>0</v>
      </c>
      <c r="AP230" s="215" t="e">
        <f>WORKDAY(AQ230,-INDEX(AQ$12:AQ$15,MATCH($I230,$I$12:$I$15,0)),$AW$17:$AW$148)</f>
        <v>#REF!</v>
      </c>
      <c r="AQ230" s="215" t="e">
        <f>WORKDAY(U230,-INDEX(U$12:U$15,MATCH($I230,$I$12:$I$15,0)),$AW$17:$AW$148)</f>
        <v>#REF!</v>
      </c>
      <c r="AR230" s="215" t="e">
        <f>WORKDAY(U230,-INDEX(U$12:U$15,MATCH($I230,$I$12:$I$15,0)),$AW$17:$AW$148)</f>
        <v>#REF!</v>
      </c>
      <c r="AS230" s="638">
        <v>7</v>
      </c>
      <c r="AW230" s="223"/>
    </row>
    <row r="231" spans="1:49" s="166" customFormat="1" ht="18" customHeight="1">
      <c r="A231" s="596"/>
      <c r="B231" s="599"/>
      <c r="C231" s="601"/>
      <c r="D231" s="601" t="s">
        <v>273</v>
      </c>
      <c r="E231" s="212"/>
      <c r="F231" s="601" t="str">
        <f t="shared" ref="F231:G231" si="391">F230</f>
        <v>Piping</v>
      </c>
      <c r="G231" s="601" t="str">
        <f t="shared" si="391"/>
        <v>N</v>
      </c>
      <c r="H231" s="607"/>
      <c r="I231" s="212" t="str">
        <f t="shared" ref="I231" si="392">I230</f>
        <v>LD</v>
      </c>
      <c r="J231" s="249" t="s">
        <v>65</v>
      </c>
      <c r="K231" s="215">
        <f>K230</f>
        <v>46248</v>
      </c>
      <c r="L231" s="215">
        <f>WORKDAY(IF(K232="",K231,K232),INDEX(L$12:L$15,MATCH($I230,$I$12:$I$15,0)))</f>
        <v>46253</v>
      </c>
      <c r="M231" s="215">
        <f>WORKDAY(IF(L232="",L231,L232),INDEX(M$12:M$15,MATCH($I230,$I$12:$I$15,0)))</f>
        <v>46260</v>
      </c>
      <c r="N231" s="215">
        <f>WORKDAY(IF(M232="",M231,M232),INDEX(N$12:N$15,MATCH($I230,$I$12:$I$15,0)))</f>
        <v>46261</v>
      </c>
      <c r="O231" s="215">
        <f>WORKDAY(IF(N232="",N231,N232),INDEX(O$12:O$15,MATCH($I230,$I$12:$I$15,0)))</f>
        <v>46266</v>
      </c>
      <c r="P231" s="216"/>
      <c r="Q231" s="217"/>
      <c r="R231" s="215">
        <f>WORKDAY(IF(O232="",O231,O232),INDEX(R$12:R$15,MATCH($I230,$I$12:$I$15,0)))</f>
        <v>46273</v>
      </c>
      <c r="S231" s="215">
        <f>WORKDAY(IF(R232="",R231,R232),INDEX(S$12:S$15,MATCH($I230,$I$12:$I$15,0)))</f>
        <v>46282</v>
      </c>
      <c r="T231" s="215">
        <f>WORKDAY(IF(S232="",S231,S232),INDEX(T$12:T$15,MATCH($I230,$I$12:$I$15,0)))</f>
        <v>46286</v>
      </c>
      <c r="U231" s="215">
        <f>WORKDAY(IF(T232="",T231,T232),INDEX(U$12:U$15,MATCH($I230,$I$12:$I$15,0)))-1</f>
        <v>46292</v>
      </c>
      <c r="V231" s="215">
        <f>WORKDAY(IF(U232="",U231,U232),INDEX(V$12:V$15,MATCH($I230,$I$12:$I$15,0)))</f>
        <v>46294</v>
      </c>
      <c r="W231" s="218"/>
      <c r="X231" s="215">
        <f>U231+Y230</f>
        <v>46382</v>
      </c>
      <c r="Y231" s="628"/>
      <c r="Z231" s="633"/>
      <c r="AA231" s="633"/>
      <c r="AB231" s="637"/>
      <c r="AC231" s="220">
        <f>IF(ISERROR(LOOKUP(AC$16,$L231:$X231,#REF!)),0,(LOOKUP(AC$16,$L231:$X231,#REF!)))</f>
        <v>0</v>
      </c>
      <c r="AD231" s="221">
        <f>IF(ISERROR(LOOKUP(AD$16,$L231:$X231,#REF!)),0,(LOOKUP(AD$16,$L231:$X231,#REF!)))</f>
        <v>0</v>
      </c>
      <c r="AE231" s="221">
        <f>IF(ISERROR(LOOKUP(AE$16,$L231:$X231,#REF!)),0,(LOOKUP(AE$16,$L231:$X231,#REF!)))</f>
        <v>0</v>
      </c>
      <c r="AF231" s="221">
        <f>IF(ISERROR(LOOKUP(AF$16,$L231:$X231,#REF!)),0,(LOOKUP(AF$16,$L231:$X231,#REF!)))</f>
        <v>0</v>
      </c>
      <c r="AG231" s="221">
        <f>IF(ISERROR(LOOKUP(AG$16,$L231:$X231,#REF!)),0,(LOOKUP(AG$16,$L231:$X231,#REF!)))</f>
        <v>0</v>
      </c>
      <c r="AH231" s="221">
        <f>IF(ISERROR(LOOKUP(AH$16,$L231:$X231,#REF!)),0,(LOOKUP(AH$16,$L231:$X231,#REF!)))</f>
        <v>0</v>
      </c>
      <c r="AI231" s="221">
        <f>IF(ISERROR(LOOKUP(AI$16,$L231:$X231,#REF!)),0,(LOOKUP(AI$16,$L231:$X231,#REF!)))</f>
        <v>0</v>
      </c>
      <c r="AJ231" s="221">
        <f>IF(ISERROR(LOOKUP(AJ$16,$L231:$X231,#REF!)),0,(LOOKUP(AJ$16,$L231:$X231,#REF!)))</f>
        <v>0</v>
      </c>
      <c r="AK231" s="221">
        <f>IF(ISERROR(LOOKUP(AK$16,$L231:$X231,#REF!)),0,(LOOKUP(AK$16,$L231:$X231,#REF!)))</f>
        <v>0</v>
      </c>
      <c r="AL231" s="221">
        <f>IF(ISERROR(LOOKUP(AL$16,$L231:$X231,#REF!)),0,(LOOKUP(AL$16,$L231:$X231,#REF!)))</f>
        <v>0</v>
      </c>
      <c r="AM231" s="221">
        <f ca="1">IF(ISERROR(LOOKUP(AM$16,$L231:$X231,#REF!)),0,(LOOKUP(AM$16,$L231:$X231,#REF!)))</f>
        <v>0</v>
      </c>
      <c r="AP231" s="215" t="e">
        <f>WORKDAY(IF(T232="",T231,T232),INDEX(AP$12:AP$15,MATCH($I230,$I$12:$I$15,0)),$AW$17:$AW$148)</f>
        <v>#REF!</v>
      </c>
      <c r="AQ231" s="215" t="e">
        <f>WORKDAY(IF(AP232="",AP231,AP232),INDEX(AQ$12:AQ$15,MATCH($I230,$I$12:$I$15,0)),$AW$17:$AW$148)</f>
        <v>#REF!</v>
      </c>
      <c r="AR231" s="215" t="e">
        <f>WORKDAY(IF(AQ232="",AQ231,AQ232),INDEX(AR$12:AR$15,MATCH($I230,$I$12:$I$15,0)),$AW$17:$AW$148)</f>
        <v>#REF!</v>
      </c>
      <c r="AS231" s="638"/>
      <c r="AW231" s="223"/>
    </row>
    <row r="232" spans="1:49" s="166" customFormat="1" ht="18" customHeight="1">
      <c r="A232" s="596"/>
      <c r="B232" s="600"/>
      <c r="C232" s="601"/>
      <c r="D232" s="601" t="s">
        <v>273</v>
      </c>
      <c r="E232" s="212"/>
      <c r="F232" s="601" t="str">
        <f t="shared" ref="F232:G232" si="393">F230</f>
        <v>Piping</v>
      </c>
      <c r="G232" s="601" t="str">
        <f t="shared" si="393"/>
        <v>N</v>
      </c>
      <c r="H232" s="608"/>
      <c r="I232" s="212" t="str">
        <f t="shared" ref="I232" si="394">I230</f>
        <v>LD</v>
      </c>
      <c r="J232" s="249" t="s">
        <v>67</v>
      </c>
      <c r="K232" s="212"/>
      <c r="L232" s="212"/>
      <c r="M232" s="212"/>
      <c r="N232" s="212"/>
      <c r="O232" s="212"/>
      <c r="P232" s="226"/>
      <c r="Q232" s="227"/>
      <c r="R232" s="212"/>
      <c r="S232" s="212"/>
      <c r="T232" s="212"/>
      <c r="U232" s="212"/>
      <c r="V232" s="212"/>
      <c r="W232" s="228"/>
      <c r="X232" s="212"/>
      <c r="Y232" s="628"/>
      <c r="Z232" s="633"/>
      <c r="AA232" s="633"/>
      <c r="AB232" s="637"/>
      <c r="AC232" s="229">
        <f>IF(ISERROR(LOOKUP(AC$16,$L232:$X232,#REF!)),0,(LOOKUP(AC$16,$L232:$X232,#REF!)))</f>
        <v>0</v>
      </c>
      <c r="AD232" s="230">
        <f>IF(ISERROR(LOOKUP(AD$16,$L232:$X232,#REF!)),0,(LOOKUP(AD$16,$L232:$X232,#REF!)))</f>
        <v>0</v>
      </c>
      <c r="AE232" s="230">
        <f>IF(ISERROR(LOOKUP(AE$16,$L232:$X232,#REF!)),0,(LOOKUP(AE$16,$L232:$X232,#REF!)))</f>
        <v>0</v>
      </c>
      <c r="AF232" s="230">
        <f>IF(ISERROR(LOOKUP(AF$16,$L232:$X232,#REF!)),0,(LOOKUP(AF$16,$L232:$X232,#REF!)))</f>
        <v>0</v>
      </c>
      <c r="AG232" s="230">
        <f>IF(ISERROR(LOOKUP(AG$16,$L232:$X232,#REF!)),0,(LOOKUP(AG$16,$L232:$X232,#REF!)))</f>
        <v>0</v>
      </c>
      <c r="AH232" s="230">
        <f>IF(ISERROR(LOOKUP(AH$16,$L232:$X232,#REF!)),0,(LOOKUP(AH$16,$L232:$X232,#REF!)))</f>
        <v>0</v>
      </c>
      <c r="AI232" s="230">
        <f>IF(ISERROR(LOOKUP(AI$16,$L232:$X232,#REF!)),0,(LOOKUP(AI$16,$L232:$X232,#REF!)))</f>
        <v>0</v>
      </c>
      <c r="AJ232" s="230">
        <f>IF(ISERROR(LOOKUP(AJ$16,$L232:$X232,#REF!)),0,(LOOKUP(AJ$16,$L232:$X232,#REF!)))</f>
        <v>0</v>
      </c>
      <c r="AK232" s="230">
        <f>IF(ISERROR(LOOKUP(AK$16,$L232:$X232,#REF!)),0,(LOOKUP(AK$16,$L232:$X232,#REF!)))</f>
        <v>0</v>
      </c>
      <c r="AL232" s="230">
        <f>IF(ISERROR(LOOKUP(AL$16,$L232:$X232,#REF!)),0,(LOOKUP(AL$16,$L232:$X232,#REF!)))</f>
        <v>0</v>
      </c>
      <c r="AM232" s="230">
        <f ca="1">IF(ISERROR(LOOKUP(AM$16,$L232:$X232,#REF!)),0,(LOOKUP(AM$16,$L232:$X232,#REF!)))</f>
        <v>0</v>
      </c>
      <c r="AP232" s="248"/>
      <c r="AQ232" s="248"/>
      <c r="AR232" s="248"/>
      <c r="AS232" s="638"/>
      <c r="AW232" s="223"/>
    </row>
    <row r="233" spans="1:49" s="166" customFormat="1" ht="18" customHeight="1">
      <c r="A233" s="596"/>
      <c r="B233" s="598"/>
      <c r="C233" s="601"/>
      <c r="D233" s="601" t="s">
        <v>275</v>
      </c>
      <c r="E233" s="212"/>
      <c r="F233" s="601" t="s">
        <v>83</v>
      </c>
      <c r="G233" s="601" t="s">
        <v>71</v>
      </c>
      <c r="H233" s="606"/>
      <c r="I233" s="212" t="s">
        <v>9</v>
      </c>
      <c r="J233" s="249" t="s">
        <v>61</v>
      </c>
      <c r="K233" s="215">
        <f>WORKDAY(L233,-INDEX(L$12:L$15,MATCH($I233,$I$12:$I$15,0)))</f>
        <v>46248</v>
      </c>
      <c r="L233" s="215">
        <f>WORKDAY(M233,-INDEX(M$12:M$15,MATCH($I233,$I$12:$I$15,0)))</f>
        <v>46253</v>
      </c>
      <c r="M233" s="215">
        <f>WORKDAY(N233,-INDEX(N$12:N$15,MATCH($I233,$I$12:$I$15,0)))</f>
        <v>46260</v>
      </c>
      <c r="N233" s="215">
        <f>WORKDAY(O233,-INDEX(O$12:O$15,MATCH($I233,$I$12:$I$15,0)))</f>
        <v>46261</v>
      </c>
      <c r="O233" s="215">
        <f>WORKDAY(R233,-INDEX(R$12:R$15,MATCH($I233,$I$12:$I$15,0)))</f>
        <v>46266</v>
      </c>
      <c r="P233" s="216">
        <f>U233-L233</f>
        <v>39</v>
      </c>
      <c r="Q233" s="217"/>
      <c r="R233" s="215">
        <f>WORKDAY(S233,-INDEX(S$12:S$15,MATCH($I233,$I$12:$I$15,0)))</f>
        <v>46273</v>
      </c>
      <c r="S233" s="215">
        <f>WORKDAY(T233,-INDEX(T$12:T$15,MATCH($I233,$I$12:$I$15,0)))</f>
        <v>46282</v>
      </c>
      <c r="T233" s="215">
        <f>WORKDAY(U233,-INDEX(U$12:U$15,MATCH($I233,$I$12:$I$15,0)))</f>
        <v>46286</v>
      </c>
      <c r="U233" s="215">
        <f>X233-Y233</f>
        <v>46292</v>
      </c>
      <c r="V233" s="215">
        <f>WORKDAY(U233,INDEX(V$12:V$15,MATCH($I233,$I$12:$I$15,0)))</f>
        <v>46294</v>
      </c>
      <c r="W233" s="218">
        <f>Y233/7</f>
        <v>12.8571428571429</v>
      </c>
      <c r="X233" s="215">
        <f>Z233</f>
        <v>46382</v>
      </c>
      <c r="Y233" s="628">
        <v>90</v>
      </c>
      <c r="Z233" s="633">
        <v>46382</v>
      </c>
      <c r="AA233" s="633">
        <v>46538</v>
      </c>
      <c r="AB233" s="637">
        <f t="shared" ref="AB233" si="395">Z233-X234</f>
        <v>0</v>
      </c>
      <c r="AC233" s="220">
        <f>IF(ISERROR(LOOKUP(AC$16,$L233:$X233,#REF!)),0,(LOOKUP(AC$16,$L233:$X233,#REF!)))</f>
        <v>0</v>
      </c>
      <c r="AD233" s="221">
        <f>IF(ISERROR(LOOKUP(AD$16,$L233:$X233,#REF!)),0,(LOOKUP(AD$16,$L233:$X233,#REF!)))</f>
        <v>0</v>
      </c>
      <c r="AE233" s="221">
        <f>IF(ISERROR(LOOKUP(AE$16,$L233:$X233,#REF!)),0,(LOOKUP(AE$16,$L233:$X233,#REF!)))</f>
        <v>0</v>
      </c>
      <c r="AF233" s="221">
        <f>IF(ISERROR(LOOKUP(AF$16,$L233:$X233,#REF!)),0,(LOOKUP(AF$16,$L233:$X233,#REF!)))</f>
        <v>0</v>
      </c>
      <c r="AG233" s="221">
        <f>IF(ISERROR(LOOKUP(AG$16,$L233:$X233,#REF!)),0,(LOOKUP(AG$16,$L233:$X233,#REF!)))</f>
        <v>0</v>
      </c>
      <c r="AH233" s="221">
        <f>IF(ISERROR(LOOKUP(AH$16,$L233:$X233,#REF!)),0,(LOOKUP(AH$16,$L233:$X233,#REF!)))</f>
        <v>0</v>
      </c>
      <c r="AI233" s="221">
        <f>IF(ISERROR(LOOKUP(AI$16,$L233:$X233,#REF!)),0,(LOOKUP(AI$16,$L233:$X233,#REF!)))</f>
        <v>0</v>
      </c>
      <c r="AJ233" s="221">
        <f>IF(ISERROR(LOOKUP(AJ$16,$L233:$X233,#REF!)),0,(LOOKUP(AJ$16,$L233:$X233,#REF!)))</f>
        <v>0</v>
      </c>
      <c r="AK233" s="221">
        <f>IF(ISERROR(LOOKUP(AK$16,$L233:$X233,#REF!)),0,(LOOKUP(AK$16,$L233:$X233,#REF!)))</f>
        <v>0</v>
      </c>
      <c r="AL233" s="221">
        <f>IF(ISERROR(LOOKUP(AL$16,$L233:$X233,#REF!)),0,(LOOKUP(AL$16,$L233:$X233,#REF!)))</f>
        <v>0</v>
      </c>
      <c r="AM233" s="221">
        <f ca="1">IF(ISERROR(LOOKUP(AM$16,$L233:$X233,#REF!)),0,(LOOKUP(AM$16,$L233:$X233,#REF!)))</f>
        <v>0</v>
      </c>
      <c r="AP233" s="215" t="e">
        <f>WORKDAY(AQ233,-INDEX(AQ$12:AQ$15,MATCH($I233,$I$12:$I$15,0)),$AW$17:$AW$148)</f>
        <v>#REF!</v>
      </c>
      <c r="AQ233" s="215" t="e">
        <f>WORKDAY(U233,-INDEX(U$12:U$15,MATCH($I233,$I$12:$I$15,0)),$AW$17:$AW$148)</f>
        <v>#REF!</v>
      </c>
      <c r="AR233" s="215" t="e">
        <f>WORKDAY(U233,-INDEX(U$12:U$15,MATCH($I233,$I$12:$I$15,0)),$AW$17:$AW$148)</f>
        <v>#REF!</v>
      </c>
      <c r="AS233" s="638">
        <v>7</v>
      </c>
      <c r="AW233" s="223"/>
    </row>
    <row r="234" spans="1:49" s="166" customFormat="1" ht="18" customHeight="1">
      <c r="A234" s="596"/>
      <c r="B234" s="599"/>
      <c r="C234" s="601"/>
      <c r="D234" s="601" t="s">
        <v>275</v>
      </c>
      <c r="E234" s="212"/>
      <c r="F234" s="601" t="str">
        <f t="shared" ref="F234:G234" si="396">F233</f>
        <v>Piping</v>
      </c>
      <c r="G234" s="601" t="str">
        <f t="shared" si="396"/>
        <v>N</v>
      </c>
      <c r="H234" s="607"/>
      <c r="I234" s="212" t="str">
        <f t="shared" ref="I234" si="397">I233</f>
        <v>LD</v>
      </c>
      <c r="J234" s="249" t="s">
        <v>65</v>
      </c>
      <c r="K234" s="215">
        <f>K233</f>
        <v>46248</v>
      </c>
      <c r="L234" s="215">
        <f>WORKDAY(IF(K235="",K234,K235),INDEX(L$12:L$15,MATCH($I233,$I$12:$I$15,0)))</f>
        <v>46253</v>
      </c>
      <c r="M234" s="215">
        <f>WORKDAY(IF(L235="",L234,L235),INDEX(M$12:M$15,MATCH($I233,$I$12:$I$15,0)))</f>
        <v>46260</v>
      </c>
      <c r="N234" s="215">
        <f>WORKDAY(IF(M235="",M234,M235),INDEX(N$12:N$15,MATCH($I233,$I$12:$I$15,0)))</f>
        <v>46261</v>
      </c>
      <c r="O234" s="215">
        <f>WORKDAY(IF(N235="",N234,N235),INDEX(O$12:O$15,MATCH($I233,$I$12:$I$15,0)))</f>
        <v>46266</v>
      </c>
      <c r="P234" s="216"/>
      <c r="Q234" s="217"/>
      <c r="R234" s="215">
        <f>WORKDAY(IF(O235="",O234,O235),INDEX(R$12:R$15,MATCH($I233,$I$12:$I$15,0)))</f>
        <v>46273</v>
      </c>
      <c r="S234" s="215">
        <f>WORKDAY(IF(R235="",R234,R235),INDEX(S$12:S$15,MATCH($I233,$I$12:$I$15,0)))</f>
        <v>46282</v>
      </c>
      <c r="T234" s="215">
        <f>WORKDAY(IF(S235="",S234,S235),INDEX(T$12:T$15,MATCH($I233,$I$12:$I$15,0)))</f>
        <v>46286</v>
      </c>
      <c r="U234" s="215">
        <f>WORKDAY(IF(T235="",T234,T235),INDEX(U$12:U$15,MATCH($I233,$I$12:$I$15,0)))-1</f>
        <v>46292</v>
      </c>
      <c r="V234" s="215">
        <f>WORKDAY(IF(U235="",U234,U235),INDEX(V$12:V$15,MATCH($I233,$I$12:$I$15,0)))</f>
        <v>46294</v>
      </c>
      <c r="W234" s="218"/>
      <c r="X234" s="215">
        <f>U234+Y233</f>
        <v>46382</v>
      </c>
      <c r="Y234" s="628"/>
      <c r="Z234" s="633"/>
      <c r="AA234" s="633"/>
      <c r="AB234" s="637"/>
      <c r="AC234" s="220">
        <f>IF(ISERROR(LOOKUP(AC$16,$L234:$X234,#REF!)),0,(LOOKUP(AC$16,$L234:$X234,#REF!)))</f>
        <v>0</v>
      </c>
      <c r="AD234" s="221">
        <f>IF(ISERROR(LOOKUP(AD$16,$L234:$X234,#REF!)),0,(LOOKUP(AD$16,$L234:$X234,#REF!)))</f>
        <v>0</v>
      </c>
      <c r="AE234" s="221">
        <f>IF(ISERROR(LOOKUP(AE$16,$L234:$X234,#REF!)),0,(LOOKUP(AE$16,$L234:$X234,#REF!)))</f>
        <v>0</v>
      </c>
      <c r="AF234" s="221">
        <f>IF(ISERROR(LOOKUP(AF$16,$L234:$X234,#REF!)),0,(LOOKUP(AF$16,$L234:$X234,#REF!)))</f>
        <v>0</v>
      </c>
      <c r="AG234" s="221">
        <f>IF(ISERROR(LOOKUP(AG$16,$L234:$X234,#REF!)),0,(LOOKUP(AG$16,$L234:$X234,#REF!)))</f>
        <v>0</v>
      </c>
      <c r="AH234" s="221">
        <f>IF(ISERROR(LOOKUP(AH$16,$L234:$X234,#REF!)),0,(LOOKUP(AH$16,$L234:$X234,#REF!)))</f>
        <v>0</v>
      </c>
      <c r="AI234" s="221">
        <f>IF(ISERROR(LOOKUP(AI$16,$L234:$X234,#REF!)),0,(LOOKUP(AI$16,$L234:$X234,#REF!)))</f>
        <v>0</v>
      </c>
      <c r="AJ234" s="221">
        <f>IF(ISERROR(LOOKUP(AJ$16,$L234:$X234,#REF!)),0,(LOOKUP(AJ$16,$L234:$X234,#REF!)))</f>
        <v>0</v>
      </c>
      <c r="AK234" s="221">
        <f>IF(ISERROR(LOOKUP(AK$16,$L234:$X234,#REF!)),0,(LOOKUP(AK$16,$L234:$X234,#REF!)))</f>
        <v>0</v>
      </c>
      <c r="AL234" s="221">
        <f>IF(ISERROR(LOOKUP(AL$16,$L234:$X234,#REF!)),0,(LOOKUP(AL$16,$L234:$X234,#REF!)))</f>
        <v>0</v>
      </c>
      <c r="AM234" s="221">
        <f ca="1">IF(ISERROR(LOOKUP(AM$16,$L234:$X234,#REF!)),0,(LOOKUP(AM$16,$L234:$X234,#REF!)))</f>
        <v>0</v>
      </c>
      <c r="AP234" s="215" t="e">
        <f>WORKDAY(IF(T235="",T234,T235),INDEX(AP$12:AP$15,MATCH($I233,$I$12:$I$15,0)),$AW$17:$AW$148)</f>
        <v>#REF!</v>
      </c>
      <c r="AQ234" s="215" t="e">
        <f>WORKDAY(IF(AP235="",AP234,AP235),INDEX(AQ$12:AQ$15,MATCH($I233,$I$12:$I$15,0)),$AW$17:$AW$148)</f>
        <v>#REF!</v>
      </c>
      <c r="AR234" s="215" t="e">
        <f>WORKDAY(IF(AQ235="",AQ234,AQ235),INDEX(AR$12:AR$15,MATCH($I233,$I$12:$I$15,0)),$AW$17:$AW$148)</f>
        <v>#REF!</v>
      </c>
      <c r="AS234" s="638"/>
      <c r="AW234" s="223"/>
    </row>
    <row r="235" spans="1:49" s="166" customFormat="1" ht="18" customHeight="1">
      <c r="A235" s="596"/>
      <c r="B235" s="600"/>
      <c r="C235" s="601"/>
      <c r="D235" s="601" t="s">
        <v>275</v>
      </c>
      <c r="E235" s="212"/>
      <c r="F235" s="601" t="str">
        <f t="shared" ref="F235:G235" si="398">F233</f>
        <v>Piping</v>
      </c>
      <c r="G235" s="601" t="str">
        <f t="shared" si="398"/>
        <v>N</v>
      </c>
      <c r="H235" s="608"/>
      <c r="I235" s="212" t="str">
        <f t="shared" ref="I235" si="399">I233</f>
        <v>LD</v>
      </c>
      <c r="J235" s="249" t="s">
        <v>67</v>
      </c>
      <c r="K235" s="212"/>
      <c r="L235" s="212"/>
      <c r="M235" s="212"/>
      <c r="N235" s="212"/>
      <c r="O235" s="212"/>
      <c r="P235" s="226"/>
      <c r="Q235" s="227"/>
      <c r="R235" s="212"/>
      <c r="S235" s="212"/>
      <c r="T235" s="212"/>
      <c r="U235" s="212"/>
      <c r="V235" s="212"/>
      <c r="W235" s="228"/>
      <c r="X235" s="212"/>
      <c r="Y235" s="628"/>
      <c r="Z235" s="633"/>
      <c r="AA235" s="633"/>
      <c r="AB235" s="637"/>
      <c r="AC235" s="229">
        <f>IF(ISERROR(LOOKUP(AC$16,$L235:$X235,#REF!)),0,(LOOKUP(AC$16,$L235:$X235,#REF!)))</f>
        <v>0</v>
      </c>
      <c r="AD235" s="230">
        <f>IF(ISERROR(LOOKUP(AD$16,$L235:$X235,#REF!)),0,(LOOKUP(AD$16,$L235:$X235,#REF!)))</f>
        <v>0</v>
      </c>
      <c r="AE235" s="230">
        <f>IF(ISERROR(LOOKUP(AE$16,$L235:$X235,#REF!)),0,(LOOKUP(AE$16,$L235:$X235,#REF!)))</f>
        <v>0</v>
      </c>
      <c r="AF235" s="230">
        <f>IF(ISERROR(LOOKUP(AF$16,$L235:$X235,#REF!)),0,(LOOKUP(AF$16,$L235:$X235,#REF!)))</f>
        <v>0</v>
      </c>
      <c r="AG235" s="230">
        <f>IF(ISERROR(LOOKUP(AG$16,$L235:$X235,#REF!)),0,(LOOKUP(AG$16,$L235:$X235,#REF!)))</f>
        <v>0</v>
      </c>
      <c r="AH235" s="230">
        <f>IF(ISERROR(LOOKUP(AH$16,$L235:$X235,#REF!)),0,(LOOKUP(AH$16,$L235:$X235,#REF!)))</f>
        <v>0</v>
      </c>
      <c r="AI235" s="230">
        <f>IF(ISERROR(LOOKUP(AI$16,$L235:$X235,#REF!)),0,(LOOKUP(AI$16,$L235:$X235,#REF!)))</f>
        <v>0</v>
      </c>
      <c r="AJ235" s="230">
        <f>IF(ISERROR(LOOKUP(AJ$16,$L235:$X235,#REF!)),0,(LOOKUP(AJ$16,$L235:$X235,#REF!)))</f>
        <v>0</v>
      </c>
      <c r="AK235" s="230">
        <f>IF(ISERROR(LOOKUP(AK$16,$L235:$X235,#REF!)),0,(LOOKUP(AK$16,$L235:$X235,#REF!)))</f>
        <v>0</v>
      </c>
      <c r="AL235" s="230">
        <f>IF(ISERROR(LOOKUP(AL$16,$L235:$X235,#REF!)),0,(LOOKUP(AL$16,$L235:$X235,#REF!)))</f>
        <v>0</v>
      </c>
      <c r="AM235" s="230">
        <f ca="1">IF(ISERROR(LOOKUP(AM$16,$L235:$X235,#REF!)),0,(LOOKUP(AM$16,$L235:$X235,#REF!)))</f>
        <v>0</v>
      </c>
      <c r="AP235" s="248"/>
      <c r="AQ235" s="248"/>
      <c r="AR235" s="248"/>
      <c r="AS235" s="638"/>
      <c r="AW235" s="223"/>
    </row>
    <row r="236" spans="1:49" s="166" customFormat="1" ht="18" customHeight="1">
      <c r="A236" s="596"/>
      <c r="B236" s="598"/>
      <c r="C236" s="601"/>
      <c r="D236" s="601" t="s">
        <v>277</v>
      </c>
      <c r="E236" s="212"/>
      <c r="F236" s="601" t="s">
        <v>83</v>
      </c>
      <c r="G236" s="601" t="s">
        <v>71</v>
      </c>
      <c r="H236" s="606"/>
      <c r="I236" s="212" t="s">
        <v>9</v>
      </c>
      <c r="J236" s="249" t="s">
        <v>61</v>
      </c>
      <c r="K236" s="215">
        <f>WORKDAY(L236,-INDEX(L$12:L$15,MATCH($I236,$I$12:$I$15,0)))</f>
        <v>46248</v>
      </c>
      <c r="L236" s="215">
        <f>WORKDAY(M236,-INDEX(M$12:M$15,MATCH($I236,$I$12:$I$15,0)))</f>
        <v>46253</v>
      </c>
      <c r="M236" s="215">
        <f>WORKDAY(N236,-INDEX(N$12:N$15,MATCH($I236,$I$12:$I$15,0)))</f>
        <v>46260</v>
      </c>
      <c r="N236" s="215">
        <f>WORKDAY(O236,-INDEX(O$12:O$15,MATCH($I236,$I$12:$I$15,0)))</f>
        <v>46261</v>
      </c>
      <c r="O236" s="215">
        <f>WORKDAY(R236,-INDEX(R$12:R$15,MATCH($I236,$I$12:$I$15,0)))</f>
        <v>46266</v>
      </c>
      <c r="P236" s="216">
        <f>U236-L236</f>
        <v>39</v>
      </c>
      <c r="Q236" s="217"/>
      <c r="R236" s="215">
        <f>WORKDAY(S236,-INDEX(S$12:S$15,MATCH($I236,$I$12:$I$15,0)))</f>
        <v>46273</v>
      </c>
      <c r="S236" s="215">
        <f>WORKDAY(T236,-INDEX(T$12:T$15,MATCH($I236,$I$12:$I$15,0)))</f>
        <v>46282</v>
      </c>
      <c r="T236" s="215">
        <f>WORKDAY(U236,-INDEX(U$12:U$15,MATCH($I236,$I$12:$I$15,0)))</f>
        <v>46286</v>
      </c>
      <c r="U236" s="215">
        <f>X236-Y236</f>
        <v>46292</v>
      </c>
      <c r="V236" s="215">
        <f>WORKDAY(U236,INDEX(V$12:V$15,MATCH($I236,$I$12:$I$15,0)))</f>
        <v>46294</v>
      </c>
      <c r="W236" s="218">
        <f>Y236/7</f>
        <v>12.8571428571429</v>
      </c>
      <c r="X236" s="215">
        <f>Z236</f>
        <v>46382</v>
      </c>
      <c r="Y236" s="628">
        <v>90</v>
      </c>
      <c r="Z236" s="633">
        <v>46382</v>
      </c>
      <c r="AA236" s="633">
        <v>46538</v>
      </c>
      <c r="AB236" s="637">
        <f t="shared" ref="AB236" si="400">Z236-X237</f>
        <v>0</v>
      </c>
      <c r="AC236" s="220">
        <f>IF(ISERROR(LOOKUP(AC$16,$L236:$X236,#REF!)),0,(LOOKUP(AC$16,$L236:$X236,#REF!)))</f>
        <v>0</v>
      </c>
      <c r="AD236" s="221">
        <f>IF(ISERROR(LOOKUP(AD$16,$L236:$X236,#REF!)),0,(LOOKUP(AD$16,$L236:$X236,#REF!)))</f>
        <v>0</v>
      </c>
      <c r="AE236" s="221">
        <f>IF(ISERROR(LOOKUP(AE$16,$L236:$X236,#REF!)),0,(LOOKUP(AE$16,$L236:$X236,#REF!)))</f>
        <v>0</v>
      </c>
      <c r="AF236" s="221">
        <f>IF(ISERROR(LOOKUP(AF$16,$L236:$X236,#REF!)),0,(LOOKUP(AF$16,$L236:$X236,#REF!)))</f>
        <v>0</v>
      </c>
      <c r="AG236" s="221">
        <f>IF(ISERROR(LOOKUP(AG$16,$L236:$X236,#REF!)),0,(LOOKUP(AG$16,$L236:$X236,#REF!)))</f>
        <v>0</v>
      </c>
      <c r="AH236" s="221">
        <f>IF(ISERROR(LOOKUP(AH$16,$L236:$X236,#REF!)),0,(LOOKUP(AH$16,$L236:$X236,#REF!)))</f>
        <v>0</v>
      </c>
      <c r="AI236" s="221">
        <f>IF(ISERROR(LOOKUP(AI$16,$L236:$X236,#REF!)),0,(LOOKUP(AI$16,$L236:$X236,#REF!)))</f>
        <v>0</v>
      </c>
      <c r="AJ236" s="221">
        <f>IF(ISERROR(LOOKUP(AJ$16,$L236:$X236,#REF!)),0,(LOOKUP(AJ$16,$L236:$X236,#REF!)))</f>
        <v>0</v>
      </c>
      <c r="AK236" s="221">
        <f>IF(ISERROR(LOOKUP(AK$16,$L236:$X236,#REF!)),0,(LOOKUP(AK$16,$L236:$X236,#REF!)))</f>
        <v>0</v>
      </c>
      <c r="AL236" s="221">
        <f>IF(ISERROR(LOOKUP(AL$16,$L236:$X236,#REF!)),0,(LOOKUP(AL$16,$L236:$X236,#REF!)))</f>
        <v>0</v>
      </c>
      <c r="AM236" s="221">
        <f ca="1">IF(ISERROR(LOOKUP(AM$16,$L236:$X236,#REF!)),0,(LOOKUP(AM$16,$L236:$X236,#REF!)))</f>
        <v>0</v>
      </c>
      <c r="AP236" s="215" t="e">
        <f>WORKDAY(AQ236,-INDEX(AQ$12:AQ$15,MATCH($I236,$I$12:$I$15,0)),$AW$17:$AW$148)</f>
        <v>#REF!</v>
      </c>
      <c r="AQ236" s="215" t="e">
        <f>WORKDAY(U236,-INDEX(U$12:U$15,MATCH($I236,$I$12:$I$15,0)),$AW$17:$AW$148)</f>
        <v>#REF!</v>
      </c>
      <c r="AR236" s="215" t="e">
        <f>WORKDAY(U236,-INDEX(U$12:U$15,MATCH($I236,$I$12:$I$15,0)),$AW$17:$AW$148)</f>
        <v>#REF!</v>
      </c>
      <c r="AS236" s="638">
        <v>7</v>
      </c>
      <c r="AW236" s="223"/>
    </row>
    <row r="237" spans="1:49" s="166" customFormat="1" ht="18" customHeight="1">
      <c r="A237" s="596"/>
      <c r="B237" s="599"/>
      <c r="C237" s="601"/>
      <c r="D237" s="601" t="s">
        <v>277</v>
      </c>
      <c r="E237" s="212"/>
      <c r="F237" s="601" t="str">
        <f t="shared" ref="F237:G237" si="401">F236</f>
        <v>Piping</v>
      </c>
      <c r="G237" s="601" t="str">
        <f t="shared" si="401"/>
        <v>N</v>
      </c>
      <c r="H237" s="607"/>
      <c r="I237" s="212" t="str">
        <f t="shared" ref="I237" si="402">I236</f>
        <v>LD</v>
      </c>
      <c r="J237" s="249" t="s">
        <v>65</v>
      </c>
      <c r="K237" s="215">
        <f>K236</f>
        <v>46248</v>
      </c>
      <c r="L237" s="215">
        <f>WORKDAY(IF(K238="",K237,K238),INDEX(L$12:L$15,MATCH($I236,$I$12:$I$15,0)))</f>
        <v>46253</v>
      </c>
      <c r="M237" s="215">
        <f>WORKDAY(IF(L238="",L237,L238),INDEX(M$12:M$15,MATCH($I236,$I$12:$I$15,0)))</f>
        <v>46260</v>
      </c>
      <c r="N237" s="215">
        <f>WORKDAY(IF(M238="",M237,M238),INDEX(N$12:N$15,MATCH($I236,$I$12:$I$15,0)))</f>
        <v>46261</v>
      </c>
      <c r="O237" s="215">
        <f>WORKDAY(IF(N238="",N237,N238),INDEX(O$12:O$15,MATCH($I236,$I$12:$I$15,0)))</f>
        <v>46266</v>
      </c>
      <c r="P237" s="216"/>
      <c r="Q237" s="217"/>
      <c r="R237" s="215">
        <f>WORKDAY(IF(O238="",O237,O238),INDEX(R$12:R$15,MATCH($I236,$I$12:$I$15,0)))</f>
        <v>46273</v>
      </c>
      <c r="S237" s="215">
        <f>WORKDAY(IF(R238="",R237,R238),INDEX(S$12:S$15,MATCH($I236,$I$12:$I$15,0)))</f>
        <v>46282</v>
      </c>
      <c r="T237" s="215">
        <f>WORKDAY(IF(S238="",S237,S238),INDEX(T$12:T$15,MATCH($I236,$I$12:$I$15,0)))</f>
        <v>46286</v>
      </c>
      <c r="U237" s="215">
        <f>WORKDAY(IF(T238="",T237,T238),INDEX(U$12:U$15,MATCH($I236,$I$12:$I$15,0)))-1</f>
        <v>46292</v>
      </c>
      <c r="V237" s="215">
        <f>WORKDAY(IF(U238="",U237,U238),INDEX(V$12:V$15,MATCH($I236,$I$12:$I$15,0)))</f>
        <v>46294</v>
      </c>
      <c r="W237" s="218"/>
      <c r="X237" s="215">
        <f>U237+Y236</f>
        <v>46382</v>
      </c>
      <c r="Y237" s="628"/>
      <c r="Z237" s="633"/>
      <c r="AA237" s="633"/>
      <c r="AB237" s="637"/>
      <c r="AC237" s="220">
        <f>IF(ISERROR(LOOKUP(AC$16,$L237:$X237,#REF!)),0,(LOOKUP(AC$16,$L237:$X237,#REF!)))</f>
        <v>0</v>
      </c>
      <c r="AD237" s="221">
        <f>IF(ISERROR(LOOKUP(AD$16,$L237:$X237,#REF!)),0,(LOOKUP(AD$16,$L237:$X237,#REF!)))</f>
        <v>0</v>
      </c>
      <c r="AE237" s="221">
        <f>IF(ISERROR(LOOKUP(AE$16,$L237:$X237,#REF!)),0,(LOOKUP(AE$16,$L237:$X237,#REF!)))</f>
        <v>0</v>
      </c>
      <c r="AF237" s="221">
        <f>IF(ISERROR(LOOKUP(AF$16,$L237:$X237,#REF!)),0,(LOOKUP(AF$16,$L237:$X237,#REF!)))</f>
        <v>0</v>
      </c>
      <c r="AG237" s="221">
        <f>IF(ISERROR(LOOKUP(AG$16,$L237:$X237,#REF!)),0,(LOOKUP(AG$16,$L237:$X237,#REF!)))</f>
        <v>0</v>
      </c>
      <c r="AH237" s="221">
        <f>IF(ISERROR(LOOKUP(AH$16,$L237:$X237,#REF!)),0,(LOOKUP(AH$16,$L237:$X237,#REF!)))</f>
        <v>0</v>
      </c>
      <c r="AI237" s="221">
        <f>IF(ISERROR(LOOKUP(AI$16,$L237:$X237,#REF!)),0,(LOOKUP(AI$16,$L237:$X237,#REF!)))</f>
        <v>0</v>
      </c>
      <c r="AJ237" s="221">
        <f>IF(ISERROR(LOOKUP(AJ$16,$L237:$X237,#REF!)),0,(LOOKUP(AJ$16,$L237:$X237,#REF!)))</f>
        <v>0</v>
      </c>
      <c r="AK237" s="221">
        <f>IF(ISERROR(LOOKUP(AK$16,$L237:$X237,#REF!)),0,(LOOKUP(AK$16,$L237:$X237,#REF!)))</f>
        <v>0</v>
      </c>
      <c r="AL237" s="221">
        <f>IF(ISERROR(LOOKUP(AL$16,$L237:$X237,#REF!)),0,(LOOKUP(AL$16,$L237:$X237,#REF!)))</f>
        <v>0</v>
      </c>
      <c r="AM237" s="221">
        <f ca="1">IF(ISERROR(LOOKUP(AM$16,$L237:$X237,#REF!)),0,(LOOKUP(AM$16,$L237:$X237,#REF!)))</f>
        <v>0</v>
      </c>
      <c r="AP237" s="215" t="e">
        <f>WORKDAY(IF(T238="",T237,T238),INDEX(AP$12:AP$15,MATCH($I236,$I$12:$I$15,0)),$AW$17:$AW$148)</f>
        <v>#REF!</v>
      </c>
      <c r="AQ237" s="215" t="e">
        <f>WORKDAY(IF(AP238="",AP237,AP238),INDEX(AQ$12:AQ$15,MATCH($I236,$I$12:$I$15,0)),$AW$17:$AW$148)</f>
        <v>#REF!</v>
      </c>
      <c r="AR237" s="215" t="e">
        <f>WORKDAY(IF(AQ238="",AQ237,AQ238),INDEX(AR$12:AR$15,MATCH($I236,$I$12:$I$15,0)),$AW$17:$AW$148)</f>
        <v>#REF!</v>
      </c>
      <c r="AS237" s="638"/>
      <c r="AW237" s="223"/>
    </row>
    <row r="238" spans="1:49" s="166" customFormat="1" ht="18" customHeight="1">
      <c r="A238" s="596"/>
      <c r="B238" s="600"/>
      <c r="C238" s="601"/>
      <c r="D238" s="601" t="s">
        <v>277</v>
      </c>
      <c r="E238" s="212"/>
      <c r="F238" s="601" t="str">
        <f t="shared" ref="F238:G238" si="403">F236</f>
        <v>Piping</v>
      </c>
      <c r="G238" s="601" t="str">
        <f t="shared" si="403"/>
        <v>N</v>
      </c>
      <c r="H238" s="608"/>
      <c r="I238" s="212" t="str">
        <f t="shared" ref="I238" si="404">I236</f>
        <v>LD</v>
      </c>
      <c r="J238" s="249" t="s">
        <v>67</v>
      </c>
      <c r="K238" s="212"/>
      <c r="L238" s="212"/>
      <c r="M238" s="212"/>
      <c r="N238" s="212"/>
      <c r="O238" s="212"/>
      <c r="P238" s="226"/>
      <c r="Q238" s="227"/>
      <c r="R238" s="212"/>
      <c r="S238" s="212"/>
      <c r="T238" s="212"/>
      <c r="U238" s="212"/>
      <c r="V238" s="212"/>
      <c r="W238" s="228"/>
      <c r="X238" s="212"/>
      <c r="Y238" s="628"/>
      <c r="Z238" s="633"/>
      <c r="AA238" s="633"/>
      <c r="AB238" s="637"/>
      <c r="AC238" s="229">
        <f>IF(ISERROR(LOOKUP(AC$16,$L238:$X238,#REF!)),0,(LOOKUP(AC$16,$L238:$X238,#REF!)))</f>
        <v>0</v>
      </c>
      <c r="AD238" s="230">
        <f>IF(ISERROR(LOOKUP(AD$16,$L238:$X238,#REF!)),0,(LOOKUP(AD$16,$L238:$X238,#REF!)))</f>
        <v>0</v>
      </c>
      <c r="AE238" s="230">
        <f>IF(ISERROR(LOOKUP(AE$16,$L238:$X238,#REF!)),0,(LOOKUP(AE$16,$L238:$X238,#REF!)))</f>
        <v>0</v>
      </c>
      <c r="AF238" s="230">
        <f>IF(ISERROR(LOOKUP(AF$16,$L238:$X238,#REF!)),0,(LOOKUP(AF$16,$L238:$X238,#REF!)))</f>
        <v>0</v>
      </c>
      <c r="AG238" s="230">
        <f>IF(ISERROR(LOOKUP(AG$16,$L238:$X238,#REF!)),0,(LOOKUP(AG$16,$L238:$X238,#REF!)))</f>
        <v>0</v>
      </c>
      <c r="AH238" s="230">
        <f>IF(ISERROR(LOOKUP(AH$16,$L238:$X238,#REF!)),0,(LOOKUP(AH$16,$L238:$X238,#REF!)))</f>
        <v>0</v>
      </c>
      <c r="AI238" s="230">
        <f>IF(ISERROR(LOOKUP(AI$16,$L238:$X238,#REF!)),0,(LOOKUP(AI$16,$L238:$X238,#REF!)))</f>
        <v>0</v>
      </c>
      <c r="AJ238" s="230">
        <f>IF(ISERROR(LOOKUP(AJ$16,$L238:$X238,#REF!)),0,(LOOKUP(AJ$16,$L238:$X238,#REF!)))</f>
        <v>0</v>
      </c>
      <c r="AK238" s="230">
        <f>IF(ISERROR(LOOKUP(AK$16,$L238:$X238,#REF!)),0,(LOOKUP(AK$16,$L238:$X238,#REF!)))</f>
        <v>0</v>
      </c>
      <c r="AL238" s="230">
        <f>IF(ISERROR(LOOKUP(AL$16,$L238:$X238,#REF!)),0,(LOOKUP(AL$16,$L238:$X238,#REF!)))</f>
        <v>0</v>
      </c>
      <c r="AM238" s="230">
        <f ca="1">IF(ISERROR(LOOKUP(AM$16,$L238:$X238,#REF!)),0,(LOOKUP(AM$16,$L238:$X238,#REF!)))</f>
        <v>0</v>
      </c>
      <c r="AP238" s="248"/>
      <c r="AQ238" s="248"/>
      <c r="AR238" s="248"/>
      <c r="AS238" s="638"/>
      <c r="AW238" s="223"/>
    </row>
    <row r="239" spans="1:49" s="166" customFormat="1" ht="18" customHeight="1">
      <c r="A239" s="596"/>
      <c r="B239" s="598"/>
      <c r="C239" s="601"/>
      <c r="D239" s="601" t="s">
        <v>279</v>
      </c>
      <c r="E239" s="212"/>
      <c r="F239" s="601" t="s">
        <v>83</v>
      </c>
      <c r="G239" s="601" t="s">
        <v>71</v>
      </c>
      <c r="H239" s="606"/>
      <c r="I239" s="212" t="s">
        <v>9</v>
      </c>
      <c r="J239" s="249" t="s">
        <v>61</v>
      </c>
      <c r="K239" s="215">
        <f>WORKDAY(L239,-INDEX(L$12:L$15,MATCH($I239,$I$12:$I$15,0)))</f>
        <v>46248</v>
      </c>
      <c r="L239" s="215">
        <f>WORKDAY(M239,-INDEX(M$12:M$15,MATCH($I239,$I$12:$I$15,0)))</f>
        <v>46253</v>
      </c>
      <c r="M239" s="215">
        <f>WORKDAY(N239,-INDEX(N$12:N$15,MATCH($I239,$I$12:$I$15,0)))</f>
        <v>46260</v>
      </c>
      <c r="N239" s="215">
        <f>WORKDAY(O239,-INDEX(O$12:O$15,MATCH($I239,$I$12:$I$15,0)))</f>
        <v>46261</v>
      </c>
      <c r="O239" s="215">
        <f>WORKDAY(R239,-INDEX(R$12:R$15,MATCH($I239,$I$12:$I$15,0)))</f>
        <v>46266</v>
      </c>
      <c r="P239" s="216">
        <f>U239-L239</f>
        <v>39</v>
      </c>
      <c r="Q239" s="217"/>
      <c r="R239" s="215">
        <f>WORKDAY(S239,-INDEX(S$12:S$15,MATCH($I239,$I$12:$I$15,0)))</f>
        <v>46273</v>
      </c>
      <c r="S239" s="215">
        <f>WORKDAY(T239,-INDEX(T$12:T$15,MATCH($I239,$I$12:$I$15,0)))</f>
        <v>46282</v>
      </c>
      <c r="T239" s="215">
        <f>WORKDAY(U239,-INDEX(U$12:U$15,MATCH($I239,$I$12:$I$15,0)))</f>
        <v>46286</v>
      </c>
      <c r="U239" s="215">
        <f>X239-Y239</f>
        <v>46292</v>
      </c>
      <c r="V239" s="215">
        <f>WORKDAY(U239,INDEX(V$12:V$15,MATCH($I239,$I$12:$I$15,0)))</f>
        <v>46294</v>
      </c>
      <c r="W239" s="218">
        <f>Y239/7</f>
        <v>12.8571428571429</v>
      </c>
      <c r="X239" s="215">
        <f>Z239</f>
        <v>46382</v>
      </c>
      <c r="Y239" s="628">
        <v>90</v>
      </c>
      <c r="Z239" s="633">
        <v>46382</v>
      </c>
      <c r="AA239" s="633">
        <v>46538</v>
      </c>
      <c r="AB239" s="637">
        <f t="shared" ref="AB239" si="405">Z239-X240</f>
        <v>0</v>
      </c>
      <c r="AC239" s="220">
        <f>IF(ISERROR(LOOKUP(AC$16,$L239:$X239,#REF!)),0,(LOOKUP(AC$16,$L239:$X239,#REF!)))</f>
        <v>0</v>
      </c>
      <c r="AD239" s="221">
        <f>IF(ISERROR(LOOKUP(AD$16,$L239:$X239,#REF!)),0,(LOOKUP(AD$16,$L239:$X239,#REF!)))</f>
        <v>0</v>
      </c>
      <c r="AE239" s="221">
        <f>IF(ISERROR(LOOKUP(AE$16,$L239:$X239,#REF!)),0,(LOOKUP(AE$16,$L239:$X239,#REF!)))</f>
        <v>0</v>
      </c>
      <c r="AF239" s="221">
        <f>IF(ISERROR(LOOKUP(AF$16,$L239:$X239,#REF!)),0,(LOOKUP(AF$16,$L239:$X239,#REF!)))</f>
        <v>0</v>
      </c>
      <c r="AG239" s="221">
        <f>IF(ISERROR(LOOKUP(AG$16,$L239:$X239,#REF!)),0,(LOOKUP(AG$16,$L239:$X239,#REF!)))</f>
        <v>0</v>
      </c>
      <c r="AH239" s="221">
        <f>IF(ISERROR(LOOKUP(AH$16,$L239:$X239,#REF!)),0,(LOOKUP(AH$16,$L239:$X239,#REF!)))</f>
        <v>0</v>
      </c>
      <c r="AI239" s="221">
        <f>IF(ISERROR(LOOKUP(AI$16,$L239:$X239,#REF!)),0,(LOOKUP(AI$16,$L239:$X239,#REF!)))</f>
        <v>0</v>
      </c>
      <c r="AJ239" s="221">
        <f>IF(ISERROR(LOOKUP(AJ$16,$L239:$X239,#REF!)),0,(LOOKUP(AJ$16,$L239:$X239,#REF!)))</f>
        <v>0</v>
      </c>
      <c r="AK239" s="221">
        <f>IF(ISERROR(LOOKUP(AK$16,$L239:$X239,#REF!)),0,(LOOKUP(AK$16,$L239:$X239,#REF!)))</f>
        <v>0</v>
      </c>
      <c r="AL239" s="221">
        <f>IF(ISERROR(LOOKUP(AL$16,$L239:$X239,#REF!)),0,(LOOKUP(AL$16,$L239:$X239,#REF!)))</f>
        <v>0</v>
      </c>
      <c r="AM239" s="221">
        <f ca="1">IF(ISERROR(LOOKUP(AM$16,$L239:$X239,#REF!)),0,(LOOKUP(AM$16,$L239:$X239,#REF!)))</f>
        <v>0</v>
      </c>
      <c r="AP239" s="215" t="e">
        <f>WORKDAY(AQ239,-INDEX(AQ$12:AQ$15,MATCH($I239,$I$12:$I$15,0)),$AW$17:$AW$148)</f>
        <v>#REF!</v>
      </c>
      <c r="AQ239" s="215" t="e">
        <f>WORKDAY(U239,-INDEX(U$12:U$15,MATCH($I239,$I$12:$I$15,0)),$AW$17:$AW$148)</f>
        <v>#REF!</v>
      </c>
      <c r="AR239" s="215" t="e">
        <f>WORKDAY(U239,-INDEX(U$12:U$15,MATCH($I239,$I$12:$I$15,0)),$AW$17:$AW$148)</f>
        <v>#REF!</v>
      </c>
      <c r="AS239" s="638">
        <v>7</v>
      </c>
      <c r="AW239" s="223"/>
    </row>
    <row r="240" spans="1:49" s="166" customFormat="1" ht="18" customHeight="1">
      <c r="A240" s="596"/>
      <c r="B240" s="599"/>
      <c r="C240" s="601"/>
      <c r="D240" s="601" t="s">
        <v>279</v>
      </c>
      <c r="E240" s="212"/>
      <c r="F240" s="601" t="str">
        <f t="shared" ref="F240:G240" si="406">F239</f>
        <v>Piping</v>
      </c>
      <c r="G240" s="601" t="str">
        <f t="shared" si="406"/>
        <v>N</v>
      </c>
      <c r="H240" s="607"/>
      <c r="I240" s="212" t="str">
        <f t="shared" ref="I240" si="407">I239</f>
        <v>LD</v>
      </c>
      <c r="J240" s="249" t="s">
        <v>65</v>
      </c>
      <c r="K240" s="215">
        <f>K239</f>
        <v>46248</v>
      </c>
      <c r="L240" s="215">
        <f>WORKDAY(IF(K241="",K240,K241),INDEX(L$12:L$15,MATCH($I239,$I$12:$I$15,0)))</f>
        <v>46253</v>
      </c>
      <c r="M240" s="215">
        <f>WORKDAY(IF(L241="",L240,L241),INDEX(M$12:M$15,MATCH($I239,$I$12:$I$15,0)))</f>
        <v>46260</v>
      </c>
      <c r="N240" s="215">
        <f>WORKDAY(IF(M241="",M240,M241),INDEX(N$12:N$15,MATCH($I239,$I$12:$I$15,0)))</f>
        <v>46261</v>
      </c>
      <c r="O240" s="215">
        <f>WORKDAY(IF(N241="",N240,N241),INDEX(O$12:O$15,MATCH($I239,$I$12:$I$15,0)))</f>
        <v>46266</v>
      </c>
      <c r="P240" s="216"/>
      <c r="Q240" s="217"/>
      <c r="R240" s="215">
        <f>WORKDAY(IF(O241="",O240,O241),INDEX(R$12:R$15,MATCH($I239,$I$12:$I$15,0)))</f>
        <v>46273</v>
      </c>
      <c r="S240" s="215">
        <f>WORKDAY(IF(R241="",R240,R241),INDEX(S$12:S$15,MATCH($I239,$I$12:$I$15,0)))</f>
        <v>46282</v>
      </c>
      <c r="T240" s="215">
        <f>WORKDAY(IF(S241="",S240,S241),INDEX(T$12:T$15,MATCH($I239,$I$12:$I$15,0)))</f>
        <v>46286</v>
      </c>
      <c r="U240" s="215">
        <f>WORKDAY(IF(T241="",T240,T241),INDEX(U$12:U$15,MATCH($I239,$I$12:$I$15,0)))-1</f>
        <v>46292</v>
      </c>
      <c r="V240" s="215">
        <f>WORKDAY(IF(U241="",U240,U241),INDEX(V$12:V$15,MATCH($I239,$I$12:$I$15,0)))</f>
        <v>46294</v>
      </c>
      <c r="W240" s="218"/>
      <c r="X240" s="215">
        <f>U240+Y239</f>
        <v>46382</v>
      </c>
      <c r="Y240" s="628"/>
      <c r="Z240" s="633"/>
      <c r="AA240" s="633"/>
      <c r="AB240" s="637"/>
      <c r="AC240" s="220">
        <f>IF(ISERROR(LOOKUP(AC$16,$L240:$X240,#REF!)),0,(LOOKUP(AC$16,$L240:$X240,#REF!)))</f>
        <v>0</v>
      </c>
      <c r="AD240" s="221">
        <f>IF(ISERROR(LOOKUP(AD$16,$L240:$X240,#REF!)),0,(LOOKUP(AD$16,$L240:$X240,#REF!)))</f>
        <v>0</v>
      </c>
      <c r="AE240" s="221">
        <f>IF(ISERROR(LOOKUP(AE$16,$L240:$X240,#REF!)),0,(LOOKUP(AE$16,$L240:$X240,#REF!)))</f>
        <v>0</v>
      </c>
      <c r="AF240" s="221">
        <f>IF(ISERROR(LOOKUP(AF$16,$L240:$X240,#REF!)),0,(LOOKUP(AF$16,$L240:$X240,#REF!)))</f>
        <v>0</v>
      </c>
      <c r="AG240" s="221">
        <f>IF(ISERROR(LOOKUP(AG$16,$L240:$X240,#REF!)),0,(LOOKUP(AG$16,$L240:$X240,#REF!)))</f>
        <v>0</v>
      </c>
      <c r="AH240" s="221">
        <f>IF(ISERROR(LOOKUP(AH$16,$L240:$X240,#REF!)),0,(LOOKUP(AH$16,$L240:$X240,#REF!)))</f>
        <v>0</v>
      </c>
      <c r="AI240" s="221">
        <f>IF(ISERROR(LOOKUP(AI$16,$L240:$X240,#REF!)),0,(LOOKUP(AI$16,$L240:$X240,#REF!)))</f>
        <v>0</v>
      </c>
      <c r="AJ240" s="221">
        <f>IF(ISERROR(LOOKUP(AJ$16,$L240:$X240,#REF!)),0,(LOOKUP(AJ$16,$L240:$X240,#REF!)))</f>
        <v>0</v>
      </c>
      <c r="AK240" s="221">
        <f>IF(ISERROR(LOOKUP(AK$16,$L240:$X240,#REF!)),0,(LOOKUP(AK$16,$L240:$X240,#REF!)))</f>
        <v>0</v>
      </c>
      <c r="AL240" s="221">
        <f>IF(ISERROR(LOOKUP(AL$16,$L240:$X240,#REF!)),0,(LOOKUP(AL$16,$L240:$X240,#REF!)))</f>
        <v>0</v>
      </c>
      <c r="AM240" s="221">
        <f ca="1">IF(ISERROR(LOOKUP(AM$16,$L240:$X240,#REF!)),0,(LOOKUP(AM$16,$L240:$X240,#REF!)))</f>
        <v>0</v>
      </c>
      <c r="AP240" s="215" t="e">
        <f>WORKDAY(IF(T241="",T240,T241),INDEX(AP$12:AP$15,MATCH($I239,$I$12:$I$15,0)),$AW$17:$AW$148)</f>
        <v>#REF!</v>
      </c>
      <c r="AQ240" s="215" t="e">
        <f>WORKDAY(IF(AP241="",AP240,AP241),INDEX(AQ$12:AQ$15,MATCH($I239,$I$12:$I$15,0)),$AW$17:$AW$148)</f>
        <v>#REF!</v>
      </c>
      <c r="AR240" s="215" t="e">
        <f>WORKDAY(IF(AQ241="",AQ240,AQ241),INDEX(AR$12:AR$15,MATCH($I239,$I$12:$I$15,0)),$AW$17:$AW$148)</f>
        <v>#REF!</v>
      </c>
      <c r="AS240" s="638"/>
      <c r="AW240" s="223"/>
    </row>
    <row r="241" spans="1:49" s="166" customFormat="1" ht="18" customHeight="1">
      <c r="A241" s="596"/>
      <c r="B241" s="600"/>
      <c r="C241" s="601"/>
      <c r="D241" s="601" t="s">
        <v>279</v>
      </c>
      <c r="E241" s="212"/>
      <c r="F241" s="601" t="str">
        <f t="shared" ref="F241:G241" si="408">F239</f>
        <v>Piping</v>
      </c>
      <c r="G241" s="601" t="str">
        <f t="shared" si="408"/>
        <v>N</v>
      </c>
      <c r="H241" s="608"/>
      <c r="I241" s="212" t="str">
        <f t="shared" ref="I241" si="409">I239</f>
        <v>LD</v>
      </c>
      <c r="J241" s="249" t="s">
        <v>67</v>
      </c>
      <c r="K241" s="212"/>
      <c r="L241" s="212"/>
      <c r="M241" s="212"/>
      <c r="N241" s="212"/>
      <c r="O241" s="212"/>
      <c r="P241" s="226"/>
      <c r="Q241" s="227"/>
      <c r="R241" s="212"/>
      <c r="S241" s="212"/>
      <c r="T241" s="212"/>
      <c r="U241" s="212"/>
      <c r="V241" s="212"/>
      <c r="W241" s="228"/>
      <c r="X241" s="212"/>
      <c r="Y241" s="628"/>
      <c r="Z241" s="633"/>
      <c r="AA241" s="633"/>
      <c r="AB241" s="637"/>
      <c r="AC241" s="229">
        <f>IF(ISERROR(LOOKUP(AC$16,$L241:$X241,#REF!)),0,(LOOKUP(AC$16,$L241:$X241,#REF!)))</f>
        <v>0</v>
      </c>
      <c r="AD241" s="230">
        <f>IF(ISERROR(LOOKUP(AD$16,$L241:$X241,#REF!)),0,(LOOKUP(AD$16,$L241:$X241,#REF!)))</f>
        <v>0</v>
      </c>
      <c r="AE241" s="230">
        <f>IF(ISERROR(LOOKUP(AE$16,$L241:$X241,#REF!)),0,(LOOKUP(AE$16,$L241:$X241,#REF!)))</f>
        <v>0</v>
      </c>
      <c r="AF241" s="230">
        <f>IF(ISERROR(LOOKUP(AF$16,$L241:$X241,#REF!)),0,(LOOKUP(AF$16,$L241:$X241,#REF!)))</f>
        <v>0</v>
      </c>
      <c r="AG241" s="230">
        <f>IF(ISERROR(LOOKUP(AG$16,$L241:$X241,#REF!)),0,(LOOKUP(AG$16,$L241:$X241,#REF!)))</f>
        <v>0</v>
      </c>
      <c r="AH241" s="230">
        <f>IF(ISERROR(LOOKUP(AH$16,$L241:$X241,#REF!)),0,(LOOKUP(AH$16,$L241:$X241,#REF!)))</f>
        <v>0</v>
      </c>
      <c r="AI241" s="230">
        <f>IF(ISERROR(LOOKUP(AI$16,$L241:$X241,#REF!)),0,(LOOKUP(AI$16,$L241:$X241,#REF!)))</f>
        <v>0</v>
      </c>
      <c r="AJ241" s="230">
        <f>IF(ISERROR(LOOKUP(AJ$16,$L241:$X241,#REF!)),0,(LOOKUP(AJ$16,$L241:$X241,#REF!)))</f>
        <v>0</v>
      </c>
      <c r="AK241" s="230">
        <f>IF(ISERROR(LOOKUP(AK$16,$L241:$X241,#REF!)),0,(LOOKUP(AK$16,$L241:$X241,#REF!)))</f>
        <v>0</v>
      </c>
      <c r="AL241" s="230">
        <f>IF(ISERROR(LOOKUP(AL$16,$L241:$X241,#REF!)),0,(LOOKUP(AL$16,$L241:$X241,#REF!)))</f>
        <v>0</v>
      </c>
      <c r="AM241" s="230">
        <f ca="1">IF(ISERROR(LOOKUP(AM$16,$L241:$X241,#REF!)),0,(LOOKUP(AM$16,$L241:$X241,#REF!)))</f>
        <v>0</v>
      </c>
      <c r="AP241" s="248"/>
      <c r="AQ241" s="248"/>
      <c r="AR241" s="248"/>
      <c r="AS241" s="638"/>
      <c r="AW241" s="223"/>
    </row>
    <row r="242" spans="1:49" s="166" customFormat="1" ht="18" customHeight="1">
      <c r="A242" s="596"/>
      <c r="B242" s="598"/>
      <c r="C242" s="601"/>
      <c r="D242" s="601" t="s">
        <v>281</v>
      </c>
      <c r="E242" s="212"/>
      <c r="F242" s="601" t="s">
        <v>83</v>
      </c>
      <c r="G242" s="601" t="s">
        <v>71</v>
      </c>
      <c r="H242" s="606"/>
      <c r="I242" s="212" t="s">
        <v>9</v>
      </c>
      <c r="J242" s="249" t="s">
        <v>61</v>
      </c>
      <c r="K242" s="215">
        <f>WORKDAY(L242,-INDEX(L$12:L$15,MATCH($I242,$I$12:$I$15,0)))</f>
        <v>46219</v>
      </c>
      <c r="L242" s="215">
        <f>WORKDAY(M242,-INDEX(M$12:M$15,MATCH($I242,$I$12:$I$15,0)))</f>
        <v>46224</v>
      </c>
      <c r="M242" s="215">
        <f>WORKDAY(N242,-INDEX(N$12:N$15,MATCH($I242,$I$12:$I$15,0)))</f>
        <v>46231</v>
      </c>
      <c r="N242" s="215">
        <f>WORKDAY(O242,-INDEX(O$12:O$15,MATCH($I242,$I$12:$I$15,0)))</f>
        <v>46232</v>
      </c>
      <c r="O242" s="215">
        <f>WORKDAY(R242,-INDEX(R$12:R$15,MATCH($I242,$I$12:$I$15,0)))</f>
        <v>46237</v>
      </c>
      <c r="P242" s="216">
        <f>U242-L242</f>
        <v>38</v>
      </c>
      <c r="Q242" s="217"/>
      <c r="R242" s="215">
        <f>WORKDAY(S242,-INDEX(S$12:S$15,MATCH($I242,$I$12:$I$15,0)))</f>
        <v>46244</v>
      </c>
      <c r="S242" s="215">
        <f>WORKDAY(T242,-INDEX(T$12:T$15,MATCH($I242,$I$12:$I$15,0)))</f>
        <v>46253</v>
      </c>
      <c r="T242" s="215">
        <f>WORKDAY(U242,-INDEX(U$12:U$15,MATCH($I242,$I$12:$I$15,0)))</f>
        <v>46255</v>
      </c>
      <c r="U242" s="215">
        <f>X242-Y242</f>
        <v>46262</v>
      </c>
      <c r="V242" s="215">
        <f>WORKDAY(U242,INDEX(V$12:V$15,MATCH($I242,$I$12:$I$15,0)))</f>
        <v>46266</v>
      </c>
      <c r="W242" s="218">
        <f>Y242/7</f>
        <v>17.1428571428571</v>
      </c>
      <c r="X242" s="215">
        <f>Z242</f>
        <v>46382</v>
      </c>
      <c r="Y242" s="628">
        <v>120</v>
      </c>
      <c r="Z242" s="633">
        <v>46382</v>
      </c>
      <c r="AA242" s="633">
        <v>46538</v>
      </c>
      <c r="AB242" s="637">
        <f t="shared" ref="AB242" si="410">Z242-X243</f>
        <v>0</v>
      </c>
      <c r="AC242" s="220">
        <f>IF(ISERROR(LOOKUP(AC$16,$L242:$X242,#REF!)),0,(LOOKUP(AC$16,$L242:$X242,#REF!)))</f>
        <v>0</v>
      </c>
      <c r="AD242" s="221">
        <f>IF(ISERROR(LOOKUP(AD$16,$L242:$X242,#REF!)),0,(LOOKUP(AD$16,$L242:$X242,#REF!)))</f>
        <v>0</v>
      </c>
      <c r="AE242" s="221">
        <f>IF(ISERROR(LOOKUP(AE$16,$L242:$X242,#REF!)),0,(LOOKUP(AE$16,$L242:$X242,#REF!)))</f>
        <v>0</v>
      </c>
      <c r="AF242" s="221">
        <f>IF(ISERROR(LOOKUP(AF$16,$L242:$X242,#REF!)),0,(LOOKUP(AF$16,$L242:$X242,#REF!)))</f>
        <v>0</v>
      </c>
      <c r="AG242" s="221">
        <f>IF(ISERROR(LOOKUP(AG$16,$L242:$X242,#REF!)),0,(LOOKUP(AG$16,$L242:$X242,#REF!)))</f>
        <v>0</v>
      </c>
      <c r="AH242" s="221">
        <f>IF(ISERROR(LOOKUP(AH$16,$L242:$X242,#REF!)),0,(LOOKUP(AH$16,$L242:$X242,#REF!)))</f>
        <v>0</v>
      </c>
      <c r="AI242" s="221">
        <f>IF(ISERROR(LOOKUP(AI$16,$L242:$X242,#REF!)),0,(LOOKUP(AI$16,$L242:$X242,#REF!)))</f>
        <v>0</v>
      </c>
      <c r="AJ242" s="221">
        <f>IF(ISERROR(LOOKUP(AJ$16,$L242:$X242,#REF!)),0,(LOOKUP(AJ$16,$L242:$X242,#REF!)))</f>
        <v>0</v>
      </c>
      <c r="AK242" s="221">
        <f>IF(ISERROR(LOOKUP(AK$16,$L242:$X242,#REF!)),0,(LOOKUP(AK$16,$L242:$X242,#REF!)))</f>
        <v>0</v>
      </c>
      <c r="AL242" s="221">
        <f>IF(ISERROR(LOOKUP(AL$16,$L242:$X242,#REF!)),0,(LOOKUP(AL$16,$L242:$X242,#REF!)))</f>
        <v>0</v>
      </c>
      <c r="AM242" s="221">
        <f ca="1">IF(ISERROR(LOOKUP(AM$16,$L242:$X242,#REF!)),0,(LOOKUP(AM$16,$L242:$X242,#REF!)))</f>
        <v>0</v>
      </c>
      <c r="AP242" s="215" t="e">
        <f>WORKDAY(AQ242,-INDEX(AQ$12:AQ$15,MATCH($I242,$I$12:$I$15,0)),$AW$17:$AW$148)</f>
        <v>#REF!</v>
      </c>
      <c r="AQ242" s="215" t="e">
        <f>WORKDAY(U242,-INDEX(U$12:U$15,MATCH($I242,$I$12:$I$15,0)),$AW$17:$AW$148)</f>
        <v>#REF!</v>
      </c>
      <c r="AR242" s="215" t="e">
        <f>WORKDAY(U242,-INDEX(U$12:U$15,MATCH($I242,$I$12:$I$15,0)),$AW$17:$AW$148)</f>
        <v>#REF!</v>
      </c>
      <c r="AS242" s="638">
        <v>7</v>
      </c>
      <c r="AW242" s="223"/>
    </row>
    <row r="243" spans="1:49" s="166" customFormat="1" ht="18" customHeight="1">
      <c r="A243" s="596"/>
      <c r="B243" s="599"/>
      <c r="C243" s="601"/>
      <c r="D243" s="601" t="s">
        <v>281</v>
      </c>
      <c r="E243" s="212"/>
      <c r="F243" s="601" t="str">
        <f t="shared" ref="F243:G243" si="411">F242</f>
        <v>Piping</v>
      </c>
      <c r="G243" s="601" t="str">
        <f t="shared" si="411"/>
        <v>N</v>
      </c>
      <c r="H243" s="607"/>
      <c r="I243" s="212" t="str">
        <f t="shared" ref="I243" si="412">I242</f>
        <v>LD</v>
      </c>
      <c r="J243" s="249" t="s">
        <v>65</v>
      </c>
      <c r="K243" s="215">
        <f>K242</f>
        <v>46219</v>
      </c>
      <c r="L243" s="215">
        <f>WORKDAY(IF(K244="",K243,K244),INDEX(L$12:L$15,MATCH($I242,$I$12:$I$15,0)))</f>
        <v>46224</v>
      </c>
      <c r="M243" s="215">
        <f>WORKDAY(IF(L244="",L243,L244),INDEX(M$12:M$15,MATCH($I242,$I$12:$I$15,0)))</f>
        <v>46231</v>
      </c>
      <c r="N243" s="215">
        <f>WORKDAY(IF(M244="",M243,M244),INDEX(N$12:N$15,MATCH($I242,$I$12:$I$15,0)))</f>
        <v>46232</v>
      </c>
      <c r="O243" s="215">
        <f>WORKDAY(IF(N244="",N243,N244),INDEX(O$12:O$15,MATCH($I242,$I$12:$I$15,0)))</f>
        <v>46237</v>
      </c>
      <c r="P243" s="216"/>
      <c r="Q243" s="217"/>
      <c r="R243" s="215">
        <f>WORKDAY(IF(O244="",O243,O244),INDEX(R$12:R$15,MATCH($I242,$I$12:$I$15,0)))</f>
        <v>46244</v>
      </c>
      <c r="S243" s="215">
        <f>WORKDAY(IF(R244="",R243,R244),INDEX(S$12:S$15,MATCH($I242,$I$12:$I$15,0)))</f>
        <v>46253</v>
      </c>
      <c r="T243" s="215">
        <f>WORKDAY(IF(S244="",S243,S244),INDEX(T$12:T$15,MATCH($I242,$I$12:$I$15,0)))</f>
        <v>46255</v>
      </c>
      <c r="U243" s="215">
        <f>WORKDAY(IF(T244="",T243,T244),INDEX(U$12:U$15,MATCH($I242,$I$12:$I$15,0)))</f>
        <v>46262</v>
      </c>
      <c r="V243" s="215">
        <f>WORKDAY(IF(U244="",U243,U244),INDEX(V$12:V$15,MATCH($I242,$I$12:$I$15,0)))</f>
        <v>46266</v>
      </c>
      <c r="W243" s="218"/>
      <c r="X243" s="215">
        <f>U243+Y242</f>
        <v>46382</v>
      </c>
      <c r="Y243" s="628"/>
      <c r="Z243" s="633"/>
      <c r="AA243" s="633"/>
      <c r="AB243" s="637"/>
      <c r="AC243" s="220">
        <f>IF(ISERROR(LOOKUP(AC$16,$L243:$X243,#REF!)),0,(LOOKUP(AC$16,$L243:$X243,#REF!)))</f>
        <v>0</v>
      </c>
      <c r="AD243" s="221">
        <f>IF(ISERROR(LOOKUP(AD$16,$L243:$X243,#REF!)),0,(LOOKUP(AD$16,$L243:$X243,#REF!)))</f>
        <v>0</v>
      </c>
      <c r="AE243" s="221">
        <f>IF(ISERROR(LOOKUP(AE$16,$L243:$X243,#REF!)),0,(LOOKUP(AE$16,$L243:$X243,#REF!)))</f>
        <v>0</v>
      </c>
      <c r="AF243" s="221">
        <f>IF(ISERROR(LOOKUP(AF$16,$L243:$X243,#REF!)),0,(LOOKUP(AF$16,$L243:$X243,#REF!)))</f>
        <v>0</v>
      </c>
      <c r="AG243" s="221">
        <f>IF(ISERROR(LOOKUP(AG$16,$L243:$X243,#REF!)),0,(LOOKUP(AG$16,$L243:$X243,#REF!)))</f>
        <v>0</v>
      </c>
      <c r="AH243" s="221">
        <f>IF(ISERROR(LOOKUP(AH$16,$L243:$X243,#REF!)),0,(LOOKUP(AH$16,$L243:$X243,#REF!)))</f>
        <v>0</v>
      </c>
      <c r="AI243" s="221">
        <f>IF(ISERROR(LOOKUP(AI$16,$L243:$X243,#REF!)),0,(LOOKUP(AI$16,$L243:$X243,#REF!)))</f>
        <v>0</v>
      </c>
      <c r="AJ243" s="221">
        <f>IF(ISERROR(LOOKUP(AJ$16,$L243:$X243,#REF!)),0,(LOOKUP(AJ$16,$L243:$X243,#REF!)))</f>
        <v>0</v>
      </c>
      <c r="AK243" s="221">
        <f>IF(ISERROR(LOOKUP(AK$16,$L243:$X243,#REF!)),0,(LOOKUP(AK$16,$L243:$X243,#REF!)))</f>
        <v>0</v>
      </c>
      <c r="AL243" s="221">
        <f>IF(ISERROR(LOOKUP(AL$16,$L243:$X243,#REF!)),0,(LOOKUP(AL$16,$L243:$X243,#REF!)))</f>
        <v>0</v>
      </c>
      <c r="AM243" s="221">
        <f ca="1">IF(ISERROR(LOOKUP(AM$16,$L243:$X243,#REF!)),0,(LOOKUP(AM$16,$L243:$X243,#REF!)))</f>
        <v>0</v>
      </c>
      <c r="AP243" s="215" t="e">
        <f>WORKDAY(IF(T244="",T243,T244),INDEX(AP$12:AP$15,MATCH($I242,$I$12:$I$15,0)),$AW$17:$AW$148)</f>
        <v>#REF!</v>
      </c>
      <c r="AQ243" s="215" t="e">
        <f>WORKDAY(IF(AP244="",AP243,AP244),INDEX(AQ$12:AQ$15,MATCH($I242,$I$12:$I$15,0)),$AW$17:$AW$148)</f>
        <v>#REF!</v>
      </c>
      <c r="AR243" s="215" t="e">
        <f>WORKDAY(IF(AQ244="",AQ243,AQ244),INDEX(AR$12:AR$15,MATCH($I242,$I$12:$I$15,0)),$AW$17:$AW$148)</f>
        <v>#REF!</v>
      </c>
      <c r="AS243" s="638"/>
      <c r="AW243" s="223"/>
    </row>
    <row r="244" spans="1:49" s="166" customFormat="1" ht="18" customHeight="1">
      <c r="A244" s="596"/>
      <c r="B244" s="600"/>
      <c r="C244" s="601"/>
      <c r="D244" s="601" t="s">
        <v>281</v>
      </c>
      <c r="E244" s="212"/>
      <c r="F244" s="601" t="str">
        <f t="shared" ref="F244:G244" si="413">F242</f>
        <v>Piping</v>
      </c>
      <c r="G244" s="601" t="str">
        <f t="shared" si="413"/>
        <v>N</v>
      </c>
      <c r="H244" s="608"/>
      <c r="I244" s="212" t="str">
        <f t="shared" ref="I244" si="414">I242</f>
        <v>LD</v>
      </c>
      <c r="J244" s="249" t="s">
        <v>67</v>
      </c>
      <c r="K244" s="212"/>
      <c r="L244" s="212"/>
      <c r="M244" s="212"/>
      <c r="N244" s="212"/>
      <c r="O244" s="212"/>
      <c r="P244" s="226"/>
      <c r="Q244" s="227"/>
      <c r="R244" s="212"/>
      <c r="S244" s="212"/>
      <c r="T244" s="212"/>
      <c r="U244" s="212"/>
      <c r="V244" s="212"/>
      <c r="W244" s="228"/>
      <c r="X244" s="212"/>
      <c r="Y244" s="628"/>
      <c r="Z244" s="633"/>
      <c r="AA244" s="633"/>
      <c r="AB244" s="637"/>
      <c r="AC244" s="229">
        <f>IF(ISERROR(LOOKUP(AC$16,$L244:$X244,#REF!)),0,(LOOKUP(AC$16,$L244:$X244,#REF!)))</f>
        <v>0</v>
      </c>
      <c r="AD244" s="230">
        <f>IF(ISERROR(LOOKUP(AD$16,$L244:$X244,#REF!)),0,(LOOKUP(AD$16,$L244:$X244,#REF!)))</f>
        <v>0</v>
      </c>
      <c r="AE244" s="230">
        <f>IF(ISERROR(LOOKUP(AE$16,$L244:$X244,#REF!)),0,(LOOKUP(AE$16,$L244:$X244,#REF!)))</f>
        <v>0</v>
      </c>
      <c r="AF244" s="230">
        <f>IF(ISERROR(LOOKUP(AF$16,$L244:$X244,#REF!)),0,(LOOKUP(AF$16,$L244:$X244,#REF!)))</f>
        <v>0</v>
      </c>
      <c r="AG244" s="230">
        <f>IF(ISERROR(LOOKUP(AG$16,$L244:$X244,#REF!)),0,(LOOKUP(AG$16,$L244:$X244,#REF!)))</f>
        <v>0</v>
      </c>
      <c r="AH244" s="230">
        <f>IF(ISERROR(LOOKUP(AH$16,$L244:$X244,#REF!)),0,(LOOKUP(AH$16,$L244:$X244,#REF!)))</f>
        <v>0</v>
      </c>
      <c r="AI244" s="230">
        <f>IF(ISERROR(LOOKUP(AI$16,$L244:$X244,#REF!)),0,(LOOKUP(AI$16,$L244:$X244,#REF!)))</f>
        <v>0</v>
      </c>
      <c r="AJ244" s="230">
        <f>IF(ISERROR(LOOKUP(AJ$16,$L244:$X244,#REF!)),0,(LOOKUP(AJ$16,$L244:$X244,#REF!)))</f>
        <v>0</v>
      </c>
      <c r="AK244" s="230">
        <f>IF(ISERROR(LOOKUP(AK$16,$L244:$X244,#REF!)),0,(LOOKUP(AK$16,$L244:$X244,#REF!)))</f>
        <v>0</v>
      </c>
      <c r="AL244" s="230">
        <f>IF(ISERROR(LOOKUP(AL$16,$L244:$X244,#REF!)),0,(LOOKUP(AL$16,$L244:$X244,#REF!)))</f>
        <v>0</v>
      </c>
      <c r="AM244" s="230">
        <f ca="1">IF(ISERROR(LOOKUP(AM$16,$L244:$X244,#REF!)),0,(LOOKUP(AM$16,$L244:$X244,#REF!)))</f>
        <v>0</v>
      </c>
      <c r="AP244" s="248"/>
      <c r="AQ244" s="248"/>
      <c r="AR244" s="248"/>
      <c r="AS244" s="638"/>
      <c r="AW244" s="223"/>
    </row>
    <row r="245" spans="1:49" s="166" customFormat="1" ht="18" customHeight="1">
      <c r="A245" s="596"/>
      <c r="B245" s="598"/>
      <c r="C245" s="601"/>
      <c r="D245" s="601" t="s">
        <v>284</v>
      </c>
      <c r="E245" s="212"/>
      <c r="F245" s="601" t="s">
        <v>83</v>
      </c>
      <c r="G245" s="601" t="s">
        <v>71</v>
      </c>
      <c r="H245" s="606"/>
      <c r="I245" s="212" t="s">
        <v>9</v>
      </c>
      <c r="J245" s="249" t="s">
        <v>61</v>
      </c>
      <c r="K245" s="215">
        <f>WORKDAY(L245,-INDEX(L$12:L$15,MATCH($I245,$I$12:$I$15,0)))</f>
        <v>46219</v>
      </c>
      <c r="L245" s="215">
        <f>WORKDAY(M245,-INDEX(M$12:M$15,MATCH($I245,$I$12:$I$15,0)))</f>
        <v>46224</v>
      </c>
      <c r="M245" s="215">
        <f>WORKDAY(N245,-INDEX(N$12:N$15,MATCH($I245,$I$12:$I$15,0)))</f>
        <v>46231</v>
      </c>
      <c r="N245" s="215">
        <f>WORKDAY(O245,-INDEX(O$12:O$15,MATCH($I245,$I$12:$I$15,0)))</f>
        <v>46232</v>
      </c>
      <c r="O245" s="215">
        <f>WORKDAY(R245,-INDEX(R$12:R$15,MATCH($I245,$I$12:$I$15,0)))</f>
        <v>46237</v>
      </c>
      <c r="P245" s="216">
        <f>U245-L245</f>
        <v>38</v>
      </c>
      <c r="Q245" s="217"/>
      <c r="R245" s="215">
        <f>WORKDAY(S245,-INDEX(S$12:S$15,MATCH($I245,$I$12:$I$15,0)))</f>
        <v>46244</v>
      </c>
      <c r="S245" s="215">
        <f>WORKDAY(T245,-INDEX(T$12:T$15,MATCH($I245,$I$12:$I$15,0)))</f>
        <v>46253</v>
      </c>
      <c r="T245" s="215">
        <f>WORKDAY(U245,-INDEX(U$12:U$15,MATCH($I245,$I$12:$I$15,0)))</f>
        <v>46255</v>
      </c>
      <c r="U245" s="215">
        <f>X245-Y245</f>
        <v>46262</v>
      </c>
      <c r="V245" s="215">
        <f>WORKDAY(U245,INDEX(V$12:V$15,MATCH($I245,$I$12:$I$15,0)))</f>
        <v>46266</v>
      </c>
      <c r="W245" s="218">
        <f>Y245/7</f>
        <v>17.1428571428571</v>
      </c>
      <c r="X245" s="215">
        <f>Z245</f>
        <v>46382</v>
      </c>
      <c r="Y245" s="628">
        <v>120</v>
      </c>
      <c r="Z245" s="633">
        <v>46382</v>
      </c>
      <c r="AA245" s="633">
        <v>46538</v>
      </c>
      <c r="AB245" s="637">
        <f t="shared" ref="AB245" si="415">Z245-X246</f>
        <v>0</v>
      </c>
      <c r="AC245" s="220">
        <f>IF(ISERROR(LOOKUP(AC$16,$L245:$X245,#REF!)),0,(LOOKUP(AC$16,$L245:$X245,#REF!)))</f>
        <v>0</v>
      </c>
      <c r="AD245" s="221">
        <f>IF(ISERROR(LOOKUP(AD$16,$L245:$X245,#REF!)),0,(LOOKUP(AD$16,$L245:$X245,#REF!)))</f>
        <v>0</v>
      </c>
      <c r="AE245" s="221">
        <f>IF(ISERROR(LOOKUP(AE$16,$L245:$X245,#REF!)),0,(LOOKUP(AE$16,$L245:$X245,#REF!)))</f>
        <v>0</v>
      </c>
      <c r="AF245" s="221">
        <f>IF(ISERROR(LOOKUP(AF$16,$L245:$X245,#REF!)),0,(LOOKUP(AF$16,$L245:$X245,#REF!)))</f>
        <v>0</v>
      </c>
      <c r="AG245" s="221">
        <f>IF(ISERROR(LOOKUP(AG$16,$L245:$X245,#REF!)),0,(LOOKUP(AG$16,$L245:$X245,#REF!)))</f>
        <v>0</v>
      </c>
      <c r="AH245" s="221">
        <f>IF(ISERROR(LOOKUP(AH$16,$L245:$X245,#REF!)),0,(LOOKUP(AH$16,$L245:$X245,#REF!)))</f>
        <v>0</v>
      </c>
      <c r="AI245" s="221">
        <f>IF(ISERROR(LOOKUP(AI$16,$L245:$X245,#REF!)),0,(LOOKUP(AI$16,$L245:$X245,#REF!)))</f>
        <v>0</v>
      </c>
      <c r="AJ245" s="221">
        <f>IF(ISERROR(LOOKUP(AJ$16,$L245:$X245,#REF!)),0,(LOOKUP(AJ$16,$L245:$X245,#REF!)))</f>
        <v>0</v>
      </c>
      <c r="AK245" s="221">
        <f>IF(ISERROR(LOOKUP(AK$16,$L245:$X245,#REF!)),0,(LOOKUP(AK$16,$L245:$X245,#REF!)))</f>
        <v>0</v>
      </c>
      <c r="AL245" s="221">
        <f>IF(ISERROR(LOOKUP(AL$16,$L245:$X245,#REF!)),0,(LOOKUP(AL$16,$L245:$X245,#REF!)))</f>
        <v>0</v>
      </c>
      <c r="AM245" s="221">
        <f ca="1">IF(ISERROR(LOOKUP(AM$16,$L245:$X245,#REF!)),0,(LOOKUP(AM$16,$L245:$X245,#REF!)))</f>
        <v>0</v>
      </c>
      <c r="AP245" s="215" t="e">
        <f>WORKDAY(AQ245,-INDEX(AQ$12:AQ$15,MATCH($I245,$I$12:$I$15,0)),$AW$17:$AW$148)</f>
        <v>#REF!</v>
      </c>
      <c r="AQ245" s="215" t="e">
        <f>WORKDAY(U245,-INDEX(U$12:U$15,MATCH($I245,$I$12:$I$15,0)),$AW$17:$AW$148)</f>
        <v>#REF!</v>
      </c>
      <c r="AR245" s="215" t="e">
        <f>WORKDAY(U245,-INDEX(U$12:U$15,MATCH($I245,$I$12:$I$15,0)),$AW$17:$AW$148)</f>
        <v>#REF!</v>
      </c>
      <c r="AS245" s="638">
        <v>7</v>
      </c>
      <c r="AW245" s="223"/>
    </row>
    <row r="246" spans="1:49" s="166" customFormat="1" ht="18" customHeight="1">
      <c r="A246" s="596"/>
      <c r="B246" s="599"/>
      <c r="C246" s="601"/>
      <c r="D246" s="601" t="s">
        <v>284</v>
      </c>
      <c r="E246" s="212"/>
      <c r="F246" s="601" t="str">
        <f t="shared" ref="F246:G246" si="416">F245</f>
        <v>Piping</v>
      </c>
      <c r="G246" s="601" t="str">
        <f t="shared" si="416"/>
        <v>N</v>
      </c>
      <c r="H246" s="607"/>
      <c r="I246" s="212" t="str">
        <f t="shared" ref="I246" si="417">I245</f>
        <v>LD</v>
      </c>
      <c r="J246" s="249" t="s">
        <v>65</v>
      </c>
      <c r="K246" s="215">
        <f>K245</f>
        <v>46219</v>
      </c>
      <c r="L246" s="215">
        <f>WORKDAY(IF(K247="",K246,K247),INDEX(L$12:L$15,MATCH($I245,$I$12:$I$15,0)))</f>
        <v>46224</v>
      </c>
      <c r="M246" s="215">
        <f>WORKDAY(IF(L247="",L246,L247),INDEX(M$12:M$15,MATCH($I245,$I$12:$I$15,0)))</f>
        <v>46231</v>
      </c>
      <c r="N246" s="215">
        <f>WORKDAY(IF(M247="",M246,M247),INDEX(N$12:N$15,MATCH($I245,$I$12:$I$15,0)))</f>
        <v>46232</v>
      </c>
      <c r="O246" s="215">
        <f>WORKDAY(IF(N247="",N246,N247),INDEX(O$12:O$15,MATCH($I245,$I$12:$I$15,0)))</f>
        <v>46237</v>
      </c>
      <c r="P246" s="216"/>
      <c r="Q246" s="217"/>
      <c r="R246" s="215">
        <f>WORKDAY(IF(O247="",O246,O247),INDEX(R$12:R$15,MATCH($I245,$I$12:$I$15,0)))</f>
        <v>46244</v>
      </c>
      <c r="S246" s="215">
        <f>WORKDAY(IF(R247="",R246,R247),INDEX(S$12:S$15,MATCH($I245,$I$12:$I$15,0)))</f>
        <v>46253</v>
      </c>
      <c r="T246" s="215">
        <f>WORKDAY(IF(S247="",S246,S247),INDEX(T$12:T$15,MATCH($I245,$I$12:$I$15,0)))</f>
        <v>46255</v>
      </c>
      <c r="U246" s="215">
        <f>WORKDAY(IF(T247="",T246,T247),INDEX(U$12:U$15,MATCH($I245,$I$12:$I$15,0)))</f>
        <v>46262</v>
      </c>
      <c r="V246" s="215">
        <f>WORKDAY(IF(U247="",U246,U247),INDEX(V$12:V$15,MATCH($I245,$I$12:$I$15,0)))</f>
        <v>46266</v>
      </c>
      <c r="W246" s="218"/>
      <c r="X246" s="215">
        <f>U246+Y245</f>
        <v>46382</v>
      </c>
      <c r="Y246" s="628"/>
      <c r="Z246" s="633"/>
      <c r="AA246" s="633"/>
      <c r="AB246" s="637"/>
      <c r="AC246" s="220">
        <f>IF(ISERROR(LOOKUP(AC$16,$L246:$X246,#REF!)),0,(LOOKUP(AC$16,$L246:$X246,#REF!)))</f>
        <v>0</v>
      </c>
      <c r="AD246" s="221">
        <f>IF(ISERROR(LOOKUP(AD$16,$L246:$X246,#REF!)),0,(LOOKUP(AD$16,$L246:$X246,#REF!)))</f>
        <v>0</v>
      </c>
      <c r="AE246" s="221">
        <f>IF(ISERROR(LOOKUP(AE$16,$L246:$X246,#REF!)),0,(LOOKUP(AE$16,$L246:$X246,#REF!)))</f>
        <v>0</v>
      </c>
      <c r="AF246" s="221">
        <f>IF(ISERROR(LOOKUP(AF$16,$L246:$X246,#REF!)),0,(LOOKUP(AF$16,$L246:$X246,#REF!)))</f>
        <v>0</v>
      </c>
      <c r="AG246" s="221">
        <f>IF(ISERROR(LOOKUP(AG$16,$L246:$X246,#REF!)),0,(LOOKUP(AG$16,$L246:$X246,#REF!)))</f>
        <v>0</v>
      </c>
      <c r="AH246" s="221">
        <f>IF(ISERROR(LOOKUP(AH$16,$L246:$X246,#REF!)),0,(LOOKUP(AH$16,$L246:$X246,#REF!)))</f>
        <v>0</v>
      </c>
      <c r="AI246" s="221">
        <f>IF(ISERROR(LOOKUP(AI$16,$L246:$X246,#REF!)),0,(LOOKUP(AI$16,$L246:$X246,#REF!)))</f>
        <v>0</v>
      </c>
      <c r="AJ246" s="221">
        <f>IF(ISERROR(LOOKUP(AJ$16,$L246:$X246,#REF!)),0,(LOOKUP(AJ$16,$L246:$X246,#REF!)))</f>
        <v>0</v>
      </c>
      <c r="AK246" s="221">
        <f>IF(ISERROR(LOOKUP(AK$16,$L246:$X246,#REF!)),0,(LOOKUP(AK$16,$L246:$X246,#REF!)))</f>
        <v>0</v>
      </c>
      <c r="AL246" s="221">
        <f>IF(ISERROR(LOOKUP(AL$16,$L246:$X246,#REF!)),0,(LOOKUP(AL$16,$L246:$X246,#REF!)))</f>
        <v>0</v>
      </c>
      <c r="AM246" s="221">
        <f ca="1">IF(ISERROR(LOOKUP(AM$16,$L246:$X246,#REF!)),0,(LOOKUP(AM$16,$L246:$X246,#REF!)))</f>
        <v>0</v>
      </c>
      <c r="AP246" s="215" t="e">
        <f>WORKDAY(IF(T247="",T246,T247),INDEX(AP$12:AP$15,MATCH($I245,$I$12:$I$15,0)),$AW$17:$AW$148)</f>
        <v>#REF!</v>
      </c>
      <c r="AQ246" s="215" t="e">
        <f>WORKDAY(IF(AP247="",AP246,AP247),INDEX(AQ$12:AQ$15,MATCH($I245,$I$12:$I$15,0)),$AW$17:$AW$148)</f>
        <v>#REF!</v>
      </c>
      <c r="AR246" s="215" t="e">
        <f>WORKDAY(IF(AQ247="",AQ246,AQ247),INDEX(AR$12:AR$15,MATCH($I245,$I$12:$I$15,0)),$AW$17:$AW$148)</f>
        <v>#REF!</v>
      </c>
      <c r="AS246" s="638"/>
      <c r="AW246" s="223"/>
    </row>
    <row r="247" spans="1:49" s="166" customFormat="1" ht="18" customHeight="1">
      <c r="A247" s="596"/>
      <c r="B247" s="600"/>
      <c r="C247" s="601"/>
      <c r="D247" s="601" t="s">
        <v>284</v>
      </c>
      <c r="E247" s="212"/>
      <c r="F247" s="601" t="str">
        <f t="shared" ref="F247:G247" si="418">F245</f>
        <v>Piping</v>
      </c>
      <c r="G247" s="601" t="str">
        <f t="shared" si="418"/>
        <v>N</v>
      </c>
      <c r="H247" s="608"/>
      <c r="I247" s="212" t="str">
        <f t="shared" ref="I247" si="419">I245</f>
        <v>LD</v>
      </c>
      <c r="J247" s="249" t="s">
        <v>67</v>
      </c>
      <c r="K247" s="212"/>
      <c r="L247" s="212"/>
      <c r="M247" s="212"/>
      <c r="N247" s="212"/>
      <c r="O247" s="212"/>
      <c r="P247" s="226"/>
      <c r="Q247" s="227"/>
      <c r="R247" s="212"/>
      <c r="S247" s="212"/>
      <c r="T247" s="212"/>
      <c r="U247" s="212"/>
      <c r="V247" s="212"/>
      <c r="W247" s="228"/>
      <c r="X247" s="212"/>
      <c r="Y247" s="628"/>
      <c r="Z247" s="633"/>
      <c r="AA247" s="633"/>
      <c r="AB247" s="637"/>
      <c r="AC247" s="229">
        <f>IF(ISERROR(LOOKUP(AC$16,$L247:$X247,#REF!)),0,(LOOKUP(AC$16,$L247:$X247,#REF!)))</f>
        <v>0</v>
      </c>
      <c r="AD247" s="230">
        <f>IF(ISERROR(LOOKUP(AD$16,$L247:$X247,#REF!)),0,(LOOKUP(AD$16,$L247:$X247,#REF!)))</f>
        <v>0</v>
      </c>
      <c r="AE247" s="230">
        <f>IF(ISERROR(LOOKUP(AE$16,$L247:$X247,#REF!)),0,(LOOKUP(AE$16,$L247:$X247,#REF!)))</f>
        <v>0</v>
      </c>
      <c r="AF247" s="230">
        <f>IF(ISERROR(LOOKUP(AF$16,$L247:$X247,#REF!)),0,(LOOKUP(AF$16,$L247:$X247,#REF!)))</f>
        <v>0</v>
      </c>
      <c r="AG247" s="230">
        <f>IF(ISERROR(LOOKUP(AG$16,$L247:$X247,#REF!)),0,(LOOKUP(AG$16,$L247:$X247,#REF!)))</f>
        <v>0</v>
      </c>
      <c r="AH247" s="230">
        <f>IF(ISERROR(LOOKUP(AH$16,$L247:$X247,#REF!)),0,(LOOKUP(AH$16,$L247:$X247,#REF!)))</f>
        <v>0</v>
      </c>
      <c r="AI247" s="230">
        <f>IF(ISERROR(LOOKUP(AI$16,$L247:$X247,#REF!)),0,(LOOKUP(AI$16,$L247:$X247,#REF!)))</f>
        <v>0</v>
      </c>
      <c r="AJ247" s="230">
        <f>IF(ISERROR(LOOKUP(AJ$16,$L247:$X247,#REF!)),0,(LOOKUP(AJ$16,$L247:$X247,#REF!)))</f>
        <v>0</v>
      </c>
      <c r="AK247" s="230">
        <f>IF(ISERROR(LOOKUP(AK$16,$L247:$X247,#REF!)),0,(LOOKUP(AK$16,$L247:$X247,#REF!)))</f>
        <v>0</v>
      </c>
      <c r="AL247" s="230">
        <f>IF(ISERROR(LOOKUP(AL$16,$L247:$X247,#REF!)),0,(LOOKUP(AL$16,$L247:$X247,#REF!)))</f>
        <v>0</v>
      </c>
      <c r="AM247" s="230">
        <f ca="1">IF(ISERROR(LOOKUP(AM$16,$L247:$X247,#REF!)),0,(LOOKUP(AM$16,$L247:$X247,#REF!)))</f>
        <v>0</v>
      </c>
      <c r="AP247" s="248"/>
      <c r="AQ247" s="248"/>
      <c r="AR247" s="248"/>
      <c r="AS247" s="638"/>
      <c r="AW247" s="223"/>
    </row>
  </sheetData>
  <autoFilter ref="A16:BK247" xr:uid="{00000000-0009-0000-0000-000003000000}"/>
  <mergeCells count="908">
    <mergeCell ref="AS236:AS238"/>
    <mergeCell ref="AS239:AS241"/>
    <mergeCell ref="AS242:AS244"/>
    <mergeCell ref="AS245:AS247"/>
    <mergeCell ref="AU194:AU196"/>
    <mergeCell ref="AS182:AS184"/>
    <mergeCell ref="AS212:AS214"/>
    <mergeCell ref="AS215:AS217"/>
    <mergeCell ref="AS218:AS220"/>
    <mergeCell ref="AS221:AS223"/>
    <mergeCell ref="AS224:AS226"/>
    <mergeCell ref="AS227:AS229"/>
    <mergeCell ref="AS230:AS232"/>
    <mergeCell ref="AS233:AS235"/>
    <mergeCell ref="AS155:AS157"/>
    <mergeCell ref="AS158:AS160"/>
    <mergeCell ref="AS161:AS163"/>
    <mergeCell ref="AS164:AS166"/>
    <mergeCell ref="AS167:AS169"/>
    <mergeCell ref="AS170:AS172"/>
    <mergeCell ref="AS173:AS175"/>
    <mergeCell ref="AS176:AS178"/>
    <mergeCell ref="AS179:AS181"/>
    <mergeCell ref="AS128:AS130"/>
    <mergeCell ref="AS131:AS133"/>
    <mergeCell ref="AS134:AS136"/>
    <mergeCell ref="AS137:AS139"/>
    <mergeCell ref="AS140:AS142"/>
    <mergeCell ref="AS143:AS145"/>
    <mergeCell ref="AS146:AS148"/>
    <mergeCell ref="AS149:AS151"/>
    <mergeCell ref="AS152:AS154"/>
    <mergeCell ref="AS101:AS103"/>
    <mergeCell ref="AS104:AS106"/>
    <mergeCell ref="AS107:AS109"/>
    <mergeCell ref="AS110:AS112"/>
    <mergeCell ref="AS113:AS115"/>
    <mergeCell ref="AS116:AS118"/>
    <mergeCell ref="AS119:AS121"/>
    <mergeCell ref="AS122:AS124"/>
    <mergeCell ref="AS125:AS127"/>
    <mergeCell ref="AS74:AS76"/>
    <mergeCell ref="AS77:AS79"/>
    <mergeCell ref="AS80:AS82"/>
    <mergeCell ref="AS83:AS85"/>
    <mergeCell ref="AS86:AS88"/>
    <mergeCell ref="AS89:AS91"/>
    <mergeCell ref="AS92:AS94"/>
    <mergeCell ref="AS95:AS97"/>
    <mergeCell ref="AS98:AS100"/>
    <mergeCell ref="AB233:AB235"/>
    <mergeCell ref="AB236:AB238"/>
    <mergeCell ref="AB239:AB241"/>
    <mergeCell ref="AB242:AB244"/>
    <mergeCell ref="AB245:AB247"/>
    <mergeCell ref="AS17:AS19"/>
    <mergeCell ref="AS20:AS22"/>
    <mergeCell ref="AS23:AS25"/>
    <mergeCell ref="AS26:AS28"/>
    <mergeCell ref="AS29:AS31"/>
    <mergeCell ref="AS32:AS34"/>
    <mergeCell ref="AS35:AS37"/>
    <mergeCell ref="AS38:AS40"/>
    <mergeCell ref="AS41:AS43"/>
    <mergeCell ref="AS44:AS46"/>
    <mergeCell ref="AS47:AS49"/>
    <mergeCell ref="AS50:AS52"/>
    <mergeCell ref="AS53:AS55"/>
    <mergeCell ref="AS56:AS58"/>
    <mergeCell ref="AS59:AS61"/>
    <mergeCell ref="AS62:AS64"/>
    <mergeCell ref="AS65:AS67"/>
    <mergeCell ref="AS68:AS70"/>
    <mergeCell ref="AS71:AS73"/>
    <mergeCell ref="AB206:AB208"/>
    <mergeCell ref="AB209:AB211"/>
    <mergeCell ref="AB212:AB214"/>
    <mergeCell ref="AB215:AB217"/>
    <mergeCell ref="AB218:AB220"/>
    <mergeCell ref="AB221:AB223"/>
    <mergeCell ref="AB224:AB226"/>
    <mergeCell ref="AB227:AB229"/>
    <mergeCell ref="AB230:AB232"/>
    <mergeCell ref="AB179:AB181"/>
    <mergeCell ref="AB182:AB184"/>
    <mergeCell ref="AB185:AB187"/>
    <mergeCell ref="AB188:AB190"/>
    <mergeCell ref="AB191:AB193"/>
    <mergeCell ref="AB194:AB196"/>
    <mergeCell ref="AB197:AB199"/>
    <mergeCell ref="AB200:AB202"/>
    <mergeCell ref="AB203:AB205"/>
    <mergeCell ref="AB152:AB154"/>
    <mergeCell ref="AB155:AB157"/>
    <mergeCell ref="AB158:AB160"/>
    <mergeCell ref="AB161:AB163"/>
    <mergeCell ref="AB164:AB166"/>
    <mergeCell ref="AB167:AB169"/>
    <mergeCell ref="AB170:AB172"/>
    <mergeCell ref="AB173:AB175"/>
    <mergeCell ref="AB176:AB178"/>
    <mergeCell ref="AB125:AB127"/>
    <mergeCell ref="AB128:AB130"/>
    <mergeCell ref="AB131:AB133"/>
    <mergeCell ref="AB134:AB136"/>
    <mergeCell ref="AB137:AB139"/>
    <mergeCell ref="AB140:AB142"/>
    <mergeCell ref="AB143:AB145"/>
    <mergeCell ref="AB146:AB148"/>
    <mergeCell ref="AB149:AB151"/>
    <mergeCell ref="AB98:AB100"/>
    <mergeCell ref="AB101:AB103"/>
    <mergeCell ref="AB104:AB106"/>
    <mergeCell ref="AB107:AB109"/>
    <mergeCell ref="AB110:AB112"/>
    <mergeCell ref="AB113:AB115"/>
    <mergeCell ref="AB116:AB118"/>
    <mergeCell ref="AB119:AB121"/>
    <mergeCell ref="AB122:AB124"/>
    <mergeCell ref="AB71:AB73"/>
    <mergeCell ref="AB74:AB76"/>
    <mergeCell ref="AB77:AB79"/>
    <mergeCell ref="AB80:AB82"/>
    <mergeCell ref="AB83:AB85"/>
    <mergeCell ref="AB86:AB88"/>
    <mergeCell ref="AB89:AB91"/>
    <mergeCell ref="AB92:AB94"/>
    <mergeCell ref="AB95:AB97"/>
    <mergeCell ref="AB44:AB46"/>
    <mergeCell ref="AB47:AB49"/>
    <mergeCell ref="AB50:AB52"/>
    <mergeCell ref="AB53:AB55"/>
    <mergeCell ref="AB56:AB58"/>
    <mergeCell ref="AB59:AB61"/>
    <mergeCell ref="AB62:AB64"/>
    <mergeCell ref="AB65:AB67"/>
    <mergeCell ref="AB68:AB70"/>
    <mergeCell ref="AB17:AB19"/>
    <mergeCell ref="AB20:AB22"/>
    <mergeCell ref="AB23:AB25"/>
    <mergeCell ref="AB26:AB28"/>
    <mergeCell ref="AB29:AB31"/>
    <mergeCell ref="AB32:AB34"/>
    <mergeCell ref="AB35:AB37"/>
    <mergeCell ref="AB38:AB40"/>
    <mergeCell ref="AB41:AB43"/>
    <mergeCell ref="AA221:AA223"/>
    <mergeCell ref="AA224:AA226"/>
    <mergeCell ref="AA227:AA229"/>
    <mergeCell ref="AA230:AA232"/>
    <mergeCell ref="AA233:AA235"/>
    <mergeCell ref="AA236:AA238"/>
    <mergeCell ref="AA239:AA241"/>
    <mergeCell ref="AA242:AA244"/>
    <mergeCell ref="AA245:AA247"/>
    <mergeCell ref="AA167:AA169"/>
    <mergeCell ref="AA170:AA172"/>
    <mergeCell ref="AA173:AA175"/>
    <mergeCell ref="AA176:AA178"/>
    <mergeCell ref="AA179:AA181"/>
    <mergeCell ref="AA182:AA184"/>
    <mergeCell ref="AA212:AA214"/>
    <mergeCell ref="AA215:AA217"/>
    <mergeCell ref="AA218:AA220"/>
    <mergeCell ref="AA140:AA142"/>
    <mergeCell ref="AA143:AA145"/>
    <mergeCell ref="AA146:AA148"/>
    <mergeCell ref="AA149:AA151"/>
    <mergeCell ref="AA152:AA154"/>
    <mergeCell ref="AA155:AA157"/>
    <mergeCell ref="AA158:AA160"/>
    <mergeCell ref="AA161:AA163"/>
    <mergeCell ref="AA164:AA166"/>
    <mergeCell ref="AA113:AA115"/>
    <mergeCell ref="AA116:AA118"/>
    <mergeCell ref="AA119:AA121"/>
    <mergeCell ref="AA122:AA124"/>
    <mergeCell ref="AA125:AA127"/>
    <mergeCell ref="AA128:AA130"/>
    <mergeCell ref="AA131:AA133"/>
    <mergeCell ref="AA134:AA136"/>
    <mergeCell ref="AA137:AA139"/>
    <mergeCell ref="AA86:AA88"/>
    <mergeCell ref="AA89:AA91"/>
    <mergeCell ref="AA92:AA94"/>
    <mergeCell ref="AA95:AA97"/>
    <mergeCell ref="AA98:AA100"/>
    <mergeCell ref="AA101:AA103"/>
    <mergeCell ref="AA104:AA106"/>
    <mergeCell ref="AA107:AA109"/>
    <mergeCell ref="AA110:AA112"/>
    <mergeCell ref="Z245:Z247"/>
    <mergeCell ref="AA17:AA19"/>
    <mergeCell ref="AA20:AA22"/>
    <mergeCell ref="AA23:AA25"/>
    <mergeCell ref="AA26:AA28"/>
    <mergeCell ref="AA29:AA31"/>
    <mergeCell ref="AA32:AA34"/>
    <mergeCell ref="AA35:AA37"/>
    <mergeCell ref="AA38:AA40"/>
    <mergeCell ref="AA41:AA43"/>
    <mergeCell ref="AA44:AA46"/>
    <mergeCell ref="AA47:AA49"/>
    <mergeCell ref="AA50:AA52"/>
    <mergeCell ref="AA53:AA55"/>
    <mergeCell ref="AA56:AA58"/>
    <mergeCell ref="AA59:AA61"/>
    <mergeCell ref="AA62:AA64"/>
    <mergeCell ref="AA65:AA67"/>
    <mergeCell ref="AA68:AA70"/>
    <mergeCell ref="AA71:AA73"/>
    <mergeCell ref="AA74:AA76"/>
    <mergeCell ref="AA77:AA79"/>
    <mergeCell ref="AA80:AA82"/>
    <mergeCell ref="AA83:AA85"/>
    <mergeCell ref="Z218:Z220"/>
    <mergeCell ref="Z221:Z223"/>
    <mergeCell ref="Z224:Z226"/>
    <mergeCell ref="Z227:Z229"/>
    <mergeCell ref="Z230:Z232"/>
    <mergeCell ref="Z233:Z235"/>
    <mergeCell ref="Z236:Z238"/>
    <mergeCell ref="Z239:Z241"/>
    <mergeCell ref="Z242:Z244"/>
    <mergeCell ref="Z191:Z193"/>
    <mergeCell ref="Z194:Z196"/>
    <mergeCell ref="Z197:Z199"/>
    <mergeCell ref="Z200:Z202"/>
    <mergeCell ref="Z203:Z205"/>
    <mergeCell ref="Z206:Z208"/>
    <mergeCell ref="Z209:Z211"/>
    <mergeCell ref="Z212:Z214"/>
    <mergeCell ref="Z215:Z217"/>
    <mergeCell ref="Z164:Z166"/>
    <mergeCell ref="Z167:Z169"/>
    <mergeCell ref="Z170:Z172"/>
    <mergeCell ref="Z173:Z175"/>
    <mergeCell ref="Z176:Z178"/>
    <mergeCell ref="Z179:Z181"/>
    <mergeCell ref="Z182:Z184"/>
    <mergeCell ref="Z185:Z187"/>
    <mergeCell ref="Z188:Z190"/>
    <mergeCell ref="Z137:Z139"/>
    <mergeCell ref="Z140:Z142"/>
    <mergeCell ref="Z143:Z145"/>
    <mergeCell ref="Z146:Z148"/>
    <mergeCell ref="Z149:Z151"/>
    <mergeCell ref="Z152:Z154"/>
    <mergeCell ref="Z155:Z157"/>
    <mergeCell ref="Z158:Z160"/>
    <mergeCell ref="Z161:Z163"/>
    <mergeCell ref="Z110:Z112"/>
    <mergeCell ref="Z113:Z115"/>
    <mergeCell ref="Z116:Z118"/>
    <mergeCell ref="Z119:Z121"/>
    <mergeCell ref="Z122:Z124"/>
    <mergeCell ref="Z125:Z127"/>
    <mergeCell ref="Z128:Z130"/>
    <mergeCell ref="Z131:Z133"/>
    <mergeCell ref="Z134:Z136"/>
    <mergeCell ref="Z83:Z85"/>
    <mergeCell ref="Z86:Z88"/>
    <mergeCell ref="Z89:Z91"/>
    <mergeCell ref="Z92:Z94"/>
    <mergeCell ref="Z95:Z97"/>
    <mergeCell ref="Z98:Z100"/>
    <mergeCell ref="Z101:Z103"/>
    <mergeCell ref="Z104:Z106"/>
    <mergeCell ref="Z107:Z109"/>
    <mergeCell ref="Y242:Y244"/>
    <mergeCell ref="Y245:Y247"/>
    <mergeCell ref="Z17:Z19"/>
    <mergeCell ref="Z20:Z22"/>
    <mergeCell ref="Z23:Z25"/>
    <mergeCell ref="Z26:Z28"/>
    <mergeCell ref="Z29:Z31"/>
    <mergeCell ref="Z32:Z34"/>
    <mergeCell ref="Z35:Z37"/>
    <mergeCell ref="Z38:Z40"/>
    <mergeCell ref="Z41:Z43"/>
    <mergeCell ref="Z44:Z46"/>
    <mergeCell ref="Z47:Z49"/>
    <mergeCell ref="Z50:Z52"/>
    <mergeCell ref="Z53:Z55"/>
    <mergeCell ref="Z56:Z58"/>
    <mergeCell ref="Z59:Z61"/>
    <mergeCell ref="Z62:Z64"/>
    <mergeCell ref="Z65:Z67"/>
    <mergeCell ref="Z68:Z70"/>
    <mergeCell ref="Z71:Z73"/>
    <mergeCell ref="Z74:Z76"/>
    <mergeCell ref="Z77:Z79"/>
    <mergeCell ref="Z80:Z82"/>
    <mergeCell ref="Y215:Y217"/>
    <mergeCell ref="Y218:Y220"/>
    <mergeCell ref="Y221:Y223"/>
    <mergeCell ref="Y224:Y226"/>
    <mergeCell ref="Y227:Y229"/>
    <mergeCell ref="Y230:Y232"/>
    <mergeCell ref="Y233:Y235"/>
    <mergeCell ref="Y236:Y238"/>
    <mergeCell ref="Y239:Y241"/>
    <mergeCell ref="Y188:Y190"/>
    <mergeCell ref="Y191:Y193"/>
    <mergeCell ref="Y194:Y196"/>
    <mergeCell ref="Y197:Y199"/>
    <mergeCell ref="Y200:Y202"/>
    <mergeCell ref="Y203:Y205"/>
    <mergeCell ref="Y206:Y208"/>
    <mergeCell ref="Y209:Y211"/>
    <mergeCell ref="Y212:Y214"/>
    <mergeCell ref="Y161:Y163"/>
    <mergeCell ref="Y164:Y166"/>
    <mergeCell ref="Y167:Y169"/>
    <mergeCell ref="Y170:Y172"/>
    <mergeCell ref="Y173:Y175"/>
    <mergeCell ref="Y176:Y178"/>
    <mergeCell ref="Y179:Y181"/>
    <mergeCell ref="Y182:Y184"/>
    <mergeCell ref="Y185:Y187"/>
    <mergeCell ref="Y134:Y136"/>
    <mergeCell ref="Y137:Y139"/>
    <mergeCell ref="Y140:Y142"/>
    <mergeCell ref="Y143:Y145"/>
    <mergeCell ref="Y146:Y148"/>
    <mergeCell ref="Y149:Y151"/>
    <mergeCell ref="Y152:Y154"/>
    <mergeCell ref="Y155:Y157"/>
    <mergeCell ref="Y158:Y160"/>
    <mergeCell ref="Y107:Y109"/>
    <mergeCell ref="Y110:Y112"/>
    <mergeCell ref="Y113:Y115"/>
    <mergeCell ref="Y116:Y118"/>
    <mergeCell ref="Y119:Y121"/>
    <mergeCell ref="Y122:Y124"/>
    <mergeCell ref="Y125:Y127"/>
    <mergeCell ref="Y128:Y130"/>
    <mergeCell ref="Y131:Y133"/>
    <mergeCell ref="Y80:Y82"/>
    <mergeCell ref="Y83:Y85"/>
    <mergeCell ref="Y86:Y88"/>
    <mergeCell ref="Y89:Y91"/>
    <mergeCell ref="Y92:Y94"/>
    <mergeCell ref="Y95:Y97"/>
    <mergeCell ref="Y98:Y100"/>
    <mergeCell ref="Y101:Y103"/>
    <mergeCell ref="Y104:Y106"/>
    <mergeCell ref="H239:H241"/>
    <mergeCell ref="H242:H244"/>
    <mergeCell ref="H245:H247"/>
    <mergeCell ref="Y17:Y19"/>
    <mergeCell ref="Y20:Y22"/>
    <mergeCell ref="Y23:Y25"/>
    <mergeCell ref="Y26:Y28"/>
    <mergeCell ref="Y29:Y31"/>
    <mergeCell ref="Y32:Y34"/>
    <mergeCell ref="Y35:Y37"/>
    <mergeCell ref="Y38:Y40"/>
    <mergeCell ref="Y41:Y43"/>
    <mergeCell ref="Y44:Y46"/>
    <mergeCell ref="Y47:Y49"/>
    <mergeCell ref="Y50:Y52"/>
    <mergeCell ref="Y53:Y55"/>
    <mergeCell ref="Y56:Y58"/>
    <mergeCell ref="Y59:Y61"/>
    <mergeCell ref="Y62:Y64"/>
    <mergeCell ref="Y65:Y67"/>
    <mergeCell ref="Y68:Y70"/>
    <mergeCell ref="Y71:Y73"/>
    <mergeCell ref="Y74:Y76"/>
    <mergeCell ref="Y77:Y79"/>
    <mergeCell ref="H212:H214"/>
    <mergeCell ref="H215:H217"/>
    <mergeCell ref="H218:H220"/>
    <mergeCell ref="H221:H223"/>
    <mergeCell ref="H224:H226"/>
    <mergeCell ref="H227:H229"/>
    <mergeCell ref="H230:H232"/>
    <mergeCell ref="H233:H235"/>
    <mergeCell ref="H236:H238"/>
    <mergeCell ref="H158:H160"/>
    <mergeCell ref="H161:H163"/>
    <mergeCell ref="H164:H166"/>
    <mergeCell ref="H167:H169"/>
    <mergeCell ref="H170:H172"/>
    <mergeCell ref="H173:H175"/>
    <mergeCell ref="H176:H178"/>
    <mergeCell ref="H179:H181"/>
    <mergeCell ref="H182:H184"/>
    <mergeCell ref="H131:H133"/>
    <mergeCell ref="H134:H136"/>
    <mergeCell ref="H137:H139"/>
    <mergeCell ref="H140:H142"/>
    <mergeCell ref="H143:H145"/>
    <mergeCell ref="H146:H148"/>
    <mergeCell ref="H149:H151"/>
    <mergeCell ref="H152:H154"/>
    <mergeCell ref="H155:H157"/>
    <mergeCell ref="H104:H106"/>
    <mergeCell ref="H107:H109"/>
    <mergeCell ref="H110:H112"/>
    <mergeCell ref="H113:H115"/>
    <mergeCell ref="H116:H118"/>
    <mergeCell ref="H119:H121"/>
    <mergeCell ref="H122:H124"/>
    <mergeCell ref="H125:H127"/>
    <mergeCell ref="H128:H130"/>
    <mergeCell ref="H77:H79"/>
    <mergeCell ref="H80:H82"/>
    <mergeCell ref="H83:H85"/>
    <mergeCell ref="H86:H88"/>
    <mergeCell ref="H89:H91"/>
    <mergeCell ref="H92:H94"/>
    <mergeCell ref="H95:H97"/>
    <mergeCell ref="H98:H100"/>
    <mergeCell ref="H101:H103"/>
    <mergeCell ref="G236:G238"/>
    <mergeCell ref="G239:G241"/>
    <mergeCell ref="G242:G244"/>
    <mergeCell ref="G245:G247"/>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74:H76"/>
    <mergeCell ref="G209:G211"/>
    <mergeCell ref="G212:G214"/>
    <mergeCell ref="G215:G217"/>
    <mergeCell ref="G218:G220"/>
    <mergeCell ref="G221:G223"/>
    <mergeCell ref="G224:G226"/>
    <mergeCell ref="G227:G229"/>
    <mergeCell ref="G230:G232"/>
    <mergeCell ref="G233:G235"/>
    <mergeCell ref="G182:G184"/>
    <mergeCell ref="G185:G187"/>
    <mergeCell ref="G188:G190"/>
    <mergeCell ref="G191:G193"/>
    <mergeCell ref="G194:G196"/>
    <mergeCell ref="G197:G199"/>
    <mergeCell ref="G200:G202"/>
    <mergeCell ref="G203:G205"/>
    <mergeCell ref="G206:G208"/>
    <mergeCell ref="G155:G157"/>
    <mergeCell ref="G158:G160"/>
    <mergeCell ref="G161:G163"/>
    <mergeCell ref="G164:G166"/>
    <mergeCell ref="G167:G169"/>
    <mergeCell ref="G170:G172"/>
    <mergeCell ref="G173:G175"/>
    <mergeCell ref="G176:G178"/>
    <mergeCell ref="G179:G181"/>
    <mergeCell ref="G128:G130"/>
    <mergeCell ref="G131:G133"/>
    <mergeCell ref="G134:G136"/>
    <mergeCell ref="G137:G139"/>
    <mergeCell ref="G140:G142"/>
    <mergeCell ref="G143:G145"/>
    <mergeCell ref="G146:G148"/>
    <mergeCell ref="G149:G151"/>
    <mergeCell ref="G152:G154"/>
    <mergeCell ref="G101:G103"/>
    <mergeCell ref="G104:G106"/>
    <mergeCell ref="G107:G109"/>
    <mergeCell ref="G110:G112"/>
    <mergeCell ref="G113:G115"/>
    <mergeCell ref="G116:G118"/>
    <mergeCell ref="G119:G121"/>
    <mergeCell ref="G122:G124"/>
    <mergeCell ref="G125:G127"/>
    <mergeCell ref="G74:G76"/>
    <mergeCell ref="G77:G79"/>
    <mergeCell ref="G80:G82"/>
    <mergeCell ref="G83:G85"/>
    <mergeCell ref="G86:G88"/>
    <mergeCell ref="G89:G91"/>
    <mergeCell ref="G92:G94"/>
    <mergeCell ref="G95:G97"/>
    <mergeCell ref="G98:G100"/>
    <mergeCell ref="F233:F235"/>
    <mergeCell ref="F236:F238"/>
    <mergeCell ref="F239:F241"/>
    <mergeCell ref="F242:F244"/>
    <mergeCell ref="F245:F247"/>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G62:G64"/>
    <mergeCell ref="G65:G67"/>
    <mergeCell ref="G68:G70"/>
    <mergeCell ref="G71:G73"/>
    <mergeCell ref="F206:F208"/>
    <mergeCell ref="F209:F211"/>
    <mergeCell ref="F212:F214"/>
    <mergeCell ref="F215:F217"/>
    <mergeCell ref="F218:F220"/>
    <mergeCell ref="F221:F223"/>
    <mergeCell ref="F224:F226"/>
    <mergeCell ref="F227:F229"/>
    <mergeCell ref="F230:F232"/>
    <mergeCell ref="F179:F181"/>
    <mergeCell ref="F182:F184"/>
    <mergeCell ref="F185:F187"/>
    <mergeCell ref="F188:F190"/>
    <mergeCell ref="F191:F193"/>
    <mergeCell ref="F194:F196"/>
    <mergeCell ref="F197:F199"/>
    <mergeCell ref="F200:F202"/>
    <mergeCell ref="F203:F205"/>
    <mergeCell ref="F152:F154"/>
    <mergeCell ref="F155:F157"/>
    <mergeCell ref="F158:F160"/>
    <mergeCell ref="F161:F163"/>
    <mergeCell ref="F164:F166"/>
    <mergeCell ref="F167:F169"/>
    <mergeCell ref="F170:F172"/>
    <mergeCell ref="F173:F175"/>
    <mergeCell ref="F176:F178"/>
    <mergeCell ref="F125:F127"/>
    <mergeCell ref="F128:F130"/>
    <mergeCell ref="F131:F133"/>
    <mergeCell ref="F134:F136"/>
    <mergeCell ref="F137:F139"/>
    <mergeCell ref="F140:F142"/>
    <mergeCell ref="F143:F145"/>
    <mergeCell ref="F146:F148"/>
    <mergeCell ref="F149:F151"/>
    <mergeCell ref="F98:F100"/>
    <mergeCell ref="F101:F103"/>
    <mergeCell ref="F104:F106"/>
    <mergeCell ref="F107:F109"/>
    <mergeCell ref="F110:F112"/>
    <mergeCell ref="F113:F115"/>
    <mergeCell ref="F116:F118"/>
    <mergeCell ref="F119:F121"/>
    <mergeCell ref="F122:F124"/>
    <mergeCell ref="F71:F73"/>
    <mergeCell ref="F74:F76"/>
    <mergeCell ref="F77:F79"/>
    <mergeCell ref="F80:F82"/>
    <mergeCell ref="F83:F85"/>
    <mergeCell ref="F86:F88"/>
    <mergeCell ref="F89:F91"/>
    <mergeCell ref="F92:F94"/>
    <mergeCell ref="F95:F97"/>
    <mergeCell ref="F44:F46"/>
    <mergeCell ref="F47:F49"/>
    <mergeCell ref="F50:F52"/>
    <mergeCell ref="F53:F55"/>
    <mergeCell ref="F56:F58"/>
    <mergeCell ref="F59:F61"/>
    <mergeCell ref="F62:F64"/>
    <mergeCell ref="F65:F67"/>
    <mergeCell ref="F68:F70"/>
    <mergeCell ref="F17:F19"/>
    <mergeCell ref="F20:F22"/>
    <mergeCell ref="F23:F25"/>
    <mergeCell ref="F26:F28"/>
    <mergeCell ref="F29:F31"/>
    <mergeCell ref="F32:F34"/>
    <mergeCell ref="F35:F37"/>
    <mergeCell ref="F38:F40"/>
    <mergeCell ref="F41:F43"/>
    <mergeCell ref="D242:D244"/>
    <mergeCell ref="D245:D247"/>
    <mergeCell ref="E17:E19"/>
    <mergeCell ref="E20:E22"/>
    <mergeCell ref="E23:E25"/>
    <mergeCell ref="E26:E28"/>
    <mergeCell ref="E29:E31"/>
    <mergeCell ref="E35:E37"/>
    <mergeCell ref="E38:E40"/>
    <mergeCell ref="E41:E43"/>
    <mergeCell ref="E44:E46"/>
    <mergeCell ref="E47:E49"/>
    <mergeCell ref="D215:D217"/>
    <mergeCell ref="D218:D220"/>
    <mergeCell ref="D221:D223"/>
    <mergeCell ref="D224:D226"/>
    <mergeCell ref="D227:D229"/>
    <mergeCell ref="D230:D232"/>
    <mergeCell ref="D233:D235"/>
    <mergeCell ref="D236:D238"/>
    <mergeCell ref="D239:D241"/>
    <mergeCell ref="D188:D190"/>
    <mergeCell ref="D191:D193"/>
    <mergeCell ref="D194:D196"/>
    <mergeCell ref="D197:D199"/>
    <mergeCell ref="D200:D202"/>
    <mergeCell ref="D203:D205"/>
    <mergeCell ref="D206:D208"/>
    <mergeCell ref="D209:D211"/>
    <mergeCell ref="D212:D214"/>
    <mergeCell ref="D161:D163"/>
    <mergeCell ref="D164:D166"/>
    <mergeCell ref="D167:D169"/>
    <mergeCell ref="D170:D172"/>
    <mergeCell ref="D173:D175"/>
    <mergeCell ref="D176:D178"/>
    <mergeCell ref="D179:D181"/>
    <mergeCell ref="D182:D184"/>
    <mergeCell ref="D185:D187"/>
    <mergeCell ref="D134:D136"/>
    <mergeCell ref="D137:D139"/>
    <mergeCell ref="D140:D142"/>
    <mergeCell ref="D143:D145"/>
    <mergeCell ref="D146:D148"/>
    <mergeCell ref="D149:D151"/>
    <mergeCell ref="D152:D154"/>
    <mergeCell ref="D155:D157"/>
    <mergeCell ref="D158:D160"/>
    <mergeCell ref="D107:D109"/>
    <mergeCell ref="D110:D112"/>
    <mergeCell ref="D113:D115"/>
    <mergeCell ref="D116:D118"/>
    <mergeCell ref="D119:D121"/>
    <mergeCell ref="D122:D124"/>
    <mergeCell ref="D125:D127"/>
    <mergeCell ref="D128:D130"/>
    <mergeCell ref="D131:D133"/>
    <mergeCell ref="D80:D82"/>
    <mergeCell ref="D83:D85"/>
    <mergeCell ref="D86:D88"/>
    <mergeCell ref="D89:D91"/>
    <mergeCell ref="D92:D94"/>
    <mergeCell ref="D95:D97"/>
    <mergeCell ref="D98:D100"/>
    <mergeCell ref="D101:D103"/>
    <mergeCell ref="D104:D106"/>
    <mergeCell ref="C239:C241"/>
    <mergeCell ref="C242:C244"/>
    <mergeCell ref="C245:C247"/>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C212:C214"/>
    <mergeCell ref="C215:C217"/>
    <mergeCell ref="C218:C220"/>
    <mergeCell ref="C221:C223"/>
    <mergeCell ref="C224:C226"/>
    <mergeCell ref="C227:C229"/>
    <mergeCell ref="C230:C232"/>
    <mergeCell ref="C233:C235"/>
    <mergeCell ref="C236:C238"/>
    <mergeCell ref="C185:C187"/>
    <mergeCell ref="C188:C190"/>
    <mergeCell ref="C191:C193"/>
    <mergeCell ref="C194:C196"/>
    <mergeCell ref="C197:C199"/>
    <mergeCell ref="C200:C202"/>
    <mergeCell ref="C203:C205"/>
    <mergeCell ref="C206:C208"/>
    <mergeCell ref="C209:C211"/>
    <mergeCell ref="C158:C160"/>
    <mergeCell ref="C161:C163"/>
    <mergeCell ref="C164:C166"/>
    <mergeCell ref="C167:C169"/>
    <mergeCell ref="C170:C172"/>
    <mergeCell ref="C173:C175"/>
    <mergeCell ref="C176:C178"/>
    <mergeCell ref="C179:C181"/>
    <mergeCell ref="C182:C184"/>
    <mergeCell ref="C131:C133"/>
    <mergeCell ref="C134:C136"/>
    <mergeCell ref="C137:C139"/>
    <mergeCell ref="C140:C142"/>
    <mergeCell ref="C143:C145"/>
    <mergeCell ref="C146:C148"/>
    <mergeCell ref="C149:C151"/>
    <mergeCell ref="C152:C154"/>
    <mergeCell ref="C155:C157"/>
    <mergeCell ref="C104:C106"/>
    <mergeCell ref="C107:C109"/>
    <mergeCell ref="C110:C112"/>
    <mergeCell ref="C113:C115"/>
    <mergeCell ref="C116:C118"/>
    <mergeCell ref="C119:C121"/>
    <mergeCell ref="C122:C124"/>
    <mergeCell ref="C125:C127"/>
    <mergeCell ref="C128:C130"/>
    <mergeCell ref="C77:C79"/>
    <mergeCell ref="C80:C82"/>
    <mergeCell ref="C83:C85"/>
    <mergeCell ref="C86:C88"/>
    <mergeCell ref="C89:C91"/>
    <mergeCell ref="C92:C94"/>
    <mergeCell ref="C95:C97"/>
    <mergeCell ref="C98:C100"/>
    <mergeCell ref="C101:C103"/>
    <mergeCell ref="B236:B238"/>
    <mergeCell ref="B239:B241"/>
    <mergeCell ref="B242:B244"/>
    <mergeCell ref="B245:B247"/>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B209:B211"/>
    <mergeCell ref="B212:B214"/>
    <mergeCell ref="B215:B217"/>
    <mergeCell ref="B218:B220"/>
    <mergeCell ref="B221:B223"/>
    <mergeCell ref="B224:B226"/>
    <mergeCell ref="B227:B229"/>
    <mergeCell ref="B230:B232"/>
    <mergeCell ref="B233:B235"/>
    <mergeCell ref="B182:B184"/>
    <mergeCell ref="B185:B187"/>
    <mergeCell ref="B188:B190"/>
    <mergeCell ref="B191:B193"/>
    <mergeCell ref="B194:B196"/>
    <mergeCell ref="B197:B199"/>
    <mergeCell ref="B200:B202"/>
    <mergeCell ref="B203:B205"/>
    <mergeCell ref="B206:B208"/>
    <mergeCell ref="B155:B157"/>
    <mergeCell ref="B158:B160"/>
    <mergeCell ref="B161:B163"/>
    <mergeCell ref="B164:B166"/>
    <mergeCell ref="B167:B169"/>
    <mergeCell ref="B170:B172"/>
    <mergeCell ref="B173:B175"/>
    <mergeCell ref="B176:B178"/>
    <mergeCell ref="B179:B181"/>
    <mergeCell ref="B128:B130"/>
    <mergeCell ref="B131:B133"/>
    <mergeCell ref="B134:B136"/>
    <mergeCell ref="B137:B139"/>
    <mergeCell ref="B140:B142"/>
    <mergeCell ref="B143:B145"/>
    <mergeCell ref="B146:B148"/>
    <mergeCell ref="B149:B151"/>
    <mergeCell ref="B152:B154"/>
    <mergeCell ref="B101:B103"/>
    <mergeCell ref="B104:B106"/>
    <mergeCell ref="B107:B109"/>
    <mergeCell ref="B110:B112"/>
    <mergeCell ref="B113:B115"/>
    <mergeCell ref="B116:B118"/>
    <mergeCell ref="B119:B121"/>
    <mergeCell ref="B122:B124"/>
    <mergeCell ref="B125:B127"/>
    <mergeCell ref="B74:B76"/>
    <mergeCell ref="B77:B79"/>
    <mergeCell ref="B80:B82"/>
    <mergeCell ref="B83:B85"/>
    <mergeCell ref="B86:B88"/>
    <mergeCell ref="B89:B91"/>
    <mergeCell ref="B92:B94"/>
    <mergeCell ref="B95:B97"/>
    <mergeCell ref="B98:B100"/>
    <mergeCell ref="A233:A235"/>
    <mergeCell ref="A236:A238"/>
    <mergeCell ref="A239:A241"/>
    <mergeCell ref="A242:A244"/>
    <mergeCell ref="A245:A247"/>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A206:A208"/>
    <mergeCell ref="A209:A211"/>
    <mergeCell ref="A212:A214"/>
    <mergeCell ref="A215:A217"/>
    <mergeCell ref="A218:A220"/>
    <mergeCell ref="A221:A223"/>
    <mergeCell ref="A224:A226"/>
    <mergeCell ref="A227:A229"/>
    <mergeCell ref="A230:A232"/>
    <mergeCell ref="A179:A181"/>
    <mergeCell ref="A182:A184"/>
    <mergeCell ref="A185:A187"/>
    <mergeCell ref="A188:A190"/>
    <mergeCell ref="A191:A193"/>
    <mergeCell ref="A194:A196"/>
    <mergeCell ref="A197:A199"/>
    <mergeCell ref="A200:A202"/>
    <mergeCell ref="A203:A205"/>
    <mergeCell ref="A152:A154"/>
    <mergeCell ref="A155:A157"/>
    <mergeCell ref="A158:A160"/>
    <mergeCell ref="A161:A163"/>
    <mergeCell ref="A164:A166"/>
    <mergeCell ref="A167:A169"/>
    <mergeCell ref="A170:A172"/>
    <mergeCell ref="A173:A175"/>
    <mergeCell ref="A176:A178"/>
    <mergeCell ref="A125:A127"/>
    <mergeCell ref="A128:A130"/>
    <mergeCell ref="A131:A133"/>
    <mergeCell ref="A134:A136"/>
    <mergeCell ref="A137:A139"/>
    <mergeCell ref="A140:A142"/>
    <mergeCell ref="A143:A145"/>
    <mergeCell ref="A146:A148"/>
    <mergeCell ref="A149:A151"/>
    <mergeCell ref="A98:A100"/>
    <mergeCell ref="A101:A103"/>
    <mergeCell ref="A104:A106"/>
    <mergeCell ref="A107:A109"/>
    <mergeCell ref="A110:A112"/>
    <mergeCell ref="A113:A115"/>
    <mergeCell ref="A116:A118"/>
    <mergeCell ref="A119:A121"/>
    <mergeCell ref="A122:A124"/>
    <mergeCell ref="A71:A73"/>
    <mergeCell ref="A74:A76"/>
    <mergeCell ref="A77:A79"/>
    <mergeCell ref="A80:A82"/>
    <mergeCell ref="A83:A85"/>
    <mergeCell ref="A86:A88"/>
    <mergeCell ref="A89:A91"/>
    <mergeCell ref="A92:A94"/>
    <mergeCell ref="A95:A97"/>
    <mergeCell ref="A44:A46"/>
    <mergeCell ref="A47:A49"/>
    <mergeCell ref="A50:A52"/>
    <mergeCell ref="A53:A55"/>
    <mergeCell ref="A56:A58"/>
    <mergeCell ref="A59:A61"/>
    <mergeCell ref="A62:A64"/>
    <mergeCell ref="A65:A67"/>
    <mergeCell ref="A68:A70"/>
    <mergeCell ref="A17:A19"/>
    <mergeCell ref="A20:A22"/>
    <mergeCell ref="A23:A25"/>
    <mergeCell ref="A26:A28"/>
    <mergeCell ref="A29:A31"/>
    <mergeCell ref="A32:A34"/>
    <mergeCell ref="A35:A37"/>
    <mergeCell ref="A38:A40"/>
    <mergeCell ref="A41:A43"/>
  </mergeCells>
  <conditionalFormatting sqref="U55:V55 AP55:AR55 AP97:AR97 AP175:AR175">
    <cfRule type="expression" dxfId="99" priority="33" stopIfTrue="1">
      <formula>(U54&lt;&gt;"")*(U55="")*(U54&lt;TODAY())</formula>
    </cfRule>
    <cfRule type="expression" dxfId="98" priority="34" stopIfTrue="1">
      <formula>(U54&lt;&gt;"")*(U55="")*(U54&gt;=TODAY())*(U54&lt;=TODAY()+14)</formula>
    </cfRule>
    <cfRule type="expression" dxfId="97" priority="35">
      <formula>(U55&lt;&gt;"")*(U55&lt;=TODAY())</formula>
    </cfRule>
  </conditionalFormatting>
  <conditionalFormatting sqref="X55">
    <cfRule type="expression" dxfId="96" priority="25" stopIfTrue="1">
      <formula>(X54&lt;&gt;"")*(X55="")*(X54&lt;TODAY())</formula>
    </cfRule>
    <cfRule type="expression" dxfId="95" priority="26" stopIfTrue="1">
      <formula>(X54&lt;&gt;"")*(X55="")*(X54&gt;=TODAY())*(X54&lt;=TODAY()+14)</formula>
    </cfRule>
    <cfRule type="expression" dxfId="94" priority="27">
      <formula>(X55&lt;&gt;"")*(X55&lt;=TODAY())</formula>
    </cfRule>
  </conditionalFormatting>
  <conditionalFormatting sqref="AP214:AR214 AP217:AR217 AP220:AR220 AP223:AR223 AP226:AR226 AP229:AR229 AP232:AR232 AP235:AR235 AP238:AR238 AP241:AR241 AP244:AR244 AP247:AR247">
    <cfRule type="expression" dxfId="93" priority="1" stopIfTrue="1">
      <formula>(AP213&lt;&gt;"")*(AP214="")*(AP213&lt;TODAY())</formula>
    </cfRule>
    <cfRule type="expression" dxfId="92" priority="2" stopIfTrue="1">
      <formula>(AP213&lt;&gt;"")*(AP214="")*(AP213&gt;=TODAY())*(AP213&lt;=TODAY()+14)</formula>
    </cfRule>
    <cfRule type="expression" dxfId="91" priority="3">
      <formula>(AP214&lt;&gt;"")*(AP214&lt;=TODAY())</formula>
    </cfRule>
  </conditionalFormatting>
  <pageMargins left="0.7" right="0.7" top="0.75" bottom="0.75" header="0.3" footer="0.3"/>
  <pageSetup scale="28" fitToHeight="0" orientation="landscape" horizontalDpi="1200" verticalDpi="1200" r:id="rId1"/>
  <rowBreaks count="4" manualBreakCount="4">
    <brk id="55" max="16383" man="1"/>
    <brk id="100" max="16383" man="1"/>
    <brk id="127" max="16383" man="1"/>
    <brk id="175" max="16383" man="1"/>
  </rowBreaks>
  <colBreaks count="3" manualBreakCount="3">
    <brk id="10" max="1048575" man="1"/>
    <brk id="28" max="1048575" man="1"/>
    <brk id="42" max="177"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303"/>
  <sheetViews>
    <sheetView topLeftCell="H1" zoomScale="85" zoomScaleNormal="85" workbookViewId="0">
      <pane xSplit="2" ySplit="9" topLeftCell="J190" activePane="bottomRight" state="frozen"/>
      <selection pane="topRight"/>
      <selection pane="bottomLeft"/>
      <selection pane="bottomRight" activeCell="A250" sqref="A250:A252"/>
    </sheetView>
  </sheetViews>
  <sheetFormatPr defaultColWidth="10.69921875" defaultRowHeight="18"/>
  <cols>
    <col min="1" max="1" width="3.796875" style="22" customWidth="1"/>
    <col min="2" max="2" width="30" style="22" customWidth="1"/>
    <col min="3" max="3" width="8.296875" style="23" customWidth="1"/>
    <col min="4" max="4" width="6.09765625" style="24" customWidth="1"/>
    <col min="5" max="5" width="10.296875" style="25" customWidth="1"/>
    <col min="6" max="6" width="4.3984375" style="26" customWidth="1"/>
    <col min="7" max="7" width="18.796875" style="27" customWidth="1"/>
    <col min="8" max="8" width="56.09765625" style="28" customWidth="1"/>
    <col min="9" max="9" width="8.69921875" style="29" customWidth="1"/>
    <col min="10" max="10" width="10.796875" style="29" customWidth="1"/>
    <col min="11" max="13" width="7.69921875" style="29" customWidth="1"/>
    <col min="14" max="16" width="6.796875" style="29" customWidth="1"/>
    <col min="17" max="18" width="10.3984375" style="29" customWidth="1"/>
    <col min="19" max="27" width="10.3984375" style="30" customWidth="1"/>
    <col min="28" max="29" width="10.3984375" style="31" customWidth="1"/>
    <col min="30" max="30" width="9.296875" style="31" customWidth="1"/>
    <col min="31" max="33" width="10.3984375" style="31" customWidth="1"/>
    <col min="34" max="34" width="10.3984375" style="32" customWidth="1"/>
    <col min="35" max="35" width="10.3984375" style="33" customWidth="1"/>
    <col min="36" max="37" width="10.3984375" style="31" customWidth="1"/>
    <col min="38" max="38" width="26" style="31" customWidth="1"/>
    <col min="39" max="49" width="10.69921875" style="29" hidden="1" customWidth="1"/>
    <col min="50" max="53" width="10.69921875" style="29"/>
    <col min="54" max="54" width="10.69921875" style="34" hidden="1" customWidth="1"/>
    <col min="55" max="16384" width="10.69921875" style="29"/>
  </cols>
  <sheetData>
    <row r="1" spans="1:54" ht="19.5" customHeight="1">
      <c r="A1" s="35" t="s">
        <v>4802</v>
      </c>
      <c r="B1" s="35"/>
      <c r="C1" s="35"/>
      <c r="F1" s="25"/>
      <c r="G1" s="36"/>
      <c r="H1" s="37"/>
      <c r="I1" s="25"/>
      <c r="J1" s="25"/>
      <c r="K1" s="25"/>
      <c r="L1" s="25"/>
      <c r="M1" s="25"/>
      <c r="N1" s="25"/>
      <c r="O1" s="25"/>
      <c r="P1" s="25"/>
      <c r="Q1" s="38"/>
      <c r="R1" s="38"/>
      <c r="S1" s="39"/>
      <c r="T1" s="39"/>
      <c r="U1" s="39"/>
      <c r="V1" s="39"/>
      <c r="W1" s="39"/>
      <c r="X1" s="39"/>
      <c r="Y1" s="39"/>
      <c r="Z1" s="39"/>
      <c r="AA1" s="39"/>
      <c r="AB1" s="40"/>
      <c r="AC1" s="25"/>
      <c r="AD1" s="41"/>
      <c r="AE1" s="25"/>
      <c r="AF1" s="40"/>
      <c r="AG1" s="25"/>
      <c r="AH1" s="42"/>
      <c r="AI1" s="43"/>
      <c r="AJ1" s="25"/>
      <c r="AK1" s="25"/>
      <c r="AL1" s="25"/>
    </row>
    <row r="2" spans="1:54" ht="12" customHeight="1">
      <c r="A2" s="44"/>
      <c r="B2" s="24"/>
      <c r="C2" s="44"/>
      <c r="F2" s="25"/>
      <c r="G2" s="36"/>
      <c r="H2" s="37"/>
      <c r="I2" s="45" t="s">
        <v>6</v>
      </c>
      <c r="J2" s="46" t="s">
        <v>4803</v>
      </c>
      <c r="K2" s="25"/>
      <c r="L2" s="25"/>
      <c r="M2" s="25"/>
      <c r="N2" s="46"/>
      <c r="O2" s="46"/>
      <c r="P2" s="46"/>
      <c r="Q2" s="38"/>
      <c r="R2" s="38"/>
      <c r="S2" s="47">
        <v>20</v>
      </c>
      <c r="T2" s="47">
        <v>10</v>
      </c>
      <c r="U2" s="47"/>
      <c r="V2" s="47"/>
      <c r="W2" s="47">
        <v>5</v>
      </c>
      <c r="X2" s="47">
        <v>5</v>
      </c>
      <c r="Y2" s="47">
        <v>5</v>
      </c>
      <c r="Z2" s="47">
        <v>2</v>
      </c>
      <c r="AA2" s="47">
        <v>10</v>
      </c>
      <c r="AB2" s="25"/>
      <c r="AC2" s="25"/>
      <c r="AD2" s="25"/>
      <c r="AE2" s="25"/>
      <c r="AF2" s="25"/>
      <c r="AG2" s="25"/>
      <c r="AH2" s="42"/>
      <c r="AI2" s="43"/>
      <c r="AJ2" s="25"/>
      <c r="AK2" s="25"/>
      <c r="AL2" s="25"/>
    </row>
    <row r="3" spans="1:54" ht="12" customHeight="1">
      <c r="A3" s="48" t="s">
        <v>4804</v>
      </c>
      <c r="B3" s="46" t="s">
        <v>4805</v>
      </c>
      <c r="C3" s="44"/>
      <c r="F3" s="25"/>
      <c r="G3" s="36"/>
      <c r="H3" s="49"/>
      <c r="I3" s="45" t="s">
        <v>7</v>
      </c>
      <c r="J3" s="46" t="s">
        <v>4806</v>
      </c>
      <c r="K3" s="25"/>
      <c r="L3" s="25"/>
      <c r="M3" s="25"/>
      <c r="N3" s="46"/>
      <c r="O3" s="46"/>
      <c r="P3" s="46"/>
      <c r="Q3" s="38"/>
      <c r="R3" s="38"/>
      <c r="S3" s="47">
        <v>20</v>
      </c>
      <c r="T3" s="47">
        <v>10</v>
      </c>
      <c r="U3" s="47"/>
      <c r="V3" s="47"/>
      <c r="W3" s="47">
        <v>5</v>
      </c>
      <c r="X3" s="47">
        <v>5</v>
      </c>
      <c r="Y3" s="47">
        <v>5</v>
      </c>
      <c r="Z3" s="47">
        <v>2</v>
      </c>
      <c r="AA3" s="47">
        <v>10</v>
      </c>
      <c r="AB3" s="25"/>
      <c r="AC3" s="25"/>
      <c r="AD3" s="25"/>
      <c r="AE3" s="25"/>
      <c r="AF3" s="25"/>
      <c r="AG3" s="25"/>
      <c r="AH3" s="42"/>
      <c r="AI3" s="43"/>
      <c r="AJ3" s="25"/>
      <c r="AK3" s="25"/>
      <c r="AL3" s="25"/>
    </row>
    <row r="4" spans="1:54" ht="12" customHeight="1">
      <c r="A4" s="50" t="s">
        <v>4804</v>
      </c>
      <c r="B4" s="46" t="s">
        <v>4807</v>
      </c>
      <c r="C4" s="44"/>
      <c r="F4" s="25"/>
      <c r="G4" s="36"/>
      <c r="H4" s="49"/>
      <c r="I4" s="45" t="s">
        <v>8</v>
      </c>
      <c r="J4" s="46" t="s">
        <v>4808</v>
      </c>
      <c r="K4" s="25"/>
      <c r="L4" s="25"/>
      <c r="M4" s="25"/>
      <c r="N4" s="46"/>
      <c r="O4" s="46"/>
      <c r="P4" s="46"/>
      <c r="Q4" s="38"/>
      <c r="R4" s="38"/>
      <c r="S4" s="47">
        <v>15</v>
      </c>
      <c r="T4" s="47">
        <v>10</v>
      </c>
      <c r="U4" s="47"/>
      <c r="V4" s="47"/>
      <c r="W4" s="47">
        <v>5</v>
      </c>
      <c r="X4" s="47">
        <v>5</v>
      </c>
      <c r="Y4" s="47">
        <v>5</v>
      </c>
      <c r="Z4" s="47">
        <v>2</v>
      </c>
      <c r="AA4" s="47">
        <v>10</v>
      </c>
      <c r="AB4" s="25"/>
      <c r="AC4" s="25"/>
      <c r="AD4" s="25"/>
      <c r="AE4" s="25"/>
      <c r="AF4" s="25"/>
      <c r="AG4" s="25"/>
      <c r="AH4" s="42"/>
      <c r="AI4" s="43"/>
      <c r="AJ4" s="25"/>
      <c r="AK4" s="25"/>
      <c r="AL4" s="25"/>
    </row>
    <row r="5" spans="1:54" s="17" customFormat="1" ht="12" customHeight="1">
      <c r="A5" s="51" t="s">
        <v>4804</v>
      </c>
      <c r="B5" s="46" t="s">
        <v>4809</v>
      </c>
      <c r="C5" s="44"/>
      <c r="D5" s="24"/>
      <c r="E5" s="25"/>
      <c r="F5" s="25"/>
      <c r="G5" s="36"/>
      <c r="H5" s="37"/>
      <c r="I5" s="45" t="s">
        <v>9</v>
      </c>
      <c r="J5" s="46" t="s">
        <v>4810</v>
      </c>
      <c r="K5" s="25"/>
      <c r="L5" s="25"/>
      <c r="M5" s="52">
        <f>SUM(M10:M171)</f>
        <v>0.747</v>
      </c>
      <c r="N5" s="46"/>
      <c r="O5" s="46"/>
      <c r="P5" s="46"/>
      <c r="Q5" s="53"/>
      <c r="R5" s="53"/>
      <c r="S5" s="47">
        <v>10</v>
      </c>
      <c r="T5" s="47">
        <v>10</v>
      </c>
      <c r="U5" s="47"/>
      <c r="V5" s="47"/>
      <c r="W5" s="47">
        <v>5</v>
      </c>
      <c r="X5" s="47">
        <v>5</v>
      </c>
      <c r="Y5" s="47">
        <v>5</v>
      </c>
      <c r="Z5" s="47">
        <v>2</v>
      </c>
      <c r="AA5" s="47">
        <v>10</v>
      </c>
      <c r="AB5" s="54"/>
      <c r="AC5" s="54"/>
      <c r="AD5" s="54"/>
      <c r="AE5" s="54"/>
      <c r="AF5" s="54"/>
      <c r="AG5" s="54"/>
      <c r="AH5" s="55"/>
      <c r="AI5" s="56"/>
      <c r="AJ5" s="57"/>
      <c r="AK5" s="57"/>
      <c r="AL5" s="58"/>
      <c r="BB5" s="59"/>
    </row>
    <row r="6" spans="1:54" s="18" customFormat="1" ht="25.05" customHeight="1">
      <c r="A6" s="640" t="s">
        <v>12</v>
      </c>
      <c r="B6" s="640" t="s">
        <v>51</v>
      </c>
      <c r="C6" s="640" t="s">
        <v>4811</v>
      </c>
      <c r="D6" s="640" t="s">
        <v>4812</v>
      </c>
      <c r="E6" s="640" t="s">
        <v>13</v>
      </c>
      <c r="F6" s="60" t="s">
        <v>4813</v>
      </c>
      <c r="G6" s="640" t="s">
        <v>4814</v>
      </c>
      <c r="H6" s="640" t="s">
        <v>4815</v>
      </c>
      <c r="I6" s="640" t="s">
        <v>22</v>
      </c>
      <c r="J6" s="640" t="s">
        <v>4816</v>
      </c>
      <c r="K6" s="60" t="s">
        <v>4817</v>
      </c>
      <c r="L6" s="60" t="s">
        <v>4817</v>
      </c>
      <c r="M6" s="60" t="s">
        <v>4817</v>
      </c>
      <c r="N6" s="60" t="s">
        <v>4817</v>
      </c>
      <c r="O6" s="60" t="s">
        <v>4817</v>
      </c>
      <c r="P6" s="60" t="s">
        <v>4817</v>
      </c>
      <c r="Q6" s="640" t="s">
        <v>4818</v>
      </c>
      <c r="R6" s="640" t="s">
        <v>35</v>
      </c>
      <c r="S6" s="640" t="s">
        <v>4819</v>
      </c>
      <c r="T6" s="640" t="s">
        <v>37</v>
      </c>
      <c r="U6" s="640" t="s">
        <v>38</v>
      </c>
      <c r="V6" s="640" t="s">
        <v>40</v>
      </c>
      <c r="W6" s="640" t="s">
        <v>41</v>
      </c>
      <c r="X6" s="640" t="s">
        <v>42</v>
      </c>
      <c r="Y6" s="640" t="s">
        <v>43</v>
      </c>
      <c r="Z6" s="640" t="s">
        <v>44</v>
      </c>
      <c r="AA6" s="640" t="s">
        <v>4820</v>
      </c>
      <c r="AB6" s="640" t="s">
        <v>4725</v>
      </c>
      <c r="AC6" s="640" t="s">
        <v>4821</v>
      </c>
      <c r="AD6" s="640" t="s">
        <v>4732</v>
      </c>
      <c r="AE6" s="640" t="s">
        <v>46</v>
      </c>
      <c r="AF6" s="640" t="s">
        <v>4822</v>
      </c>
      <c r="AG6" s="640" t="s">
        <v>48</v>
      </c>
      <c r="AH6" s="640" t="s">
        <v>4823</v>
      </c>
      <c r="AI6" s="640" t="s">
        <v>4824</v>
      </c>
      <c r="AJ6" s="640" t="s">
        <v>18</v>
      </c>
      <c r="AK6" s="640" t="s">
        <v>4825</v>
      </c>
      <c r="AL6" s="640" t="s">
        <v>4826</v>
      </c>
      <c r="AM6" s="61">
        <v>40329</v>
      </c>
      <c r="AN6" s="62">
        <v>40359</v>
      </c>
      <c r="AO6" s="62">
        <v>40390</v>
      </c>
      <c r="AP6" s="62">
        <v>40421</v>
      </c>
      <c r="AQ6" s="62">
        <v>40451</v>
      </c>
      <c r="AR6" s="62">
        <v>40482</v>
      </c>
      <c r="AS6" s="62">
        <v>40512</v>
      </c>
      <c r="AT6" s="62">
        <v>40543</v>
      </c>
      <c r="AU6" s="62">
        <v>40574</v>
      </c>
      <c r="AV6" s="62">
        <v>40602</v>
      </c>
      <c r="AW6" s="62">
        <f ca="1">TODAY()</f>
        <v>46209</v>
      </c>
      <c r="BB6" s="63"/>
    </row>
    <row r="7" spans="1:54" s="18" customFormat="1" ht="25.05" customHeight="1">
      <c r="A7" s="641"/>
      <c r="B7" s="641"/>
      <c r="C7" s="641"/>
      <c r="D7" s="641"/>
      <c r="E7" s="641"/>
      <c r="F7" s="60" t="s">
        <v>4827</v>
      </c>
      <c r="G7" s="641"/>
      <c r="H7" s="641"/>
      <c r="I7" s="641"/>
      <c r="J7" s="641"/>
      <c r="K7" s="60"/>
      <c r="L7" s="60"/>
      <c r="M7" s="60"/>
      <c r="N7" s="60"/>
      <c r="O7" s="60"/>
      <c r="P7" s="60"/>
      <c r="Q7" s="641"/>
      <c r="R7" s="641"/>
      <c r="S7" s="641"/>
      <c r="T7" s="641"/>
      <c r="U7" s="641"/>
      <c r="V7" s="641"/>
      <c r="W7" s="641"/>
      <c r="X7" s="641"/>
      <c r="Y7" s="641"/>
      <c r="Z7" s="641"/>
      <c r="AA7" s="641"/>
      <c r="AB7" s="641"/>
      <c r="AC7" s="641"/>
      <c r="AD7" s="641"/>
      <c r="AE7" s="641"/>
      <c r="AF7" s="641"/>
      <c r="AG7" s="641"/>
      <c r="AH7" s="641"/>
      <c r="AI7" s="641"/>
      <c r="AJ7" s="641"/>
      <c r="AK7" s="641"/>
      <c r="AL7" s="641"/>
      <c r="BB7" s="63"/>
    </row>
    <row r="8" spans="1:54" s="19" customFormat="1" ht="11.25" customHeight="1">
      <c r="A8" s="64"/>
      <c r="B8" s="64"/>
      <c r="C8" s="64"/>
      <c r="D8" s="65"/>
      <c r="E8" s="65"/>
      <c r="F8" s="65"/>
      <c r="G8" s="66"/>
      <c r="H8" s="65"/>
      <c r="I8" s="65"/>
      <c r="J8" s="65"/>
      <c r="K8" s="65"/>
      <c r="L8" s="65"/>
      <c r="M8" s="65"/>
      <c r="N8" s="65"/>
      <c r="O8" s="65"/>
      <c r="P8" s="65"/>
      <c r="Q8" s="65" t="s">
        <v>52</v>
      </c>
      <c r="R8" s="65" t="s">
        <v>4828</v>
      </c>
      <c r="S8" s="65" t="s">
        <v>4829</v>
      </c>
      <c r="T8" s="65" t="s">
        <v>4829</v>
      </c>
      <c r="U8" s="65" t="s">
        <v>4830</v>
      </c>
      <c r="V8" s="65" t="s">
        <v>4831</v>
      </c>
      <c r="W8" s="65" t="s">
        <v>4832</v>
      </c>
      <c r="X8" s="65" t="s">
        <v>4829</v>
      </c>
      <c r="Y8" s="65" t="s">
        <v>4831</v>
      </c>
      <c r="Z8" s="65" t="s">
        <v>4830</v>
      </c>
      <c r="AA8" s="65" t="s">
        <v>4829</v>
      </c>
      <c r="AB8" s="65" t="s">
        <v>4833</v>
      </c>
      <c r="AC8" s="67"/>
      <c r="AD8" s="65"/>
      <c r="AE8" s="68"/>
      <c r="AF8" s="69" t="s">
        <v>241</v>
      </c>
      <c r="AG8" s="65"/>
      <c r="AH8" s="70"/>
      <c r="AI8" s="71"/>
      <c r="AJ8" s="65"/>
      <c r="AK8" s="65"/>
      <c r="AL8" s="65"/>
      <c r="BB8" s="72" t="e">
        <f>WORKDAY("7/16/2026",1,$BB$10:$BB$141)</f>
        <v>#REF!</v>
      </c>
    </row>
    <row r="9" spans="1:54" s="19" customFormat="1" ht="12">
      <c r="A9" s="64"/>
      <c r="B9" s="64"/>
      <c r="C9" s="64"/>
      <c r="D9" s="65"/>
      <c r="E9" s="65"/>
      <c r="F9" s="65"/>
      <c r="G9" s="66"/>
      <c r="H9" s="65"/>
      <c r="I9" s="65"/>
      <c r="J9" s="65"/>
      <c r="K9" s="65"/>
      <c r="L9" s="65"/>
      <c r="M9" s="65"/>
      <c r="N9" s="65"/>
      <c r="O9" s="65"/>
      <c r="P9" s="65"/>
      <c r="Q9" s="73" t="s">
        <v>4834</v>
      </c>
      <c r="R9" s="73"/>
      <c r="S9" s="73"/>
      <c r="T9" s="73"/>
      <c r="U9" s="73"/>
      <c r="V9" s="73"/>
      <c r="W9" s="73"/>
      <c r="X9" s="73"/>
      <c r="Y9" s="73"/>
      <c r="Z9" s="73" t="s">
        <v>241</v>
      </c>
      <c r="AA9" s="73"/>
      <c r="AB9" s="73">
        <v>0.95</v>
      </c>
      <c r="AC9" s="74"/>
      <c r="AD9" s="73"/>
      <c r="AE9" s="75"/>
      <c r="AF9" s="76"/>
      <c r="AG9" s="73"/>
      <c r="AH9" s="77"/>
      <c r="AI9" s="78"/>
      <c r="AJ9" s="73"/>
      <c r="AK9" s="73"/>
      <c r="AL9" s="73"/>
      <c r="BB9" s="72"/>
    </row>
    <row r="10" spans="1:54" s="20" customFormat="1" ht="18" customHeight="1">
      <c r="A10" s="642">
        <v>1</v>
      </c>
      <c r="B10" s="645" t="s">
        <v>4835</v>
      </c>
      <c r="C10" s="651" t="s">
        <v>4836</v>
      </c>
      <c r="D10" s="80" t="s">
        <v>4837</v>
      </c>
      <c r="E10" s="81" t="s">
        <v>4733</v>
      </c>
      <c r="F10" s="82" t="str">
        <f>IF(_xlfn.XLOOKUP(E10,'[35]Before Award'!D:D,'[35]Before Award'!AV:AV,"N/A")="N/A","N","Y")</f>
        <v>N</v>
      </c>
      <c r="G10" s="654" t="s">
        <v>4838</v>
      </c>
      <c r="H10" s="83" t="s">
        <v>58</v>
      </c>
      <c r="I10" s="81" t="s">
        <v>6</v>
      </c>
      <c r="J10" s="82"/>
      <c r="K10" s="84">
        <f>M12</f>
        <v>0.02</v>
      </c>
      <c r="L10" s="84"/>
      <c r="M10" s="84"/>
      <c r="N10" s="81"/>
      <c r="O10" s="81"/>
      <c r="P10" s="81"/>
      <c r="Q10" s="85" t="s">
        <v>4839</v>
      </c>
      <c r="R10" s="86">
        <f>'Before Award'!U17+5</f>
        <v>46222</v>
      </c>
      <c r="S10" s="86" t="e">
        <f>WORKDAY(R10,INDEX(S$2:S$5,MATCH($I10,$I$2:$I$5,0)),$BB$10:$BB$141)</f>
        <v>#REF!</v>
      </c>
      <c r="T10" s="86" t="e">
        <f>WORKDAY(S10,INDEX(T$2:T$5,MATCH($I10,$I$2:$I$5,0)),$BB$10:$BB$141)</f>
        <v>#REF!</v>
      </c>
      <c r="U10" s="86" t="e">
        <f>T10+60</f>
        <v>#REF!</v>
      </c>
      <c r="V10" s="86"/>
      <c r="W10" s="86">
        <f>AB10-35</f>
        <v>46532</v>
      </c>
      <c r="X10" s="86"/>
      <c r="Y10" s="86"/>
      <c r="Z10" s="86"/>
      <c r="AA10" s="86"/>
      <c r="AB10" s="86">
        <f>'Before Award'!X17</f>
        <v>46567</v>
      </c>
      <c r="AC10" s="657" t="s">
        <v>4840</v>
      </c>
      <c r="AD10" s="87">
        <v>14</v>
      </c>
      <c r="AE10" s="660">
        <v>350</v>
      </c>
      <c r="AF10" s="666" t="e">
        <f>AB11</f>
        <v>#REF!</v>
      </c>
      <c r="AG10" s="669">
        <f>WORKDAY(AH10+1+AI10,-1,$BA$10:$BA$141)</f>
        <v>46567</v>
      </c>
      <c r="AH10" s="88">
        <v>46507</v>
      </c>
      <c r="AI10" s="89">
        <v>60</v>
      </c>
      <c r="AJ10" s="672" t="e">
        <f>AG10-AF10</f>
        <v>#REF!</v>
      </c>
      <c r="AK10" s="90"/>
      <c r="AL10" s="91"/>
      <c r="AM10" s="92">
        <f t="shared" ref="AM10:AW19" si="0">IF(ISERROR(LOOKUP(AM$6,$S10:$AB10,$S$9:$AB$9)),0,(LOOKUP(AM$6,$S10:$AB10,$S$9:$AB$9)))</f>
        <v>0</v>
      </c>
      <c r="AN10" s="93">
        <f t="shared" si="0"/>
        <v>0</v>
      </c>
      <c r="AO10" s="93">
        <f t="shared" si="0"/>
        <v>0</v>
      </c>
      <c r="AP10" s="93">
        <f t="shared" si="0"/>
        <v>0</v>
      </c>
      <c r="AQ10" s="93">
        <f t="shared" si="0"/>
        <v>0</v>
      </c>
      <c r="AR10" s="93">
        <f t="shared" si="0"/>
        <v>0</v>
      </c>
      <c r="AS10" s="93">
        <f t="shared" si="0"/>
        <v>0</v>
      </c>
      <c r="AT10" s="93">
        <f t="shared" si="0"/>
        <v>0</v>
      </c>
      <c r="AU10" s="93">
        <f t="shared" si="0"/>
        <v>0</v>
      </c>
      <c r="AV10" s="93">
        <f t="shared" si="0"/>
        <v>0</v>
      </c>
      <c r="AW10" s="93">
        <f t="shared" ca="1" si="0"/>
        <v>0</v>
      </c>
      <c r="BB10" s="94" t="e" cm="1">
        <f t="array" ref="BB10:BB88">'[35]Equipment List and MR List (3)'!$A$2:$A$80</f>
        <v>#REF!</v>
      </c>
    </row>
    <row r="11" spans="1:54" s="20" customFormat="1" ht="18" customHeight="1">
      <c r="A11" s="643"/>
      <c r="B11" s="646"/>
      <c r="C11" s="652"/>
      <c r="D11" s="96" t="str">
        <f t="shared" ref="D11:F11" si="1">D10</f>
        <v>MEC</v>
      </c>
      <c r="E11" s="97" t="str">
        <f t="shared" si="1"/>
        <v>RFQ-001</v>
      </c>
      <c r="F11" s="98" t="str">
        <f t="shared" si="1"/>
        <v>N</v>
      </c>
      <c r="G11" s="655"/>
      <c r="H11" s="99" t="str">
        <f t="shared" ref="H11:I11" si="2">H10</f>
        <v>Pedestal Crane</v>
      </c>
      <c r="I11" s="97" t="str">
        <f t="shared" si="2"/>
        <v>LA</v>
      </c>
      <c r="J11" s="98"/>
      <c r="K11" s="100"/>
      <c r="L11" s="100">
        <f>M12</f>
        <v>0.02</v>
      </c>
      <c r="M11" s="100"/>
      <c r="N11" s="97"/>
      <c r="O11" s="97"/>
      <c r="P11" s="97"/>
      <c r="Q11" s="101" t="s">
        <v>4841</v>
      </c>
      <c r="R11" s="102">
        <f>'Before Award'!U18+5</f>
        <v>46222</v>
      </c>
      <c r="S11" s="103" t="e">
        <f>WORKDAY(IF(R12="",R11,R12),INDEX(S$2:S$5,MATCH($I10,$I$2:$I$5,0)),$BB$10:$BB$141)</f>
        <v>#REF!</v>
      </c>
      <c r="T11" s="103" t="e">
        <f>WORKDAY(IF(S12="",S11,S12),INDEX(T$2:T$5,MATCH($I10,$I$2:$I$5,0)),$BB$10:$BB$141)</f>
        <v>#REF!</v>
      </c>
      <c r="U11" s="103"/>
      <c r="V11" s="103"/>
      <c r="W11" s="103" t="e">
        <f>WORKDAY(IF(V12="",V11,V12),INDEX(W$2:W$5,MATCH($I10,$I$2:$I$5,0)),$BB$10:$BB$141)</f>
        <v>#REF!</v>
      </c>
      <c r="X11" s="103" t="e">
        <f>WORKDAY(IF(W12="",W11,W12),INDEX(X$2:X$5,MATCH($I10,$I$2:$I$5,0)),$BB$10:$BB$141)</f>
        <v>#REF!</v>
      </c>
      <c r="Y11" s="103" t="e">
        <f>WORKDAY(IF(X12="",X11,X12),INDEX(Y$2:Y$5,MATCH($I10,$I$2:$I$5,0)),$BB$10:$BB$141)</f>
        <v>#REF!</v>
      </c>
      <c r="Z11" s="103" t="e">
        <f>WORKDAY(IF(Y12="",Y11,Y12),INDEX(Z$2:Z$5,MATCH($I10,$I$2:$I$5,0)),$BB$10:$BB$141)</f>
        <v>#REF!</v>
      </c>
      <c r="AA11" s="103" t="e">
        <f>WORKDAY(IF(Z12="",X11,Z12),INDEX(AA$2:AA$5,MATCH($I10,$I$2:$I$5,0)),$BB$10:$BB$141)</f>
        <v>#REF!</v>
      </c>
      <c r="AB11" s="104" t="e">
        <f>WORKDAY(AE10+#REF!,0,'[35]Equipment List and MR List (3)'!$A$2:$A$80)</f>
        <v>#REF!</v>
      </c>
      <c r="AC11" s="658"/>
      <c r="AD11" s="105"/>
      <c r="AE11" s="660"/>
      <c r="AF11" s="667"/>
      <c r="AG11" s="670"/>
      <c r="AH11" s="106"/>
      <c r="AI11" s="107"/>
      <c r="AJ11" s="673"/>
      <c r="AK11" s="108"/>
      <c r="AL11" s="109"/>
      <c r="AM11" s="92">
        <f t="shared" si="0"/>
        <v>0</v>
      </c>
      <c r="AN11" s="93">
        <f t="shared" si="0"/>
        <v>0</v>
      </c>
      <c r="AO11" s="93">
        <f t="shared" si="0"/>
        <v>0</v>
      </c>
      <c r="AP11" s="93">
        <f t="shared" si="0"/>
        <v>0</v>
      </c>
      <c r="AQ11" s="93">
        <f t="shared" si="0"/>
        <v>0</v>
      </c>
      <c r="AR11" s="93">
        <f t="shared" si="0"/>
        <v>0</v>
      </c>
      <c r="AS11" s="93">
        <f t="shared" si="0"/>
        <v>0</v>
      </c>
      <c r="AT11" s="93">
        <f t="shared" si="0"/>
        <v>0</v>
      </c>
      <c r="AU11" s="93">
        <f t="shared" si="0"/>
        <v>0</v>
      </c>
      <c r="AV11" s="93">
        <f t="shared" si="0"/>
        <v>0</v>
      </c>
      <c r="AW11" s="93">
        <f t="shared" ca="1" si="0"/>
        <v>0</v>
      </c>
      <c r="BB11" s="94" t="e">
        <v>#REF!</v>
      </c>
    </row>
    <row r="12" spans="1:54" s="20" customFormat="1" ht="18" customHeight="1">
      <c r="A12" s="644"/>
      <c r="B12" s="647"/>
      <c r="C12" s="653"/>
      <c r="D12" s="111" t="str">
        <f t="shared" ref="D12:F12" si="3">D10</f>
        <v>MEC</v>
      </c>
      <c r="E12" s="112" t="str">
        <f t="shared" si="3"/>
        <v>RFQ-001</v>
      </c>
      <c r="F12" s="113" t="str">
        <f t="shared" si="3"/>
        <v>N</v>
      </c>
      <c r="G12" s="656"/>
      <c r="H12" s="99" t="str">
        <f t="shared" ref="H12:I12" si="4">H10</f>
        <v>Pedestal Crane</v>
      </c>
      <c r="I12" s="112" t="str">
        <f t="shared" si="4"/>
        <v>LA</v>
      </c>
      <c r="J12" s="113"/>
      <c r="K12" s="114"/>
      <c r="L12" s="114"/>
      <c r="M12" s="114">
        <v>0.02</v>
      </c>
      <c r="N12" s="112"/>
      <c r="O12" s="112"/>
      <c r="P12" s="112"/>
      <c r="Q12" s="115" t="s">
        <v>4842</v>
      </c>
      <c r="R12" s="115"/>
      <c r="S12" s="115"/>
      <c r="T12" s="115"/>
      <c r="U12" s="115"/>
      <c r="V12" s="115"/>
      <c r="W12" s="115"/>
      <c r="X12" s="115"/>
      <c r="Y12" s="115"/>
      <c r="Z12" s="115"/>
      <c r="AA12" s="115"/>
      <c r="AB12" s="115"/>
      <c r="AC12" s="659"/>
      <c r="AD12" s="116"/>
      <c r="AE12" s="660"/>
      <c r="AF12" s="668"/>
      <c r="AG12" s="671"/>
      <c r="AH12" s="117"/>
      <c r="AI12" s="118"/>
      <c r="AJ12" s="674"/>
      <c r="AK12" s="119"/>
      <c r="AL12" s="120"/>
      <c r="AM12" s="121">
        <f t="shared" si="0"/>
        <v>0</v>
      </c>
      <c r="AN12" s="122">
        <f t="shared" si="0"/>
        <v>0</v>
      </c>
      <c r="AO12" s="122">
        <f t="shared" si="0"/>
        <v>0</v>
      </c>
      <c r="AP12" s="122">
        <f t="shared" si="0"/>
        <v>0</v>
      </c>
      <c r="AQ12" s="122">
        <f t="shared" si="0"/>
        <v>0</v>
      </c>
      <c r="AR12" s="122">
        <f t="shared" si="0"/>
        <v>0</v>
      </c>
      <c r="AS12" s="122">
        <f t="shared" si="0"/>
        <v>0</v>
      </c>
      <c r="AT12" s="122">
        <f t="shared" si="0"/>
        <v>0</v>
      </c>
      <c r="AU12" s="122">
        <f t="shared" si="0"/>
        <v>0</v>
      </c>
      <c r="AV12" s="122">
        <f t="shared" si="0"/>
        <v>0</v>
      </c>
      <c r="AW12" s="122">
        <f t="shared" ca="1" si="0"/>
        <v>0</v>
      </c>
      <c r="BB12" s="94" t="e">
        <v>#REF!</v>
      </c>
    </row>
    <row r="13" spans="1:54" s="20" customFormat="1" ht="18" customHeight="1">
      <c r="A13" s="642">
        <f>A10+1</f>
        <v>2</v>
      </c>
      <c r="B13" s="79"/>
      <c r="C13" s="651" t="s">
        <v>4836</v>
      </c>
      <c r="D13" s="80" t="s">
        <v>4837</v>
      </c>
      <c r="E13" s="81" t="s">
        <v>4734</v>
      </c>
      <c r="F13" s="82" t="s">
        <v>71</v>
      </c>
      <c r="G13" s="654" t="s">
        <v>4843</v>
      </c>
      <c r="H13" s="82" t="s">
        <v>70</v>
      </c>
      <c r="I13" s="81" t="s">
        <v>6</v>
      </c>
      <c r="J13" s="82"/>
      <c r="K13" s="84">
        <f>M15</f>
        <v>7.0000000000000007E-2</v>
      </c>
      <c r="L13" s="84"/>
      <c r="M13" s="84"/>
      <c r="N13" s="81"/>
      <c r="O13" s="81"/>
      <c r="P13" s="81"/>
      <c r="Q13" s="85" t="s">
        <v>4839</v>
      </c>
      <c r="R13" s="86">
        <f>'Before Award'!U20+5</f>
        <v>46398</v>
      </c>
      <c r="S13" s="86" t="e">
        <f>WORKDAY(R13,INDEX(S$2:S$5,MATCH($I13,$I$2:$I$5,0)),$BB$10:$BB$141)</f>
        <v>#REF!</v>
      </c>
      <c r="T13" s="86" t="e">
        <f>WORKDAY(S13,INDEX(T$2:T$5,MATCH($I13,$I$2:$I$5,0)),$BB$10:$BB$141)</f>
        <v>#REF!</v>
      </c>
      <c r="U13" s="86" t="e">
        <f>T13+60</f>
        <v>#REF!</v>
      </c>
      <c r="V13" s="86"/>
      <c r="W13" s="86">
        <f>AB13-35</f>
        <v>46533</v>
      </c>
      <c r="X13" s="86"/>
      <c r="Y13" s="86"/>
      <c r="Z13" s="86"/>
      <c r="AA13" s="86"/>
      <c r="AB13" s="86">
        <f>'Before Award'!X20</f>
        <v>46568</v>
      </c>
      <c r="AC13" s="657" t="s">
        <v>4840</v>
      </c>
      <c r="AD13" s="87">
        <v>14</v>
      </c>
      <c r="AE13" s="661">
        <v>175</v>
      </c>
      <c r="AF13" s="666" t="e">
        <f>AB14</f>
        <v>#REF!</v>
      </c>
      <c r="AG13" s="669">
        <f>WORKDAY(AH13+1,-1,$BA$10:$BA$141)</f>
        <v>46568</v>
      </c>
      <c r="AH13" s="88">
        <v>46568</v>
      </c>
      <c r="AI13" s="89"/>
      <c r="AJ13" s="672" t="e">
        <f>AG13-AF13</f>
        <v>#REF!</v>
      </c>
      <c r="AK13" s="90"/>
      <c r="AL13" s="91"/>
      <c r="AM13" s="92">
        <f t="shared" si="0"/>
        <v>0</v>
      </c>
      <c r="AN13" s="93">
        <f t="shared" si="0"/>
        <v>0</v>
      </c>
      <c r="AO13" s="93">
        <f t="shared" si="0"/>
        <v>0</v>
      </c>
      <c r="AP13" s="93">
        <f t="shared" si="0"/>
        <v>0</v>
      </c>
      <c r="AQ13" s="93">
        <f t="shared" si="0"/>
        <v>0</v>
      </c>
      <c r="AR13" s="93">
        <f t="shared" si="0"/>
        <v>0</v>
      </c>
      <c r="AS13" s="93">
        <f t="shared" si="0"/>
        <v>0</v>
      </c>
      <c r="AT13" s="93">
        <f t="shared" si="0"/>
        <v>0</v>
      </c>
      <c r="AU13" s="93">
        <f t="shared" si="0"/>
        <v>0</v>
      </c>
      <c r="AV13" s="93">
        <f t="shared" si="0"/>
        <v>0</v>
      </c>
      <c r="AW13" s="93">
        <f t="shared" ca="1" si="0"/>
        <v>0</v>
      </c>
      <c r="BB13" s="94" t="e">
        <v>#REF!</v>
      </c>
    </row>
    <row r="14" spans="1:54" s="20" customFormat="1" ht="18" customHeight="1">
      <c r="A14" s="643"/>
      <c r="B14" s="95"/>
      <c r="C14" s="652"/>
      <c r="D14" s="96" t="str">
        <f>D13</f>
        <v>MEC</v>
      </c>
      <c r="E14" s="97" t="str">
        <f>E13</f>
        <v>RFQ-002</v>
      </c>
      <c r="F14" s="98" t="str">
        <f t="shared" ref="F14" si="5">F13</f>
        <v>N</v>
      </c>
      <c r="G14" s="655"/>
      <c r="H14" s="98" t="str">
        <f t="shared" ref="H14:I14" si="6">H13</f>
        <v>Material Handling Equipment</v>
      </c>
      <c r="I14" s="97" t="str">
        <f t="shared" si="6"/>
        <v>LA</v>
      </c>
      <c r="J14" s="98"/>
      <c r="K14" s="100"/>
      <c r="L14" s="100">
        <f>M15</f>
        <v>7.0000000000000007E-2</v>
      </c>
      <c r="M14" s="100"/>
      <c r="N14" s="97"/>
      <c r="O14" s="97"/>
      <c r="P14" s="97"/>
      <c r="Q14" s="101" t="s">
        <v>4841</v>
      </c>
      <c r="R14" s="102">
        <f>R13</f>
        <v>46398</v>
      </c>
      <c r="S14" s="102" t="e">
        <f>S13</f>
        <v>#REF!</v>
      </c>
      <c r="T14" s="103" t="e">
        <f>T13</f>
        <v>#REF!</v>
      </c>
      <c r="U14" s="103" t="e">
        <f t="shared" ref="U14:Z14" si="7">WORKDAY(IF(T15="",T14,T15),INDEX(U$2:U$5,MATCH($I13,$I$2:$I$5,0)),$BB$10:$BB$141)</f>
        <v>#REF!</v>
      </c>
      <c r="V14" s="103" t="e">
        <f t="shared" si="7"/>
        <v>#REF!</v>
      </c>
      <c r="W14" s="103" t="e">
        <f t="shared" si="7"/>
        <v>#REF!</v>
      </c>
      <c r="X14" s="103" t="e">
        <f t="shared" si="7"/>
        <v>#REF!</v>
      </c>
      <c r="Y14" s="103" t="e">
        <f t="shared" si="7"/>
        <v>#REF!</v>
      </c>
      <c r="Z14" s="103" t="e">
        <f t="shared" si="7"/>
        <v>#REF!</v>
      </c>
      <c r="AA14" s="103" t="e">
        <f>WORKDAY(IF(Z15="",X14,Z15),INDEX(AA$2:AA$5,MATCH($I13,$I$2:$I$5,0)),$BB$10:$BB$141)</f>
        <v>#REF!</v>
      </c>
      <c r="AB14" s="104" t="e">
        <f>WORKDAY(AE13+#REF!,0,'[35]Equipment List and MR List (3)'!$A$2:$A$80)</f>
        <v>#REF!</v>
      </c>
      <c r="AC14" s="658"/>
      <c r="AD14" s="105"/>
      <c r="AE14" s="661"/>
      <c r="AF14" s="667"/>
      <c r="AG14" s="670"/>
      <c r="AH14" s="106"/>
      <c r="AI14" s="107"/>
      <c r="AJ14" s="673"/>
      <c r="AK14" s="108"/>
      <c r="AL14" s="109"/>
      <c r="AM14" s="92">
        <f t="shared" si="0"/>
        <v>0</v>
      </c>
      <c r="AN14" s="93">
        <f t="shared" si="0"/>
        <v>0</v>
      </c>
      <c r="AO14" s="93">
        <f t="shared" si="0"/>
        <v>0</v>
      </c>
      <c r="AP14" s="93">
        <f t="shared" si="0"/>
        <v>0</v>
      </c>
      <c r="AQ14" s="93">
        <f t="shared" si="0"/>
        <v>0</v>
      </c>
      <c r="AR14" s="93">
        <f t="shared" si="0"/>
        <v>0</v>
      </c>
      <c r="AS14" s="93">
        <f t="shared" si="0"/>
        <v>0</v>
      </c>
      <c r="AT14" s="93">
        <f t="shared" si="0"/>
        <v>0</v>
      </c>
      <c r="AU14" s="93">
        <f t="shared" si="0"/>
        <v>0</v>
      </c>
      <c r="AV14" s="93">
        <f t="shared" si="0"/>
        <v>0</v>
      </c>
      <c r="AW14" s="93">
        <f t="shared" ca="1" si="0"/>
        <v>0</v>
      </c>
      <c r="BB14" s="94" t="e">
        <v>#REF!</v>
      </c>
    </row>
    <row r="15" spans="1:54" s="20" customFormat="1" ht="18" customHeight="1">
      <c r="A15" s="644"/>
      <c r="B15" s="110"/>
      <c r="C15" s="653"/>
      <c r="D15" s="111" t="str">
        <f>D13</f>
        <v>MEC</v>
      </c>
      <c r="E15" s="112" t="str">
        <f>E13</f>
        <v>RFQ-002</v>
      </c>
      <c r="F15" s="113" t="str">
        <f t="shared" ref="F15" si="8">F13</f>
        <v>N</v>
      </c>
      <c r="G15" s="656"/>
      <c r="H15" s="113" t="str">
        <f t="shared" ref="H15:I15" si="9">H13</f>
        <v>Material Handling Equipment</v>
      </c>
      <c r="I15" s="112" t="str">
        <f t="shared" si="9"/>
        <v>LA</v>
      </c>
      <c r="J15" s="113"/>
      <c r="K15" s="114"/>
      <c r="L15" s="114"/>
      <c r="M15" s="114">
        <v>7.0000000000000007E-2</v>
      </c>
      <c r="N15" s="112"/>
      <c r="O15" s="112"/>
      <c r="P15" s="112"/>
      <c r="Q15" s="115" t="s">
        <v>4842</v>
      </c>
      <c r="R15" s="115"/>
      <c r="S15" s="115"/>
      <c r="T15" s="115"/>
      <c r="U15" s="115"/>
      <c r="V15" s="115"/>
      <c r="W15" s="115"/>
      <c r="X15" s="115"/>
      <c r="Y15" s="115"/>
      <c r="Z15" s="115"/>
      <c r="AA15" s="115"/>
      <c r="AB15" s="115"/>
      <c r="AC15" s="659"/>
      <c r="AD15" s="116"/>
      <c r="AE15" s="661"/>
      <c r="AF15" s="668"/>
      <c r="AG15" s="671"/>
      <c r="AH15" s="117"/>
      <c r="AI15" s="118"/>
      <c r="AJ15" s="674"/>
      <c r="AK15" s="119"/>
      <c r="AL15" s="120"/>
      <c r="AM15" s="121">
        <f t="shared" si="0"/>
        <v>0</v>
      </c>
      <c r="AN15" s="122">
        <f t="shared" si="0"/>
        <v>0</v>
      </c>
      <c r="AO15" s="122">
        <f t="shared" si="0"/>
        <v>0</v>
      </c>
      <c r="AP15" s="122">
        <f t="shared" si="0"/>
        <v>0</v>
      </c>
      <c r="AQ15" s="122">
        <f t="shared" si="0"/>
        <v>0</v>
      </c>
      <c r="AR15" s="122">
        <f t="shared" si="0"/>
        <v>0</v>
      </c>
      <c r="AS15" s="122">
        <f t="shared" si="0"/>
        <v>0</v>
      </c>
      <c r="AT15" s="122">
        <f t="shared" si="0"/>
        <v>0</v>
      </c>
      <c r="AU15" s="122">
        <f t="shared" si="0"/>
        <v>0</v>
      </c>
      <c r="AV15" s="122">
        <f t="shared" si="0"/>
        <v>0</v>
      </c>
      <c r="AW15" s="122">
        <f t="shared" ca="1" si="0"/>
        <v>0</v>
      </c>
      <c r="BB15" s="94" t="e">
        <v>#REF!</v>
      </c>
    </row>
    <row r="16" spans="1:54" s="20" customFormat="1" ht="18" customHeight="1">
      <c r="A16" s="642">
        <f t="shared" ref="A16" si="10">A13+1</f>
        <v>3</v>
      </c>
      <c r="B16" s="645" t="s">
        <v>4844</v>
      </c>
      <c r="C16" s="651" t="s">
        <v>4836</v>
      </c>
      <c r="D16" s="80" t="s">
        <v>4837</v>
      </c>
      <c r="E16" s="81" t="s">
        <v>4735</v>
      </c>
      <c r="F16" s="82" t="s">
        <v>60</v>
      </c>
      <c r="G16" s="654" t="s">
        <v>4845</v>
      </c>
      <c r="H16" s="83" t="s">
        <v>75</v>
      </c>
      <c r="I16" s="81" t="s">
        <v>6</v>
      </c>
      <c r="J16" s="82"/>
      <c r="K16" s="84">
        <f>M18</f>
        <v>0.15</v>
      </c>
      <c r="L16" s="84"/>
      <c r="M16" s="84"/>
      <c r="N16" s="81"/>
      <c r="O16" s="81"/>
      <c r="P16" s="81"/>
      <c r="Q16" s="85" t="s">
        <v>4839</v>
      </c>
      <c r="R16" s="86">
        <f>'Before Award'!U23+5</f>
        <v>46291</v>
      </c>
      <c r="S16" s="86" t="e">
        <f>WORKDAY(R16,INDEX(S$2:S$5,MATCH($I16,$I$2:$I$5,0)),$BB$10:$BB$141)</f>
        <v>#REF!</v>
      </c>
      <c r="T16" s="86" t="e">
        <f>WORKDAY(S16,INDEX(T$2:T$5,MATCH($I16,$I$2:$I$5,0)),$BB$10:$BB$141)</f>
        <v>#REF!</v>
      </c>
      <c r="U16" s="86" t="e">
        <f>T16+60</f>
        <v>#REF!</v>
      </c>
      <c r="V16" s="86"/>
      <c r="W16" s="86">
        <f>AB16-35</f>
        <v>46431</v>
      </c>
      <c r="X16" s="86"/>
      <c r="Y16" s="86"/>
      <c r="Z16" s="86"/>
      <c r="AA16" s="86"/>
      <c r="AB16" s="86">
        <f>'Before Award'!X23</f>
        <v>46466</v>
      </c>
      <c r="AC16" s="657" t="s">
        <v>4840</v>
      </c>
      <c r="AD16" s="87">
        <v>7</v>
      </c>
      <c r="AE16" s="661">
        <v>180</v>
      </c>
      <c r="AF16" s="666" t="e">
        <f>AB17</f>
        <v>#REF!</v>
      </c>
      <c r="AG16" s="669">
        <f>WORKDAY(AH16+1,-1,$BA$10:$BA$141)</f>
        <v>46419</v>
      </c>
      <c r="AH16" s="88">
        <v>46419</v>
      </c>
      <c r="AI16" s="89"/>
      <c r="AJ16" s="672" t="e">
        <f>AG16-AF16</f>
        <v>#REF!</v>
      </c>
      <c r="AK16" s="90"/>
      <c r="AL16" s="91"/>
      <c r="AM16" s="92">
        <f t="shared" si="0"/>
        <v>0</v>
      </c>
      <c r="AN16" s="93">
        <f t="shared" si="0"/>
        <v>0</v>
      </c>
      <c r="AO16" s="93">
        <f t="shared" si="0"/>
        <v>0</v>
      </c>
      <c r="AP16" s="93">
        <f t="shared" si="0"/>
        <v>0</v>
      </c>
      <c r="AQ16" s="93">
        <f t="shared" si="0"/>
        <v>0</v>
      </c>
      <c r="AR16" s="93">
        <f t="shared" si="0"/>
        <v>0</v>
      </c>
      <c r="AS16" s="93">
        <f t="shared" si="0"/>
        <v>0</v>
      </c>
      <c r="AT16" s="93">
        <f t="shared" si="0"/>
        <v>0</v>
      </c>
      <c r="AU16" s="93">
        <f t="shared" si="0"/>
        <v>0</v>
      </c>
      <c r="AV16" s="93">
        <f t="shared" si="0"/>
        <v>0</v>
      </c>
      <c r="AW16" s="93">
        <f t="shared" ca="1" si="0"/>
        <v>0</v>
      </c>
      <c r="BB16" s="94" t="e">
        <v>#REF!</v>
      </c>
    </row>
    <row r="17" spans="1:54" s="20" customFormat="1" ht="18" customHeight="1">
      <c r="A17" s="643"/>
      <c r="B17" s="646"/>
      <c r="C17" s="652"/>
      <c r="D17" s="96" t="str">
        <f>D16</f>
        <v>MEC</v>
      </c>
      <c r="E17" s="97" t="str">
        <f t="shared" ref="E17:F17" si="11">E16</f>
        <v>RFQ-003</v>
      </c>
      <c r="F17" s="98" t="str">
        <f t="shared" si="11"/>
        <v>Y</v>
      </c>
      <c r="G17" s="655"/>
      <c r="H17" s="99" t="str">
        <f t="shared" ref="H17:I17" si="12">H16</f>
        <v>Instrument Gas Filter Coalescer</v>
      </c>
      <c r="I17" s="97" t="str">
        <f t="shared" si="12"/>
        <v>LA</v>
      </c>
      <c r="J17" s="98"/>
      <c r="K17" s="100"/>
      <c r="L17" s="100">
        <f>M18</f>
        <v>0.15</v>
      </c>
      <c r="M17" s="100"/>
      <c r="N17" s="97"/>
      <c r="O17" s="97"/>
      <c r="P17" s="97"/>
      <c r="Q17" s="101" t="s">
        <v>4841</v>
      </c>
      <c r="R17" s="102">
        <f>R16</f>
        <v>46291</v>
      </c>
      <c r="S17" s="102" t="e">
        <f>S16</f>
        <v>#REF!</v>
      </c>
      <c r="T17" s="103" t="e">
        <f>T16</f>
        <v>#REF!</v>
      </c>
      <c r="U17" s="103" t="e">
        <f t="shared" ref="U17:Z17" si="13">WORKDAY(IF(T18="",T17,T18),INDEX(U$2:U$5,MATCH($I16,$I$2:$I$5,0)),$BB$10:$BB$141)</f>
        <v>#REF!</v>
      </c>
      <c r="V17" s="103" t="e">
        <f t="shared" si="13"/>
        <v>#REF!</v>
      </c>
      <c r="W17" s="103" t="e">
        <f t="shared" si="13"/>
        <v>#REF!</v>
      </c>
      <c r="X17" s="103" t="e">
        <f t="shared" si="13"/>
        <v>#REF!</v>
      </c>
      <c r="Y17" s="103" t="e">
        <f t="shared" si="13"/>
        <v>#REF!</v>
      </c>
      <c r="Z17" s="103" t="e">
        <f t="shared" si="13"/>
        <v>#REF!</v>
      </c>
      <c r="AA17" s="103" t="e">
        <f>WORKDAY(IF(Z18="",X17,Z18),INDEX(AA$2:AA$5,MATCH($I16,$I$2:$I$5,0)),$BB$10:$BB$141)</f>
        <v>#REF!</v>
      </c>
      <c r="AB17" s="104" t="e">
        <f>WORKDAY(AE16+#REF!,0,'[35]Equipment List and MR List (3)'!$A$2:$A$80)</f>
        <v>#REF!</v>
      </c>
      <c r="AC17" s="658"/>
      <c r="AD17" s="105"/>
      <c r="AE17" s="661"/>
      <c r="AF17" s="667"/>
      <c r="AG17" s="670"/>
      <c r="AH17" s="106"/>
      <c r="AI17" s="107"/>
      <c r="AJ17" s="673"/>
      <c r="AK17" s="108"/>
      <c r="AL17" s="109"/>
      <c r="AM17" s="92">
        <f t="shared" si="0"/>
        <v>0</v>
      </c>
      <c r="AN17" s="93">
        <f t="shared" si="0"/>
        <v>0</v>
      </c>
      <c r="AO17" s="93">
        <f t="shared" si="0"/>
        <v>0</v>
      </c>
      <c r="AP17" s="93">
        <f t="shared" si="0"/>
        <v>0</v>
      </c>
      <c r="AQ17" s="93">
        <f t="shared" si="0"/>
        <v>0</v>
      </c>
      <c r="AR17" s="93">
        <f t="shared" si="0"/>
        <v>0</v>
      </c>
      <c r="AS17" s="93">
        <f t="shared" si="0"/>
        <v>0</v>
      </c>
      <c r="AT17" s="93">
        <f t="shared" si="0"/>
        <v>0</v>
      </c>
      <c r="AU17" s="93">
        <f t="shared" si="0"/>
        <v>0</v>
      </c>
      <c r="AV17" s="93">
        <f t="shared" si="0"/>
        <v>0</v>
      </c>
      <c r="AW17" s="93">
        <f t="shared" ca="1" si="0"/>
        <v>0</v>
      </c>
      <c r="BB17" s="94" t="e">
        <v>#REF!</v>
      </c>
    </row>
    <row r="18" spans="1:54" s="20" customFormat="1" ht="18" customHeight="1">
      <c r="A18" s="644"/>
      <c r="B18" s="647"/>
      <c r="C18" s="653"/>
      <c r="D18" s="111" t="str">
        <f>D16</f>
        <v>MEC</v>
      </c>
      <c r="E18" s="112" t="str">
        <f>E16</f>
        <v>RFQ-003</v>
      </c>
      <c r="F18" s="113" t="str">
        <f t="shared" ref="F18" si="14">F16</f>
        <v>Y</v>
      </c>
      <c r="G18" s="656"/>
      <c r="H18" s="99" t="str">
        <f t="shared" ref="H18:I18" si="15">H16</f>
        <v>Instrument Gas Filter Coalescer</v>
      </c>
      <c r="I18" s="112" t="str">
        <f t="shared" si="15"/>
        <v>LA</v>
      </c>
      <c r="J18" s="113"/>
      <c r="K18" s="114"/>
      <c r="L18" s="114"/>
      <c r="M18" s="114">
        <v>0.15</v>
      </c>
      <c r="N18" s="112"/>
      <c r="O18" s="112"/>
      <c r="P18" s="112"/>
      <c r="Q18" s="115" t="s">
        <v>4842</v>
      </c>
      <c r="R18" s="115"/>
      <c r="S18" s="115"/>
      <c r="T18" s="115"/>
      <c r="U18" s="115"/>
      <c r="V18" s="115"/>
      <c r="W18" s="115"/>
      <c r="X18" s="115"/>
      <c r="Y18" s="115"/>
      <c r="Z18" s="115"/>
      <c r="AA18" s="115"/>
      <c r="AB18" s="115"/>
      <c r="AC18" s="659"/>
      <c r="AD18" s="116"/>
      <c r="AE18" s="661"/>
      <c r="AF18" s="668"/>
      <c r="AG18" s="671"/>
      <c r="AH18" s="117"/>
      <c r="AI18" s="118"/>
      <c r="AJ18" s="674"/>
      <c r="AK18" s="119"/>
      <c r="AL18" s="120"/>
      <c r="AM18" s="121">
        <f t="shared" si="0"/>
        <v>0</v>
      </c>
      <c r="AN18" s="122">
        <f t="shared" si="0"/>
        <v>0</v>
      </c>
      <c r="AO18" s="122">
        <f t="shared" si="0"/>
        <v>0</v>
      </c>
      <c r="AP18" s="122">
        <f t="shared" si="0"/>
        <v>0</v>
      </c>
      <c r="AQ18" s="122">
        <f t="shared" si="0"/>
        <v>0</v>
      </c>
      <c r="AR18" s="122">
        <f t="shared" si="0"/>
        <v>0</v>
      </c>
      <c r="AS18" s="122">
        <f t="shared" si="0"/>
        <v>0</v>
      </c>
      <c r="AT18" s="122">
        <f t="shared" si="0"/>
        <v>0</v>
      </c>
      <c r="AU18" s="122">
        <f t="shared" si="0"/>
        <v>0</v>
      </c>
      <c r="AV18" s="122">
        <f t="shared" si="0"/>
        <v>0</v>
      </c>
      <c r="AW18" s="122">
        <f t="shared" ca="1" si="0"/>
        <v>0</v>
      </c>
      <c r="BB18" s="94" t="e">
        <v>#REF!</v>
      </c>
    </row>
    <row r="19" spans="1:54" s="20" customFormat="1" ht="16.5" customHeight="1">
      <c r="A19" s="642">
        <f t="shared" ref="A19" si="16">A16+1</f>
        <v>4</v>
      </c>
      <c r="B19" s="648" t="s">
        <v>4846</v>
      </c>
      <c r="C19" s="651" t="s">
        <v>4836</v>
      </c>
      <c r="D19" s="80" t="s">
        <v>4837</v>
      </c>
      <c r="E19" s="81" t="s">
        <v>4736</v>
      </c>
      <c r="F19" s="82" t="str">
        <f>IF(_xlfn.XLOOKUP(E19,'[35]Before Award'!D:D,'[35]Before Award'!AV:AV,"N/A")="N/A","N","Y")</f>
        <v>N</v>
      </c>
      <c r="G19" s="654" t="s">
        <v>4847</v>
      </c>
      <c r="H19" s="123" t="s">
        <v>79</v>
      </c>
      <c r="I19" s="81" t="s">
        <v>6</v>
      </c>
      <c r="J19" s="82"/>
      <c r="K19" s="84">
        <f>M21</f>
        <v>0.02</v>
      </c>
      <c r="L19" s="84"/>
      <c r="M19" s="84"/>
      <c r="N19" s="81"/>
      <c r="O19" s="81"/>
      <c r="P19" s="81"/>
      <c r="Q19" s="85" t="s">
        <v>4839</v>
      </c>
      <c r="R19" s="86">
        <f>'Before Award'!U26+5</f>
        <v>46288</v>
      </c>
      <c r="S19" s="86" t="e">
        <f>WORKDAY(R19,INDEX(S$2:S$5,MATCH($I19,$I$2:$I$5,0)),$BB$10:$BB$141)</f>
        <v>#REF!</v>
      </c>
      <c r="T19" s="86" t="e">
        <f>WORKDAY(S19,INDEX(T$2:T$5,MATCH($I19,$I$2:$I$5,0)),$BB$10:$BB$141)</f>
        <v>#REF!</v>
      </c>
      <c r="U19" s="86" t="e">
        <f>T19+60</f>
        <v>#REF!</v>
      </c>
      <c r="V19" s="86"/>
      <c r="W19" s="86">
        <f>AB19-35</f>
        <v>46431</v>
      </c>
      <c r="X19" s="86"/>
      <c r="Y19" s="86"/>
      <c r="Z19" s="86"/>
      <c r="AA19" s="86"/>
      <c r="AB19" s="86">
        <f>'Before Award'!X26</f>
        <v>46466</v>
      </c>
      <c r="AC19" s="657" t="s">
        <v>4840</v>
      </c>
      <c r="AD19" s="87">
        <v>14</v>
      </c>
      <c r="AE19" s="660">
        <v>336</v>
      </c>
      <c r="AF19" s="666" t="e">
        <f>AB20</f>
        <v>#REF!</v>
      </c>
      <c r="AG19" s="669">
        <f>WORKDAY(AH19+1,-1,$BA$10:$BA$141)</f>
        <v>46416</v>
      </c>
      <c r="AH19" s="88">
        <v>46417</v>
      </c>
      <c r="AI19" s="89"/>
      <c r="AJ19" s="672" t="e">
        <f>AG19-AF19</f>
        <v>#REF!</v>
      </c>
      <c r="AK19" s="90"/>
      <c r="AL19" s="91"/>
      <c r="AM19" s="92">
        <f t="shared" si="0"/>
        <v>0</v>
      </c>
      <c r="AN19" s="93">
        <f t="shared" si="0"/>
        <v>0</v>
      </c>
      <c r="AO19" s="93">
        <f t="shared" si="0"/>
        <v>0</v>
      </c>
      <c r="AP19" s="93">
        <f t="shared" si="0"/>
        <v>0</v>
      </c>
      <c r="AQ19" s="93">
        <f t="shared" si="0"/>
        <v>0</v>
      </c>
      <c r="AR19" s="93">
        <f t="shared" si="0"/>
        <v>0</v>
      </c>
      <c r="AS19" s="93">
        <f t="shared" si="0"/>
        <v>0</v>
      </c>
      <c r="AT19" s="93">
        <f t="shared" si="0"/>
        <v>0</v>
      </c>
      <c r="AU19" s="93">
        <f t="shared" si="0"/>
        <v>0</v>
      </c>
      <c r="AV19" s="93">
        <f t="shared" si="0"/>
        <v>0</v>
      </c>
      <c r="AW19" s="93">
        <f t="shared" ca="1" si="0"/>
        <v>0</v>
      </c>
      <c r="BB19" s="94" t="e">
        <v>#REF!</v>
      </c>
    </row>
    <row r="20" spans="1:54" s="20" customFormat="1" ht="16.5" customHeight="1">
      <c r="A20" s="643"/>
      <c r="B20" s="649"/>
      <c r="C20" s="652"/>
      <c r="D20" s="96" t="str">
        <f>D19</f>
        <v>MEC</v>
      </c>
      <c r="E20" s="97" t="str">
        <f t="shared" ref="E20:F20" si="17">E19</f>
        <v>RFQ-004</v>
      </c>
      <c r="F20" s="98" t="str">
        <f t="shared" si="17"/>
        <v>N</v>
      </c>
      <c r="G20" s="655"/>
      <c r="H20" s="124" t="str">
        <f t="shared" ref="H20:I20" si="18">H19</f>
        <v>Production &amp; Test Seperator</v>
      </c>
      <c r="I20" s="97" t="str">
        <f t="shared" si="18"/>
        <v>LA</v>
      </c>
      <c r="J20" s="98"/>
      <c r="K20" s="100"/>
      <c r="L20" s="100">
        <f>M21</f>
        <v>0.02</v>
      </c>
      <c r="M20" s="100"/>
      <c r="N20" s="97"/>
      <c r="O20" s="97"/>
      <c r="P20" s="97"/>
      <c r="Q20" s="101" t="s">
        <v>4841</v>
      </c>
      <c r="R20" s="102">
        <f>R19</f>
        <v>46288</v>
      </c>
      <c r="S20" s="125" t="e">
        <f>S19</f>
        <v>#REF!</v>
      </c>
      <c r="T20" s="102" t="e">
        <f>T19</f>
        <v>#REF!</v>
      </c>
      <c r="U20" s="102" t="e">
        <f t="shared" ref="U20:Z20" si="19">WORKDAY(IF(T21="",T20,T21),INDEX(U$2:U$5,MATCH($I19,$I$2:$I$5,0)),$BB$10:$BB$141)</f>
        <v>#REF!</v>
      </c>
      <c r="V20" s="103" t="e">
        <f t="shared" si="19"/>
        <v>#REF!</v>
      </c>
      <c r="W20" s="103" t="e">
        <f t="shared" si="19"/>
        <v>#REF!</v>
      </c>
      <c r="X20" s="103" t="e">
        <f t="shared" si="19"/>
        <v>#REF!</v>
      </c>
      <c r="Y20" s="103" t="e">
        <f t="shared" si="19"/>
        <v>#REF!</v>
      </c>
      <c r="Z20" s="103" t="e">
        <f t="shared" si="19"/>
        <v>#REF!</v>
      </c>
      <c r="AA20" s="103" t="e">
        <f>WORKDAY(IF(Z21="",X20,Z21),INDEX(AA$2:AA$5,MATCH($I19,$I$2:$I$5,0)),$BB$10:$BB$141)</f>
        <v>#REF!</v>
      </c>
      <c r="AB20" s="104" t="e">
        <f>WORKDAY(AE19+#REF!,0,'[35]Equipment List and MR List (3)'!$A$2:$A$80)</f>
        <v>#REF!</v>
      </c>
      <c r="AC20" s="658"/>
      <c r="AD20" s="105"/>
      <c r="AE20" s="660"/>
      <c r="AF20" s="667"/>
      <c r="AG20" s="670"/>
      <c r="AH20" s="106"/>
      <c r="AI20" s="107"/>
      <c r="AJ20" s="673"/>
      <c r="AK20" s="108"/>
      <c r="AL20" s="109"/>
      <c r="AM20" s="92">
        <f t="shared" ref="AM20:AW29" si="20">IF(ISERROR(LOOKUP(AM$6,$S20:$AB20,$S$9:$AB$9)),0,(LOOKUP(AM$6,$S20:$AB20,$S$9:$AB$9)))</f>
        <v>0</v>
      </c>
      <c r="AN20" s="93">
        <f t="shared" si="20"/>
        <v>0</v>
      </c>
      <c r="AO20" s="93">
        <f t="shared" si="20"/>
        <v>0</v>
      </c>
      <c r="AP20" s="93">
        <f t="shared" si="20"/>
        <v>0</v>
      </c>
      <c r="AQ20" s="93">
        <f t="shared" si="20"/>
        <v>0</v>
      </c>
      <c r="AR20" s="93">
        <f t="shared" si="20"/>
        <v>0</v>
      </c>
      <c r="AS20" s="93">
        <f t="shared" si="20"/>
        <v>0</v>
      </c>
      <c r="AT20" s="93">
        <f t="shared" si="20"/>
        <v>0</v>
      </c>
      <c r="AU20" s="93">
        <f t="shared" si="20"/>
        <v>0</v>
      </c>
      <c r="AV20" s="93">
        <f t="shared" si="20"/>
        <v>0</v>
      </c>
      <c r="AW20" s="93">
        <f t="shared" ca="1" si="20"/>
        <v>0</v>
      </c>
      <c r="BB20" s="94" t="e">
        <v>#REF!</v>
      </c>
    </row>
    <row r="21" spans="1:54" s="20" customFormat="1" ht="16.5" customHeight="1">
      <c r="A21" s="644"/>
      <c r="B21" s="650"/>
      <c r="C21" s="653"/>
      <c r="D21" s="111" t="str">
        <f>D19</f>
        <v>MEC</v>
      </c>
      <c r="E21" s="112" t="str">
        <f>E19</f>
        <v>RFQ-004</v>
      </c>
      <c r="F21" s="113" t="str">
        <f t="shared" ref="F21" si="21">F19</f>
        <v>N</v>
      </c>
      <c r="G21" s="656"/>
      <c r="H21" s="124" t="str">
        <f t="shared" ref="H21:I21" si="22">H19</f>
        <v>Production &amp; Test Seperator</v>
      </c>
      <c r="I21" s="112" t="str">
        <f t="shared" si="22"/>
        <v>LA</v>
      </c>
      <c r="J21" s="113"/>
      <c r="K21" s="114"/>
      <c r="L21" s="114"/>
      <c r="M21" s="114">
        <v>0.02</v>
      </c>
      <c r="N21" s="112"/>
      <c r="O21" s="112"/>
      <c r="P21" s="112"/>
      <c r="Q21" s="115" t="s">
        <v>4842</v>
      </c>
      <c r="R21" s="115"/>
      <c r="S21" s="115"/>
      <c r="T21" s="115"/>
      <c r="U21" s="115"/>
      <c r="V21" s="115"/>
      <c r="W21" s="115"/>
      <c r="X21" s="115"/>
      <c r="Y21" s="115"/>
      <c r="Z21" s="115"/>
      <c r="AA21" s="115"/>
      <c r="AB21" s="115"/>
      <c r="AC21" s="659"/>
      <c r="AD21" s="116"/>
      <c r="AE21" s="660"/>
      <c r="AF21" s="668"/>
      <c r="AG21" s="671"/>
      <c r="AH21" s="117"/>
      <c r="AI21" s="118"/>
      <c r="AJ21" s="674"/>
      <c r="AK21" s="119"/>
      <c r="AL21" s="120"/>
      <c r="AM21" s="121">
        <f t="shared" si="20"/>
        <v>0</v>
      </c>
      <c r="AN21" s="122">
        <f t="shared" si="20"/>
        <v>0</v>
      </c>
      <c r="AO21" s="122">
        <f t="shared" si="20"/>
        <v>0</v>
      </c>
      <c r="AP21" s="122">
        <f t="shared" si="20"/>
        <v>0</v>
      </c>
      <c r="AQ21" s="122">
        <f t="shared" si="20"/>
        <v>0</v>
      </c>
      <c r="AR21" s="122">
        <f t="shared" si="20"/>
        <v>0</v>
      </c>
      <c r="AS21" s="122">
        <f t="shared" si="20"/>
        <v>0</v>
      </c>
      <c r="AT21" s="122">
        <f t="shared" si="20"/>
        <v>0</v>
      </c>
      <c r="AU21" s="122">
        <f t="shared" si="20"/>
        <v>0</v>
      </c>
      <c r="AV21" s="122">
        <f t="shared" si="20"/>
        <v>0</v>
      </c>
      <c r="AW21" s="122">
        <f t="shared" ca="1" si="20"/>
        <v>0</v>
      </c>
      <c r="BB21" s="94" t="e">
        <v>#REF!</v>
      </c>
    </row>
    <row r="22" spans="1:54" s="20" customFormat="1" ht="16.5" customHeight="1">
      <c r="A22" s="642">
        <f t="shared" ref="A22" si="23">A19+1</f>
        <v>5</v>
      </c>
      <c r="B22" s="648" t="s">
        <v>4846</v>
      </c>
      <c r="C22" s="651" t="s">
        <v>4836</v>
      </c>
      <c r="D22" s="80" t="s">
        <v>4848</v>
      </c>
      <c r="E22" s="81" t="s">
        <v>4737</v>
      </c>
      <c r="F22" s="82" t="s">
        <v>60</v>
      </c>
      <c r="G22" s="654" t="s">
        <v>4849</v>
      </c>
      <c r="H22" s="123" t="s">
        <v>4738</v>
      </c>
      <c r="I22" s="81" t="s">
        <v>6</v>
      </c>
      <c r="J22" s="82"/>
      <c r="K22" s="84">
        <f>M24</f>
        <v>0.02</v>
      </c>
      <c r="L22" s="84"/>
      <c r="M22" s="84"/>
      <c r="N22" s="81"/>
      <c r="O22" s="81"/>
      <c r="P22" s="81"/>
      <c r="Q22" s="85" t="s">
        <v>4839</v>
      </c>
      <c r="R22" s="86">
        <f>'Before Award'!U29+5</f>
        <v>46253</v>
      </c>
      <c r="S22" s="86" t="e">
        <f>WORKDAY(R22,INDEX(S$2:S$5,MATCH($I22,$I$2:$I$5,0)),$BB$10:$BB$141)</f>
        <v>#REF!</v>
      </c>
      <c r="T22" s="86" t="e">
        <f>WORKDAY(S22,INDEX(T$2:T$5,MATCH($I22,$I$2:$I$5,0)),$BB$10:$BB$141)</f>
        <v>#REF!</v>
      </c>
      <c r="U22" s="86" t="e">
        <f>T22+60</f>
        <v>#REF!</v>
      </c>
      <c r="V22" s="86"/>
      <c r="W22" s="86">
        <f>AB22-35</f>
        <v>46437</v>
      </c>
      <c r="X22" s="86"/>
      <c r="Y22" s="86"/>
      <c r="Z22" s="86"/>
      <c r="AA22" s="86"/>
      <c r="AB22" s="86">
        <f>'Before Award'!X29</f>
        <v>46472</v>
      </c>
      <c r="AC22" s="657" t="s">
        <v>4840</v>
      </c>
      <c r="AD22" s="87">
        <v>14</v>
      </c>
      <c r="AE22" s="660">
        <v>294</v>
      </c>
      <c r="AF22" s="666" t="e">
        <f>AB23</f>
        <v>#REF!</v>
      </c>
      <c r="AG22" s="669">
        <f>WORKDAY(AH22+1,-1,$BA$10:$BA$141)</f>
        <v>46339</v>
      </c>
      <c r="AH22" s="88">
        <v>46341</v>
      </c>
      <c r="AI22" s="89"/>
      <c r="AJ22" s="672" t="e">
        <f>AG22-AF22</f>
        <v>#REF!</v>
      </c>
      <c r="AK22" s="90"/>
      <c r="AL22" s="91"/>
      <c r="AM22" s="92">
        <f t="shared" si="20"/>
        <v>0</v>
      </c>
      <c r="AN22" s="93">
        <f t="shared" si="20"/>
        <v>0</v>
      </c>
      <c r="AO22" s="93">
        <f t="shared" si="20"/>
        <v>0</v>
      </c>
      <c r="AP22" s="93">
        <f t="shared" si="20"/>
        <v>0</v>
      </c>
      <c r="AQ22" s="93">
        <f t="shared" si="20"/>
        <v>0</v>
      </c>
      <c r="AR22" s="93">
        <f t="shared" si="20"/>
        <v>0</v>
      </c>
      <c r="AS22" s="93">
        <f t="shared" si="20"/>
        <v>0</v>
      </c>
      <c r="AT22" s="93">
        <f t="shared" si="20"/>
        <v>0</v>
      </c>
      <c r="AU22" s="93">
        <f t="shared" si="20"/>
        <v>0</v>
      </c>
      <c r="AV22" s="93">
        <f t="shared" si="20"/>
        <v>0</v>
      </c>
      <c r="AW22" s="93">
        <f t="shared" ca="1" si="20"/>
        <v>0</v>
      </c>
      <c r="BB22" s="94" t="e">
        <v>#REF!</v>
      </c>
    </row>
    <row r="23" spans="1:54" s="20" customFormat="1" ht="16.5" customHeight="1">
      <c r="A23" s="643"/>
      <c r="B23" s="649"/>
      <c r="C23" s="652"/>
      <c r="D23" s="96" t="str">
        <f>D22</f>
        <v>PIP</v>
      </c>
      <c r="E23" s="97" t="str">
        <f t="shared" ref="E23:F23" si="24">E22</f>
        <v>RFQ-005</v>
      </c>
      <c r="F23" s="98" t="str">
        <f t="shared" si="24"/>
        <v>Y</v>
      </c>
      <c r="G23" s="655"/>
      <c r="H23" s="124" t="str">
        <f t="shared" ref="H23:I23" si="25">H22</f>
        <v>Pig Launcher and Receiver</v>
      </c>
      <c r="I23" s="97" t="str">
        <f t="shared" si="25"/>
        <v>LA</v>
      </c>
      <c r="J23" s="98"/>
      <c r="K23" s="100"/>
      <c r="L23" s="100">
        <f>M24</f>
        <v>0.02</v>
      </c>
      <c r="M23" s="100"/>
      <c r="N23" s="97"/>
      <c r="O23" s="97"/>
      <c r="P23" s="97"/>
      <c r="Q23" s="101" t="s">
        <v>4841</v>
      </c>
      <c r="R23" s="102">
        <f>R22</f>
        <v>46253</v>
      </c>
      <c r="S23" s="102" t="e">
        <f>S22</f>
        <v>#REF!</v>
      </c>
      <c r="T23" s="103" t="e">
        <f>T22</f>
        <v>#REF!</v>
      </c>
      <c r="U23" s="103" t="e">
        <f t="shared" ref="U23:Z23" si="26">WORKDAY(IF(T24="",T23,T24),INDEX(U$2:U$5,MATCH($I22,$I$2:$I$5,0)),$BB$10:$BB$141)</f>
        <v>#REF!</v>
      </c>
      <c r="V23" s="103" t="e">
        <f t="shared" si="26"/>
        <v>#REF!</v>
      </c>
      <c r="W23" s="125" t="e">
        <f t="shared" si="26"/>
        <v>#REF!</v>
      </c>
      <c r="X23" s="103" t="e">
        <f t="shared" si="26"/>
        <v>#REF!</v>
      </c>
      <c r="Y23" s="103" t="e">
        <f t="shared" si="26"/>
        <v>#REF!</v>
      </c>
      <c r="Z23" s="103" t="e">
        <f t="shared" si="26"/>
        <v>#REF!</v>
      </c>
      <c r="AA23" s="103" t="e">
        <f>WORKDAY(IF(Z24="",X23,Z24),INDEX(AA$2:AA$5,MATCH($I22,$I$2:$I$5,0)),$BB$10:$BB$141)</f>
        <v>#REF!</v>
      </c>
      <c r="AB23" s="104" t="e">
        <f>WORKDAY(AE22+#REF!,0,'[35]Equipment List and MR List (3)'!$A$2:$A$80)</f>
        <v>#REF!</v>
      </c>
      <c r="AC23" s="658"/>
      <c r="AD23" s="105"/>
      <c r="AE23" s="660"/>
      <c r="AF23" s="667"/>
      <c r="AG23" s="670"/>
      <c r="AH23" s="106"/>
      <c r="AI23" s="107"/>
      <c r="AJ23" s="673"/>
      <c r="AK23" s="108"/>
      <c r="AL23" s="109"/>
      <c r="AM23" s="92">
        <f t="shared" si="20"/>
        <v>0</v>
      </c>
      <c r="AN23" s="93">
        <f t="shared" si="20"/>
        <v>0</v>
      </c>
      <c r="AO23" s="93">
        <f t="shared" si="20"/>
        <v>0</v>
      </c>
      <c r="AP23" s="93">
        <f t="shared" si="20"/>
        <v>0</v>
      </c>
      <c r="AQ23" s="93">
        <f t="shared" si="20"/>
        <v>0</v>
      </c>
      <c r="AR23" s="93">
        <f t="shared" si="20"/>
        <v>0</v>
      </c>
      <c r="AS23" s="93">
        <f t="shared" si="20"/>
        <v>0</v>
      </c>
      <c r="AT23" s="93">
        <f t="shared" si="20"/>
        <v>0</v>
      </c>
      <c r="AU23" s="93">
        <f t="shared" si="20"/>
        <v>0</v>
      </c>
      <c r="AV23" s="93">
        <f t="shared" si="20"/>
        <v>0</v>
      </c>
      <c r="AW23" s="93">
        <f t="shared" ca="1" si="20"/>
        <v>0</v>
      </c>
      <c r="BB23" s="94" t="e">
        <v>#REF!</v>
      </c>
    </row>
    <row r="24" spans="1:54" s="20" customFormat="1" ht="16.5" customHeight="1">
      <c r="A24" s="644"/>
      <c r="B24" s="650"/>
      <c r="C24" s="653"/>
      <c r="D24" s="111" t="str">
        <f>D22</f>
        <v>PIP</v>
      </c>
      <c r="E24" s="112" t="str">
        <f>E22</f>
        <v>RFQ-005</v>
      </c>
      <c r="F24" s="113" t="str">
        <f t="shared" ref="F24" si="27">F22</f>
        <v>Y</v>
      </c>
      <c r="G24" s="656"/>
      <c r="H24" s="124" t="str">
        <f t="shared" ref="H24:I24" si="28">H22</f>
        <v>Pig Launcher and Receiver</v>
      </c>
      <c r="I24" s="112" t="str">
        <f t="shared" si="28"/>
        <v>LA</v>
      </c>
      <c r="J24" s="113"/>
      <c r="K24" s="114"/>
      <c r="L24" s="114"/>
      <c r="M24" s="114">
        <v>0.02</v>
      </c>
      <c r="N24" s="112"/>
      <c r="O24" s="112"/>
      <c r="P24" s="112"/>
      <c r="Q24" s="115" t="s">
        <v>4842</v>
      </c>
      <c r="R24" s="115"/>
      <c r="S24" s="115"/>
      <c r="T24" s="115"/>
      <c r="U24" s="115"/>
      <c r="V24" s="115"/>
      <c r="W24" s="115"/>
      <c r="X24" s="115"/>
      <c r="Y24" s="115"/>
      <c r="Z24" s="115"/>
      <c r="AA24" s="115"/>
      <c r="AB24" s="115"/>
      <c r="AC24" s="659"/>
      <c r="AD24" s="116"/>
      <c r="AE24" s="660"/>
      <c r="AF24" s="668"/>
      <c r="AG24" s="671"/>
      <c r="AH24" s="117"/>
      <c r="AI24" s="118"/>
      <c r="AJ24" s="674"/>
      <c r="AK24" s="119"/>
      <c r="AL24" s="120"/>
      <c r="AM24" s="121">
        <f t="shared" si="20"/>
        <v>0</v>
      </c>
      <c r="AN24" s="122">
        <f t="shared" si="20"/>
        <v>0</v>
      </c>
      <c r="AO24" s="122">
        <f t="shared" si="20"/>
        <v>0</v>
      </c>
      <c r="AP24" s="122">
        <f t="shared" si="20"/>
        <v>0</v>
      </c>
      <c r="AQ24" s="122">
        <f t="shared" si="20"/>
        <v>0</v>
      </c>
      <c r="AR24" s="122">
        <f t="shared" si="20"/>
        <v>0</v>
      </c>
      <c r="AS24" s="122">
        <f t="shared" si="20"/>
        <v>0</v>
      </c>
      <c r="AT24" s="122">
        <f t="shared" si="20"/>
        <v>0</v>
      </c>
      <c r="AU24" s="122">
        <f t="shared" si="20"/>
        <v>0</v>
      </c>
      <c r="AV24" s="122">
        <f t="shared" si="20"/>
        <v>0</v>
      </c>
      <c r="AW24" s="122">
        <f t="shared" ca="1" si="20"/>
        <v>0</v>
      </c>
      <c r="BB24" s="94" t="e">
        <v>#REF!</v>
      </c>
    </row>
    <row r="25" spans="1:54" s="20" customFormat="1" ht="19.5" customHeight="1">
      <c r="A25" s="642">
        <f t="shared" ref="A25" si="29">A22+1</f>
        <v>6</v>
      </c>
      <c r="B25" s="645" t="s">
        <v>4850</v>
      </c>
      <c r="C25" s="651" t="s">
        <v>4836</v>
      </c>
      <c r="D25" s="80" t="s">
        <v>4837</v>
      </c>
      <c r="E25" s="81" t="s">
        <v>4739</v>
      </c>
      <c r="F25" s="82" t="s">
        <v>60</v>
      </c>
      <c r="G25" s="654" t="s">
        <v>4851</v>
      </c>
      <c r="H25" s="83" t="s">
        <v>4740</v>
      </c>
      <c r="I25" s="81" t="s">
        <v>6</v>
      </c>
      <c r="J25" s="82"/>
      <c r="K25" s="84">
        <f>M27</f>
        <v>0.01</v>
      </c>
      <c r="L25" s="84"/>
      <c r="M25" s="84"/>
      <c r="N25" s="81"/>
      <c r="O25" s="81"/>
      <c r="P25" s="81"/>
      <c r="Q25" s="85" t="s">
        <v>4839</v>
      </c>
      <c r="R25" s="86">
        <f>'Before Award'!U32+5</f>
        <v>46225</v>
      </c>
      <c r="S25" s="86" t="e">
        <f>WORKDAY(R25,INDEX(S$2:S$5,MATCH($I25,$I$2:$I$5,0)),$BB$10:$BB$141)</f>
        <v>#REF!</v>
      </c>
      <c r="T25" s="86" t="e">
        <f>WORKDAY(S25,INDEX(T$2:T$5,MATCH($I25,$I$2:$I$5,0)),$BB$10:$BB$141)</f>
        <v>#REF!</v>
      </c>
      <c r="U25" s="86" t="e">
        <f>T25+60</f>
        <v>#REF!</v>
      </c>
      <c r="V25" s="86"/>
      <c r="W25" s="86">
        <f>AB25-35</f>
        <v>46409</v>
      </c>
      <c r="X25" s="86"/>
      <c r="Y25" s="86"/>
      <c r="Z25" s="86"/>
      <c r="AA25" s="86"/>
      <c r="AB25" s="86">
        <f>'Before Award'!X32</f>
        <v>46444</v>
      </c>
      <c r="AC25" s="657" t="s">
        <v>4840</v>
      </c>
      <c r="AD25" s="87">
        <v>14</v>
      </c>
      <c r="AE25" s="660">
        <f>32*7</f>
        <v>224</v>
      </c>
      <c r="AF25" s="666" t="e">
        <f>AB26</f>
        <v>#REF!</v>
      </c>
      <c r="AG25" s="669">
        <f>WORKDAY(AH25+1,-1,$BA$10:$BA$141)</f>
        <v>46444</v>
      </c>
      <c r="AH25" s="88">
        <v>46446</v>
      </c>
      <c r="AI25" s="89"/>
      <c r="AJ25" s="672" t="e">
        <f>AG25-AF25</f>
        <v>#REF!</v>
      </c>
      <c r="AK25" s="90"/>
      <c r="AL25" s="91"/>
      <c r="AM25" s="92">
        <f t="shared" si="20"/>
        <v>0</v>
      </c>
      <c r="AN25" s="93">
        <f t="shared" si="20"/>
        <v>0</v>
      </c>
      <c r="AO25" s="93">
        <f t="shared" si="20"/>
        <v>0</v>
      </c>
      <c r="AP25" s="93">
        <f t="shared" si="20"/>
        <v>0</v>
      </c>
      <c r="AQ25" s="93">
        <f t="shared" si="20"/>
        <v>0</v>
      </c>
      <c r="AR25" s="93">
        <f t="shared" si="20"/>
        <v>0</v>
      </c>
      <c r="AS25" s="93">
        <f t="shared" si="20"/>
        <v>0</v>
      </c>
      <c r="AT25" s="93">
        <f t="shared" si="20"/>
        <v>0</v>
      </c>
      <c r="AU25" s="93">
        <f t="shared" si="20"/>
        <v>0</v>
      </c>
      <c r="AV25" s="93">
        <f t="shared" si="20"/>
        <v>0</v>
      </c>
      <c r="AW25" s="93">
        <f t="shared" ca="1" si="20"/>
        <v>0</v>
      </c>
      <c r="BB25" s="94" t="e">
        <v>#REF!</v>
      </c>
    </row>
    <row r="26" spans="1:54" s="20" customFormat="1" ht="19.5" customHeight="1">
      <c r="A26" s="643"/>
      <c r="B26" s="646"/>
      <c r="C26" s="652"/>
      <c r="D26" s="96" t="str">
        <f>D25</f>
        <v>MEC</v>
      </c>
      <c r="E26" s="97" t="str">
        <f t="shared" ref="E26:F26" si="30">E25</f>
        <v>RFQ-006</v>
      </c>
      <c r="F26" s="98" t="str">
        <f t="shared" si="30"/>
        <v>Y</v>
      </c>
      <c r="G26" s="655"/>
      <c r="H26" s="99" t="str">
        <f t="shared" ref="H26:I26" si="31">H25</f>
        <v>Corrosion Inhibitor Injection Pump</v>
      </c>
      <c r="I26" s="97" t="str">
        <f t="shared" si="31"/>
        <v>LA</v>
      </c>
      <c r="J26" s="98"/>
      <c r="K26" s="100"/>
      <c r="L26" s="100">
        <f>M27</f>
        <v>0.01</v>
      </c>
      <c r="M26" s="100"/>
      <c r="N26" s="97"/>
      <c r="O26" s="97"/>
      <c r="P26" s="97"/>
      <c r="Q26" s="101" t="s">
        <v>4841</v>
      </c>
      <c r="R26" s="102">
        <f>R25</f>
        <v>46225</v>
      </c>
      <c r="S26" s="102" t="e">
        <f>S25</f>
        <v>#REF!</v>
      </c>
      <c r="T26" s="103" t="e">
        <f>T25</f>
        <v>#REF!</v>
      </c>
      <c r="U26" s="103" t="e">
        <f t="shared" ref="U26:Z26" si="32">WORKDAY(IF(T27="",T26,T27),INDEX(U$2:U$5,MATCH($I25,$I$2:$I$5,0)),$BB$10:$BB$141)</f>
        <v>#REF!</v>
      </c>
      <c r="V26" s="103" t="e">
        <f t="shared" si="32"/>
        <v>#REF!</v>
      </c>
      <c r="W26" s="103" t="e">
        <f t="shared" si="32"/>
        <v>#REF!</v>
      </c>
      <c r="X26" s="103" t="e">
        <f t="shared" si="32"/>
        <v>#REF!</v>
      </c>
      <c r="Y26" s="103" t="e">
        <f t="shared" si="32"/>
        <v>#REF!</v>
      </c>
      <c r="Z26" s="103" t="e">
        <f t="shared" si="32"/>
        <v>#REF!</v>
      </c>
      <c r="AA26" s="103" t="e">
        <f>WORKDAY(IF(Z27="",X26,Z27),INDEX(AA$2:AA$5,MATCH($I25,$I$2:$I$5,0)),$BB$10:$BB$141)</f>
        <v>#REF!</v>
      </c>
      <c r="AB26" s="104" t="e">
        <f>WORKDAY(AE25+#REF!,0,'[35]Equipment List and MR List (3)'!$A$2:$A$80)</f>
        <v>#REF!</v>
      </c>
      <c r="AC26" s="658"/>
      <c r="AD26" s="105"/>
      <c r="AE26" s="660"/>
      <c r="AF26" s="667"/>
      <c r="AG26" s="670"/>
      <c r="AH26" s="106"/>
      <c r="AI26" s="107"/>
      <c r="AJ26" s="673"/>
      <c r="AK26" s="108"/>
      <c r="AL26" s="109"/>
      <c r="AM26" s="92">
        <f t="shared" si="20"/>
        <v>0</v>
      </c>
      <c r="AN26" s="93">
        <f t="shared" si="20"/>
        <v>0</v>
      </c>
      <c r="AO26" s="93">
        <f t="shared" si="20"/>
        <v>0</v>
      </c>
      <c r="AP26" s="93">
        <f t="shared" si="20"/>
        <v>0</v>
      </c>
      <c r="AQ26" s="93">
        <f t="shared" si="20"/>
        <v>0</v>
      </c>
      <c r="AR26" s="93">
        <f t="shared" si="20"/>
        <v>0</v>
      </c>
      <c r="AS26" s="93">
        <f t="shared" si="20"/>
        <v>0</v>
      </c>
      <c r="AT26" s="93">
        <f t="shared" si="20"/>
        <v>0</v>
      </c>
      <c r="AU26" s="93">
        <f t="shared" si="20"/>
        <v>0</v>
      </c>
      <c r="AV26" s="93">
        <f t="shared" si="20"/>
        <v>0</v>
      </c>
      <c r="AW26" s="93">
        <f t="shared" ca="1" si="20"/>
        <v>0</v>
      </c>
      <c r="BB26" s="94" t="e">
        <v>#REF!</v>
      </c>
    </row>
    <row r="27" spans="1:54" s="20" customFormat="1" ht="19.5" customHeight="1">
      <c r="A27" s="644"/>
      <c r="B27" s="647"/>
      <c r="C27" s="653"/>
      <c r="D27" s="111" t="str">
        <f>D25</f>
        <v>MEC</v>
      </c>
      <c r="E27" s="112" t="str">
        <f>E25</f>
        <v>RFQ-006</v>
      </c>
      <c r="F27" s="113" t="str">
        <f t="shared" ref="F27" si="33">F25</f>
        <v>Y</v>
      </c>
      <c r="G27" s="656"/>
      <c r="H27" s="99" t="str">
        <f t="shared" ref="H27:I27" si="34">H25</f>
        <v>Corrosion Inhibitor Injection Pump</v>
      </c>
      <c r="I27" s="112" t="str">
        <f t="shared" si="34"/>
        <v>LA</v>
      </c>
      <c r="J27" s="113"/>
      <c r="K27" s="114"/>
      <c r="L27" s="114"/>
      <c r="M27" s="114">
        <v>0.01</v>
      </c>
      <c r="N27" s="112"/>
      <c r="O27" s="112"/>
      <c r="P27" s="112"/>
      <c r="Q27" s="115" t="s">
        <v>4842</v>
      </c>
      <c r="R27" s="115"/>
      <c r="S27" s="115"/>
      <c r="T27" s="115"/>
      <c r="U27" s="115"/>
      <c r="V27" s="115"/>
      <c r="W27" s="115"/>
      <c r="X27" s="115"/>
      <c r="Y27" s="115"/>
      <c r="Z27" s="115"/>
      <c r="AA27" s="115"/>
      <c r="AB27" s="115"/>
      <c r="AC27" s="659"/>
      <c r="AD27" s="116"/>
      <c r="AE27" s="660"/>
      <c r="AF27" s="668"/>
      <c r="AG27" s="671"/>
      <c r="AH27" s="117"/>
      <c r="AI27" s="118"/>
      <c r="AJ27" s="674"/>
      <c r="AK27" s="119"/>
      <c r="AL27" s="120"/>
      <c r="AM27" s="121">
        <f t="shared" si="20"/>
        <v>0</v>
      </c>
      <c r="AN27" s="122">
        <f t="shared" si="20"/>
        <v>0</v>
      </c>
      <c r="AO27" s="122">
        <f t="shared" si="20"/>
        <v>0</v>
      </c>
      <c r="AP27" s="122">
        <f t="shared" si="20"/>
        <v>0</v>
      </c>
      <c r="AQ27" s="122">
        <f t="shared" si="20"/>
        <v>0</v>
      </c>
      <c r="AR27" s="122">
        <f t="shared" si="20"/>
        <v>0</v>
      </c>
      <c r="AS27" s="122">
        <f t="shared" si="20"/>
        <v>0</v>
      </c>
      <c r="AT27" s="122">
        <f t="shared" si="20"/>
        <v>0</v>
      </c>
      <c r="AU27" s="122">
        <f t="shared" si="20"/>
        <v>0</v>
      </c>
      <c r="AV27" s="122">
        <f t="shared" si="20"/>
        <v>0</v>
      </c>
      <c r="AW27" s="122">
        <f t="shared" ca="1" si="20"/>
        <v>0</v>
      </c>
      <c r="BB27" s="94" t="e">
        <v>#REF!</v>
      </c>
    </row>
    <row r="28" spans="1:54" s="20" customFormat="1" ht="18" customHeight="1">
      <c r="A28" s="642">
        <f t="shared" ref="A28" si="35">A25+1</f>
        <v>7</v>
      </c>
      <c r="B28" s="79"/>
      <c r="C28" s="651" t="s">
        <v>4836</v>
      </c>
      <c r="D28" s="80" t="s">
        <v>4837</v>
      </c>
      <c r="E28" s="81" t="s">
        <v>4741</v>
      </c>
      <c r="F28" s="82" t="s">
        <v>71</v>
      </c>
      <c r="G28" s="654" t="s">
        <v>4851</v>
      </c>
      <c r="H28" s="82" t="s">
        <v>4742</v>
      </c>
      <c r="I28" s="81" t="s">
        <v>6</v>
      </c>
      <c r="J28" s="82"/>
      <c r="K28" s="84">
        <f>M30</f>
        <v>0.02</v>
      </c>
      <c r="L28" s="84"/>
      <c r="M28" s="84"/>
      <c r="N28" s="81"/>
      <c r="O28" s="81"/>
      <c r="P28" s="81"/>
      <c r="Q28" s="85" t="s">
        <v>4839</v>
      </c>
      <c r="R28" s="86">
        <f>'Before Award'!U35+5</f>
        <v>46258</v>
      </c>
      <c r="S28" s="86" t="e">
        <f>WORKDAY(R28,INDEX(S$2:S$5,MATCH($I28,$I$2:$I$5,0)),$BB$10:$BB$141)</f>
        <v>#REF!</v>
      </c>
      <c r="T28" s="86" t="e">
        <f>WORKDAY(S28,INDEX(T$2:T$5,MATCH($I28,$I$2:$I$5,0)),$BB$10:$BB$141)</f>
        <v>#REF!</v>
      </c>
      <c r="U28" s="86" t="e">
        <f>T28+60</f>
        <v>#REF!</v>
      </c>
      <c r="V28" s="86"/>
      <c r="W28" s="86">
        <f>AB28-35</f>
        <v>46442</v>
      </c>
      <c r="X28" s="86"/>
      <c r="Y28" s="86"/>
      <c r="Z28" s="86"/>
      <c r="AA28" s="86"/>
      <c r="AB28" s="86">
        <f>'Before Award'!X35</f>
        <v>46477</v>
      </c>
      <c r="AC28" s="657" t="s">
        <v>4840</v>
      </c>
      <c r="AD28" s="87">
        <v>14</v>
      </c>
      <c r="AE28" s="661">
        <f>32*7</f>
        <v>224</v>
      </c>
      <c r="AF28" s="666" t="e">
        <f>AB29</f>
        <v>#REF!</v>
      </c>
      <c r="AG28" s="669">
        <f>WORKDAY(AH28+1,-1,$BA$10:$BA$141)</f>
        <v>46477</v>
      </c>
      <c r="AH28" s="88">
        <v>46477</v>
      </c>
      <c r="AI28" s="89"/>
      <c r="AJ28" s="672" t="e">
        <f>AG28-AF28</f>
        <v>#REF!</v>
      </c>
      <c r="AK28" s="90"/>
      <c r="AL28" s="91"/>
      <c r="AM28" s="92">
        <f t="shared" si="20"/>
        <v>0</v>
      </c>
      <c r="AN28" s="93">
        <f t="shared" si="20"/>
        <v>0</v>
      </c>
      <c r="AO28" s="93">
        <f t="shared" si="20"/>
        <v>0</v>
      </c>
      <c r="AP28" s="93">
        <f t="shared" si="20"/>
        <v>0</v>
      </c>
      <c r="AQ28" s="93">
        <f t="shared" si="20"/>
        <v>0</v>
      </c>
      <c r="AR28" s="93">
        <f t="shared" si="20"/>
        <v>0</v>
      </c>
      <c r="AS28" s="93">
        <f t="shared" si="20"/>
        <v>0</v>
      </c>
      <c r="AT28" s="93">
        <f t="shared" si="20"/>
        <v>0</v>
      </c>
      <c r="AU28" s="93">
        <f t="shared" si="20"/>
        <v>0</v>
      </c>
      <c r="AV28" s="93">
        <f t="shared" si="20"/>
        <v>0</v>
      </c>
      <c r="AW28" s="93">
        <f t="shared" ca="1" si="20"/>
        <v>0</v>
      </c>
      <c r="BB28" s="94" t="e">
        <v>#REF!</v>
      </c>
    </row>
    <row r="29" spans="1:54" s="20" customFormat="1" ht="18" customHeight="1">
      <c r="A29" s="643"/>
      <c r="B29" s="95"/>
      <c r="C29" s="652"/>
      <c r="D29" s="96" t="str">
        <f>D28</f>
        <v>MEC</v>
      </c>
      <c r="E29" s="97" t="str">
        <f t="shared" ref="E29:F29" si="36">E28</f>
        <v>RFQ-007</v>
      </c>
      <c r="F29" s="98" t="str">
        <f t="shared" si="36"/>
        <v>N</v>
      </c>
      <c r="G29" s="655"/>
      <c r="H29" s="98" t="str">
        <f t="shared" ref="H29:I29" si="37">H28</f>
        <v>Demulsifier/Water Clarifier Injection Pump</v>
      </c>
      <c r="I29" s="97" t="str">
        <f t="shared" si="37"/>
        <v>LA</v>
      </c>
      <c r="J29" s="98"/>
      <c r="K29" s="100"/>
      <c r="L29" s="100">
        <f>M30</f>
        <v>0.02</v>
      </c>
      <c r="M29" s="100"/>
      <c r="N29" s="97"/>
      <c r="O29" s="97"/>
      <c r="P29" s="97"/>
      <c r="Q29" s="101" t="s">
        <v>4841</v>
      </c>
      <c r="R29" s="102">
        <f>R28</f>
        <v>46258</v>
      </c>
      <c r="S29" s="102" t="e">
        <f>S28</f>
        <v>#REF!</v>
      </c>
      <c r="T29" s="103" t="e">
        <f>T28</f>
        <v>#REF!</v>
      </c>
      <c r="U29" s="103" t="e">
        <f t="shared" ref="U29:Z29" si="38">WORKDAY(IF(T30="",T29,T30),INDEX(U$2:U$5,MATCH($I28,$I$2:$I$5,0)),$BB$10:$BB$141)</f>
        <v>#REF!</v>
      </c>
      <c r="V29" s="103" t="e">
        <f t="shared" si="38"/>
        <v>#REF!</v>
      </c>
      <c r="W29" s="103" t="e">
        <f t="shared" si="38"/>
        <v>#REF!</v>
      </c>
      <c r="X29" s="103" t="e">
        <f t="shared" si="38"/>
        <v>#REF!</v>
      </c>
      <c r="Y29" s="103" t="e">
        <f t="shared" si="38"/>
        <v>#REF!</v>
      </c>
      <c r="Z29" s="103" t="e">
        <f t="shared" si="38"/>
        <v>#REF!</v>
      </c>
      <c r="AA29" s="103" t="e">
        <f>WORKDAY(IF(Z30="",X29,Z30),INDEX(AA$2:AA$5,MATCH($I28,$I$2:$I$5,0)),$BB$10:$BB$141)</f>
        <v>#REF!</v>
      </c>
      <c r="AB29" s="104" t="e">
        <f>WORKDAY(AE28+#REF!,0,'[35]Equipment List and MR List (3)'!$A$2:$A$80)</f>
        <v>#REF!</v>
      </c>
      <c r="AC29" s="658"/>
      <c r="AD29" s="105"/>
      <c r="AE29" s="661"/>
      <c r="AF29" s="667"/>
      <c r="AG29" s="670"/>
      <c r="AH29" s="106"/>
      <c r="AI29" s="107"/>
      <c r="AJ29" s="673"/>
      <c r="AK29" s="108"/>
      <c r="AL29" s="109"/>
      <c r="AM29" s="92">
        <f t="shared" si="20"/>
        <v>0</v>
      </c>
      <c r="AN29" s="93">
        <f t="shared" si="20"/>
        <v>0</v>
      </c>
      <c r="AO29" s="93">
        <f t="shared" si="20"/>
        <v>0</v>
      </c>
      <c r="AP29" s="93">
        <f t="shared" si="20"/>
        <v>0</v>
      </c>
      <c r="AQ29" s="93">
        <f t="shared" si="20"/>
        <v>0</v>
      </c>
      <c r="AR29" s="93">
        <f t="shared" si="20"/>
        <v>0</v>
      </c>
      <c r="AS29" s="93">
        <f t="shared" si="20"/>
        <v>0</v>
      </c>
      <c r="AT29" s="93">
        <f t="shared" si="20"/>
        <v>0</v>
      </c>
      <c r="AU29" s="93">
        <f t="shared" si="20"/>
        <v>0</v>
      </c>
      <c r="AV29" s="93">
        <f t="shared" si="20"/>
        <v>0</v>
      </c>
      <c r="AW29" s="93">
        <f t="shared" ca="1" si="20"/>
        <v>0</v>
      </c>
      <c r="BB29" s="94" t="e">
        <v>#REF!</v>
      </c>
    </row>
    <row r="30" spans="1:54" s="20" customFormat="1" ht="18" customHeight="1">
      <c r="A30" s="644"/>
      <c r="B30" s="110"/>
      <c r="C30" s="653"/>
      <c r="D30" s="111" t="str">
        <f>D28</f>
        <v>MEC</v>
      </c>
      <c r="E30" s="112" t="str">
        <f>E28</f>
        <v>RFQ-007</v>
      </c>
      <c r="F30" s="113" t="str">
        <f t="shared" ref="F30" si="39">F28</f>
        <v>N</v>
      </c>
      <c r="G30" s="656"/>
      <c r="H30" s="113" t="str">
        <f t="shared" ref="H30:I30" si="40">H28</f>
        <v>Demulsifier/Water Clarifier Injection Pump</v>
      </c>
      <c r="I30" s="112" t="str">
        <f t="shared" si="40"/>
        <v>LA</v>
      </c>
      <c r="J30" s="113"/>
      <c r="K30" s="114"/>
      <c r="L30" s="114"/>
      <c r="M30" s="114">
        <v>0.02</v>
      </c>
      <c r="N30" s="112"/>
      <c r="O30" s="112"/>
      <c r="P30" s="112"/>
      <c r="Q30" s="115" t="s">
        <v>4842</v>
      </c>
      <c r="R30" s="115"/>
      <c r="S30" s="126"/>
      <c r="T30" s="126"/>
      <c r="U30" s="126"/>
      <c r="V30" s="126"/>
      <c r="W30" s="126"/>
      <c r="X30" s="126"/>
      <c r="Y30" s="126"/>
      <c r="Z30" s="126"/>
      <c r="AA30" s="126"/>
      <c r="AB30" s="126"/>
      <c r="AC30" s="659"/>
      <c r="AD30" s="116"/>
      <c r="AE30" s="661"/>
      <c r="AF30" s="668"/>
      <c r="AG30" s="671"/>
      <c r="AH30" s="117"/>
      <c r="AI30" s="118"/>
      <c r="AJ30" s="674"/>
      <c r="AK30" s="119"/>
      <c r="AL30" s="120"/>
      <c r="AM30" s="121">
        <f t="shared" ref="AM30:AW39" si="41">IF(ISERROR(LOOKUP(AM$6,$S30:$AB30,$S$9:$AB$9)),0,(LOOKUP(AM$6,$S30:$AB30,$S$9:$AB$9)))</f>
        <v>0</v>
      </c>
      <c r="AN30" s="122">
        <f t="shared" si="41"/>
        <v>0</v>
      </c>
      <c r="AO30" s="122">
        <f t="shared" si="41"/>
        <v>0</v>
      </c>
      <c r="AP30" s="122">
        <f t="shared" si="41"/>
        <v>0</v>
      </c>
      <c r="AQ30" s="122">
        <f t="shared" si="41"/>
        <v>0</v>
      </c>
      <c r="AR30" s="122">
        <f t="shared" si="41"/>
        <v>0</v>
      </c>
      <c r="AS30" s="122">
        <f t="shared" si="41"/>
        <v>0</v>
      </c>
      <c r="AT30" s="122">
        <f t="shared" si="41"/>
        <v>0</v>
      </c>
      <c r="AU30" s="122">
        <f t="shared" si="41"/>
        <v>0</v>
      </c>
      <c r="AV30" s="122">
        <f t="shared" si="41"/>
        <v>0</v>
      </c>
      <c r="AW30" s="122">
        <f t="shared" ca="1" si="41"/>
        <v>0</v>
      </c>
      <c r="BB30" s="94" t="e">
        <v>#REF!</v>
      </c>
    </row>
    <row r="31" spans="1:54" s="20" customFormat="1" ht="18" customHeight="1">
      <c r="A31" s="642">
        <f t="shared" ref="A31" si="42">A28+1</f>
        <v>8</v>
      </c>
      <c r="B31" s="648" t="s">
        <v>4852</v>
      </c>
      <c r="C31" s="651" t="s">
        <v>4836</v>
      </c>
      <c r="D31" s="80" t="s">
        <v>4837</v>
      </c>
      <c r="E31" s="81" t="s">
        <v>4743</v>
      </c>
      <c r="F31" s="82" t="str">
        <f>IF(_xlfn.XLOOKUP(E31,'[35]Before Award'!D:D,'[35]Before Award'!AV:AV,"N/A")="N/A","N","Y")</f>
        <v>N</v>
      </c>
      <c r="G31" s="654" t="s">
        <v>4853</v>
      </c>
      <c r="H31" s="123" t="s">
        <v>93</v>
      </c>
      <c r="I31" s="81" t="s">
        <v>6</v>
      </c>
      <c r="J31" s="82"/>
      <c r="K31" s="84">
        <f>M33</f>
        <v>0.01</v>
      </c>
      <c r="L31" s="84"/>
      <c r="M31" s="84"/>
      <c r="N31" s="81"/>
      <c r="O31" s="81"/>
      <c r="P31" s="81"/>
      <c r="Q31" s="85" t="s">
        <v>4839</v>
      </c>
      <c r="R31" s="86">
        <f>'Before Award'!U38+5</f>
        <v>46239</v>
      </c>
      <c r="S31" s="86" t="e">
        <f>WORKDAY(R31,INDEX(S$2:S$5,MATCH($I31,$I$2:$I$5,0)),$BB$10:$BB$141)</f>
        <v>#REF!</v>
      </c>
      <c r="T31" s="86" t="e">
        <f>WORKDAY(S31,INDEX(T$2:T$5,MATCH($I31,$I$2:$I$5,0)),$BB$10:$BB$141)</f>
        <v>#REF!</v>
      </c>
      <c r="U31" s="86" t="e">
        <f>T31+60</f>
        <v>#REF!</v>
      </c>
      <c r="V31" s="86"/>
      <c r="W31" s="86">
        <f>AB31-35</f>
        <v>46381</v>
      </c>
      <c r="X31" s="86"/>
      <c r="Y31" s="86"/>
      <c r="Z31" s="86"/>
      <c r="AA31" s="86"/>
      <c r="AB31" s="86">
        <f>'Before Award'!X38</f>
        <v>46416</v>
      </c>
      <c r="AC31" s="657" t="s">
        <v>4840</v>
      </c>
      <c r="AD31" s="87">
        <v>14</v>
      </c>
      <c r="AE31" s="660">
        <v>280</v>
      </c>
      <c r="AF31" s="666" t="e">
        <f>AB32</f>
        <v>#REF!</v>
      </c>
      <c r="AG31" s="669">
        <f>WORKDAY(AH31+1,-1,$BA$10:$BA$141)</f>
        <v>46416</v>
      </c>
      <c r="AH31" s="88">
        <v>46418</v>
      </c>
      <c r="AI31" s="89"/>
      <c r="AJ31" s="672" t="e">
        <f>AG31-AF31</f>
        <v>#REF!</v>
      </c>
      <c r="AK31" s="90"/>
      <c r="AL31" s="91"/>
      <c r="AM31" s="92">
        <f t="shared" si="41"/>
        <v>0</v>
      </c>
      <c r="AN31" s="93">
        <f t="shared" si="41"/>
        <v>0</v>
      </c>
      <c r="AO31" s="93">
        <f t="shared" si="41"/>
        <v>0</v>
      </c>
      <c r="AP31" s="93">
        <f t="shared" si="41"/>
        <v>0</v>
      </c>
      <c r="AQ31" s="93">
        <f t="shared" si="41"/>
        <v>0</v>
      </c>
      <c r="AR31" s="93">
        <f t="shared" si="41"/>
        <v>0</v>
      </c>
      <c r="AS31" s="93">
        <f t="shared" si="41"/>
        <v>0</v>
      </c>
      <c r="AT31" s="93">
        <f t="shared" si="41"/>
        <v>0</v>
      </c>
      <c r="AU31" s="93">
        <f t="shared" si="41"/>
        <v>0</v>
      </c>
      <c r="AV31" s="93">
        <f t="shared" si="41"/>
        <v>0</v>
      </c>
      <c r="AW31" s="93">
        <f t="shared" ca="1" si="41"/>
        <v>0</v>
      </c>
      <c r="BB31" s="94" t="e">
        <v>#REF!</v>
      </c>
    </row>
    <row r="32" spans="1:54" s="20" customFormat="1" ht="18" customHeight="1">
      <c r="A32" s="643"/>
      <c r="B32" s="649"/>
      <c r="C32" s="652"/>
      <c r="D32" s="96" t="str">
        <f>D31</f>
        <v>MEC</v>
      </c>
      <c r="E32" s="97" t="str">
        <f t="shared" ref="E32:F32" si="43">E31</f>
        <v>RFQ-008</v>
      </c>
      <c r="F32" s="98" t="str">
        <f t="shared" si="43"/>
        <v>N</v>
      </c>
      <c r="G32" s="655"/>
      <c r="H32" s="124" t="str">
        <f t="shared" ref="H32:I32" si="44">H31</f>
        <v>De-Oiler Hydrocyclone</v>
      </c>
      <c r="I32" s="97" t="str">
        <f t="shared" si="44"/>
        <v>LA</v>
      </c>
      <c r="J32" s="98"/>
      <c r="K32" s="100"/>
      <c r="L32" s="100">
        <f>M33</f>
        <v>0.01</v>
      </c>
      <c r="M32" s="100"/>
      <c r="N32" s="97"/>
      <c r="O32" s="97"/>
      <c r="P32" s="97"/>
      <c r="Q32" s="101" t="s">
        <v>4841</v>
      </c>
      <c r="R32" s="102">
        <f>R31</f>
        <v>46239</v>
      </c>
      <c r="S32" s="102" t="e">
        <f>S31</f>
        <v>#REF!</v>
      </c>
      <c r="T32" s="103" t="e">
        <f>T31</f>
        <v>#REF!</v>
      </c>
      <c r="U32" s="103" t="e">
        <f t="shared" ref="U32:Z32" si="45">WORKDAY(IF(T33="",T32,T33),INDEX(U$2:U$5,MATCH($I31,$I$2:$I$5,0)),$BB$10:$BB$141)</f>
        <v>#REF!</v>
      </c>
      <c r="V32" s="103" t="e">
        <f t="shared" si="45"/>
        <v>#REF!</v>
      </c>
      <c r="W32" s="103" t="e">
        <f t="shared" si="45"/>
        <v>#REF!</v>
      </c>
      <c r="X32" s="103" t="e">
        <f t="shared" si="45"/>
        <v>#REF!</v>
      </c>
      <c r="Y32" s="103" t="e">
        <f t="shared" si="45"/>
        <v>#REF!</v>
      </c>
      <c r="Z32" s="103" t="e">
        <f t="shared" si="45"/>
        <v>#REF!</v>
      </c>
      <c r="AA32" s="103" t="e">
        <f>WORKDAY(IF(Z33="",X32,Z33),INDEX(AA$2:AA$5,MATCH($I31,$I$2:$I$5,0)),$BB$10:$BB$141)</f>
        <v>#REF!</v>
      </c>
      <c r="AB32" s="104" t="e">
        <f>WORKDAY(AE31+#REF!,0,'[35]Equipment List and MR List (3)'!$A$2:$A$80)</f>
        <v>#REF!</v>
      </c>
      <c r="AC32" s="658"/>
      <c r="AD32" s="105"/>
      <c r="AE32" s="660"/>
      <c r="AF32" s="667"/>
      <c r="AG32" s="670"/>
      <c r="AH32" s="106"/>
      <c r="AI32" s="107"/>
      <c r="AJ32" s="673"/>
      <c r="AK32" s="108"/>
      <c r="AL32" s="109"/>
      <c r="AM32" s="92">
        <f t="shared" si="41"/>
        <v>0</v>
      </c>
      <c r="AN32" s="93">
        <f t="shared" si="41"/>
        <v>0</v>
      </c>
      <c r="AO32" s="93">
        <f t="shared" si="41"/>
        <v>0</v>
      </c>
      <c r="AP32" s="93">
        <f t="shared" si="41"/>
        <v>0</v>
      </c>
      <c r="AQ32" s="93">
        <f t="shared" si="41"/>
        <v>0</v>
      </c>
      <c r="AR32" s="93">
        <f t="shared" si="41"/>
        <v>0</v>
      </c>
      <c r="AS32" s="93">
        <f t="shared" si="41"/>
        <v>0</v>
      </c>
      <c r="AT32" s="93">
        <f t="shared" si="41"/>
        <v>0</v>
      </c>
      <c r="AU32" s="93">
        <f t="shared" si="41"/>
        <v>0</v>
      </c>
      <c r="AV32" s="93">
        <f t="shared" si="41"/>
        <v>0</v>
      </c>
      <c r="AW32" s="93">
        <f t="shared" ca="1" si="41"/>
        <v>0</v>
      </c>
      <c r="BB32" s="94" t="e">
        <v>#REF!</v>
      </c>
    </row>
    <row r="33" spans="1:54" s="20" customFormat="1" ht="18" customHeight="1">
      <c r="A33" s="644"/>
      <c r="B33" s="650"/>
      <c r="C33" s="653"/>
      <c r="D33" s="111" t="str">
        <f>D31</f>
        <v>MEC</v>
      </c>
      <c r="E33" s="112" t="str">
        <f>E31</f>
        <v>RFQ-008</v>
      </c>
      <c r="F33" s="113" t="str">
        <f t="shared" ref="F33" si="46">F31</f>
        <v>N</v>
      </c>
      <c r="G33" s="656"/>
      <c r="H33" s="124" t="str">
        <f t="shared" ref="H33:I33" si="47">H31</f>
        <v>De-Oiler Hydrocyclone</v>
      </c>
      <c r="I33" s="112" t="str">
        <f t="shared" si="47"/>
        <v>LA</v>
      </c>
      <c r="J33" s="113"/>
      <c r="K33" s="114"/>
      <c r="L33" s="114"/>
      <c r="M33" s="114">
        <v>0.01</v>
      </c>
      <c r="N33" s="112"/>
      <c r="O33" s="112"/>
      <c r="P33" s="112"/>
      <c r="Q33" s="115" t="s">
        <v>4842</v>
      </c>
      <c r="R33" s="126"/>
      <c r="S33" s="126"/>
      <c r="T33" s="126"/>
      <c r="U33" s="126"/>
      <c r="V33" s="126"/>
      <c r="W33" s="126"/>
      <c r="X33" s="126"/>
      <c r="Y33" s="126"/>
      <c r="Z33" s="126"/>
      <c r="AA33" s="126"/>
      <c r="AB33" s="126"/>
      <c r="AC33" s="659"/>
      <c r="AD33" s="116"/>
      <c r="AE33" s="660"/>
      <c r="AF33" s="668"/>
      <c r="AG33" s="671"/>
      <c r="AH33" s="117"/>
      <c r="AI33" s="118"/>
      <c r="AJ33" s="674"/>
      <c r="AK33" s="119"/>
      <c r="AL33" s="120"/>
      <c r="AM33" s="121">
        <f t="shared" si="41"/>
        <v>0</v>
      </c>
      <c r="AN33" s="122">
        <f t="shared" si="41"/>
        <v>0</v>
      </c>
      <c r="AO33" s="122">
        <f t="shared" si="41"/>
        <v>0</v>
      </c>
      <c r="AP33" s="122">
        <f t="shared" si="41"/>
        <v>0</v>
      </c>
      <c r="AQ33" s="122">
        <f t="shared" si="41"/>
        <v>0</v>
      </c>
      <c r="AR33" s="122">
        <f t="shared" si="41"/>
        <v>0</v>
      </c>
      <c r="AS33" s="122">
        <f t="shared" si="41"/>
        <v>0</v>
      </c>
      <c r="AT33" s="122">
        <f t="shared" si="41"/>
        <v>0</v>
      </c>
      <c r="AU33" s="122">
        <f t="shared" si="41"/>
        <v>0</v>
      </c>
      <c r="AV33" s="122">
        <f t="shared" si="41"/>
        <v>0</v>
      </c>
      <c r="AW33" s="122">
        <f t="shared" ca="1" si="41"/>
        <v>0</v>
      </c>
      <c r="BB33" s="94" t="e">
        <v>#REF!</v>
      </c>
    </row>
    <row r="34" spans="1:54" s="20" customFormat="1" ht="18" customHeight="1">
      <c r="A34" s="642">
        <f t="shared" ref="A34" si="48">A31+1</f>
        <v>9</v>
      </c>
      <c r="B34" s="648" t="s">
        <v>4854</v>
      </c>
      <c r="C34" s="651" t="s">
        <v>4836</v>
      </c>
      <c r="D34" s="80" t="s">
        <v>4837</v>
      </c>
      <c r="E34" s="81" t="s">
        <v>4745</v>
      </c>
      <c r="F34" s="82" t="str">
        <f>IF(_xlfn.XLOOKUP(E34,'[35]Before Award'!D:D,'[35]Before Award'!AV:AV,"N/A")="N/A","N","Y")</f>
        <v>N</v>
      </c>
      <c r="G34" s="654" t="s">
        <v>4853</v>
      </c>
      <c r="H34" s="123" t="s">
        <v>98</v>
      </c>
      <c r="I34" s="81" t="s">
        <v>6</v>
      </c>
      <c r="J34" s="82"/>
      <c r="K34" s="84">
        <f>M36</f>
        <v>0.04</v>
      </c>
      <c r="L34" s="84"/>
      <c r="M34" s="84"/>
      <c r="N34" s="81"/>
      <c r="O34" s="81"/>
      <c r="P34" s="81"/>
      <c r="Q34" s="85" t="s">
        <v>4839</v>
      </c>
      <c r="R34" s="86">
        <f>'Before Award'!U41+5</f>
        <v>46239</v>
      </c>
      <c r="S34" s="86" t="e">
        <f>WORKDAY(R34,INDEX(S$2:S$5,MATCH($I34,$I$2:$I$5,0)),$BB$10:$BB$141)</f>
        <v>#REF!</v>
      </c>
      <c r="T34" s="86" t="e">
        <f>WORKDAY(S34,INDEX(T$2:T$5,MATCH($I34,$I$2:$I$5,0)),$BB$10:$BB$141)</f>
        <v>#REF!</v>
      </c>
      <c r="U34" s="86" t="e">
        <f>T34+60</f>
        <v>#REF!</v>
      </c>
      <c r="V34" s="86"/>
      <c r="W34" s="86">
        <f>AB34-35</f>
        <v>46381</v>
      </c>
      <c r="X34" s="86"/>
      <c r="Y34" s="86"/>
      <c r="Z34" s="86"/>
      <c r="AA34" s="86"/>
      <c r="AB34" s="86">
        <f>'Before Award'!X41</f>
        <v>46416</v>
      </c>
      <c r="AC34" s="657" t="s">
        <v>4840</v>
      </c>
      <c r="AD34" s="87">
        <v>14</v>
      </c>
      <c r="AE34" s="660">
        <v>280</v>
      </c>
      <c r="AF34" s="666" t="e">
        <f>AB35</f>
        <v>#REF!</v>
      </c>
      <c r="AG34" s="669">
        <f>WORKDAY(AH34+1,-1,$BA$10:$BA$141)</f>
        <v>46416</v>
      </c>
      <c r="AH34" s="88">
        <v>46418</v>
      </c>
      <c r="AI34" s="89"/>
      <c r="AJ34" s="672" t="e">
        <f>AG34-AF34</f>
        <v>#REF!</v>
      </c>
      <c r="AK34" s="90"/>
      <c r="AL34" s="91"/>
      <c r="AM34" s="92">
        <f t="shared" si="41"/>
        <v>0</v>
      </c>
      <c r="AN34" s="93">
        <f t="shared" si="41"/>
        <v>0</v>
      </c>
      <c r="AO34" s="93">
        <f t="shared" si="41"/>
        <v>0</v>
      </c>
      <c r="AP34" s="93">
        <f t="shared" si="41"/>
        <v>0</v>
      </c>
      <c r="AQ34" s="93">
        <f t="shared" si="41"/>
        <v>0</v>
      </c>
      <c r="AR34" s="93">
        <f t="shared" si="41"/>
        <v>0</v>
      </c>
      <c r="AS34" s="93">
        <f t="shared" si="41"/>
        <v>0</v>
      </c>
      <c r="AT34" s="93">
        <f t="shared" si="41"/>
        <v>0</v>
      </c>
      <c r="AU34" s="93">
        <f t="shared" si="41"/>
        <v>0</v>
      </c>
      <c r="AV34" s="93">
        <f t="shared" si="41"/>
        <v>0</v>
      </c>
      <c r="AW34" s="93">
        <f t="shared" ca="1" si="41"/>
        <v>0</v>
      </c>
      <c r="BB34" s="94" t="e">
        <v>#REF!</v>
      </c>
    </row>
    <row r="35" spans="1:54" s="20" customFormat="1" ht="18" customHeight="1">
      <c r="A35" s="643"/>
      <c r="B35" s="649"/>
      <c r="C35" s="652"/>
      <c r="D35" s="96" t="str">
        <f>D34</f>
        <v>MEC</v>
      </c>
      <c r="E35" s="97" t="str">
        <f t="shared" ref="E35:F35" si="49">E34</f>
        <v>RFQ-009</v>
      </c>
      <c r="F35" s="98" t="str">
        <f t="shared" si="49"/>
        <v>N</v>
      </c>
      <c r="G35" s="655"/>
      <c r="H35" s="124" t="str">
        <f t="shared" ref="H35:I35" si="50">H34</f>
        <v>Degasser</v>
      </c>
      <c r="I35" s="97" t="str">
        <f t="shared" si="50"/>
        <v>LA</v>
      </c>
      <c r="J35" s="98"/>
      <c r="K35" s="100"/>
      <c r="L35" s="100">
        <f>M36</f>
        <v>0.04</v>
      </c>
      <c r="M35" s="100"/>
      <c r="N35" s="97"/>
      <c r="O35" s="97"/>
      <c r="P35" s="97"/>
      <c r="Q35" s="101" t="s">
        <v>4841</v>
      </c>
      <c r="R35" s="102">
        <f>R34</f>
        <v>46239</v>
      </c>
      <c r="S35" s="102" t="e">
        <f>S34</f>
        <v>#REF!</v>
      </c>
      <c r="T35" s="103" t="e">
        <f>T34</f>
        <v>#REF!</v>
      </c>
      <c r="U35" s="103" t="e">
        <f t="shared" ref="U35:Z35" si="51">WORKDAY(IF(T36="",T35,T36),INDEX(U$2:U$5,MATCH($I34,$I$2:$I$5,0)),$BB$10:$BB$141)</f>
        <v>#REF!</v>
      </c>
      <c r="V35" s="103" t="e">
        <f t="shared" si="51"/>
        <v>#REF!</v>
      </c>
      <c r="W35" s="103" t="e">
        <f t="shared" si="51"/>
        <v>#REF!</v>
      </c>
      <c r="X35" s="103" t="e">
        <f t="shared" si="51"/>
        <v>#REF!</v>
      </c>
      <c r="Y35" s="103" t="e">
        <f t="shared" si="51"/>
        <v>#REF!</v>
      </c>
      <c r="Z35" s="103" t="e">
        <f t="shared" si="51"/>
        <v>#REF!</v>
      </c>
      <c r="AA35" s="103" t="e">
        <f>WORKDAY(IF(Z36="",X35,Z36),INDEX(AA$2:AA$5,MATCH($I34,$I$2:$I$5,0)),$BB$10:$BB$141)</f>
        <v>#REF!</v>
      </c>
      <c r="AB35" s="104" t="e">
        <f>WORKDAY(AE34+#REF!,0,'[35]Equipment List and MR List (3)'!$A$2:$A$80)</f>
        <v>#REF!</v>
      </c>
      <c r="AC35" s="658"/>
      <c r="AD35" s="105"/>
      <c r="AE35" s="660"/>
      <c r="AF35" s="667"/>
      <c r="AG35" s="670"/>
      <c r="AH35" s="106"/>
      <c r="AI35" s="107"/>
      <c r="AJ35" s="673"/>
      <c r="AK35" s="108"/>
      <c r="AL35" s="109"/>
      <c r="AM35" s="92">
        <f t="shared" si="41"/>
        <v>0</v>
      </c>
      <c r="AN35" s="93">
        <f t="shared" si="41"/>
        <v>0</v>
      </c>
      <c r="AO35" s="93">
        <f t="shared" si="41"/>
        <v>0</v>
      </c>
      <c r="AP35" s="93">
        <f t="shared" si="41"/>
        <v>0</v>
      </c>
      <c r="AQ35" s="93">
        <f t="shared" si="41"/>
        <v>0</v>
      </c>
      <c r="AR35" s="93">
        <f t="shared" si="41"/>
        <v>0</v>
      </c>
      <c r="AS35" s="93">
        <f t="shared" si="41"/>
        <v>0</v>
      </c>
      <c r="AT35" s="93">
        <f t="shared" si="41"/>
        <v>0</v>
      </c>
      <c r="AU35" s="93">
        <f t="shared" si="41"/>
        <v>0</v>
      </c>
      <c r="AV35" s="93">
        <f t="shared" si="41"/>
        <v>0</v>
      </c>
      <c r="AW35" s="93">
        <f t="shared" ca="1" si="41"/>
        <v>0</v>
      </c>
      <c r="BB35" s="94" t="e">
        <v>#REF!</v>
      </c>
    </row>
    <row r="36" spans="1:54" s="20" customFormat="1" ht="18" customHeight="1">
      <c r="A36" s="644"/>
      <c r="B36" s="650"/>
      <c r="C36" s="653"/>
      <c r="D36" s="111" t="str">
        <f>D34</f>
        <v>MEC</v>
      </c>
      <c r="E36" s="112" t="str">
        <f>E34</f>
        <v>RFQ-009</v>
      </c>
      <c r="F36" s="113" t="str">
        <f t="shared" ref="F36" si="52">F34</f>
        <v>N</v>
      </c>
      <c r="G36" s="656"/>
      <c r="H36" s="124" t="str">
        <f t="shared" ref="H36:I36" si="53">H34</f>
        <v>Degasser</v>
      </c>
      <c r="I36" s="112" t="str">
        <f t="shared" si="53"/>
        <v>LA</v>
      </c>
      <c r="J36" s="113"/>
      <c r="K36" s="114"/>
      <c r="L36" s="114"/>
      <c r="M36" s="114">
        <v>0.04</v>
      </c>
      <c r="N36" s="112"/>
      <c r="O36" s="112"/>
      <c r="P36" s="112"/>
      <c r="Q36" s="115" t="s">
        <v>4842</v>
      </c>
      <c r="R36" s="126"/>
      <c r="S36" s="126"/>
      <c r="T36" s="126"/>
      <c r="U36" s="126"/>
      <c r="V36" s="126"/>
      <c r="W36" s="126"/>
      <c r="X36" s="126"/>
      <c r="Y36" s="126"/>
      <c r="Z36" s="126"/>
      <c r="AA36" s="126"/>
      <c r="AB36" s="126"/>
      <c r="AC36" s="659"/>
      <c r="AD36" s="116"/>
      <c r="AE36" s="660"/>
      <c r="AF36" s="668"/>
      <c r="AG36" s="671"/>
      <c r="AH36" s="117"/>
      <c r="AI36" s="118"/>
      <c r="AJ36" s="674"/>
      <c r="AK36" s="119"/>
      <c r="AL36" s="120"/>
      <c r="AM36" s="121">
        <f t="shared" si="41"/>
        <v>0</v>
      </c>
      <c r="AN36" s="122">
        <f t="shared" si="41"/>
        <v>0</v>
      </c>
      <c r="AO36" s="122">
        <f t="shared" si="41"/>
        <v>0</v>
      </c>
      <c r="AP36" s="122">
        <f t="shared" si="41"/>
        <v>0</v>
      </c>
      <c r="AQ36" s="122">
        <f t="shared" si="41"/>
        <v>0</v>
      </c>
      <c r="AR36" s="122">
        <f t="shared" si="41"/>
        <v>0</v>
      </c>
      <c r="AS36" s="122">
        <f t="shared" si="41"/>
        <v>0</v>
      </c>
      <c r="AT36" s="122">
        <f t="shared" si="41"/>
        <v>0</v>
      </c>
      <c r="AU36" s="122">
        <f t="shared" si="41"/>
        <v>0</v>
      </c>
      <c r="AV36" s="122">
        <f t="shared" si="41"/>
        <v>0</v>
      </c>
      <c r="AW36" s="122">
        <f t="shared" ca="1" si="41"/>
        <v>0</v>
      </c>
      <c r="BB36" s="94" t="e">
        <v>#REF!</v>
      </c>
    </row>
    <row r="37" spans="1:54" s="20" customFormat="1" ht="18.600000000000001" customHeight="1">
      <c r="A37" s="642">
        <f t="shared" ref="A37" si="54">A34+1</f>
        <v>10</v>
      </c>
      <c r="B37" s="648" t="s">
        <v>4855</v>
      </c>
      <c r="C37" s="651" t="s">
        <v>4836</v>
      </c>
      <c r="D37" s="80" t="s">
        <v>4837</v>
      </c>
      <c r="E37" s="81" t="s">
        <v>4746</v>
      </c>
      <c r="F37" s="82" t="str">
        <f>IF(_xlfn.XLOOKUP(E37,'[35]Before Award'!D:D,'[35]Before Award'!AV:AV,"N/A")="N/A","N","Y")</f>
        <v>N</v>
      </c>
      <c r="G37" s="654" t="s">
        <v>4847</v>
      </c>
      <c r="H37" s="123" t="s">
        <v>101</v>
      </c>
      <c r="I37" s="81" t="s">
        <v>6</v>
      </c>
      <c r="J37" s="82"/>
      <c r="K37" s="84">
        <f>M39</f>
        <v>0.01</v>
      </c>
      <c r="L37" s="84"/>
      <c r="M37" s="84"/>
      <c r="N37" s="81"/>
      <c r="O37" s="81"/>
      <c r="P37" s="81"/>
      <c r="Q37" s="85" t="s">
        <v>4839</v>
      </c>
      <c r="R37" s="86">
        <f>'Before Award'!U44+5</f>
        <v>46239</v>
      </c>
      <c r="S37" s="86" t="e">
        <f>WORKDAY(R37,INDEX(S$2:S$5,MATCH($I37,$I$2:$I$5,0)),$BB$10:$BB$141)</f>
        <v>#REF!</v>
      </c>
      <c r="T37" s="86" t="e">
        <f>WORKDAY(S37,INDEX(T$2:T$5,MATCH($I37,$I$2:$I$5,0)),$BB$10:$BB$141)</f>
        <v>#REF!</v>
      </c>
      <c r="U37" s="86" t="e">
        <f>T37+60</f>
        <v>#REF!</v>
      </c>
      <c r="V37" s="86"/>
      <c r="W37" s="86">
        <f>AB37-35</f>
        <v>46381</v>
      </c>
      <c r="X37" s="86"/>
      <c r="Y37" s="86"/>
      <c r="Z37" s="86"/>
      <c r="AA37" s="86"/>
      <c r="AB37" s="86">
        <f>'Before Award'!X44</f>
        <v>46416</v>
      </c>
      <c r="AC37" s="657" t="s">
        <v>4840</v>
      </c>
      <c r="AD37" s="87">
        <v>14</v>
      </c>
      <c r="AE37" s="660">
        <v>294</v>
      </c>
      <c r="AF37" s="666" t="e">
        <f>AB38</f>
        <v>#REF!</v>
      </c>
      <c r="AG37" s="669">
        <f>WORKDAY(AH37+1,-1,$BA$10:$BA$141)</f>
        <v>46416</v>
      </c>
      <c r="AH37" s="88">
        <v>46418</v>
      </c>
      <c r="AI37" s="89"/>
      <c r="AJ37" s="672" t="e">
        <f>AG37-AF37</f>
        <v>#REF!</v>
      </c>
      <c r="AK37" s="90"/>
      <c r="AL37" s="91"/>
      <c r="AM37" s="92">
        <f t="shared" si="41"/>
        <v>0</v>
      </c>
      <c r="AN37" s="93">
        <f t="shared" si="41"/>
        <v>0</v>
      </c>
      <c r="AO37" s="93">
        <f t="shared" si="41"/>
        <v>0</v>
      </c>
      <c r="AP37" s="93">
        <f t="shared" si="41"/>
        <v>0</v>
      </c>
      <c r="AQ37" s="93">
        <f t="shared" si="41"/>
        <v>0</v>
      </c>
      <c r="AR37" s="93">
        <f t="shared" si="41"/>
        <v>0</v>
      </c>
      <c r="AS37" s="93">
        <f t="shared" si="41"/>
        <v>0</v>
      </c>
      <c r="AT37" s="93">
        <f t="shared" si="41"/>
        <v>0</v>
      </c>
      <c r="AU37" s="93">
        <f t="shared" si="41"/>
        <v>0</v>
      </c>
      <c r="AV37" s="93">
        <f t="shared" si="41"/>
        <v>0</v>
      </c>
      <c r="AW37" s="93">
        <f t="shared" ca="1" si="41"/>
        <v>0</v>
      </c>
      <c r="BB37" s="94" t="e">
        <v>#REF!</v>
      </c>
    </row>
    <row r="38" spans="1:54" s="20" customFormat="1" ht="18.600000000000001" customHeight="1">
      <c r="A38" s="643"/>
      <c r="B38" s="649"/>
      <c r="C38" s="652"/>
      <c r="D38" s="96" t="str">
        <f>D37</f>
        <v>MEC</v>
      </c>
      <c r="E38" s="97" t="str">
        <f t="shared" ref="E38:F38" si="55">E37</f>
        <v>RFQ-010</v>
      </c>
      <c r="F38" s="98" t="str">
        <f t="shared" si="55"/>
        <v>N</v>
      </c>
      <c r="G38" s="655"/>
      <c r="H38" s="124" t="str">
        <f t="shared" ref="H38:I38" si="56">H37</f>
        <v>Skim Tank Vessel</v>
      </c>
      <c r="I38" s="97" t="str">
        <f t="shared" si="56"/>
        <v>LA</v>
      </c>
      <c r="J38" s="98"/>
      <c r="K38" s="100"/>
      <c r="L38" s="100">
        <f>M39</f>
        <v>0.01</v>
      </c>
      <c r="M38" s="100"/>
      <c r="N38" s="97"/>
      <c r="O38" s="97"/>
      <c r="P38" s="97"/>
      <c r="Q38" s="101" t="s">
        <v>4841</v>
      </c>
      <c r="R38" s="102">
        <f>R37</f>
        <v>46239</v>
      </c>
      <c r="S38" s="102" t="e">
        <f>S37</f>
        <v>#REF!</v>
      </c>
      <c r="T38" s="103" t="e">
        <f>T37</f>
        <v>#REF!</v>
      </c>
      <c r="U38" s="103" t="e">
        <f t="shared" ref="U38:Z38" si="57">WORKDAY(IF(T39="",T38,T39),INDEX(U$2:U$5,MATCH($I37,$I$2:$I$5,0)),$BB$10:$BB$141)</f>
        <v>#REF!</v>
      </c>
      <c r="V38" s="103" t="e">
        <f t="shared" si="57"/>
        <v>#REF!</v>
      </c>
      <c r="W38" s="103" t="e">
        <f t="shared" si="57"/>
        <v>#REF!</v>
      </c>
      <c r="X38" s="103" t="e">
        <f t="shared" si="57"/>
        <v>#REF!</v>
      </c>
      <c r="Y38" s="103" t="e">
        <f t="shared" si="57"/>
        <v>#REF!</v>
      </c>
      <c r="Z38" s="103" t="e">
        <f t="shared" si="57"/>
        <v>#REF!</v>
      </c>
      <c r="AA38" s="103" t="e">
        <f>WORKDAY(IF(Z39="",X38,Z39),INDEX(AA$2:AA$5,MATCH($I37,$I$2:$I$5,0)),$BB$10:$BB$141)</f>
        <v>#REF!</v>
      </c>
      <c r="AB38" s="104" t="e">
        <f>WORKDAY(AE37+#REF!,0,'[35]Equipment List and MR List (3)'!$A$2:$A$80)</f>
        <v>#REF!</v>
      </c>
      <c r="AC38" s="658"/>
      <c r="AD38" s="105"/>
      <c r="AE38" s="660"/>
      <c r="AF38" s="667"/>
      <c r="AG38" s="670"/>
      <c r="AH38" s="106"/>
      <c r="AI38" s="107"/>
      <c r="AJ38" s="673"/>
      <c r="AK38" s="108"/>
      <c r="AL38" s="109"/>
      <c r="AM38" s="92">
        <f t="shared" si="41"/>
        <v>0</v>
      </c>
      <c r="AN38" s="93">
        <f t="shared" si="41"/>
        <v>0</v>
      </c>
      <c r="AO38" s="93">
        <f t="shared" si="41"/>
        <v>0</v>
      </c>
      <c r="AP38" s="93">
        <f t="shared" si="41"/>
        <v>0</v>
      </c>
      <c r="AQ38" s="93">
        <f t="shared" si="41"/>
        <v>0</v>
      </c>
      <c r="AR38" s="93">
        <f t="shared" si="41"/>
        <v>0</v>
      </c>
      <c r="AS38" s="93">
        <f t="shared" si="41"/>
        <v>0</v>
      </c>
      <c r="AT38" s="93">
        <f t="shared" si="41"/>
        <v>0</v>
      </c>
      <c r="AU38" s="93">
        <f t="shared" si="41"/>
        <v>0</v>
      </c>
      <c r="AV38" s="93">
        <f t="shared" si="41"/>
        <v>0</v>
      </c>
      <c r="AW38" s="93">
        <f t="shared" ca="1" si="41"/>
        <v>0</v>
      </c>
      <c r="BB38" s="94" t="e">
        <v>#REF!</v>
      </c>
    </row>
    <row r="39" spans="1:54" s="20" customFormat="1" ht="18.600000000000001" customHeight="1">
      <c r="A39" s="644"/>
      <c r="B39" s="650"/>
      <c r="C39" s="653"/>
      <c r="D39" s="111" t="str">
        <f>D37</f>
        <v>MEC</v>
      </c>
      <c r="E39" s="112" t="str">
        <f>E37</f>
        <v>RFQ-010</v>
      </c>
      <c r="F39" s="113" t="str">
        <f t="shared" ref="F39" si="58">F37</f>
        <v>N</v>
      </c>
      <c r="G39" s="656"/>
      <c r="H39" s="124" t="str">
        <f t="shared" ref="H39:I39" si="59">H37</f>
        <v>Skim Tank Vessel</v>
      </c>
      <c r="I39" s="112" t="str">
        <f t="shared" si="59"/>
        <v>LA</v>
      </c>
      <c r="J39" s="113"/>
      <c r="K39" s="114"/>
      <c r="L39" s="114"/>
      <c r="M39" s="114">
        <v>0.01</v>
      </c>
      <c r="N39" s="112"/>
      <c r="O39" s="112"/>
      <c r="P39" s="112"/>
      <c r="Q39" s="115" t="s">
        <v>4842</v>
      </c>
      <c r="R39" s="126"/>
      <c r="S39" s="126"/>
      <c r="T39" s="126"/>
      <c r="U39" s="126"/>
      <c r="V39" s="126"/>
      <c r="W39" s="126"/>
      <c r="X39" s="126"/>
      <c r="Y39" s="126"/>
      <c r="Z39" s="126"/>
      <c r="AA39" s="126"/>
      <c r="AB39" s="126"/>
      <c r="AC39" s="659"/>
      <c r="AD39" s="116"/>
      <c r="AE39" s="660"/>
      <c r="AF39" s="668"/>
      <c r="AG39" s="671"/>
      <c r="AH39" s="117"/>
      <c r="AI39" s="118"/>
      <c r="AJ39" s="674"/>
      <c r="AK39" s="119"/>
      <c r="AL39" s="120"/>
      <c r="AM39" s="121">
        <f t="shared" si="41"/>
        <v>0</v>
      </c>
      <c r="AN39" s="122">
        <f t="shared" si="41"/>
        <v>0</v>
      </c>
      <c r="AO39" s="122">
        <f t="shared" si="41"/>
        <v>0</v>
      </c>
      <c r="AP39" s="122">
        <f t="shared" si="41"/>
        <v>0</v>
      </c>
      <c r="AQ39" s="122">
        <f t="shared" si="41"/>
        <v>0</v>
      </c>
      <c r="AR39" s="122">
        <f t="shared" si="41"/>
        <v>0</v>
      </c>
      <c r="AS39" s="122">
        <f t="shared" si="41"/>
        <v>0</v>
      </c>
      <c r="AT39" s="122">
        <f t="shared" si="41"/>
        <v>0</v>
      </c>
      <c r="AU39" s="122">
        <f t="shared" si="41"/>
        <v>0</v>
      </c>
      <c r="AV39" s="122">
        <f t="shared" si="41"/>
        <v>0</v>
      </c>
      <c r="AW39" s="122">
        <f t="shared" ca="1" si="41"/>
        <v>0</v>
      </c>
      <c r="BB39" s="94" t="e">
        <v>#REF!</v>
      </c>
    </row>
    <row r="40" spans="1:54" s="20" customFormat="1" ht="18.600000000000001" customHeight="1">
      <c r="A40" s="642">
        <f t="shared" ref="A40" si="60">A37+1</f>
        <v>11</v>
      </c>
      <c r="B40" s="648" t="s">
        <v>4855</v>
      </c>
      <c r="C40" s="651" t="s">
        <v>4836</v>
      </c>
      <c r="D40" s="80" t="s">
        <v>4837</v>
      </c>
      <c r="E40" s="81" t="s">
        <v>4747</v>
      </c>
      <c r="F40" s="82" t="s">
        <v>60</v>
      </c>
      <c r="G40" s="654" t="s">
        <v>4847</v>
      </c>
      <c r="H40" s="123" t="s">
        <v>104</v>
      </c>
      <c r="I40" s="81" t="s">
        <v>6</v>
      </c>
      <c r="J40" s="82"/>
      <c r="K40" s="84">
        <f>M42</f>
        <v>0.01</v>
      </c>
      <c r="L40" s="84"/>
      <c r="M40" s="84"/>
      <c r="N40" s="81"/>
      <c r="O40" s="81"/>
      <c r="P40" s="81"/>
      <c r="Q40" s="85" t="s">
        <v>4839</v>
      </c>
      <c r="R40" s="86">
        <f>'Before Award'!U47+5</f>
        <v>46260</v>
      </c>
      <c r="S40" s="86" t="e">
        <f>WORKDAY(R40,INDEX(S$2:S$5,MATCH($I40,$I$2:$I$5,0)),$BB$10:$BB$141)</f>
        <v>#REF!</v>
      </c>
      <c r="T40" s="86" t="e">
        <f>WORKDAY(S40,INDEX(T$2:T$5,MATCH($I40,$I$2:$I$5,0)),$BB$10:$BB$141)</f>
        <v>#REF!</v>
      </c>
      <c r="U40" s="86" t="e">
        <f>T40+60</f>
        <v>#REF!</v>
      </c>
      <c r="V40" s="86"/>
      <c r="W40" s="86">
        <f>AB40-35</f>
        <v>46402</v>
      </c>
      <c r="X40" s="86"/>
      <c r="Y40" s="86"/>
      <c r="Z40" s="86"/>
      <c r="AA40" s="86"/>
      <c r="AB40" s="86">
        <f>'Before Award'!X47</f>
        <v>46437</v>
      </c>
      <c r="AC40" s="657" t="s">
        <v>4840</v>
      </c>
      <c r="AD40" s="87">
        <v>14</v>
      </c>
      <c r="AE40" s="660">
        <v>294</v>
      </c>
      <c r="AF40" s="666" t="e">
        <f>AB41</f>
        <v>#REF!</v>
      </c>
      <c r="AG40" s="669">
        <f>WORKDAY(AH40+1,-1,$BA$10:$BA$141)</f>
        <v>46386</v>
      </c>
      <c r="AH40" s="88">
        <v>46386</v>
      </c>
      <c r="AI40" s="89"/>
      <c r="AJ40" s="672" t="e">
        <f>AG40-AF40</f>
        <v>#REF!</v>
      </c>
      <c r="AK40" s="90"/>
      <c r="AL40" s="91"/>
      <c r="AM40" s="92">
        <f t="shared" ref="AM40:AW49" si="61">IF(ISERROR(LOOKUP(AM$6,$S40:$AB40,$S$9:$AB$9)),0,(LOOKUP(AM$6,$S40:$AB40,$S$9:$AB$9)))</f>
        <v>0</v>
      </c>
      <c r="AN40" s="93">
        <f t="shared" si="61"/>
        <v>0</v>
      </c>
      <c r="AO40" s="93">
        <f t="shared" si="61"/>
        <v>0</v>
      </c>
      <c r="AP40" s="93">
        <f t="shared" si="61"/>
        <v>0</v>
      </c>
      <c r="AQ40" s="93">
        <f t="shared" si="61"/>
        <v>0</v>
      </c>
      <c r="AR40" s="93">
        <f t="shared" si="61"/>
        <v>0</v>
      </c>
      <c r="AS40" s="93">
        <f t="shared" si="61"/>
        <v>0</v>
      </c>
      <c r="AT40" s="93">
        <f t="shared" si="61"/>
        <v>0</v>
      </c>
      <c r="AU40" s="93">
        <f t="shared" si="61"/>
        <v>0</v>
      </c>
      <c r="AV40" s="93">
        <f t="shared" si="61"/>
        <v>0</v>
      </c>
      <c r="AW40" s="93">
        <f t="shared" ca="1" si="61"/>
        <v>0</v>
      </c>
      <c r="BB40" s="94" t="e">
        <v>#REF!</v>
      </c>
    </row>
    <row r="41" spans="1:54" s="20" customFormat="1" ht="18.600000000000001" customHeight="1">
      <c r="A41" s="643"/>
      <c r="B41" s="649"/>
      <c r="C41" s="652"/>
      <c r="D41" s="96" t="str">
        <f>D40</f>
        <v>MEC</v>
      </c>
      <c r="E41" s="97" t="str">
        <f t="shared" ref="E41:F41" si="62">E40</f>
        <v>RFQ-011</v>
      </c>
      <c r="F41" s="98" t="str">
        <f t="shared" si="62"/>
        <v>Y</v>
      </c>
      <c r="G41" s="655"/>
      <c r="H41" s="124" t="str">
        <f t="shared" ref="H41:I41" si="63">H40</f>
        <v>Closed Drain Sump Vessel</v>
      </c>
      <c r="I41" s="97" t="str">
        <f t="shared" si="63"/>
        <v>LA</v>
      </c>
      <c r="J41" s="98"/>
      <c r="K41" s="100"/>
      <c r="L41" s="100">
        <f>M42</f>
        <v>0.01</v>
      </c>
      <c r="M41" s="100"/>
      <c r="N41" s="97"/>
      <c r="O41" s="97"/>
      <c r="P41" s="97"/>
      <c r="Q41" s="101" t="s">
        <v>4841</v>
      </c>
      <c r="R41" s="102">
        <f>R40</f>
        <v>46260</v>
      </c>
      <c r="S41" s="102" t="e">
        <f>S40</f>
        <v>#REF!</v>
      </c>
      <c r="T41" s="103" t="e">
        <f>T40</f>
        <v>#REF!</v>
      </c>
      <c r="U41" s="103" t="e">
        <f t="shared" ref="U41:Z41" si="64">WORKDAY(IF(T42="",T41,T42),INDEX(U$2:U$5,MATCH($I40,$I$2:$I$5,0)),$BB$10:$BB$141)</f>
        <v>#REF!</v>
      </c>
      <c r="V41" s="103" t="e">
        <f t="shared" si="64"/>
        <v>#REF!</v>
      </c>
      <c r="W41" s="103" t="e">
        <f t="shared" si="64"/>
        <v>#REF!</v>
      </c>
      <c r="X41" s="103" t="e">
        <f t="shared" si="64"/>
        <v>#REF!</v>
      </c>
      <c r="Y41" s="103" t="e">
        <f t="shared" si="64"/>
        <v>#REF!</v>
      </c>
      <c r="Z41" s="103" t="e">
        <f t="shared" si="64"/>
        <v>#REF!</v>
      </c>
      <c r="AA41" s="103" t="e">
        <f>WORKDAY(IF(Z42="",X41,Z42),INDEX(AA$2:AA$5,MATCH($I40,$I$2:$I$5,0)),$BB$10:$BB$141)</f>
        <v>#REF!</v>
      </c>
      <c r="AB41" s="104" t="e">
        <f>WORKDAY(AE40+#REF!,0,'[35]Equipment List and MR List (3)'!$A$2:$A$80)</f>
        <v>#REF!</v>
      </c>
      <c r="AC41" s="658"/>
      <c r="AD41" s="105"/>
      <c r="AE41" s="660"/>
      <c r="AF41" s="667"/>
      <c r="AG41" s="670"/>
      <c r="AH41" s="106"/>
      <c r="AI41" s="107"/>
      <c r="AJ41" s="673"/>
      <c r="AK41" s="108"/>
      <c r="AL41" s="109"/>
      <c r="AM41" s="92">
        <f t="shared" si="61"/>
        <v>0</v>
      </c>
      <c r="AN41" s="93">
        <f t="shared" si="61"/>
        <v>0</v>
      </c>
      <c r="AO41" s="93">
        <f t="shared" si="61"/>
        <v>0</v>
      </c>
      <c r="AP41" s="93">
        <f t="shared" si="61"/>
        <v>0</v>
      </c>
      <c r="AQ41" s="93">
        <f t="shared" si="61"/>
        <v>0</v>
      </c>
      <c r="AR41" s="93">
        <f t="shared" si="61"/>
        <v>0</v>
      </c>
      <c r="AS41" s="93">
        <f t="shared" si="61"/>
        <v>0</v>
      </c>
      <c r="AT41" s="93">
        <f t="shared" si="61"/>
        <v>0</v>
      </c>
      <c r="AU41" s="93">
        <f t="shared" si="61"/>
        <v>0</v>
      </c>
      <c r="AV41" s="93">
        <f t="shared" si="61"/>
        <v>0</v>
      </c>
      <c r="AW41" s="93">
        <f t="shared" ca="1" si="61"/>
        <v>0</v>
      </c>
      <c r="BB41" s="94" t="e">
        <v>#REF!</v>
      </c>
    </row>
    <row r="42" spans="1:54" s="20" customFormat="1" ht="18.600000000000001" customHeight="1">
      <c r="A42" s="644"/>
      <c r="B42" s="650"/>
      <c r="C42" s="653"/>
      <c r="D42" s="111" t="str">
        <f>D40</f>
        <v>MEC</v>
      </c>
      <c r="E42" s="112" t="str">
        <f>E40</f>
        <v>RFQ-011</v>
      </c>
      <c r="F42" s="113" t="str">
        <f t="shared" ref="F42" si="65">F40</f>
        <v>Y</v>
      </c>
      <c r="G42" s="656"/>
      <c r="H42" s="124" t="str">
        <f t="shared" ref="H42:I42" si="66">H40</f>
        <v>Closed Drain Sump Vessel</v>
      </c>
      <c r="I42" s="112" t="str">
        <f t="shared" si="66"/>
        <v>LA</v>
      </c>
      <c r="J42" s="113"/>
      <c r="K42" s="114"/>
      <c r="L42" s="114"/>
      <c r="M42" s="114">
        <v>0.01</v>
      </c>
      <c r="N42" s="112"/>
      <c r="O42" s="112"/>
      <c r="P42" s="112"/>
      <c r="Q42" s="115" t="s">
        <v>4842</v>
      </c>
      <c r="R42" s="126"/>
      <c r="S42" s="126"/>
      <c r="T42" s="126"/>
      <c r="U42" s="126"/>
      <c r="V42" s="126"/>
      <c r="W42" s="126"/>
      <c r="X42" s="126"/>
      <c r="Y42" s="126"/>
      <c r="Z42" s="126"/>
      <c r="AA42" s="126"/>
      <c r="AB42" s="126"/>
      <c r="AC42" s="659"/>
      <c r="AD42" s="116"/>
      <c r="AE42" s="660"/>
      <c r="AF42" s="668"/>
      <c r="AG42" s="671"/>
      <c r="AH42" s="117"/>
      <c r="AI42" s="118"/>
      <c r="AJ42" s="674"/>
      <c r="AK42" s="119"/>
      <c r="AL42" s="120"/>
      <c r="AM42" s="121">
        <f t="shared" si="61"/>
        <v>0</v>
      </c>
      <c r="AN42" s="122">
        <f t="shared" si="61"/>
        <v>0</v>
      </c>
      <c r="AO42" s="122">
        <f t="shared" si="61"/>
        <v>0</v>
      </c>
      <c r="AP42" s="122">
        <f t="shared" si="61"/>
        <v>0</v>
      </c>
      <c r="AQ42" s="122">
        <f t="shared" si="61"/>
        <v>0</v>
      </c>
      <c r="AR42" s="122">
        <f t="shared" si="61"/>
        <v>0</v>
      </c>
      <c r="AS42" s="122">
        <f t="shared" si="61"/>
        <v>0</v>
      </c>
      <c r="AT42" s="122">
        <f t="shared" si="61"/>
        <v>0</v>
      </c>
      <c r="AU42" s="122">
        <f t="shared" si="61"/>
        <v>0</v>
      </c>
      <c r="AV42" s="122">
        <f t="shared" si="61"/>
        <v>0</v>
      </c>
      <c r="AW42" s="122">
        <f t="shared" ca="1" si="61"/>
        <v>0</v>
      </c>
      <c r="BB42" s="94" t="e">
        <v>#REF!</v>
      </c>
    </row>
    <row r="43" spans="1:54" s="20" customFormat="1" ht="18.600000000000001" customHeight="1">
      <c r="A43" s="642">
        <f t="shared" ref="A43" si="67">A40+1</f>
        <v>12</v>
      </c>
      <c r="B43" s="645" t="s">
        <v>4856</v>
      </c>
      <c r="C43" s="651" t="s">
        <v>4836</v>
      </c>
      <c r="D43" s="80" t="s">
        <v>4837</v>
      </c>
      <c r="E43" s="81" t="s">
        <v>4748</v>
      </c>
      <c r="F43" s="82" t="str">
        <f>IF(_xlfn.XLOOKUP(E43,'[35]Before Award'!D:D,'[35]Before Award'!AV:AV,"N/A")="N/A","N","Y")</f>
        <v>N</v>
      </c>
      <c r="G43" s="654" t="s">
        <v>4847</v>
      </c>
      <c r="H43" s="83" t="s">
        <v>4857</v>
      </c>
      <c r="I43" s="81" t="s">
        <v>6</v>
      </c>
      <c r="J43" s="82"/>
      <c r="K43" s="84">
        <f>M45</f>
        <v>0.01</v>
      </c>
      <c r="L43" s="84"/>
      <c r="M43" s="84"/>
      <c r="N43" s="81"/>
      <c r="O43" s="81"/>
      <c r="P43" s="81"/>
      <c r="Q43" s="85" t="s">
        <v>4839</v>
      </c>
      <c r="R43" s="86">
        <f>'Before Award'!U50+5</f>
        <v>46281</v>
      </c>
      <c r="S43" s="86" t="e">
        <f>WORKDAY(R43,INDEX(S$2:S$5,MATCH($I43,$I$2:$I$5,0)),$BB$10:$BB$141)</f>
        <v>#REF!</v>
      </c>
      <c r="T43" s="86" t="e">
        <f>WORKDAY(S43,INDEX(T$2:T$5,MATCH($I43,$I$2:$I$5,0)),$BB$10:$BB$141)</f>
        <v>#REF!</v>
      </c>
      <c r="U43" s="86" t="e">
        <f>T43+60</f>
        <v>#REF!</v>
      </c>
      <c r="V43" s="86"/>
      <c r="W43" s="86">
        <f>AB43-35</f>
        <v>46381</v>
      </c>
      <c r="X43" s="86"/>
      <c r="Y43" s="86"/>
      <c r="Z43" s="86"/>
      <c r="AA43" s="86"/>
      <c r="AB43" s="86">
        <f>'Before Award'!X50</f>
        <v>46416</v>
      </c>
      <c r="AC43" s="657" t="s">
        <v>4840</v>
      </c>
      <c r="AD43" s="87">
        <v>14</v>
      </c>
      <c r="AE43" s="660">
        <v>238</v>
      </c>
      <c r="AF43" s="666" t="e">
        <f>AB44</f>
        <v>#REF!</v>
      </c>
      <c r="AG43" s="669">
        <f>WORKDAY(AH43+1,-1,$BA$10:$BA$141)</f>
        <v>46416</v>
      </c>
      <c r="AH43" s="88">
        <v>46418</v>
      </c>
      <c r="AI43" s="89"/>
      <c r="AJ43" s="672" t="e">
        <f>AG43-AF43</f>
        <v>#REF!</v>
      </c>
      <c r="AK43" s="90"/>
      <c r="AL43" s="91"/>
      <c r="AM43" s="92">
        <f t="shared" si="61"/>
        <v>0</v>
      </c>
      <c r="AN43" s="93">
        <f t="shared" si="61"/>
        <v>0</v>
      </c>
      <c r="AO43" s="93">
        <f t="shared" si="61"/>
        <v>0</v>
      </c>
      <c r="AP43" s="93">
        <f t="shared" si="61"/>
        <v>0</v>
      </c>
      <c r="AQ43" s="93">
        <f t="shared" si="61"/>
        <v>0</v>
      </c>
      <c r="AR43" s="93">
        <f t="shared" si="61"/>
        <v>0</v>
      </c>
      <c r="AS43" s="93">
        <f t="shared" si="61"/>
        <v>0</v>
      </c>
      <c r="AT43" s="93">
        <f t="shared" si="61"/>
        <v>0</v>
      </c>
      <c r="AU43" s="93">
        <f t="shared" si="61"/>
        <v>0</v>
      </c>
      <c r="AV43" s="93">
        <f t="shared" si="61"/>
        <v>0</v>
      </c>
      <c r="AW43" s="93">
        <f t="shared" ca="1" si="61"/>
        <v>0</v>
      </c>
      <c r="BB43" s="94" t="e">
        <v>#REF!</v>
      </c>
    </row>
    <row r="44" spans="1:54" s="20" customFormat="1" ht="18.600000000000001" customHeight="1">
      <c r="A44" s="643"/>
      <c r="B44" s="646"/>
      <c r="C44" s="652"/>
      <c r="D44" s="96" t="str">
        <f>D43</f>
        <v>MEC</v>
      </c>
      <c r="E44" s="97" t="str">
        <f t="shared" ref="E44:F44" si="68">E43</f>
        <v>RFQ-012</v>
      </c>
      <c r="F44" s="98" t="str">
        <f t="shared" si="68"/>
        <v>N</v>
      </c>
      <c r="G44" s="655"/>
      <c r="H44" s="99" t="str">
        <f t="shared" ref="H44:I44" si="69">H43</f>
        <v>Diesel Storage Tote Tank</v>
      </c>
      <c r="I44" s="97" t="str">
        <f t="shared" si="69"/>
        <v>LA</v>
      </c>
      <c r="J44" s="98"/>
      <c r="K44" s="100"/>
      <c r="L44" s="100">
        <f>M45</f>
        <v>0.01</v>
      </c>
      <c r="M44" s="100"/>
      <c r="N44" s="97"/>
      <c r="O44" s="97"/>
      <c r="P44" s="97"/>
      <c r="Q44" s="101" t="s">
        <v>4841</v>
      </c>
      <c r="R44" s="102">
        <f>R43</f>
        <v>46281</v>
      </c>
      <c r="S44" s="102" t="e">
        <f>S43</f>
        <v>#REF!</v>
      </c>
      <c r="T44" s="103" t="e">
        <f>T43</f>
        <v>#REF!</v>
      </c>
      <c r="U44" s="103" t="e">
        <f t="shared" ref="U44:Z44" si="70">WORKDAY(IF(T45="",T44,T45),INDEX(U$2:U$5,MATCH($I43,$I$2:$I$5,0)),$BB$10:$BB$141)</f>
        <v>#REF!</v>
      </c>
      <c r="V44" s="103" t="e">
        <f t="shared" si="70"/>
        <v>#REF!</v>
      </c>
      <c r="W44" s="103" t="e">
        <f t="shared" si="70"/>
        <v>#REF!</v>
      </c>
      <c r="X44" s="103" t="e">
        <f t="shared" si="70"/>
        <v>#REF!</v>
      </c>
      <c r="Y44" s="103" t="e">
        <f t="shared" si="70"/>
        <v>#REF!</v>
      </c>
      <c r="Z44" s="103" t="e">
        <f t="shared" si="70"/>
        <v>#REF!</v>
      </c>
      <c r="AA44" s="103" t="e">
        <f>WORKDAY(IF(Z45="",X44,Z45),INDEX(AA$2:AA$5,MATCH($I43,$I$2:$I$5,0)),$BB$10:$BB$141)</f>
        <v>#REF!</v>
      </c>
      <c r="AB44" s="104" t="e">
        <f>WORKDAY(AE43+#REF!,0,'[35]Equipment List and MR List (3)'!$A$2:$A$80)</f>
        <v>#REF!</v>
      </c>
      <c r="AC44" s="658"/>
      <c r="AD44" s="105"/>
      <c r="AE44" s="660"/>
      <c r="AF44" s="667"/>
      <c r="AG44" s="670"/>
      <c r="AH44" s="106"/>
      <c r="AI44" s="107"/>
      <c r="AJ44" s="673"/>
      <c r="AK44" s="108"/>
      <c r="AL44" s="109"/>
      <c r="AM44" s="92">
        <f t="shared" si="61"/>
        <v>0</v>
      </c>
      <c r="AN44" s="93">
        <f t="shared" si="61"/>
        <v>0</v>
      </c>
      <c r="AO44" s="93">
        <f t="shared" si="61"/>
        <v>0</v>
      </c>
      <c r="AP44" s="93">
        <f t="shared" si="61"/>
        <v>0</v>
      </c>
      <c r="AQ44" s="93">
        <f t="shared" si="61"/>
        <v>0</v>
      </c>
      <c r="AR44" s="93">
        <f t="shared" si="61"/>
        <v>0</v>
      </c>
      <c r="AS44" s="93">
        <f t="shared" si="61"/>
        <v>0</v>
      </c>
      <c r="AT44" s="93">
        <f t="shared" si="61"/>
        <v>0</v>
      </c>
      <c r="AU44" s="93">
        <f t="shared" si="61"/>
        <v>0</v>
      </c>
      <c r="AV44" s="93">
        <f t="shared" si="61"/>
        <v>0</v>
      </c>
      <c r="AW44" s="93">
        <f t="shared" ca="1" si="61"/>
        <v>0</v>
      </c>
      <c r="BB44" s="94" t="e">
        <v>#REF!</v>
      </c>
    </row>
    <row r="45" spans="1:54" s="20" customFormat="1" ht="18.600000000000001" customHeight="1">
      <c r="A45" s="644"/>
      <c r="B45" s="647"/>
      <c r="C45" s="653"/>
      <c r="D45" s="111" t="str">
        <f>D43</f>
        <v>MEC</v>
      </c>
      <c r="E45" s="112" t="str">
        <f>E43</f>
        <v>RFQ-012</v>
      </c>
      <c r="F45" s="113" t="str">
        <f t="shared" ref="F45" si="71">F43</f>
        <v>N</v>
      </c>
      <c r="G45" s="656"/>
      <c r="H45" s="99" t="str">
        <f t="shared" ref="H45:I45" si="72">H43</f>
        <v>Diesel Storage Tote Tank</v>
      </c>
      <c r="I45" s="112" t="str">
        <f t="shared" si="72"/>
        <v>LA</v>
      </c>
      <c r="J45" s="113"/>
      <c r="K45" s="114"/>
      <c r="L45" s="114"/>
      <c r="M45" s="114">
        <v>0.01</v>
      </c>
      <c r="N45" s="112"/>
      <c r="O45" s="112"/>
      <c r="P45" s="112"/>
      <c r="Q45" s="115" t="s">
        <v>4842</v>
      </c>
      <c r="R45" s="115"/>
      <c r="S45" s="126"/>
      <c r="T45" s="126"/>
      <c r="U45" s="126"/>
      <c r="V45" s="126"/>
      <c r="W45" s="126"/>
      <c r="X45" s="126"/>
      <c r="Y45" s="126"/>
      <c r="Z45" s="126"/>
      <c r="AA45" s="126"/>
      <c r="AB45" s="126"/>
      <c r="AC45" s="659"/>
      <c r="AD45" s="116"/>
      <c r="AE45" s="660"/>
      <c r="AF45" s="668"/>
      <c r="AG45" s="671"/>
      <c r="AH45" s="117"/>
      <c r="AI45" s="118"/>
      <c r="AJ45" s="674"/>
      <c r="AK45" s="119"/>
      <c r="AL45" s="120"/>
      <c r="AM45" s="121">
        <f t="shared" si="61"/>
        <v>0</v>
      </c>
      <c r="AN45" s="122">
        <f t="shared" si="61"/>
        <v>0</v>
      </c>
      <c r="AO45" s="122">
        <f t="shared" si="61"/>
        <v>0</v>
      </c>
      <c r="AP45" s="122">
        <f t="shared" si="61"/>
        <v>0</v>
      </c>
      <c r="AQ45" s="122">
        <f t="shared" si="61"/>
        <v>0</v>
      </c>
      <c r="AR45" s="122">
        <f t="shared" si="61"/>
        <v>0</v>
      </c>
      <c r="AS45" s="122">
        <f t="shared" si="61"/>
        <v>0</v>
      </c>
      <c r="AT45" s="122">
        <f t="shared" si="61"/>
        <v>0</v>
      </c>
      <c r="AU45" s="122">
        <f t="shared" si="61"/>
        <v>0</v>
      </c>
      <c r="AV45" s="122">
        <f t="shared" si="61"/>
        <v>0</v>
      </c>
      <c r="AW45" s="122">
        <f t="shared" ca="1" si="61"/>
        <v>0</v>
      </c>
      <c r="BB45" s="94" t="e">
        <v>#REF!</v>
      </c>
    </row>
    <row r="46" spans="1:54" s="20" customFormat="1" ht="18.600000000000001" customHeight="1">
      <c r="A46" s="642">
        <f t="shared" ref="A46" si="73">A43+1</f>
        <v>13</v>
      </c>
      <c r="B46" s="645" t="s">
        <v>4856</v>
      </c>
      <c r="C46" s="651" t="s">
        <v>4836</v>
      </c>
      <c r="D46" s="80" t="s">
        <v>4837</v>
      </c>
      <c r="E46" s="81" t="s">
        <v>4749</v>
      </c>
      <c r="F46" s="82" t="str">
        <f>IF(_xlfn.XLOOKUP(E46,'[35]Before Award'!D:D,'[35]Before Award'!AV:AV,"N/A")="N/A","N","Y")</f>
        <v>N</v>
      </c>
      <c r="G46" s="654" t="s">
        <v>4847</v>
      </c>
      <c r="H46" s="83" t="s">
        <v>4858</v>
      </c>
      <c r="I46" s="81" t="s">
        <v>6</v>
      </c>
      <c r="J46" s="82"/>
      <c r="K46" s="84">
        <f>M48</f>
        <v>1E-3</v>
      </c>
      <c r="L46" s="84"/>
      <c r="M46" s="84"/>
      <c r="N46" s="81"/>
      <c r="O46" s="81"/>
      <c r="P46" s="81"/>
      <c r="Q46" s="85" t="s">
        <v>4839</v>
      </c>
      <c r="R46" s="86">
        <f>'Before Award'!U53+5</f>
        <v>46319</v>
      </c>
      <c r="S46" s="86" t="e">
        <f>WORKDAY(R46,INDEX(S$2:S$5,MATCH($I46,$I$2:$I$5,0)),$BB$10:$BB$141)</f>
        <v>#REF!</v>
      </c>
      <c r="T46" s="86" t="e">
        <f>WORKDAY(S46,INDEX(T$2:T$5,MATCH($I46,$I$2:$I$5,0)),$BB$10:$BB$141)</f>
        <v>#REF!</v>
      </c>
      <c r="U46" s="86" t="e">
        <f>T46+60</f>
        <v>#REF!</v>
      </c>
      <c r="V46" s="86"/>
      <c r="W46" s="86">
        <f>AB46-35</f>
        <v>46419</v>
      </c>
      <c r="X46" s="86"/>
      <c r="Y46" s="86"/>
      <c r="Z46" s="86"/>
      <c r="AA46" s="86"/>
      <c r="AB46" s="86">
        <f>'Before Award'!X53</f>
        <v>46454</v>
      </c>
      <c r="AC46" s="657" t="s">
        <v>4840</v>
      </c>
      <c r="AD46" s="87">
        <v>14</v>
      </c>
      <c r="AE46" s="660">
        <v>238</v>
      </c>
      <c r="AF46" s="666" t="e">
        <f>AB47</f>
        <v>#REF!</v>
      </c>
      <c r="AG46" s="669">
        <f>WORKDAY(AH46+1,-1,$BA$10:$BA$141)</f>
        <v>46416</v>
      </c>
      <c r="AH46" s="88">
        <v>46418</v>
      </c>
      <c r="AI46" s="89"/>
      <c r="AJ46" s="672" t="e">
        <f>AG46-AF46</f>
        <v>#REF!</v>
      </c>
      <c r="AK46" s="90"/>
      <c r="AL46" s="91"/>
      <c r="AM46" s="92">
        <f t="shared" si="61"/>
        <v>0</v>
      </c>
      <c r="AN46" s="93">
        <f t="shared" si="61"/>
        <v>0</v>
      </c>
      <c r="AO46" s="93">
        <f t="shared" si="61"/>
        <v>0</v>
      </c>
      <c r="AP46" s="93">
        <f t="shared" si="61"/>
        <v>0</v>
      </c>
      <c r="AQ46" s="93">
        <f t="shared" si="61"/>
        <v>0</v>
      </c>
      <c r="AR46" s="93">
        <f t="shared" si="61"/>
        <v>0</v>
      </c>
      <c r="AS46" s="93">
        <f t="shared" si="61"/>
        <v>0</v>
      </c>
      <c r="AT46" s="93">
        <f t="shared" si="61"/>
        <v>0</v>
      </c>
      <c r="AU46" s="93">
        <f t="shared" si="61"/>
        <v>0</v>
      </c>
      <c r="AV46" s="93">
        <f t="shared" si="61"/>
        <v>0</v>
      </c>
      <c r="AW46" s="93">
        <f t="shared" ca="1" si="61"/>
        <v>0</v>
      </c>
      <c r="BB46" s="94" t="e">
        <v>#REF!</v>
      </c>
    </row>
    <row r="47" spans="1:54" s="20" customFormat="1" ht="18.600000000000001" customHeight="1">
      <c r="A47" s="643"/>
      <c r="B47" s="646"/>
      <c r="C47" s="652"/>
      <c r="D47" s="96" t="str">
        <f>D46</f>
        <v>MEC</v>
      </c>
      <c r="E47" s="97" t="str">
        <f t="shared" ref="E47:F47" si="74">E46</f>
        <v>RFQ-013</v>
      </c>
      <c r="F47" s="98" t="str">
        <f t="shared" si="74"/>
        <v>N</v>
      </c>
      <c r="G47" s="655"/>
      <c r="H47" s="99" t="str">
        <f t="shared" ref="H47:I47" si="75">H46</f>
        <v>Corrosion Inhibitor Storage Tank</v>
      </c>
      <c r="I47" s="97" t="str">
        <f t="shared" si="75"/>
        <v>LA</v>
      </c>
      <c r="J47" s="98"/>
      <c r="K47" s="100"/>
      <c r="L47" s="100">
        <f>M48</f>
        <v>1E-3</v>
      </c>
      <c r="M47" s="100"/>
      <c r="N47" s="97"/>
      <c r="O47" s="97"/>
      <c r="P47" s="97"/>
      <c r="Q47" s="101" t="s">
        <v>4841</v>
      </c>
      <c r="R47" s="102">
        <f>R46</f>
        <v>46319</v>
      </c>
      <c r="S47" s="102" t="e">
        <f>S46</f>
        <v>#REF!</v>
      </c>
      <c r="T47" s="103" t="e">
        <f>T46</f>
        <v>#REF!</v>
      </c>
      <c r="U47" s="103" t="e">
        <f t="shared" ref="U47:Z47" si="76">WORKDAY(IF(T48="",T47,T48),INDEX(U$2:U$5,MATCH($I46,$I$2:$I$5,0)),$BB$10:$BB$141)</f>
        <v>#REF!</v>
      </c>
      <c r="V47" s="103" t="e">
        <f t="shared" si="76"/>
        <v>#REF!</v>
      </c>
      <c r="W47" s="103" t="e">
        <f t="shared" si="76"/>
        <v>#REF!</v>
      </c>
      <c r="X47" s="103" t="e">
        <f t="shared" si="76"/>
        <v>#REF!</v>
      </c>
      <c r="Y47" s="103" t="e">
        <f t="shared" si="76"/>
        <v>#REF!</v>
      </c>
      <c r="Z47" s="103" t="e">
        <f t="shared" si="76"/>
        <v>#REF!</v>
      </c>
      <c r="AA47" s="103" t="e">
        <f>WORKDAY(IF(Z48="",X47,Z48),INDEX(AA$2:AA$5,MATCH($I46,$I$2:$I$5,0)),$BB$10:$BB$141)</f>
        <v>#REF!</v>
      </c>
      <c r="AB47" s="104" t="e">
        <f>WORKDAY(AE46+#REF!,0,'[35]Equipment List and MR List (3)'!$A$2:$A$80)</f>
        <v>#REF!</v>
      </c>
      <c r="AC47" s="658"/>
      <c r="AD47" s="105"/>
      <c r="AE47" s="660"/>
      <c r="AF47" s="667"/>
      <c r="AG47" s="670"/>
      <c r="AH47" s="106"/>
      <c r="AI47" s="107"/>
      <c r="AJ47" s="673"/>
      <c r="AK47" s="108"/>
      <c r="AL47" s="109"/>
      <c r="AM47" s="92">
        <f t="shared" si="61"/>
        <v>0</v>
      </c>
      <c r="AN47" s="93">
        <f t="shared" si="61"/>
        <v>0</v>
      </c>
      <c r="AO47" s="93">
        <f t="shared" si="61"/>
        <v>0</v>
      </c>
      <c r="AP47" s="93">
        <f t="shared" si="61"/>
        <v>0</v>
      </c>
      <c r="AQ47" s="93">
        <f t="shared" si="61"/>
        <v>0</v>
      </c>
      <c r="AR47" s="93">
        <f t="shared" si="61"/>
        <v>0</v>
      </c>
      <c r="AS47" s="93">
        <f t="shared" si="61"/>
        <v>0</v>
      </c>
      <c r="AT47" s="93">
        <f t="shared" si="61"/>
        <v>0</v>
      </c>
      <c r="AU47" s="93">
        <f t="shared" si="61"/>
        <v>0</v>
      </c>
      <c r="AV47" s="93">
        <f t="shared" si="61"/>
        <v>0</v>
      </c>
      <c r="AW47" s="93">
        <f t="shared" ca="1" si="61"/>
        <v>0</v>
      </c>
      <c r="BB47" s="94" t="e">
        <v>#REF!</v>
      </c>
    </row>
    <row r="48" spans="1:54" s="20" customFormat="1" ht="18.600000000000001" customHeight="1">
      <c r="A48" s="644"/>
      <c r="B48" s="647"/>
      <c r="C48" s="653"/>
      <c r="D48" s="111" t="str">
        <f>D46</f>
        <v>MEC</v>
      </c>
      <c r="E48" s="112" t="str">
        <f>E46</f>
        <v>RFQ-013</v>
      </c>
      <c r="F48" s="113" t="str">
        <f t="shared" ref="F48" si="77">F46</f>
        <v>N</v>
      </c>
      <c r="G48" s="656"/>
      <c r="H48" s="99" t="str">
        <f t="shared" ref="H48:I48" si="78">H46</f>
        <v>Corrosion Inhibitor Storage Tank</v>
      </c>
      <c r="I48" s="112" t="str">
        <f t="shared" si="78"/>
        <v>LA</v>
      </c>
      <c r="J48" s="113"/>
      <c r="K48" s="114"/>
      <c r="L48" s="114"/>
      <c r="M48" s="114">
        <v>1E-3</v>
      </c>
      <c r="N48" s="112"/>
      <c r="O48" s="112"/>
      <c r="P48" s="112"/>
      <c r="Q48" s="115" t="s">
        <v>4842</v>
      </c>
      <c r="R48" s="115"/>
      <c r="S48" s="126"/>
      <c r="T48" s="126"/>
      <c r="U48" s="126"/>
      <c r="V48" s="126"/>
      <c r="W48" s="126"/>
      <c r="X48" s="126"/>
      <c r="Y48" s="126"/>
      <c r="Z48" s="126"/>
      <c r="AA48" s="126"/>
      <c r="AB48" s="126"/>
      <c r="AC48" s="659"/>
      <c r="AD48" s="116"/>
      <c r="AE48" s="660"/>
      <c r="AF48" s="668"/>
      <c r="AG48" s="671"/>
      <c r="AH48" s="117"/>
      <c r="AI48" s="118"/>
      <c r="AJ48" s="674"/>
      <c r="AK48" s="119"/>
      <c r="AL48" s="120"/>
      <c r="AM48" s="121">
        <f t="shared" si="61"/>
        <v>0</v>
      </c>
      <c r="AN48" s="122">
        <f t="shared" si="61"/>
        <v>0</v>
      </c>
      <c r="AO48" s="122">
        <f t="shared" si="61"/>
        <v>0</v>
      </c>
      <c r="AP48" s="122">
        <f t="shared" si="61"/>
        <v>0</v>
      </c>
      <c r="AQ48" s="122">
        <f t="shared" si="61"/>
        <v>0</v>
      </c>
      <c r="AR48" s="122">
        <f t="shared" si="61"/>
        <v>0</v>
      </c>
      <c r="AS48" s="122">
        <f t="shared" si="61"/>
        <v>0</v>
      </c>
      <c r="AT48" s="122">
        <f t="shared" si="61"/>
        <v>0</v>
      </c>
      <c r="AU48" s="122">
        <f t="shared" si="61"/>
        <v>0</v>
      </c>
      <c r="AV48" s="122">
        <f t="shared" si="61"/>
        <v>0</v>
      </c>
      <c r="AW48" s="122">
        <f t="shared" ca="1" si="61"/>
        <v>0</v>
      </c>
      <c r="BB48" s="94" t="e">
        <v>#REF!</v>
      </c>
    </row>
    <row r="49" spans="1:54" s="20" customFormat="1" ht="18" customHeight="1">
      <c r="A49" s="642">
        <f t="shared" ref="A49" si="79">A46+1</f>
        <v>14</v>
      </c>
      <c r="B49" s="648" t="s">
        <v>4859</v>
      </c>
      <c r="C49" s="651" t="s">
        <v>4836</v>
      </c>
      <c r="D49" s="80" t="s">
        <v>4837</v>
      </c>
      <c r="E49" s="81" t="s">
        <v>4750</v>
      </c>
      <c r="F49" s="82" t="str">
        <f>IF(_xlfn.XLOOKUP(E49,'[35]Before Award'!D:D,'[35]Before Award'!AV:AV,"N/A")="N/A","N","Y")</f>
        <v>N</v>
      </c>
      <c r="G49" s="654" t="s">
        <v>4860</v>
      </c>
      <c r="H49" s="123" t="s">
        <v>116</v>
      </c>
      <c r="I49" s="81" t="s">
        <v>6</v>
      </c>
      <c r="J49" s="82"/>
      <c r="K49" s="84">
        <f>M51</f>
        <v>0.01</v>
      </c>
      <c r="L49" s="84"/>
      <c r="M49" s="84"/>
      <c r="N49" s="81"/>
      <c r="O49" s="81"/>
      <c r="P49" s="81"/>
      <c r="Q49" s="85" t="s">
        <v>4839</v>
      </c>
      <c r="R49" s="86">
        <f>'Before Award'!U56+5</f>
        <v>46215</v>
      </c>
      <c r="S49" s="86" t="e">
        <f>WORKDAY(R49,INDEX(S$2:S$5,MATCH($I49,$I$2:$I$5,0)),$BB$10:$BB$141)</f>
        <v>#REF!</v>
      </c>
      <c r="T49" s="86" t="e">
        <f>WORKDAY(S49,INDEX(T$2:T$5,MATCH($I49,$I$2:$I$5,0)),$BB$10:$BB$141)</f>
        <v>#REF!</v>
      </c>
      <c r="U49" s="86" t="e">
        <f>T49+30</f>
        <v>#REF!</v>
      </c>
      <c r="V49" s="86"/>
      <c r="W49" s="86">
        <f>AB49-35</f>
        <v>46399</v>
      </c>
      <c r="X49" s="86"/>
      <c r="Y49" s="86"/>
      <c r="Z49" s="86"/>
      <c r="AA49" s="86"/>
      <c r="AB49" s="86">
        <f>'Before Award'!X56</f>
        <v>46434</v>
      </c>
      <c r="AC49" s="657" t="s">
        <v>4840</v>
      </c>
      <c r="AD49" s="87">
        <v>14</v>
      </c>
      <c r="AE49" s="660">
        <f>32*7</f>
        <v>224</v>
      </c>
      <c r="AF49" s="666" t="e">
        <f>AB50</f>
        <v>#REF!</v>
      </c>
      <c r="AG49" s="669">
        <f>WORKDAY(AH49+1,-1,$BA$10:$BA$141)</f>
        <v>46386</v>
      </c>
      <c r="AH49" s="88">
        <v>46386</v>
      </c>
      <c r="AI49" s="89"/>
      <c r="AJ49" s="672" t="e">
        <f>AG49-AF49</f>
        <v>#REF!</v>
      </c>
      <c r="AK49" s="90"/>
      <c r="AL49" s="91"/>
      <c r="AM49" s="92">
        <f t="shared" si="61"/>
        <v>0</v>
      </c>
      <c r="AN49" s="93">
        <f t="shared" si="61"/>
        <v>0</v>
      </c>
      <c r="AO49" s="93">
        <f t="shared" si="61"/>
        <v>0</v>
      </c>
      <c r="AP49" s="93">
        <f t="shared" si="61"/>
        <v>0</v>
      </c>
      <c r="AQ49" s="93">
        <f t="shared" si="61"/>
        <v>0</v>
      </c>
      <c r="AR49" s="93">
        <f t="shared" si="61"/>
        <v>0</v>
      </c>
      <c r="AS49" s="93">
        <f t="shared" si="61"/>
        <v>0</v>
      </c>
      <c r="AT49" s="93">
        <f t="shared" si="61"/>
        <v>0</v>
      </c>
      <c r="AU49" s="93">
        <f t="shared" si="61"/>
        <v>0</v>
      </c>
      <c r="AV49" s="93">
        <f t="shared" si="61"/>
        <v>0</v>
      </c>
      <c r="AW49" s="93">
        <f t="shared" ca="1" si="61"/>
        <v>0</v>
      </c>
      <c r="BB49" s="94" t="e">
        <v>#REF!</v>
      </c>
    </row>
    <row r="50" spans="1:54" s="20" customFormat="1" ht="18" customHeight="1">
      <c r="A50" s="643"/>
      <c r="B50" s="649"/>
      <c r="C50" s="652"/>
      <c r="D50" s="96" t="str">
        <f>D49</f>
        <v>MEC</v>
      </c>
      <c r="E50" s="97" t="str">
        <f t="shared" ref="E50:I50" si="80">E49</f>
        <v>RFQ-014</v>
      </c>
      <c r="F50" s="98" t="str">
        <f t="shared" si="80"/>
        <v>N</v>
      </c>
      <c r="G50" s="655"/>
      <c r="H50" s="124" t="str">
        <f t="shared" ref="H50" si="81">H49</f>
        <v>Closed Drain Sump Pump</v>
      </c>
      <c r="I50" s="97" t="str">
        <f t="shared" si="80"/>
        <v>LA</v>
      </c>
      <c r="J50" s="98"/>
      <c r="K50" s="100"/>
      <c r="L50" s="100">
        <f>M51</f>
        <v>0.01</v>
      </c>
      <c r="M50" s="100"/>
      <c r="N50" s="97"/>
      <c r="O50" s="97"/>
      <c r="P50" s="97"/>
      <c r="Q50" s="101" t="s">
        <v>4841</v>
      </c>
      <c r="R50" s="102">
        <f>R49</f>
        <v>46215</v>
      </c>
      <c r="S50" s="102" t="e">
        <f>S49</f>
        <v>#REF!</v>
      </c>
      <c r="T50" s="103" t="e">
        <f>T49</f>
        <v>#REF!</v>
      </c>
      <c r="U50" s="103" t="e">
        <f t="shared" ref="U50:Z50" si="82">WORKDAY(IF(T51="",T50,T51),INDEX(U$2:U$5,MATCH($I49,$I$2:$I$5,0)),$BB$10:$BB$141)</f>
        <v>#REF!</v>
      </c>
      <c r="V50" s="103" t="e">
        <f t="shared" si="82"/>
        <v>#REF!</v>
      </c>
      <c r="W50" s="103" t="e">
        <f t="shared" si="82"/>
        <v>#REF!</v>
      </c>
      <c r="X50" s="103" t="e">
        <f t="shared" si="82"/>
        <v>#REF!</v>
      </c>
      <c r="Y50" s="103" t="e">
        <f t="shared" si="82"/>
        <v>#REF!</v>
      </c>
      <c r="Z50" s="103" t="e">
        <f t="shared" si="82"/>
        <v>#REF!</v>
      </c>
      <c r="AA50" s="103" t="e">
        <f>WORKDAY(IF(Z51="",X50,Z51),INDEX(AA$2:AA$5,MATCH($I49,$I$2:$I$5,0)),$BB$10:$BB$141)</f>
        <v>#REF!</v>
      </c>
      <c r="AB50" s="104" t="e">
        <f>WORKDAY(AE49+#REF!,0,'[35]Equipment List and MR List (3)'!$A$2:$A$80)</f>
        <v>#REF!</v>
      </c>
      <c r="AC50" s="658"/>
      <c r="AD50" s="105"/>
      <c r="AE50" s="660"/>
      <c r="AF50" s="667"/>
      <c r="AG50" s="670"/>
      <c r="AH50" s="106"/>
      <c r="AI50" s="107"/>
      <c r="AJ50" s="673"/>
      <c r="AK50" s="108"/>
      <c r="AL50" s="109"/>
      <c r="AM50" s="92">
        <f t="shared" ref="AM50:AW59" si="83">IF(ISERROR(LOOKUP(AM$6,$S50:$AB50,$S$9:$AB$9)),0,(LOOKUP(AM$6,$S50:$AB50,$S$9:$AB$9)))</f>
        <v>0</v>
      </c>
      <c r="AN50" s="93">
        <f t="shared" si="83"/>
        <v>0</v>
      </c>
      <c r="AO50" s="93">
        <f t="shared" si="83"/>
        <v>0</v>
      </c>
      <c r="AP50" s="93">
        <f t="shared" si="83"/>
        <v>0</v>
      </c>
      <c r="AQ50" s="93">
        <f t="shared" si="83"/>
        <v>0</v>
      </c>
      <c r="AR50" s="93">
        <f t="shared" si="83"/>
        <v>0</v>
      </c>
      <c r="AS50" s="93">
        <f t="shared" si="83"/>
        <v>0</v>
      </c>
      <c r="AT50" s="93">
        <f t="shared" si="83"/>
        <v>0</v>
      </c>
      <c r="AU50" s="93">
        <f t="shared" si="83"/>
        <v>0</v>
      </c>
      <c r="AV50" s="93">
        <f t="shared" si="83"/>
        <v>0</v>
      </c>
      <c r="AW50" s="93">
        <f t="shared" ca="1" si="83"/>
        <v>0</v>
      </c>
      <c r="BB50" s="94" t="e">
        <v>#REF!</v>
      </c>
    </row>
    <row r="51" spans="1:54" s="20" customFormat="1" ht="18" customHeight="1">
      <c r="A51" s="644"/>
      <c r="B51" s="650"/>
      <c r="C51" s="653"/>
      <c r="D51" s="111" t="str">
        <f>D49</f>
        <v>MEC</v>
      </c>
      <c r="E51" s="112" t="str">
        <f>E49</f>
        <v>RFQ-014</v>
      </c>
      <c r="F51" s="113" t="str">
        <f t="shared" ref="F51" si="84">F49</f>
        <v>N</v>
      </c>
      <c r="G51" s="656"/>
      <c r="H51" s="124" t="str">
        <f t="shared" ref="H51:I51" si="85">H49</f>
        <v>Closed Drain Sump Pump</v>
      </c>
      <c r="I51" s="112" t="str">
        <f t="shared" si="85"/>
        <v>LA</v>
      </c>
      <c r="J51" s="113"/>
      <c r="K51" s="114"/>
      <c r="L51" s="114"/>
      <c r="M51" s="114">
        <v>0.01</v>
      </c>
      <c r="N51" s="112"/>
      <c r="O51" s="112"/>
      <c r="P51" s="112"/>
      <c r="Q51" s="115" t="s">
        <v>4842</v>
      </c>
      <c r="R51" s="126"/>
      <c r="S51" s="126"/>
      <c r="T51" s="126"/>
      <c r="U51" s="126"/>
      <c r="V51" s="126"/>
      <c r="W51" s="126"/>
      <c r="X51" s="126"/>
      <c r="Y51" s="126"/>
      <c r="Z51" s="126"/>
      <c r="AA51" s="126"/>
      <c r="AB51" s="126"/>
      <c r="AC51" s="659"/>
      <c r="AD51" s="116"/>
      <c r="AE51" s="660"/>
      <c r="AF51" s="668"/>
      <c r="AG51" s="671"/>
      <c r="AH51" s="117"/>
      <c r="AI51" s="118"/>
      <c r="AJ51" s="674"/>
      <c r="AK51" s="119"/>
      <c r="AL51" s="120"/>
      <c r="AM51" s="121">
        <f t="shared" si="83"/>
        <v>0</v>
      </c>
      <c r="AN51" s="122">
        <f t="shared" si="83"/>
        <v>0</v>
      </c>
      <c r="AO51" s="122">
        <f t="shared" si="83"/>
        <v>0</v>
      </c>
      <c r="AP51" s="122">
        <f t="shared" si="83"/>
        <v>0</v>
      </c>
      <c r="AQ51" s="122">
        <f t="shared" si="83"/>
        <v>0</v>
      </c>
      <c r="AR51" s="122">
        <f t="shared" si="83"/>
        <v>0</v>
      </c>
      <c r="AS51" s="122">
        <f t="shared" si="83"/>
        <v>0</v>
      </c>
      <c r="AT51" s="122">
        <f t="shared" si="83"/>
        <v>0</v>
      </c>
      <c r="AU51" s="122">
        <f t="shared" si="83"/>
        <v>0</v>
      </c>
      <c r="AV51" s="122">
        <f t="shared" si="83"/>
        <v>0</v>
      </c>
      <c r="AW51" s="122">
        <f t="shared" ca="1" si="83"/>
        <v>0</v>
      </c>
      <c r="BB51" s="94" t="e">
        <v>#REF!</v>
      </c>
    </row>
    <row r="52" spans="1:54" s="20" customFormat="1" ht="18" customHeight="1">
      <c r="A52" s="642">
        <f t="shared" ref="A52" si="86">A49+1</f>
        <v>15</v>
      </c>
      <c r="B52" s="79"/>
      <c r="C52" s="651" t="s">
        <v>4836</v>
      </c>
      <c r="D52" s="80" t="s">
        <v>4837</v>
      </c>
      <c r="E52" s="81" t="s">
        <v>4751</v>
      </c>
      <c r="F52" s="82" t="s">
        <v>71</v>
      </c>
      <c r="G52" s="654" t="s">
        <v>4861</v>
      </c>
      <c r="H52" s="82" t="s">
        <v>119</v>
      </c>
      <c r="I52" s="81" t="s">
        <v>6</v>
      </c>
      <c r="J52" s="82"/>
      <c r="K52" s="84">
        <f>M54</f>
        <v>0.01</v>
      </c>
      <c r="L52" s="84"/>
      <c r="M52" s="84"/>
      <c r="N52" s="81"/>
      <c r="O52" s="81"/>
      <c r="P52" s="81"/>
      <c r="Q52" s="85" t="s">
        <v>4839</v>
      </c>
      <c r="R52" s="86">
        <f>'Before Award'!U59+5</f>
        <v>46302</v>
      </c>
      <c r="S52" s="86" t="e">
        <f>WORKDAY(R52,INDEX(S$2:S$5,MATCH($I52,$I$2:$I$5,0)),$BB$10:$BB$141)</f>
        <v>#REF!</v>
      </c>
      <c r="T52" s="86" t="e">
        <f>WORKDAY(S52,INDEX(T$2:T$5,MATCH($I52,$I$2:$I$5,0)),$BB$10:$BB$141)</f>
        <v>#REF!</v>
      </c>
      <c r="U52" s="86" t="e">
        <f>T52+30</f>
        <v>#REF!</v>
      </c>
      <c r="V52" s="86"/>
      <c r="W52" s="86">
        <f>AB52-35</f>
        <v>46486</v>
      </c>
      <c r="X52" s="86"/>
      <c r="Y52" s="86"/>
      <c r="Z52" s="86"/>
      <c r="AA52" s="86"/>
      <c r="AB52" s="86">
        <f>'Before Award'!X59</f>
        <v>46521</v>
      </c>
      <c r="AC52" s="657" t="s">
        <v>4840</v>
      </c>
      <c r="AD52" s="87">
        <v>14</v>
      </c>
      <c r="AE52" s="661">
        <f>32*7</f>
        <v>224</v>
      </c>
      <c r="AF52" s="666" t="e">
        <f>AB53</f>
        <v>#REF!</v>
      </c>
      <c r="AG52" s="669">
        <f>WORKDAY(AH52+1,-1,$BA$10:$BA$141)</f>
        <v>46521</v>
      </c>
      <c r="AH52" s="88">
        <v>46522</v>
      </c>
      <c r="AI52" s="89"/>
      <c r="AJ52" s="672" t="e">
        <f>AG52-AF52</f>
        <v>#REF!</v>
      </c>
      <c r="AK52" s="90"/>
      <c r="AL52" s="91"/>
      <c r="AM52" s="92">
        <f t="shared" si="83"/>
        <v>0</v>
      </c>
      <c r="AN52" s="93">
        <f t="shared" si="83"/>
        <v>0</v>
      </c>
      <c r="AO52" s="93">
        <f t="shared" si="83"/>
        <v>0</v>
      </c>
      <c r="AP52" s="93">
        <f t="shared" si="83"/>
        <v>0</v>
      </c>
      <c r="AQ52" s="93">
        <f t="shared" si="83"/>
        <v>0</v>
      </c>
      <c r="AR52" s="93">
        <f t="shared" si="83"/>
        <v>0</v>
      </c>
      <c r="AS52" s="93">
        <f t="shared" si="83"/>
        <v>0</v>
      </c>
      <c r="AT52" s="93">
        <f t="shared" si="83"/>
        <v>0</v>
      </c>
      <c r="AU52" s="93">
        <f t="shared" si="83"/>
        <v>0</v>
      </c>
      <c r="AV52" s="93">
        <f t="shared" si="83"/>
        <v>0</v>
      </c>
      <c r="AW52" s="93">
        <f t="shared" ca="1" si="83"/>
        <v>0</v>
      </c>
      <c r="BB52" s="94" t="e">
        <v>#REF!</v>
      </c>
    </row>
    <row r="53" spans="1:54" s="20" customFormat="1" ht="18" customHeight="1">
      <c r="A53" s="643"/>
      <c r="B53" s="95"/>
      <c r="C53" s="652"/>
      <c r="D53" s="96" t="str">
        <f>D52</f>
        <v>MEC</v>
      </c>
      <c r="E53" s="97" t="str">
        <f t="shared" ref="E53:F53" si="87">E52</f>
        <v>RFQ-015</v>
      </c>
      <c r="F53" s="98" t="str">
        <f t="shared" si="87"/>
        <v>N</v>
      </c>
      <c r="G53" s="655"/>
      <c r="H53" s="98" t="str">
        <f t="shared" ref="H53:I53" si="88">H52</f>
        <v>Diesel Transfer Pump</v>
      </c>
      <c r="I53" s="97" t="str">
        <f t="shared" si="88"/>
        <v>LA</v>
      </c>
      <c r="J53" s="98"/>
      <c r="K53" s="100"/>
      <c r="L53" s="100">
        <f>M54</f>
        <v>0.01</v>
      </c>
      <c r="M53" s="100"/>
      <c r="N53" s="97"/>
      <c r="O53" s="97"/>
      <c r="P53" s="97"/>
      <c r="Q53" s="101" t="s">
        <v>4841</v>
      </c>
      <c r="R53" s="102">
        <f>R52</f>
        <v>46302</v>
      </c>
      <c r="S53" s="102" t="e">
        <f>S52</f>
        <v>#REF!</v>
      </c>
      <c r="T53" s="103" t="e">
        <f>T52</f>
        <v>#REF!</v>
      </c>
      <c r="U53" s="103" t="e">
        <f t="shared" ref="U53:Z53" si="89">WORKDAY(IF(T54="",T53,T54),INDEX(U$2:U$5,MATCH($I52,$I$2:$I$5,0)),$BB$10:$BB$141)</f>
        <v>#REF!</v>
      </c>
      <c r="V53" s="103" t="e">
        <f t="shared" si="89"/>
        <v>#REF!</v>
      </c>
      <c r="W53" s="103" t="e">
        <f t="shared" si="89"/>
        <v>#REF!</v>
      </c>
      <c r="X53" s="103" t="e">
        <f t="shared" si="89"/>
        <v>#REF!</v>
      </c>
      <c r="Y53" s="103" t="e">
        <f t="shared" si="89"/>
        <v>#REF!</v>
      </c>
      <c r="Z53" s="103" t="e">
        <f t="shared" si="89"/>
        <v>#REF!</v>
      </c>
      <c r="AA53" s="103" t="e">
        <f>WORKDAY(IF(Z54="",X53,Z54),INDEX(AA$2:AA$5,MATCH($I52,$I$2:$I$5,0)),$BB$10:$BB$141)</f>
        <v>#REF!</v>
      </c>
      <c r="AB53" s="104" t="e">
        <f>WORKDAY(AE52+#REF!,0,'[35]Equipment List and MR List (3)'!$A$2:$A$80)</f>
        <v>#REF!</v>
      </c>
      <c r="AC53" s="658"/>
      <c r="AD53" s="105"/>
      <c r="AE53" s="661"/>
      <c r="AF53" s="667"/>
      <c r="AG53" s="670"/>
      <c r="AH53" s="106"/>
      <c r="AI53" s="107"/>
      <c r="AJ53" s="673"/>
      <c r="AK53" s="108"/>
      <c r="AL53" s="109"/>
      <c r="AM53" s="92">
        <f t="shared" si="83"/>
        <v>0</v>
      </c>
      <c r="AN53" s="93">
        <f t="shared" si="83"/>
        <v>0</v>
      </c>
      <c r="AO53" s="93">
        <f t="shared" si="83"/>
        <v>0</v>
      </c>
      <c r="AP53" s="93">
        <f t="shared" si="83"/>
        <v>0</v>
      </c>
      <c r="AQ53" s="93">
        <f t="shared" si="83"/>
        <v>0</v>
      </c>
      <c r="AR53" s="93">
        <f t="shared" si="83"/>
        <v>0</v>
      </c>
      <c r="AS53" s="93">
        <f t="shared" si="83"/>
        <v>0</v>
      </c>
      <c r="AT53" s="93">
        <f t="shared" si="83"/>
        <v>0</v>
      </c>
      <c r="AU53" s="93">
        <f t="shared" si="83"/>
        <v>0</v>
      </c>
      <c r="AV53" s="93">
        <f t="shared" si="83"/>
        <v>0</v>
      </c>
      <c r="AW53" s="93">
        <f t="shared" ca="1" si="83"/>
        <v>0</v>
      </c>
      <c r="BB53" s="94" t="e">
        <v>#REF!</v>
      </c>
    </row>
    <row r="54" spans="1:54" s="20" customFormat="1" ht="18" customHeight="1">
      <c r="A54" s="644"/>
      <c r="B54" s="110"/>
      <c r="C54" s="653"/>
      <c r="D54" s="111" t="str">
        <f>D52</f>
        <v>MEC</v>
      </c>
      <c r="E54" s="112" t="str">
        <f>E52</f>
        <v>RFQ-015</v>
      </c>
      <c r="F54" s="113" t="str">
        <f t="shared" ref="F54" si="90">F52</f>
        <v>N</v>
      </c>
      <c r="G54" s="656"/>
      <c r="H54" s="113" t="str">
        <f t="shared" ref="H54:I54" si="91">H52</f>
        <v>Diesel Transfer Pump</v>
      </c>
      <c r="I54" s="112" t="str">
        <f t="shared" si="91"/>
        <v>LA</v>
      </c>
      <c r="J54" s="113"/>
      <c r="K54" s="114"/>
      <c r="L54" s="114"/>
      <c r="M54" s="114">
        <v>0.01</v>
      </c>
      <c r="N54" s="112"/>
      <c r="O54" s="112"/>
      <c r="P54" s="112"/>
      <c r="Q54" s="115" t="s">
        <v>4842</v>
      </c>
      <c r="R54" s="115"/>
      <c r="S54" s="126"/>
      <c r="T54" s="126"/>
      <c r="U54" s="126"/>
      <c r="V54" s="126"/>
      <c r="W54" s="126"/>
      <c r="X54" s="126"/>
      <c r="Y54" s="126"/>
      <c r="Z54" s="126"/>
      <c r="AA54" s="126"/>
      <c r="AB54" s="126"/>
      <c r="AC54" s="659"/>
      <c r="AD54" s="116"/>
      <c r="AE54" s="661"/>
      <c r="AF54" s="668"/>
      <c r="AG54" s="671"/>
      <c r="AH54" s="117"/>
      <c r="AI54" s="118"/>
      <c r="AJ54" s="674"/>
      <c r="AK54" s="119"/>
      <c r="AL54" s="120"/>
      <c r="AM54" s="121">
        <f t="shared" si="83"/>
        <v>0</v>
      </c>
      <c r="AN54" s="122">
        <f t="shared" si="83"/>
        <v>0</v>
      </c>
      <c r="AO54" s="122">
        <f t="shared" si="83"/>
        <v>0</v>
      </c>
      <c r="AP54" s="122">
        <f t="shared" si="83"/>
        <v>0</v>
      </c>
      <c r="AQ54" s="122">
        <f t="shared" si="83"/>
        <v>0</v>
      </c>
      <c r="AR54" s="122">
        <f t="shared" si="83"/>
        <v>0</v>
      </c>
      <c r="AS54" s="122">
        <f t="shared" si="83"/>
        <v>0</v>
      </c>
      <c r="AT54" s="122">
        <f t="shared" si="83"/>
        <v>0</v>
      </c>
      <c r="AU54" s="122">
        <f t="shared" si="83"/>
        <v>0</v>
      </c>
      <c r="AV54" s="122">
        <f t="shared" si="83"/>
        <v>0</v>
      </c>
      <c r="AW54" s="122">
        <f t="shared" ca="1" si="83"/>
        <v>0</v>
      </c>
      <c r="BB54" s="94" t="e">
        <v>#REF!</v>
      </c>
    </row>
    <row r="55" spans="1:54" s="20" customFormat="1" ht="18" customHeight="1">
      <c r="A55" s="642">
        <f t="shared" ref="A55" si="92">A52+1</f>
        <v>16</v>
      </c>
      <c r="B55" s="79"/>
      <c r="C55" s="651" t="s">
        <v>4836</v>
      </c>
      <c r="D55" s="80" t="s">
        <v>4837</v>
      </c>
      <c r="E55" s="81" t="s">
        <v>4752</v>
      </c>
      <c r="F55" s="82" t="s">
        <v>71</v>
      </c>
      <c r="G55" s="654" t="s">
        <v>4862</v>
      </c>
      <c r="H55" s="82" t="s">
        <v>122</v>
      </c>
      <c r="I55" s="81" t="s">
        <v>6</v>
      </c>
      <c r="J55" s="82"/>
      <c r="K55" s="84">
        <f>M57</f>
        <v>5.0000000000000001E-4</v>
      </c>
      <c r="L55" s="84"/>
      <c r="M55" s="84"/>
      <c r="N55" s="81"/>
      <c r="O55" s="81"/>
      <c r="P55" s="81"/>
      <c r="Q55" s="85" t="s">
        <v>4839</v>
      </c>
      <c r="R55" s="86">
        <f>'Before Award'!U62+5</f>
        <v>46258</v>
      </c>
      <c r="S55" s="86" t="e">
        <f>WORKDAY(R55,INDEX(S$2:S$5,MATCH($I55,$I$2:$I$5,0)),$BB$10:$BB$141)</f>
        <v>#REF!</v>
      </c>
      <c r="T55" s="86" t="e">
        <f>WORKDAY(S55,INDEX(T$2:T$5,MATCH($I55,$I$2:$I$5,0)),$BB$10:$BB$141)</f>
        <v>#REF!</v>
      </c>
      <c r="U55" s="86" t="e">
        <f>T55+30</f>
        <v>#REF!</v>
      </c>
      <c r="V55" s="86"/>
      <c r="W55" s="86">
        <f>AB55-35</f>
        <v>46442</v>
      </c>
      <c r="X55" s="86"/>
      <c r="Y55" s="86"/>
      <c r="Z55" s="86"/>
      <c r="AA55" s="86"/>
      <c r="AB55" s="86">
        <f>'Before Award'!X62</f>
        <v>46477</v>
      </c>
      <c r="AC55" s="657" t="s">
        <v>4840</v>
      </c>
      <c r="AD55" s="87">
        <v>14</v>
      </c>
      <c r="AE55" s="661">
        <f>32*7</f>
        <v>224</v>
      </c>
      <c r="AF55" s="666" t="e">
        <f>AB56</f>
        <v>#REF!</v>
      </c>
      <c r="AG55" s="669">
        <f>WORKDAY(AH55+1,-1,$BA$10:$BA$141)</f>
        <v>46477</v>
      </c>
      <c r="AH55" s="88">
        <v>46477</v>
      </c>
      <c r="AI55" s="89"/>
      <c r="AJ55" s="672" t="e">
        <f>AG55-AF55</f>
        <v>#REF!</v>
      </c>
      <c r="AK55" s="90"/>
      <c r="AL55" s="91"/>
      <c r="AM55" s="92">
        <f t="shared" si="83"/>
        <v>0</v>
      </c>
      <c r="AN55" s="93">
        <f t="shared" si="83"/>
        <v>0</v>
      </c>
      <c r="AO55" s="93">
        <f t="shared" si="83"/>
        <v>0</v>
      </c>
      <c r="AP55" s="93">
        <f t="shared" si="83"/>
        <v>0</v>
      </c>
      <c r="AQ55" s="93">
        <f t="shared" si="83"/>
        <v>0</v>
      </c>
      <c r="AR55" s="93">
        <f t="shared" si="83"/>
        <v>0</v>
      </c>
      <c r="AS55" s="93">
        <f t="shared" si="83"/>
        <v>0</v>
      </c>
      <c r="AT55" s="93">
        <f t="shared" si="83"/>
        <v>0</v>
      </c>
      <c r="AU55" s="93">
        <f t="shared" si="83"/>
        <v>0</v>
      </c>
      <c r="AV55" s="93">
        <f t="shared" si="83"/>
        <v>0</v>
      </c>
      <c r="AW55" s="93">
        <f t="shared" ca="1" si="83"/>
        <v>0</v>
      </c>
      <c r="BB55" s="94" t="e">
        <v>#REF!</v>
      </c>
    </row>
    <row r="56" spans="1:54" s="20" customFormat="1" ht="18" customHeight="1">
      <c r="A56" s="643"/>
      <c r="B56" s="95"/>
      <c r="C56" s="652"/>
      <c r="D56" s="96" t="str">
        <f>D55</f>
        <v>MEC</v>
      </c>
      <c r="E56" s="97" t="str">
        <f t="shared" ref="E56:F56" si="93">E55</f>
        <v>RFQ-016</v>
      </c>
      <c r="F56" s="98" t="str">
        <f t="shared" si="93"/>
        <v>N</v>
      </c>
      <c r="G56" s="655"/>
      <c r="H56" s="98" t="str">
        <f t="shared" ref="H56:I56" si="94">H55</f>
        <v>Open Drain Caisson Pump</v>
      </c>
      <c r="I56" s="97" t="str">
        <f t="shared" si="94"/>
        <v>LA</v>
      </c>
      <c r="J56" s="98"/>
      <c r="K56" s="100"/>
      <c r="L56" s="100">
        <f>M57</f>
        <v>5.0000000000000001E-4</v>
      </c>
      <c r="M56" s="100"/>
      <c r="N56" s="97"/>
      <c r="O56" s="97"/>
      <c r="P56" s="97"/>
      <c r="Q56" s="101" t="s">
        <v>4841</v>
      </c>
      <c r="R56" s="102">
        <f>R55</f>
        <v>46258</v>
      </c>
      <c r="S56" s="102" t="e">
        <f>S55</f>
        <v>#REF!</v>
      </c>
      <c r="T56" s="103" t="e">
        <f>T55</f>
        <v>#REF!</v>
      </c>
      <c r="U56" s="103" t="e">
        <f t="shared" ref="U56:Z56" si="95">WORKDAY(IF(T57="",T56,T57),INDEX(U$2:U$5,MATCH($I55,$I$2:$I$5,0)),$BB$10:$BB$141)</f>
        <v>#REF!</v>
      </c>
      <c r="V56" s="103" t="e">
        <f t="shared" si="95"/>
        <v>#REF!</v>
      </c>
      <c r="W56" s="103" t="e">
        <f t="shared" si="95"/>
        <v>#REF!</v>
      </c>
      <c r="X56" s="103" t="e">
        <f t="shared" si="95"/>
        <v>#REF!</v>
      </c>
      <c r="Y56" s="103" t="e">
        <f t="shared" si="95"/>
        <v>#REF!</v>
      </c>
      <c r="Z56" s="103" t="e">
        <f t="shared" si="95"/>
        <v>#REF!</v>
      </c>
      <c r="AA56" s="103" t="e">
        <f>WORKDAY(IF(Z57="",X56,Z57),INDEX(AA$2:AA$5,MATCH($I55,$I$2:$I$5,0)),$BB$10:$BB$141)</f>
        <v>#REF!</v>
      </c>
      <c r="AB56" s="104" t="e">
        <f>WORKDAY(AE55+#REF!,0,'[35]Equipment List and MR List (3)'!$A$2:$A$80)</f>
        <v>#REF!</v>
      </c>
      <c r="AC56" s="658"/>
      <c r="AD56" s="105"/>
      <c r="AE56" s="661"/>
      <c r="AF56" s="667"/>
      <c r="AG56" s="670"/>
      <c r="AH56" s="106"/>
      <c r="AI56" s="107"/>
      <c r="AJ56" s="673"/>
      <c r="AK56" s="108"/>
      <c r="AL56" s="109"/>
      <c r="AM56" s="92">
        <f t="shared" si="83"/>
        <v>0</v>
      </c>
      <c r="AN56" s="93">
        <f t="shared" si="83"/>
        <v>0</v>
      </c>
      <c r="AO56" s="93">
        <f t="shared" si="83"/>
        <v>0</v>
      </c>
      <c r="AP56" s="93">
        <f t="shared" si="83"/>
        <v>0</v>
      </c>
      <c r="AQ56" s="93">
        <f t="shared" si="83"/>
        <v>0</v>
      </c>
      <c r="AR56" s="93">
        <f t="shared" si="83"/>
        <v>0</v>
      </c>
      <c r="AS56" s="93">
        <f t="shared" si="83"/>
        <v>0</v>
      </c>
      <c r="AT56" s="93">
        <f t="shared" si="83"/>
        <v>0</v>
      </c>
      <c r="AU56" s="93">
        <f t="shared" si="83"/>
        <v>0</v>
      </c>
      <c r="AV56" s="93">
        <f t="shared" si="83"/>
        <v>0</v>
      </c>
      <c r="AW56" s="93">
        <f t="shared" ca="1" si="83"/>
        <v>0</v>
      </c>
      <c r="BB56" s="94" t="e">
        <v>#REF!</v>
      </c>
    </row>
    <row r="57" spans="1:54" s="20" customFormat="1" ht="18" customHeight="1">
      <c r="A57" s="644"/>
      <c r="B57" s="110"/>
      <c r="C57" s="653"/>
      <c r="D57" s="111" t="str">
        <f>D55</f>
        <v>MEC</v>
      </c>
      <c r="E57" s="112" t="str">
        <f>E55</f>
        <v>RFQ-016</v>
      </c>
      <c r="F57" s="113" t="str">
        <f t="shared" ref="F57" si="96">F55</f>
        <v>N</v>
      </c>
      <c r="G57" s="656"/>
      <c r="H57" s="113" t="str">
        <f t="shared" ref="H57:I57" si="97">H55</f>
        <v>Open Drain Caisson Pump</v>
      </c>
      <c r="I57" s="112" t="str">
        <f t="shared" si="97"/>
        <v>LA</v>
      </c>
      <c r="J57" s="113"/>
      <c r="K57" s="114"/>
      <c r="L57" s="114"/>
      <c r="M57" s="114">
        <v>5.0000000000000001E-4</v>
      </c>
      <c r="N57" s="112"/>
      <c r="O57" s="112"/>
      <c r="P57" s="112"/>
      <c r="Q57" s="115" t="s">
        <v>4842</v>
      </c>
      <c r="R57" s="115"/>
      <c r="S57" s="126"/>
      <c r="T57" s="126"/>
      <c r="U57" s="126"/>
      <c r="V57" s="126"/>
      <c r="W57" s="126"/>
      <c r="X57" s="126"/>
      <c r="Y57" s="126"/>
      <c r="Z57" s="126"/>
      <c r="AA57" s="126"/>
      <c r="AB57" s="126"/>
      <c r="AC57" s="659"/>
      <c r="AD57" s="116"/>
      <c r="AE57" s="661"/>
      <c r="AF57" s="668"/>
      <c r="AG57" s="671"/>
      <c r="AH57" s="117"/>
      <c r="AI57" s="118"/>
      <c r="AJ57" s="674"/>
      <c r="AK57" s="119"/>
      <c r="AL57" s="120"/>
      <c r="AM57" s="121">
        <f t="shared" si="83"/>
        <v>0</v>
      </c>
      <c r="AN57" s="122">
        <f t="shared" si="83"/>
        <v>0</v>
      </c>
      <c r="AO57" s="122">
        <f t="shared" si="83"/>
        <v>0</v>
      </c>
      <c r="AP57" s="122">
        <f t="shared" si="83"/>
        <v>0</v>
      </c>
      <c r="AQ57" s="122">
        <f t="shared" si="83"/>
        <v>0</v>
      </c>
      <c r="AR57" s="122">
        <f t="shared" si="83"/>
        <v>0</v>
      </c>
      <c r="AS57" s="122">
        <f t="shared" si="83"/>
        <v>0</v>
      </c>
      <c r="AT57" s="122">
        <f t="shared" si="83"/>
        <v>0</v>
      </c>
      <c r="AU57" s="122">
        <f t="shared" si="83"/>
        <v>0</v>
      </c>
      <c r="AV57" s="122">
        <f t="shared" si="83"/>
        <v>0</v>
      </c>
      <c r="AW57" s="122">
        <f t="shared" ca="1" si="83"/>
        <v>0</v>
      </c>
      <c r="BB57" s="94" t="e">
        <v>#REF!</v>
      </c>
    </row>
    <row r="58" spans="1:54" s="20" customFormat="1" ht="20.25" customHeight="1">
      <c r="A58" s="642">
        <f t="shared" ref="A58" si="98">A55+1</f>
        <v>17</v>
      </c>
      <c r="B58" s="79"/>
      <c r="C58" s="651" t="s">
        <v>4836</v>
      </c>
      <c r="D58" s="80" t="s">
        <v>4863</v>
      </c>
      <c r="E58" s="81" t="s">
        <v>4753</v>
      </c>
      <c r="F58" s="82" t="s">
        <v>71</v>
      </c>
      <c r="G58" s="654" t="s">
        <v>4864</v>
      </c>
      <c r="H58" s="82" t="s">
        <v>4754</v>
      </c>
      <c r="I58" s="81" t="s">
        <v>8</v>
      </c>
      <c r="J58" s="82"/>
      <c r="K58" s="84">
        <f>M60</f>
        <v>1E-3</v>
      </c>
      <c r="L58" s="84"/>
      <c r="M58" s="84"/>
      <c r="N58" s="81"/>
      <c r="O58" s="81"/>
      <c r="P58" s="81"/>
      <c r="Q58" s="85" t="s">
        <v>4839</v>
      </c>
      <c r="R58" s="86">
        <f>'Before Award'!U65+5</f>
        <v>46272</v>
      </c>
      <c r="S58" s="86" t="e">
        <f>WORKDAY(R58,INDEX(S$2:S$5,MATCH($I58,$I$2:$I$5,0)),$BB$10:$BB$141)</f>
        <v>#REF!</v>
      </c>
      <c r="T58" s="86" t="e">
        <f>WORKDAY(S58,INDEX(T$2:T$5,MATCH($I58,$I$2:$I$5,0)),$BB$10:$BB$141)</f>
        <v>#REF!</v>
      </c>
      <c r="U58" s="86" t="e">
        <f>T58+30</f>
        <v>#REF!</v>
      </c>
      <c r="V58" s="86"/>
      <c r="W58" s="86">
        <f>AB58-35</f>
        <v>46470</v>
      </c>
      <c r="X58" s="86"/>
      <c r="Y58" s="86"/>
      <c r="Z58" s="86"/>
      <c r="AA58" s="86"/>
      <c r="AB58" s="86">
        <f>'Before Award'!X65</f>
        <v>46505</v>
      </c>
      <c r="AC58" s="657" t="s">
        <v>4840</v>
      </c>
      <c r="AD58" s="87">
        <v>14</v>
      </c>
      <c r="AE58" s="661">
        <f>34*7</f>
        <v>238</v>
      </c>
      <c r="AF58" s="666" t="e">
        <f>AB59</f>
        <v>#REF!</v>
      </c>
      <c r="AG58" s="669">
        <f>WORKDAY(AH58+1,-1,$BA$10:$BA$141)</f>
        <v>46505</v>
      </c>
      <c r="AH58" s="88">
        <v>46505</v>
      </c>
      <c r="AI58" s="89"/>
      <c r="AJ58" s="672" t="e">
        <f>AG58-AF58</f>
        <v>#REF!</v>
      </c>
      <c r="AK58" s="90"/>
      <c r="AL58" s="91"/>
      <c r="AM58" s="92">
        <f t="shared" si="83"/>
        <v>0</v>
      </c>
      <c r="AN58" s="93">
        <f t="shared" si="83"/>
        <v>0</v>
      </c>
      <c r="AO58" s="93">
        <f t="shared" si="83"/>
        <v>0</v>
      </c>
      <c r="AP58" s="93">
        <f t="shared" si="83"/>
        <v>0</v>
      </c>
      <c r="AQ58" s="93">
        <f t="shared" si="83"/>
        <v>0</v>
      </c>
      <c r="AR58" s="93">
        <f t="shared" si="83"/>
        <v>0</v>
      </c>
      <c r="AS58" s="93">
        <f t="shared" si="83"/>
        <v>0</v>
      </c>
      <c r="AT58" s="93">
        <f t="shared" si="83"/>
        <v>0</v>
      </c>
      <c r="AU58" s="93">
        <f t="shared" si="83"/>
        <v>0</v>
      </c>
      <c r="AV58" s="93">
        <f t="shared" si="83"/>
        <v>0</v>
      </c>
      <c r="AW58" s="93">
        <f t="shared" ca="1" si="83"/>
        <v>0</v>
      </c>
      <c r="BB58" s="94" t="e">
        <v>#REF!</v>
      </c>
    </row>
    <row r="59" spans="1:54" s="20" customFormat="1" ht="20.25" customHeight="1">
      <c r="A59" s="643"/>
      <c r="B59" s="95"/>
      <c r="C59" s="652"/>
      <c r="D59" s="96" t="str">
        <f>D58</f>
        <v>ELE</v>
      </c>
      <c r="E59" s="97" t="str">
        <f t="shared" ref="E59:F59" si="99">E58</f>
        <v>RFQ-017</v>
      </c>
      <c r="F59" s="98" t="str">
        <f t="shared" si="99"/>
        <v>N</v>
      </c>
      <c r="G59" s="655"/>
      <c r="H59" s="98" t="str">
        <f t="shared" ref="H59:I59" si="100">H58</f>
        <v>DC Distribution Board</v>
      </c>
      <c r="I59" s="97" t="str">
        <f t="shared" si="100"/>
        <v>LC</v>
      </c>
      <c r="J59" s="98"/>
      <c r="K59" s="100"/>
      <c r="L59" s="100">
        <f>M60</f>
        <v>1E-3</v>
      </c>
      <c r="M59" s="100"/>
      <c r="N59" s="97"/>
      <c r="O59" s="97"/>
      <c r="P59" s="97"/>
      <c r="Q59" s="101" t="s">
        <v>4841</v>
      </c>
      <c r="R59" s="102">
        <f>R58</f>
        <v>46272</v>
      </c>
      <c r="S59" s="102" t="e">
        <f>S58</f>
        <v>#REF!</v>
      </c>
      <c r="T59" s="103" t="e">
        <f>T58</f>
        <v>#REF!</v>
      </c>
      <c r="U59" s="103" t="e">
        <f t="shared" ref="U59:Z59" si="101">WORKDAY(IF(T60="",T59,T60),INDEX(U$2:U$5,MATCH($I58,$I$2:$I$5,0)),$BB$10:$BB$141)</f>
        <v>#REF!</v>
      </c>
      <c r="V59" s="103" t="e">
        <f t="shared" si="101"/>
        <v>#REF!</v>
      </c>
      <c r="W59" s="103" t="e">
        <f t="shared" si="101"/>
        <v>#REF!</v>
      </c>
      <c r="X59" s="103" t="e">
        <f t="shared" si="101"/>
        <v>#REF!</v>
      </c>
      <c r="Y59" s="103" t="e">
        <f t="shared" si="101"/>
        <v>#REF!</v>
      </c>
      <c r="Z59" s="103" t="e">
        <f t="shared" si="101"/>
        <v>#REF!</v>
      </c>
      <c r="AA59" s="103" t="e">
        <f>WORKDAY(IF(Z60="",X59,Z60),INDEX(AA$2:AA$5,MATCH($I58,$I$2:$I$5,0)),$BB$10:$BB$141)</f>
        <v>#REF!</v>
      </c>
      <c r="AB59" s="104" t="e">
        <f>WORKDAY(AE58+#REF!,0,'[35]Equipment List and MR List (3)'!$A$2:$A$80)</f>
        <v>#REF!</v>
      </c>
      <c r="AC59" s="658"/>
      <c r="AD59" s="105"/>
      <c r="AE59" s="661"/>
      <c r="AF59" s="667"/>
      <c r="AG59" s="670"/>
      <c r="AH59" s="106"/>
      <c r="AI59" s="107"/>
      <c r="AJ59" s="673"/>
      <c r="AK59" s="108"/>
      <c r="AL59" s="109"/>
      <c r="AM59" s="92">
        <f t="shared" si="83"/>
        <v>0</v>
      </c>
      <c r="AN59" s="93">
        <f t="shared" si="83"/>
        <v>0</v>
      </c>
      <c r="AO59" s="93">
        <f t="shared" si="83"/>
        <v>0</v>
      </c>
      <c r="AP59" s="93">
        <f t="shared" si="83"/>
        <v>0</v>
      </c>
      <c r="AQ59" s="93">
        <f t="shared" si="83"/>
        <v>0</v>
      </c>
      <c r="AR59" s="93">
        <f t="shared" si="83"/>
        <v>0</v>
      </c>
      <c r="AS59" s="93">
        <f t="shared" si="83"/>
        <v>0</v>
      </c>
      <c r="AT59" s="93">
        <f t="shared" si="83"/>
        <v>0</v>
      </c>
      <c r="AU59" s="93">
        <f t="shared" si="83"/>
        <v>0</v>
      </c>
      <c r="AV59" s="93">
        <f t="shared" si="83"/>
        <v>0</v>
      </c>
      <c r="AW59" s="93">
        <f t="shared" ca="1" si="83"/>
        <v>0</v>
      </c>
      <c r="BB59" s="94" t="e">
        <v>#REF!</v>
      </c>
    </row>
    <row r="60" spans="1:54" s="20" customFormat="1" ht="20.25" customHeight="1">
      <c r="A60" s="644"/>
      <c r="B60" s="110"/>
      <c r="C60" s="653"/>
      <c r="D60" s="111" t="str">
        <f>D58</f>
        <v>ELE</v>
      </c>
      <c r="E60" s="112" t="str">
        <f>E58</f>
        <v>RFQ-017</v>
      </c>
      <c r="F60" s="113" t="str">
        <f t="shared" ref="F60" si="102">F58</f>
        <v>N</v>
      </c>
      <c r="G60" s="656"/>
      <c r="H60" s="113" t="str">
        <f t="shared" ref="H60:I60" si="103">H58</f>
        <v>DC Distribution Board</v>
      </c>
      <c r="I60" s="112" t="str">
        <f t="shared" si="103"/>
        <v>LC</v>
      </c>
      <c r="J60" s="113"/>
      <c r="K60" s="114"/>
      <c r="L60" s="114"/>
      <c r="M60" s="114">
        <v>1E-3</v>
      </c>
      <c r="N60" s="112"/>
      <c r="O60" s="112"/>
      <c r="P60" s="112"/>
      <c r="Q60" s="115" t="s">
        <v>4842</v>
      </c>
      <c r="R60" s="115"/>
      <c r="S60" s="126"/>
      <c r="T60" s="126"/>
      <c r="U60" s="126"/>
      <c r="V60" s="126"/>
      <c r="W60" s="126"/>
      <c r="X60" s="126"/>
      <c r="Y60" s="126"/>
      <c r="Z60" s="126"/>
      <c r="AA60" s="126"/>
      <c r="AB60" s="126"/>
      <c r="AC60" s="659"/>
      <c r="AD60" s="116"/>
      <c r="AE60" s="661"/>
      <c r="AF60" s="668"/>
      <c r="AG60" s="671"/>
      <c r="AH60" s="117"/>
      <c r="AI60" s="118"/>
      <c r="AJ60" s="674"/>
      <c r="AK60" s="119"/>
      <c r="AL60" s="120"/>
      <c r="AM60" s="121">
        <f t="shared" ref="AM60:AW69" si="104">IF(ISERROR(LOOKUP(AM$6,$S60:$AB60,$S$9:$AB$9)),0,(LOOKUP(AM$6,$S60:$AB60,$S$9:$AB$9)))</f>
        <v>0</v>
      </c>
      <c r="AN60" s="122">
        <f t="shared" si="104"/>
        <v>0</v>
      </c>
      <c r="AO60" s="122">
        <f t="shared" si="104"/>
        <v>0</v>
      </c>
      <c r="AP60" s="122">
        <f t="shared" si="104"/>
        <v>0</v>
      </c>
      <c r="AQ60" s="122">
        <f t="shared" si="104"/>
        <v>0</v>
      </c>
      <c r="AR60" s="122">
        <f t="shared" si="104"/>
        <v>0</v>
      </c>
      <c r="AS60" s="122">
        <f t="shared" si="104"/>
        <v>0</v>
      </c>
      <c r="AT60" s="122">
        <f t="shared" si="104"/>
        <v>0</v>
      </c>
      <c r="AU60" s="122">
        <f t="shared" si="104"/>
        <v>0</v>
      </c>
      <c r="AV60" s="122">
        <f t="shared" si="104"/>
        <v>0</v>
      </c>
      <c r="AW60" s="122">
        <f t="shared" ca="1" si="104"/>
        <v>0</v>
      </c>
      <c r="BB60" s="94" t="e">
        <v>#REF!</v>
      </c>
    </row>
    <row r="61" spans="1:54" s="20" customFormat="1" ht="22.5" customHeight="1">
      <c r="A61" s="642">
        <f t="shared" ref="A61" si="105">A58+1</f>
        <v>18</v>
      </c>
      <c r="B61" s="648" t="s">
        <v>4865</v>
      </c>
      <c r="C61" s="651" t="s">
        <v>4836</v>
      </c>
      <c r="D61" s="80" t="s">
        <v>4863</v>
      </c>
      <c r="E61" s="81" t="s">
        <v>4755</v>
      </c>
      <c r="F61" s="82" t="str">
        <f>IF(_xlfn.XLOOKUP(E61,'[35]Before Award'!D:D,'[35]Before Award'!AV:AV,"N/A")="N/A","N","Y")</f>
        <v>N</v>
      </c>
      <c r="G61" s="654" t="s">
        <v>4866</v>
      </c>
      <c r="H61" s="123" t="s">
        <v>130</v>
      </c>
      <c r="I61" s="81" t="s">
        <v>7</v>
      </c>
      <c r="J61" s="82"/>
      <c r="K61" s="84">
        <f>M63</f>
        <v>1E-3</v>
      </c>
      <c r="L61" s="84"/>
      <c r="M61" s="84"/>
      <c r="N61" s="81"/>
      <c r="O61" s="81"/>
      <c r="P61" s="81"/>
      <c r="Q61" s="85" t="s">
        <v>4839</v>
      </c>
      <c r="R61" s="86">
        <f>'Before Award'!U68+5</f>
        <v>46230</v>
      </c>
      <c r="S61" s="86" t="e">
        <f>WORKDAY(R61,INDEX(S$2:S$5,MATCH($I61,$I$2:$I$5,0)),$BB$10:$BB$141)</f>
        <v>#REF!</v>
      </c>
      <c r="T61" s="86" t="e">
        <f>WORKDAY(S61,INDEX(T$2:T$5,MATCH($I61,$I$2:$I$5,0)),$BB$10:$BB$141)</f>
        <v>#REF!</v>
      </c>
      <c r="U61" s="86" t="e">
        <f>T61+30</f>
        <v>#REF!</v>
      </c>
      <c r="V61" s="86"/>
      <c r="W61" s="86">
        <f>AB61-35</f>
        <v>46442</v>
      </c>
      <c r="X61" s="86"/>
      <c r="Y61" s="86"/>
      <c r="Z61" s="86"/>
      <c r="AA61" s="86"/>
      <c r="AB61" s="86">
        <f>'Before Award'!X68</f>
        <v>46477</v>
      </c>
      <c r="AC61" s="657" t="s">
        <v>4840</v>
      </c>
      <c r="AD61" s="87">
        <v>14</v>
      </c>
      <c r="AE61" s="660">
        <f>36*7</f>
        <v>252</v>
      </c>
      <c r="AF61" s="666" t="e">
        <f>AB62</f>
        <v>#REF!</v>
      </c>
      <c r="AG61" s="669">
        <f>WORKDAY(AH61+1,-1,$BA$10:$BA$141)</f>
        <v>46477</v>
      </c>
      <c r="AH61" s="88">
        <v>46477</v>
      </c>
      <c r="AI61" s="89"/>
      <c r="AJ61" s="672" t="e">
        <f>AG61-AF61</f>
        <v>#REF!</v>
      </c>
      <c r="AK61" s="90"/>
      <c r="AL61" s="91"/>
      <c r="AM61" s="92">
        <f t="shared" si="104"/>
        <v>0</v>
      </c>
      <c r="AN61" s="93">
        <f t="shared" si="104"/>
        <v>0</v>
      </c>
      <c r="AO61" s="93">
        <f t="shared" si="104"/>
        <v>0</v>
      </c>
      <c r="AP61" s="93">
        <f t="shared" si="104"/>
        <v>0</v>
      </c>
      <c r="AQ61" s="93">
        <f t="shared" si="104"/>
        <v>0</v>
      </c>
      <c r="AR61" s="93">
        <f t="shared" si="104"/>
        <v>0</v>
      </c>
      <c r="AS61" s="93">
        <f t="shared" si="104"/>
        <v>0</v>
      </c>
      <c r="AT61" s="93">
        <f t="shared" si="104"/>
        <v>0</v>
      </c>
      <c r="AU61" s="93">
        <f t="shared" si="104"/>
        <v>0</v>
      </c>
      <c r="AV61" s="93">
        <f t="shared" si="104"/>
        <v>0</v>
      </c>
      <c r="AW61" s="93">
        <f t="shared" ca="1" si="104"/>
        <v>0</v>
      </c>
      <c r="BB61" s="94" t="e">
        <v>#REF!</v>
      </c>
    </row>
    <row r="62" spans="1:54" s="20" customFormat="1" ht="22.5" customHeight="1">
      <c r="A62" s="643"/>
      <c r="B62" s="649"/>
      <c r="C62" s="652"/>
      <c r="D62" s="96" t="str">
        <f t="shared" ref="D62:F62" si="106">D61</f>
        <v>ELE</v>
      </c>
      <c r="E62" s="97" t="str">
        <f t="shared" si="106"/>
        <v>RFQ-018</v>
      </c>
      <c r="F62" s="98" t="str">
        <f t="shared" si="106"/>
        <v>N</v>
      </c>
      <c r="G62" s="655"/>
      <c r="H62" s="124" t="str">
        <f t="shared" ref="H62:I62" si="107">H61</f>
        <v>Solar Power System</v>
      </c>
      <c r="I62" s="97" t="str">
        <f t="shared" si="107"/>
        <v>LB</v>
      </c>
      <c r="J62" s="98"/>
      <c r="K62" s="100"/>
      <c r="L62" s="100">
        <f>M63</f>
        <v>1E-3</v>
      </c>
      <c r="M62" s="100"/>
      <c r="N62" s="97"/>
      <c r="O62" s="97"/>
      <c r="P62" s="97"/>
      <c r="Q62" s="101" t="s">
        <v>4841</v>
      </c>
      <c r="R62" s="102">
        <f>R61</f>
        <v>46230</v>
      </c>
      <c r="S62" s="102" t="e">
        <f>S61</f>
        <v>#REF!</v>
      </c>
      <c r="T62" s="103" t="e">
        <f>T61</f>
        <v>#REF!</v>
      </c>
      <c r="U62" s="103" t="e">
        <f t="shared" ref="U62:Z62" si="108">WORKDAY(IF(T63="",T62,T63),INDEX(U$2:U$5,MATCH($I61,$I$2:$I$5,0)),$BB$10:$BB$141)</f>
        <v>#REF!</v>
      </c>
      <c r="V62" s="103" t="e">
        <f t="shared" si="108"/>
        <v>#REF!</v>
      </c>
      <c r="W62" s="103" t="e">
        <f t="shared" si="108"/>
        <v>#REF!</v>
      </c>
      <c r="X62" s="103" t="e">
        <f t="shared" si="108"/>
        <v>#REF!</v>
      </c>
      <c r="Y62" s="103" t="e">
        <f t="shared" si="108"/>
        <v>#REF!</v>
      </c>
      <c r="Z62" s="103" t="e">
        <f t="shared" si="108"/>
        <v>#REF!</v>
      </c>
      <c r="AA62" s="103" t="e">
        <f>WORKDAY(IF(Z63="",X62,Z63),INDEX(AA$2:AA$5,MATCH($I61,$I$2:$I$5,0)),$BB$10:$BB$141)</f>
        <v>#REF!</v>
      </c>
      <c r="AB62" s="104" t="e">
        <f>WORKDAY(AE61+#REF!,0,'[35]Equipment List and MR List (3)'!$A$2:$A$80)</f>
        <v>#REF!</v>
      </c>
      <c r="AC62" s="658"/>
      <c r="AD62" s="105"/>
      <c r="AE62" s="660"/>
      <c r="AF62" s="667"/>
      <c r="AG62" s="670"/>
      <c r="AH62" s="106"/>
      <c r="AI62" s="107"/>
      <c r="AJ62" s="673"/>
      <c r="AK62" s="108"/>
      <c r="AL62" s="109"/>
      <c r="AM62" s="92">
        <f t="shared" si="104"/>
        <v>0</v>
      </c>
      <c r="AN62" s="93">
        <f t="shared" si="104"/>
        <v>0</v>
      </c>
      <c r="AO62" s="93">
        <f t="shared" si="104"/>
        <v>0</v>
      </c>
      <c r="AP62" s="93">
        <f t="shared" si="104"/>
        <v>0</v>
      </c>
      <c r="AQ62" s="93">
        <f t="shared" si="104"/>
        <v>0</v>
      </c>
      <c r="AR62" s="93">
        <f t="shared" si="104"/>
        <v>0</v>
      </c>
      <c r="AS62" s="93">
        <f t="shared" si="104"/>
        <v>0</v>
      </c>
      <c r="AT62" s="93">
        <f t="shared" si="104"/>
        <v>0</v>
      </c>
      <c r="AU62" s="93">
        <f t="shared" si="104"/>
        <v>0</v>
      </c>
      <c r="AV62" s="93">
        <f t="shared" si="104"/>
        <v>0</v>
      </c>
      <c r="AW62" s="93">
        <f t="shared" ca="1" si="104"/>
        <v>0</v>
      </c>
      <c r="BB62" s="94" t="e">
        <v>#REF!</v>
      </c>
    </row>
    <row r="63" spans="1:54" s="20" customFormat="1" ht="15" customHeight="1">
      <c r="A63" s="644"/>
      <c r="B63" s="650"/>
      <c r="C63" s="653"/>
      <c r="D63" s="111" t="str">
        <f>D61</f>
        <v>ELE</v>
      </c>
      <c r="E63" s="112" t="str">
        <f>E61</f>
        <v>RFQ-018</v>
      </c>
      <c r="F63" s="113" t="str">
        <f t="shared" ref="F63" si="109">F61</f>
        <v>N</v>
      </c>
      <c r="G63" s="656"/>
      <c r="H63" s="124" t="str">
        <f t="shared" ref="H63:I63" si="110">H61</f>
        <v>Solar Power System</v>
      </c>
      <c r="I63" s="112" t="str">
        <f t="shared" si="110"/>
        <v>LB</v>
      </c>
      <c r="J63" s="113"/>
      <c r="K63" s="114"/>
      <c r="L63" s="114"/>
      <c r="M63" s="114">
        <v>1E-3</v>
      </c>
      <c r="N63" s="112"/>
      <c r="O63" s="112"/>
      <c r="P63" s="112"/>
      <c r="Q63" s="115" t="s">
        <v>4842</v>
      </c>
      <c r="R63" s="126"/>
      <c r="S63" s="126"/>
      <c r="T63" s="126"/>
      <c r="U63" s="126"/>
      <c r="V63" s="126"/>
      <c r="W63" s="126"/>
      <c r="X63" s="126"/>
      <c r="Y63" s="126"/>
      <c r="Z63" s="126"/>
      <c r="AA63" s="126"/>
      <c r="AB63" s="126"/>
      <c r="AC63" s="659"/>
      <c r="AD63" s="116"/>
      <c r="AE63" s="660"/>
      <c r="AF63" s="668"/>
      <c r="AG63" s="671"/>
      <c r="AH63" s="117"/>
      <c r="AI63" s="118"/>
      <c r="AJ63" s="674"/>
      <c r="AK63" s="119"/>
      <c r="AL63" s="120"/>
      <c r="AM63" s="121">
        <f t="shared" si="104"/>
        <v>0</v>
      </c>
      <c r="AN63" s="122">
        <f t="shared" si="104"/>
        <v>0</v>
      </c>
      <c r="AO63" s="122">
        <f t="shared" si="104"/>
        <v>0</v>
      </c>
      <c r="AP63" s="122">
        <f t="shared" si="104"/>
        <v>0</v>
      </c>
      <c r="AQ63" s="122">
        <f t="shared" si="104"/>
        <v>0</v>
      </c>
      <c r="AR63" s="122">
        <f t="shared" si="104"/>
        <v>0</v>
      </c>
      <c r="AS63" s="122">
        <f t="shared" si="104"/>
        <v>0</v>
      </c>
      <c r="AT63" s="122">
        <f t="shared" si="104"/>
        <v>0</v>
      </c>
      <c r="AU63" s="122">
        <f t="shared" si="104"/>
        <v>0</v>
      </c>
      <c r="AV63" s="122">
        <f t="shared" si="104"/>
        <v>0</v>
      </c>
      <c r="AW63" s="122">
        <f t="shared" ca="1" si="104"/>
        <v>0</v>
      </c>
      <c r="BB63" s="94" t="e">
        <v>#REF!</v>
      </c>
    </row>
    <row r="64" spans="1:54" s="20" customFormat="1" ht="18" customHeight="1">
      <c r="A64" s="642">
        <f t="shared" ref="A64" si="111">A61+1</f>
        <v>19</v>
      </c>
      <c r="B64" s="79"/>
      <c r="C64" s="651" t="s">
        <v>4836</v>
      </c>
      <c r="D64" s="80" t="s">
        <v>4863</v>
      </c>
      <c r="E64" s="81" t="s">
        <v>4756</v>
      </c>
      <c r="F64" s="82" t="s">
        <v>71</v>
      </c>
      <c r="G64" s="654" t="s">
        <v>4867</v>
      </c>
      <c r="H64" s="82" t="s">
        <v>133</v>
      </c>
      <c r="I64" s="81" t="s">
        <v>7</v>
      </c>
      <c r="J64" s="82"/>
      <c r="K64" s="84">
        <f>M66</f>
        <v>1.5E-3</v>
      </c>
      <c r="L64" s="84"/>
      <c r="M64" s="84"/>
      <c r="N64" s="81"/>
      <c r="O64" s="81"/>
      <c r="P64" s="81"/>
      <c r="Q64" s="85" t="s">
        <v>4839</v>
      </c>
      <c r="R64" s="86">
        <f>'Before Award'!U71+5</f>
        <v>46279</v>
      </c>
      <c r="S64" s="86" t="e">
        <f>WORKDAY(R64,INDEX(S$2:S$5,MATCH($I64,$I$2:$I$5,0)),$BB$10:$BB$141)</f>
        <v>#REF!</v>
      </c>
      <c r="T64" s="86" t="e">
        <f>WORKDAY(S64,INDEX(T$2:T$5,MATCH($I64,$I$2:$I$5,0)),$BB$10:$BB$141)</f>
        <v>#REF!</v>
      </c>
      <c r="U64" s="86" t="e">
        <f>T64+30</f>
        <v>#REF!</v>
      </c>
      <c r="V64" s="86"/>
      <c r="W64" s="86">
        <f>AB64-35</f>
        <v>46533</v>
      </c>
      <c r="X64" s="86"/>
      <c r="Y64" s="86"/>
      <c r="Z64" s="86"/>
      <c r="AA64" s="86"/>
      <c r="AB64" s="86">
        <f>'Before Award'!X71</f>
        <v>46568</v>
      </c>
      <c r="AC64" s="657" t="s">
        <v>4840</v>
      </c>
      <c r="AD64" s="87">
        <v>14</v>
      </c>
      <c r="AE64" s="661">
        <v>294</v>
      </c>
      <c r="AF64" s="666" t="e">
        <f>AB65</f>
        <v>#REF!</v>
      </c>
      <c r="AG64" s="669">
        <f>WORKDAY(AH64+1,-1,$BA$10:$BA$141)</f>
        <v>46598</v>
      </c>
      <c r="AH64" s="88">
        <v>46599</v>
      </c>
      <c r="AI64" s="89"/>
      <c r="AJ64" s="672" t="e">
        <f>AG64-AF64</f>
        <v>#REF!</v>
      </c>
      <c r="AK64" s="90"/>
      <c r="AL64" s="91"/>
      <c r="AM64" s="92">
        <f t="shared" si="104"/>
        <v>0</v>
      </c>
      <c r="AN64" s="93">
        <f t="shared" si="104"/>
        <v>0</v>
      </c>
      <c r="AO64" s="93">
        <f t="shared" si="104"/>
        <v>0</v>
      </c>
      <c r="AP64" s="93">
        <f t="shared" si="104"/>
        <v>0</v>
      </c>
      <c r="AQ64" s="93">
        <f t="shared" si="104"/>
        <v>0</v>
      </c>
      <c r="AR64" s="93">
        <f t="shared" si="104"/>
        <v>0</v>
      </c>
      <c r="AS64" s="93">
        <f t="shared" si="104"/>
        <v>0</v>
      </c>
      <c r="AT64" s="93">
        <f t="shared" si="104"/>
        <v>0</v>
      </c>
      <c r="AU64" s="93">
        <f t="shared" si="104"/>
        <v>0</v>
      </c>
      <c r="AV64" s="93">
        <f t="shared" si="104"/>
        <v>0</v>
      </c>
      <c r="AW64" s="93">
        <f t="shared" ca="1" si="104"/>
        <v>0</v>
      </c>
      <c r="BB64" s="94" t="e">
        <v>#REF!</v>
      </c>
    </row>
    <row r="65" spans="1:54" s="20" customFormat="1" ht="18" customHeight="1">
      <c r="A65" s="643"/>
      <c r="B65" s="95"/>
      <c r="C65" s="652"/>
      <c r="D65" s="96" t="str">
        <f t="shared" ref="D65:F65" si="112">D64</f>
        <v>ELE</v>
      </c>
      <c r="E65" s="97" t="str">
        <f t="shared" si="112"/>
        <v>RFQ-019</v>
      </c>
      <c r="F65" s="98" t="str">
        <f t="shared" si="112"/>
        <v>N</v>
      </c>
      <c r="G65" s="655"/>
      <c r="H65" s="98" t="str">
        <f t="shared" ref="H65:I65" si="113">H64</f>
        <v>Navigation Aid System</v>
      </c>
      <c r="I65" s="97" t="str">
        <f t="shared" si="113"/>
        <v>LB</v>
      </c>
      <c r="J65" s="98"/>
      <c r="K65" s="100"/>
      <c r="L65" s="100">
        <f>M66</f>
        <v>1.5E-3</v>
      </c>
      <c r="M65" s="100"/>
      <c r="N65" s="97"/>
      <c r="O65" s="97"/>
      <c r="P65" s="97"/>
      <c r="Q65" s="101" t="s">
        <v>4841</v>
      </c>
      <c r="R65" s="102">
        <f>R64</f>
        <v>46279</v>
      </c>
      <c r="S65" s="102" t="e">
        <f>S64</f>
        <v>#REF!</v>
      </c>
      <c r="T65" s="103" t="e">
        <f>T64</f>
        <v>#REF!</v>
      </c>
      <c r="U65" s="103" t="e">
        <f t="shared" ref="U65:Z65" si="114">WORKDAY(IF(T66="",T65,T66),INDEX(U$2:U$5,MATCH($I64,$I$2:$I$5,0)),$BB$10:$BB$141)</f>
        <v>#REF!</v>
      </c>
      <c r="V65" s="103" t="e">
        <f t="shared" si="114"/>
        <v>#REF!</v>
      </c>
      <c r="W65" s="103" t="e">
        <f t="shared" si="114"/>
        <v>#REF!</v>
      </c>
      <c r="X65" s="103" t="e">
        <f t="shared" si="114"/>
        <v>#REF!</v>
      </c>
      <c r="Y65" s="103" t="e">
        <f t="shared" si="114"/>
        <v>#REF!</v>
      </c>
      <c r="Z65" s="103" t="e">
        <f t="shared" si="114"/>
        <v>#REF!</v>
      </c>
      <c r="AA65" s="103" t="e">
        <f>WORKDAY(IF(Z66="",X65,Z66),INDEX(AA$2:AA$5,MATCH($I64,$I$2:$I$5,0)),$BB$10:$BB$141)</f>
        <v>#REF!</v>
      </c>
      <c r="AB65" s="104" t="e">
        <f>WORKDAY(AE64+#REF!,0,'[35]Equipment List and MR List (3)'!$A$2:$A$80)</f>
        <v>#REF!</v>
      </c>
      <c r="AC65" s="658"/>
      <c r="AD65" s="105"/>
      <c r="AE65" s="661"/>
      <c r="AF65" s="667"/>
      <c r="AG65" s="670"/>
      <c r="AH65" s="106"/>
      <c r="AI65" s="107"/>
      <c r="AJ65" s="673"/>
      <c r="AK65" s="108"/>
      <c r="AL65" s="109"/>
      <c r="AM65" s="92">
        <f t="shared" si="104"/>
        <v>0</v>
      </c>
      <c r="AN65" s="93">
        <f t="shared" si="104"/>
        <v>0</v>
      </c>
      <c r="AO65" s="93">
        <f t="shared" si="104"/>
        <v>0</v>
      </c>
      <c r="AP65" s="93">
        <f t="shared" si="104"/>
        <v>0</v>
      </c>
      <c r="AQ65" s="93">
        <f t="shared" si="104"/>
        <v>0</v>
      </c>
      <c r="AR65" s="93">
        <f t="shared" si="104"/>
        <v>0</v>
      </c>
      <c r="AS65" s="93">
        <f t="shared" si="104"/>
        <v>0</v>
      </c>
      <c r="AT65" s="93">
        <f t="shared" si="104"/>
        <v>0</v>
      </c>
      <c r="AU65" s="93">
        <f t="shared" si="104"/>
        <v>0</v>
      </c>
      <c r="AV65" s="93">
        <f t="shared" si="104"/>
        <v>0</v>
      </c>
      <c r="AW65" s="93">
        <f t="shared" ca="1" si="104"/>
        <v>0</v>
      </c>
      <c r="BB65" s="94" t="e">
        <v>#REF!</v>
      </c>
    </row>
    <row r="66" spans="1:54" s="20" customFormat="1" ht="18" customHeight="1">
      <c r="A66" s="644"/>
      <c r="B66" s="110"/>
      <c r="C66" s="653"/>
      <c r="D66" s="111" t="str">
        <f>D64</f>
        <v>ELE</v>
      </c>
      <c r="E66" s="112" t="str">
        <f>E64</f>
        <v>RFQ-019</v>
      </c>
      <c r="F66" s="113" t="str">
        <f t="shared" ref="F66" si="115">F64</f>
        <v>N</v>
      </c>
      <c r="G66" s="656"/>
      <c r="H66" s="113" t="str">
        <f t="shared" ref="H66:I66" si="116">H64</f>
        <v>Navigation Aid System</v>
      </c>
      <c r="I66" s="112" t="str">
        <f t="shared" si="116"/>
        <v>LB</v>
      </c>
      <c r="J66" s="113"/>
      <c r="K66" s="114"/>
      <c r="L66" s="114"/>
      <c r="M66" s="114">
        <v>1.5E-3</v>
      </c>
      <c r="N66" s="112"/>
      <c r="O66" s="112"/>
      <c r="P66" s="112"/>
      <c r="Q66" s="115" t="s">
        <v>4842</v>
      </c>
      <c r="R66" s="115"/>
      <c r="S66" s="126"/>
      <c r="T66" s="126"/>
      <c r="U66" s="126"/>
      <c r="V66" s="126"/>
      <c r="W66" s="126"/>
      <c r="X66" s="126"/>
      <c r="Y66" s="126"/>
      <c r="Z66" s="126"/>
      <c r="AA66" s="126"/>
      <c r="AB66" s="126"/>
      <c r="AC66" s="659"/>
      <c r="AD66" s="116"/>
      <c r="AE66" s="661"/>
      <c r="AF66" s="668"/>
      <c r="AG66" s="671"/>
      <c r="AH66" s="117"/>
      <c r="AI66" s="118"/>
      <c r="AJ66" s="674"/>
      <c r="AK66" s="119"/>
      <c r="AL66" s="120"/>
      <c r="AM66" s="121">
        <f t="shared" si="104"/>
        <v>0</v>
      </c>
      <c r="AN66" s="122">
        <f t="shared" si="104"/>
        <v>0</v>
      </c>
      <c r="AO66" s="122">
        <f t="shared" si="104"/>
        <v>0</v>
      </c>
      <c r="AP66" s="122">
        <f t="shared" si="104"/>
        <v>0</v>
      </c>
      <c r="AQ66" s="122">
        <f t="shared" si="104"/>
        <v>0</v>
      </c>
      <c r="AR66" s="122">
        <f t="shared" si="104"/>
        <v>0</v>
      </c>
      <c r="AS66" s="122">
        <f t="shared" si="104"/>
        <v>0</v>
      </c>
      <c r="AT66" s="122">
        <f t="shared" si="104"/>
        <v>0</v>
      </c>
      <c r="AU66" s="122">
        <f t="shared" si="104"/>
        <v>0</v>
      </c>
      <c r="AV66" s="122">
        <f t="shared" si="104"/>
        <v>0</v>
      </c>
      <c r="AW66" s="122">
        <f t="shared" ca="1" si="104"/>
        <v>0</v>
      </c>
      <c r="BB66" s="94" t="e">
        <v>#REF!</v>
      </c>
    </row>
    <row r="67" spans="1:54" s="20" customFormat="1" ht="18" customHeight="1">
      <c r="A67" s="642">
        <f t="shared" ref="A67" si="117">A64+1</f>
        <v>20</v>
      </c>
      <c r="B67" s="79"/>
      <c r="C67" s="651" t="s">
        <v>4836</v>
      </c>
      <c r="D67" s="80" t="s">
        <v>4863</v>
      </c>
      <c r="E67" s="81" t="s">
        <v>4757</v>
      </c>
      <c r="F67" s="82" t="s">
        <v>60</v>
      </c>
      <c r="G67" s="654" t="s">
        <v>4867</v>
      </c>
      <c r="H67" s="82" t="s">
        <v>136</v>
      </c>
      <c r="I67" s="81" t="s">
        <v>8</v>
      </c>
      <c r="J67" s="82"/>
      <c r="K67" s="84">
        <f>M69</f>
        <v>5.0000000000000001E-4</v>
      </c>
      <c r="L67" s="84"/>
      <c r="M67" s="84"/>
      <c r="N67" s="81"/>
      <c r="O67" s="81"/>
      <c r="P67" s="81"/>
      <c r="Q67" s="85" t="s">
        <v>4839</v>
      </c>
      <c r="R67" s="86">
        <f>'Before Award'!U74+5</f>
        <v>46274</v>
      </c>
      <c r="S67" s="86" t="e">
        <f>WORKDAY(R67,INDEX(S$2:S$5,MATCH($I67,$I$2:$I$5,0)),$BB$10:$BB$141)</f>
        <v>#REF!</v>
      </c>
      <c r="T67" s="86" t="e">
        <f>WORKDAY(S67,INDEX(T$2:T$5,MATCH($I67,$I$2:$I$5,0)),$BB$10:$BB$141)</f>
        <v>#REF!</v>
      </c>
      <c r="U67" s="86" t="e">
        <f>T67+30</f>
        <v>#REF!</v>
      </c>
      <c r="V67" s="86"/>
      <c r="W67" s="86">
        <f>AB67-35</f>
        <v>46486</v>
      </c>
      <c r="X67" s="86"/>
      <c r="Y67" s="86"/>
      <c r="Z67" s="86"/>
      <c r="AA67" s="86"/>
      <c r="AB67" s="86">
        <f>'Before Award'!X74</f>
        <v>46521</v>
      </c>
      <c r="AC67" s="657" t="s">
        <v>4840</v>
      </c>
      <c r="AD67" s="87">
        <v>14</v>
      </c>
      <c r="AE67" s="661">
        <f>36*7</f>
        <v>252</v>
      </c>
      <c r="AF67" s="666" t="e">
        <f>AB68</f>
        <v>#REF!</v>
      </c>
      <c r="AG67" s="669">
        <f>WORKDAY(AH67+1,-1,$BA$10:$BA$141)</f>
        <v>46521</v>
      </c>
      <c r="AH67" s="88">
        <v>46522</v>
      </c>
      <c r="AI67" s="89"/>
      <c r="AJ67" s="672" t="e">
        <f>AG67-AF67</f>
        <v>#REF!</v>
      </c>
      <c r="AK67" s="90"/>
      <c r="AL67" s="91"/>
      <c r="AM67" s="92">
        <f t="shared" si="104"/>
        <v>0</v>
      </c>
      <c r="AN67" s="93">
        <f t="shared" si="104"/>
        <v>0</v>
      </c>
      <c r="AO67" s="93">
        <f t="shared" si="104"/>
        <v>0</v>
      </c>
      <c r="AP67" s="93">
        <f t="shared" si="104"/>
        <v>0</v>
      </c>
      <c r="AQ67" s="93">
        <f t="shared" si="104"/>
        <v>0</v>
      </c>
      <c r="AR67" s="93">
        <f t="shared" si="104"/>
        <v>0</v>
      </c>
      <c r="AS67" s="93">
        <f t="shared" si="104"/>
        <v>0</v>
      </c>
      <c r="AT67" s="93">
        <f t="shared" si="104"/>
        <v>0</v>
      </c>
      <c r="AU67" s="93">
        <f t="shared" si="104"/>
        <v>0</v>
      </c>
      <c r="AV67" s="93">
        <f t="shared" si="104"/>
        <v>0</v>
      </c>
      <c r="AW67" s="93">
        <f t="shared" ca="1" si="104"/>
        <v>0</v>
      </c>
      <c r="BB67" s="94" t="e">
        <v>#REF!</v>
      </c>
    </row>
    <row r="68" spans="1:54" s="20" customFormat="1" ht="18" customHeight="1">
      <c r="A68" s="643"/>
      <c r="B68" s="95"/>
      <c r="C68" s="652"/>
      <c r="D68" s="96" t="str">
        <f t="shared" ref="D68:F68" si="118">D67</f>
        <v>ELE</v>
      </c>
      <c r="E68" s="97" t="str">
        <f t="shared" si="118"/>
        <v>RFQ-020</v>
      </c>
      <c r="F68" s="98" t="str">
        <f t="shared" si="118"/>
        <v>Y</v>
      </c>
      <c r="G68" s="655"/>
      <c r="H68" s="98" t="str">
        <f t="shared" ref="H68:I68" si="119">H67</f>
        <v>External Battery Charger</v>
      </c>
      <c r="I68" s="97" t="str">
        <f t="shared" si="119"/>
        <v>LC</v>
      </c>
      <c r="J68" s="98"/>
      <c r="K68" s="100"/>
      <c r="L68" s="100">
        <f>M69</f>
        <v>5.0000000000000001E-4</v>
      </c>
      <c r="M68" s="100"/>
      <c r="N68" s="97"/>
      <c r="O68" s="97"/>
      <c r="P68" s="97"/>
      <c r="Q68" s="101" t="s">
        <v>4841</v>
      </c>
      <c r="R68" s="102">
        <f>R67</f>
        <v>46274</v>
      </c>
      <c r="S68" s="102" t="e">
        <f>S67</f>
        <v>#REF!</v>
      </c>
      <c r="T68" s="103" t="e">
        <f>T67</f>
        <v>#REF!</v>
      </c>
      <c r="U68" s="103" t="e">
        <f t="shared" ref="U68:Z68" si="120">WORKDAY(IF(T69="",T68,T69),INDEX(U$2:U$5,MATCH($I67,$I$2:$I$5,0)),$BB$10:$BB$141)</f>
        <v>#REF!</v>
      </c>
      <c r="V68" s="103" t="e">
        <f t="shared" si="120"/>
        <v>#REF!</v>
      </c>
      <c r="W68" s="103" t="e">
        <f t="shared" si="120"/>
        <v>#REF!</v>
      </c>
      <c r="X68" s="103" t="e">
        <f t="shared" si="120"/>
        <v>#REF!</v>
      </c>
      <c r="Y68" s="103" t="e">
        <f t="shared" si="120"/>
        <v>#REF!</v>
      </c>
      <c r="Z68" s="103" t="e">
        <f t="shared" si="120"/>
        <v>#REF!</v>
      </c>
      <c r="AA68" s="103" t="e">
        <f>WORKDAY(IF(Z69="",X68,Z69),INDEX(AA$2:AA$5,MATCH($I67,$I$2:$I$5,0)),$BB$10:$BB$141)</f>
        <v>#REF!</v>
      </c>
      <c r="AB68" s="104" t="e">
        <f>WORKDAY(AE67+#REF!,0,'[35]Equipment List and MR List (3)'!$A$2:$A$80)</f>
        <v>#REF!</v>
      </c>
      <c r="AC68" s="658"/>
      <c r="AD68" s="105"/>
      <c r="AE68" s="661"/>
      <c r="AF68" s="667"/>
      <c r="AG68" s="670"/>
      <c r="AH68" s="106"/>
      <c r="AI68" s="107"/>
      <c r="AJ68" s="673"/>
      <c r="AK68" s="108"/>
      <c r="AL68" s="109"/>
      <c r="AM68" s="92">
        <f t="shared" si="104"/>
        <v>0</v>
      </c>
      <c r="AN68" s="93">
        <f t="shared" si="104"/>
        <v>0</v>
      </c>
      <c r="AO68" s="93">
        <f t="shared" si="104"/>
        <v>0</v>
      </c>
      <c r="AP68" s="93">
        <f t="shared" si="104"/>
        <v>0</v>
      </c>
      <c r="AQ68" s="93">
        <f t="shared" si="104"/>
        <v>0</v>
      </c>
      <c r="AR68" s="93">
        <f t="shared" si="104"/>
        <v>0</v>
      </c>
      <c r="AS68" s="93">
        <f t="shared" si="104"/>
        <v>0</v>
      </c>
      <c r="AT68" s="93">
        <f t="shared" si="104"/>
        <v>0</v>
      </c>
      <c r="AU68" s="93">
        <f t="shared" si="104"/>
        <v>0</v>
      </c>
      <c r="AV68" s="93">
        <f t="shared" si="104"/>
        <v>0</v>
      </c>
      <c r="AW68" s="93">
        <f t="shared" ca="1" si="104"/>
        <v>0</v>
      </c>
      <c r="BB68" s="94" t="e">
        <v>#REF!</v>
      </c>
    </row>
    <row r="69" spans="1:54" s="20" customFormat="1" ht="18" customHeight="1">
      <c r="A69" s="644"/>
      <c r="B69" s="110"/>
      <c r="C69" s="653"/>
      <c r="D69" s="111" t="str">
        <f>D67</f>
        <v>ELE</v>
      </c>
      <c r="E69" s="112" t="str">
        <f>E67</f>
        <v>RFQ-020</v>
      </c>
      <c r="F69" s="113" t="str">
        <f t="shared" ref="F69" si="121">F67</f>
        <v>Y</v>
      </c>
      <c r="G69" s="656"/>
      <c r="H69" s="113" t="str">
        <f t="shared" ref="H69:I69" si="122">H67</f>
        <v>External Battery Charger</v>
      </c>
      <c r="I69" s="112" t="str">
        <f t="shared" si="122"/>
        <v>LC</v>
      </c>
      <c r="J69" s="113"/>
      <c r="K69" s="114"/>
      <c r="L69" s="114"/>
      <c r="M69" s="114">
        <v>5.0000000000000001E-4</v>
      </c>
      <c r="N69" s="112"/>
      <c r="O69" s="112"/>
      <c r="P69" s="112"/>
      <c r="Q69" s="115" t="s">
        <v>4842</v>
      </c>
      <c r="R69" s="115"/>
      <c r="S69" s="126"/>
      <c r="T69" s="126"/>
      <c r="U69" s="126"/>
      <c r="V69" s="126"/>
      <c r="W69" s="126"/>
      <c r="X69" s="126"/>
      <c r="Y69" s="126"/>
      <c r="Z69" s="126"/>
      <c r="AA69" s="126"/>
      <c r="AB69" s="126"/>
      <c r="AC69" s="659"/>
      <c r="AD69" s="116"/>
      <c r="AE69" s="661"/>
      <c r="AF69" s="668"/>
      <c r="AG69" s="671"/>
      <c r="AH69" s="117"/>
      <c r="AI69" s="118"/>
      <c r="AJ69" s="674"/>
      <c r="AK69" s="119"/>
      <c r="AL69" s="120"/>
      <c r="AM69" s="121">
        <f t="shared" si="104"/>
        <v>0</v>
      </c>
      <c r="AN69" s="122">
        <f t="shared" si="104"/>
        <v>0</v>
      </c>
      <c r="AO69" s="122">
        <f t="shared" si="104"/>
        <v>0</v>
      </c>
      <c r="AP69" s="122">
        <f t="shared" si="104"/>
        <v>0</v>
      </c>
      <c r="AQ69" s="122">
        <f t="shared" si="104"/>
        <v>0</v>
      </c>
      <c r="AR69" s="122">
        <f t="shared" si="104"/>
        <v>0</v>
      </c>
      <c r="AS69" s="122">
        <f t="shared" si="104"/>
        <v>0</v>
      </c>
      <c r="AT69" s="122">
        <f t="shared" si="104"/>
        <v>0</v>
      </c>
      <c r="AU69" s="122">
        <f t="shared" si="104"/>
        <v>0</v>
      </c>
      <c r="AV69" s="122">
        <f t="shared" si="104"/>
        <v>0</v>
      </c>
      <c r="AW69" s="122">
        <f t="shared" ca="1" si="104"/>
        <v>0</v>
      </c>
      <c r="BB69" s="94" t="e">
        <v>#REF!</v>
      </c>
    </row>
    <row r="70" spans="1:54" s="20" customFormat="1" ht="18" customHeight="1">
      <c r="A70" s="642">
        <f t="shared" ref="A70" si="123">A67+1</f>
        <v>21</v>
      </c>
      <c r="B70" s="79"/>
      <c r="C70" s="651" t="s">
        <v>4836</v>
      </c>
      <c r="D70" s="80" t="s">
        <v>4868</v>
      </c>
      <c r="E70" s="81" t="s">
        <v>4758</v>
      </c>
      <c r="F70" s="82" t="s">
        <v>71</v>
      </c>
      <c r="G70" s="654" t="s">
        <v>4869</v>
      </c>
      <c r="H70" s="82" t="s">
        <v>138</v>
      </c>
      <c r="I70" s="81" t="s">
        <v>7</v>
      </c>
      <c r="J70" s="82"/>
      <c r="K70" s="84">
        <f>M72</f>
        <v>0.01</v>
      </c>
      <c r="L70" s="84"/>
      <c r="M70" s="84"/>
      <c r="N70" s="81"/>
      <c r="O70" s="81"/>
      <c r="P70" s="81"/>
      <c r="Q70" s="85" t="s">
        <v>4839</v>
      </c>
      <c r="R70" s="86">
        <f>'Before Award'!U77+5</f>
        <v>46340</v>
      </c>
      <c r="S70" s="86" t="e">
        <f>WORKDAY(R70,INDEX(S$2:S$5,MATCH($I70,$I$2:$I$5,0)),$BB$10:$BB$141)</f>
        <v>#REF!</v>
      </c>
      <c r="T70" s="86" t="e">
        <f>WORKDAY(S70,INDEX(T$2:T$5,MATCH($I70,$I$2:$I$5,0)),$BB$10:$BB$141)</f>
        <v>#REF!</v>
      </c>
      <c r="U70" s="86" t="e">
        <f>T70+30</f>
        <v>#REF!</v>
      </c>
      <c r="V70" s="86"/>
      <c r="W70" s="86">
        <f>AB70-35</f>
        <v>46500</v>
      </c>
      <c r="X70" s="86"/>
      <c r="Y70" s="86"/>
      <c r="Z70" s="86"/>
      <c r="AA70" s="86"/>
      <c r="AB70" s="86">
        <f>'Before Award'!X77</f>
        <v>46535</v>
      </c>
      <c r="AC70" s="657" t="s">
        <v>4840</v>
      </c>
      <c r="AD70" s="87">
        <v>7</v>
      </c>
      <c r="AE70" s="661">
        <v>200</v>
      </c>
      <c r="AF70" s="666" t="e">
        <f>AB71</f>
        <v>#REF!</v>
      </c>
      <c r="AG70" s="669">
        <f>WORKDAY(AH70+1,-1,$BA$10:$BA$141)</f>
        <v>46535</v>
      </c>
      <c r="AH70" s="88">
        <v>46537</v>
      </c>
      <c r="AI70" s="89"/>
      <c r="AJ70" s="672" t="e">
        <f>AG70-AF70</f>
        <v>#REF!</v>
      </c>
      <c r="AK70" s="90"/>
      <c r="AL70" s="91"/>
      <c r="AM70" s="92">
        <f t="shared" ref="AM70:AW79" si="124">IF(ISERROR(LOOKUP(AM$6,$S70:$AB70,$S$9:$AB$9)),0,(LOOKUP(AM$6,$S70:$AB70,$S$9:$AB$9)))</f>
        <v>0</v>
      </c>
      <c r="AN70" s="93">
        <f t="shared" si="124"/>
        <v>0</v>
      </c>
      <c r="AO70" s="93">
        <f t="shared" si="124"/>
        <v>0</v>
      </c>
      <c r="AP70" s="93">
        <f t="shared" si="124"/>
        <v>0</v>
      </c>
      <c r="AQ70" s="93">
        <f t="shared" si="124"/>
        <v>0</v>
      </c>
      <c r="AR70" s="93">
        <f t="shared" si="124"/>
        <v>0</v>
      </c>
      <c r="AS70" s="93">
        <f t="shared" si="124"/>
        <v>0</v>
      </c>
      <c r="AT70" s="93">
        <f t="shared" si="124"/>
        <v>0</v>
      </c>
      <c r="AU70" s="93">
        <f t="shared" si="124"/>
        <v>0</v>
      </c>
      <c r="AV70" s="93">
        <f t="shared" si="124"/>
        <v>0</v>
      </c>
      <c r="AW70" s="93">
        <f t="shared" ca="1" si="124"/>
        <v>0</v>
      </c>
      <c r="BB70" s="94" t="e">
        <v>#REF!</v>
      </c>
    </row>
    <row r="71" spans="1:54" s="20" customFormat="1" ht="18" customHeight="1">
      <c r="A71" s="643"/>
      <c r="B71" s="95"/>
      <c r="C71" s="652"/>
      <c r="D71" s="96" t="str">
        <f>D70</f>
        <v>INS</v>
      </c>
      <c r="E71" s="97" t="str">
        <f t="shared" ref="E71:F71" si="125">E70</f>
        <v>RFQ-021</v>
      </c>
      <c r="F71" s="98" t="str">
        <f t="shared" si="125"/>
        <v>N</v>
      </c>
      <c r="G71" s="655"/>
      <c r="H71" s="98" t="str">
        <f t="shared" ref="H71:I71" si="126">H70</f>
        <v>Control Valve</v>
      </c>
      <c r="I71" s="97" t="str">
        <f t="shared" si="126"/>
        <v>LB</v>
      </c>
      <c r="J71" s="98"/>
      <c r="K71" s="100"/>
      <c r="L71" s="100">
        <f>M72</f>
        <v>0.01</v>
      </c>
      <c r="M71" s="100"/>
      <c r="N71" s="97"/>
      <c r="O71" s="97"/>
      <c r="P71" s="97"/>
      <c r="Q71" s="101" t="s">
        <v>4841</v>
      </c>
      <c r="R71" s="101"/>
      <c r="S71" s="102" t="e">
        <f>S70</f>
        <v>#REF!</v>
      </c>
      <c r="T71" s="103" t="e">
        <f>T70</f>
        <v>#REF!</v>
      </c>
      <c r="U71" s="103" t="e">
        <f t="shared" ref="U71:Z71" si="127">WORKDAY(IF(T72="",T71,T72),INDEX(U$2:U$5,MATCH($I70,$I$2:$I$5,0)),$BB$10:$BB$141)</f>
        <v>#REF!</v>
      </c>
      <c r="V71" s="103" t="e">
        <f t="shared" si="127"/>
        <v>#REF!</v>
      </c>
      <c r="W71" s="103" t="e">
        <f t="shared" si="127"/>
        <v>#REF!</v>
      </c>
      <c r="X71" s="103" t="e">
        <f t="shared" si="127"/>
        <v>#REF!</v>
      </c>
      <c r="Y71" s="103" t="e">
        <f t="shared" si="127"/>
        <v>#REF!</v>
      </c>
      <c r="Z71" s="103" t="e">
        <f t="shared" si="127"/>
        <v>#REF!</v>
      </c>
      <c r="AA71" s="103" t="e">
        <f>WORKDAY(IF(Z72="",X71,Z72),INDEX(AA$2:AA$5,MATCH($I70,$I$2:$I$5,0)),$BB$10:$BB$141)</f>
        <v>#REF!</v>
      </c>
      <c r="AB71" s="104" t="e">
        <f>WORKDAY(AE70+#REF!,0,'[35]Equipment List and MR List (3)'!$A$2:$A$80)</f>
        <v>#REF!</v>
      </c>
      <c r="AC71" s="658"/>
      <c r="AD71" s="105"/>
      <c r="AE71" s="661"/>
      <c r="AF71" s="667"/>
      <c r="AG71" s="670"/>
      <c r="AH71" s="106"/>
      <c r="AI71" s="107"/>
      <c r="AJ71" s="673"/>
      <c r="AK71" s="108"/>
      <c r="AL71" s="109"/>
      <c r="AM71" s="92">
        <f t="shared" si="124"/>
        <v>0</v>
      </c>
      <c r="AN71" s="93">
        <f t="shared" si="124"/>
        <v>0</v>
      </c>
      <c r="AO71" s="93">
        <f t="shared" si="124"/>
        <v>0</v>
      </c>
      <c r="AP71" s="93">
        <f t="shared" si="124"/>
        <v>0</v>
      </c>
      <c r="AQ71" s="93">
        <f t="shared" si="124"/>
        <v>0</v>
      </c>
      <c r="AR71" s="93">
        <f t="shared" si="124"/>
        <v>0</v>
      </c>
      <c r="AS71" s="93">
        <f t="shared" si="124"/>
        <v>0</v>
      </c>
      <c r="AT71" s="93">
        <f t="shared" si="124"/>
        <v>0</v>
      </c>
      <c r="AU71" s="93">
        <f t="shared" si="124"/>
        <v>0</v>
      </c>
      <c r="AV71" s="93">
        <f t="shared" si="124"/>
        <v>0</v>
      </c>
      <c r="AW71" s="93">
        <f t="shared" ca="1" si="124"/>
        <v>0</v>
      </c>
      <c r="BB71" s="94" t="e">
        <v>#REF!</v>
      </c>
    </row>
    <row r="72" spans="1:54" s="20" customFormat="1" ht="18" customHeight="1">
      <c r="A72" s="644"/>
      <c r="B72" s="110"/>
      <c r="C72" s="653"/>
      <c r="D72" s="111" t="str">
        <f>D70</f>
        <v>INS</v>
      </c>
      <c r="E72" s="112" t="str">
        <f>E70</f>
        <v>RFQ-021</v>
      </c>
      <c r="F72" s="113" t="str">
        <f t="shared" ref="F72" si="128">F70</f>
        <v>N</v>
      </c>
      <c r="G72" s="656"/>
      <c r="H72" s="113" t="str">
        <f t="shared" ref="H72:I72" si="129">H70</f>
        <v>Control Valve</v>
      </c>
      <c r="I72" s="112" t="str">
        <f t="shared" si="129"/>
        <v>LB</v>
      </c>
      <c r="J72" s="113"/>
      <c r="K72" s="114"/>
      <c r="L72" s="114"/>
      <c r="M72" s="114">
        <v>0.01</v>
      </c>
      <c r="N72" s="112"/>
      <c r="O72" s="112"/>
      <c r="P72" s="112"/>
      <c r="Q72" s="115" t="s">
        <v>4842</v>
      </c>
      <c r="R72" s="115"/>
      <c r="S72" s="126"/>
      <c r="T72" s="126"/>
      <c r="U72" s="126"/>
      <c r="V72" s="126"/>
      <c r="W72" s="126"/>
      <c r="X72" s="126"/>
      <c r="Y72" s="126"/>
      <c r="Z72" s="126"/>
      <c r="AA72" s="126"/>
      <c r="AB72" s="126"/>
      <c r="AC72" s="659"/>
      <c r="AD72" s="116"/>
      <c r="AE72" s="661"/>
      <c r="AF72" s="668"/>
      <c r="AG72" s="671"/>
      <c r="AH72" s="117"/>
      <c r="AI72" s="118"/>
      <c r="AJ72" s="674"/>
      <c r="AK72" s="119"/>
      <c r="AL72" s="120"/>
      <c r="AM72" s="121">
        <f t="shared" si="124"/>
        <v>0</v>
      </c>
      <c r="AN72" s="122">
        <f t="shared" si="124"/>
        <v>0</v>
      </c>
      <c r="AO72" s="122">
        <f t="shared" si="124"/>
        <v>0</v>
      </c>
      <c r="AP72" s="122">
        <f t="shared" si="124"/>
        <v>0</v>
      </c>
      <c r="AQ72" s="122">
        <f t="shared" si="124"/>
        <v>0</v>
      </c>
      <c r="AR72" s="122">
        <f t="shared" si="124"/>
        <v>0</v>
      </c>
      <c r="AS72" s="122">
        <f t="shared" si="124"/>
        <v>0</v>
      </c>
      <c r="AT72" s="122">
        <f t="shared" si="124"/>
        <v>0</v>
      </c>
      <c r="AU72" s="122">
        <f t="shared" si="124"/>
        <v>0</v>
      </c>
      <c r="AV72" s="122">
        <f t="shared" si="124"/>
        <v>0</v>
      </c>
      <c r="AW72" s="122">
        <f t="shared" ca="1" si="124"/>
        <v>0</v>
      </c>
      <c r="BB72" s="94" t="e">
        <v>#REF!</v>
      </c>
    </row>
    <row r="73" spans="1:54" s="20" customFormat="1" ht="18" customHeight="1">
      <c r="A73" s="642">
        <f t="shared" ref="A73" si="130">A70+1</f>
        <v>22</v>
      </c>
      <c r="B73" s="79"/>
      <c r="C73" s="651" t="s">
        <v>4836</v>
      </c>
      <c r="D73" s="80" t="s">
        <v>4868</v>
      </c>
      <c r="E73" s="81" t="s">
        <v>4759</v>
      </c>
      <c r="F73" s="82" t="s">
        <v>71</v>
      </c>
      <c r="G73" s="654" t="s">
        <v>4869</v>
      </c>
      <c r="H73" s="82" t="s">
        <v>143</v>
      </c>
      <c r="I73" s="81" t="s">
        <v>7</v>
      </c>
      <c r="J73" s="82"/>
      <c r="K73" s="84">
        <f>M75</f>
        <v>0.01</v>
      </c>
      <c r="L73" s="84"/>
      <c r="M73" s="84"/>
      <c r="N73" s="81"/>
      <c r="O73" s="81"/>
      <c r="P73" s="81"/>
      <c r="Q73" s="85" t="s">
        <v>4839</v>
      </c>
      <c r="R73" s="86">
        <f>'Before Award'!U80+5</f>
        <v>46343</v>
      </c>
      <c r="S73" s="86" t="e">
        <f>WORKDAY(R73,INDEX(S$2:S$5,MATCH($I73,$I$2:$I$5,0)),$BB$10:$BB$141)</f>
        <v>#REF!</v>
      </c>
      <c r="T73" s="86" t="e">
        <f>WORKDAY(S73,INDEX(T$2:T$5,MATCH($I73,$I$2:$I$5,0)),$BB$10:$BB$141)</f>
        <v>#REF!</v>
      </c>
      <c r="U73" s="86" t="e">
        <f>T73+30</f>
        <v>#REF!</v>
      </c>
      <c r="V73" s="86"/>
      <c r="W73" s="86">
        <f>AB73-35</f>
        <v>46503</v>
      </c>
      <c r="X73" s="86"/>
      <c r="Y73" s="86"/>
      <c r="Z73" s="86"/>
      <c r="AA73" s="86"/>
      <c r="AB73" s="86">
        <f>'Before Award'!X80</f>
        <v>46538</v>
      </c>
      <c r="AC73" s="657" t="s">
        <v>4840</v>
      </c>
      <c r="AD73" s="87">
        <v>7</v>
      </c>
      <c r="AE73" s="661">
        <v>200</v>
      </c>
      <c r="AF73" s="666" t="e">
        <f>AB74</f>
        <v>#REF!</v>
      </c>
      <c r="AG73" s="669">
        <f>WORKDAY(AH73+1,-1,$BA$10:$BA$141)</f>
        <v>46538</v>
      </c>
      <c r="AH73" s="88">
        <v>46538</v>
      </c>
      <c r="AI73" s="89"/>
      <c r="AJ73" s="672" t="e">
        <f>AG73-AF73</f>
        <v>#REF!</v>
      </c>
      <c r="AK73" s="90"/>
      <c r="AL73" s="91"/>
      <c r="AM73" s="92">
        <f t="shared" si="124"/>
        <v>0</v>
      </c>
      <c r="AN73" s="93">
        <f t="shared" si="124"/>
        <v>0</v>
      </c>
      <c r="AO73" s="93">
        <f t="shared" si="124"/>
        <v>0</v>
      </c>
      <c r="AP73" s="93">
        <f t="shared" si="124"/>
        <v>0</v>
      </c>
      <c r="AQ73" s="93">
        <f t="shared" si="124"/>
        <v>0</v>
      </c>
      <c r="AR73" s="93">
        <f t="shared" si="124"/>
        <v>0</v>
      </c>
      <c r="AS73" s="93">
        <f t="shared" si="124"/>
        <v>0</v>
      </c>
      <c r="AT73" s="93">
        <f t="shared" si="124"/>
        <v>0</v>
      </c>
      <c r="AU73" s="93">
        <f t="shared" si="124"/>
        <v>0</v>
      </c>
      <c r="AV73" s="93">
        <f t="shared" si="124"/>
        <v>0</v>
      </c>
      <c r="AW73" s="93">
        <f t="shared" ca="1" si="124"/>
        <v>0</v>
      </c>
      <c r="BB73" s="94" t="e">
        <v>#REF!</v>
      </c>
    </row>
    <row r="74" spans="1:54" s="20" customFormat="1" ht="18" customHeight="1">
      <c r="A74" s="643"/>
      <c r="B74" s="95"/>
      <c r="C74" s="652"/>
      <c r="D74" s="96" t="str">
        <f>D73</f>
        <v>INS</v>
      </c>
      <c r="E74" s="97" t="str">
        <f t="shared" ref="E74:F74" si="131">E73</f>
        <v>RFQ-022</v>
      </c>
      <c r="F74" s="98" t="str">
        <f t="shared" si="131"/>
        <v>N</v>
      </c>
      <c r="G74" s="655"/>
      <c r="H74" s="98" t="str">
        <f t="shared" ref="H74:I74" si="132">H73</f>
        <v>Self Regulator Valve</v>
      </c>
      <c r="I74" s="97" t="str">
        <f t="shared" si="132"/>
        <v>LB</v>
      </c>
      <c r="J74" s="98"/>
      <c r="K74" s="100"/>
      <c r="L74" s="100">
        <f>M75</f>
        <v>0.01</v>
      </c>
      <c r="M74" s="100"/>
      <c r="N74" s="97"/>
      <c r="O74" s="97"/>
      <c r="P74" s="97"/>
      <c r="Q74" s="101" t="s">
        <v>4841</v>
      </c>
      <c r="R74" s="101"/>
      <c r="S74" s="102" t="e">
        <f>S73</f>
        <v>#REF!</v>
      </c>
      <c r="T74" s="103" t="e">
        <f>T73</f>
        <v>#REF!</v>
      </c>
      <c r="U74" s="103" t="e">
        <f t="shared" ref="U74:Z74" si="133">WORKDAY(IF(T75="",T74,T75),INDEX(U$2:U$5,MATCH($I73,$I$2:$I$5,0)),$BB$10:$BB$141)</f>
        <v>#REF!</v>
      </c>
      <c r="V74" s="103" t="e">
        <f t="shared" si="133"/>
        <v>#REF!</v>
      </c>
      <c r="W74" s="103" t="e">
        <f t="shared" si="133"/>
        <v>#REF!</v>
      </c>
      <c r="X74" s="103" t="e">
        <f t="shared" si="133"/>
        <v>#REF!</v>
      </c>
      <c r="Y74" s="103" t="e">
        <f t="shared" si="133"/>
        <v>#REF!</v>
      </c>
      <c r="Z74" s="103" t="e">
        <f t="shared" si="133"/>
        <v>#REF!</v>
      </c>
      <c r="AA74" s="103" t="e">
        <f>WORKDAY(IF(Z75="",X74,Z75),INDEX(AA$2:AA$5,MATCH($I73,$I$2:$I$5,0)),$BB$10:$BB$141)</f>
        <v>#REF!</v>
      </c>
      <c r="AB74" s="104" t="e">
        <f>WORKDAY(AE73+#REF!,0,'[35]Equipment List and MR List (3)'!$A$2:$A$80)</f>
        <v>#REF!</v>
      </c>
      <c r="AC74" s="658"/>
      <c r="AD74" s="105"/>
      <c r="AE74" s="661"/>
      <c r="AF74" s="667"/>
      <c r="AG74" s="670"/>
      <c r="AH74" s="106"/>
      <c r="AI74" s="107"/>
      <c r="AJ74" s="673"/>
      <c r="AK74" s="108"/>
      <c r="AL74" s="109"/>
      <c r="AM74" s="92">
        <f t="shared" si="124"/>
        <v>0</v>
      </c>
      <c r="AN74" s="93">
        <f t="shared" si="124"/>
        <v>0</v>
      </c>
      <c r="AO74" s="93">
        <f t="shared" si="124"/>
        <v>0</v>
      </c>
      <c r="AP74" s="93">
        <f t="shared" si="124"/>
        <v>0</v>
      </c>
      <c r="AQ74" s="93">
        <f t="shared" si="124"/>
        <v>0</v>
      </c>
      <c r="AR74" s="93">
        <f t="shared" si="124"/>
        <v>0</v>
      </c>
      <c r="AS74" s="93">
        <f t="shared" si="124"/>
        <v>0</v>
      </c>
      <c r="AT74" s="93">
        <f t="shared" si="124"/>
        <v>0</v>
      </c>
      <c r="AU74" s="93">
        <f t="shared" si="124"/>
        <v>0</v>
      </c>
      <c r="AV74" s="93">
        <f t="shared" si="124"/>
        <v>0</v>
      </c>
      <c r="AW74" s="93">
        <f t="shared" ca="1" si="124"/>
        <v>0</v>
      </c>
      <c r="BB74" s="94" t="e">
        <v>#REF!</v>
      </c>
    </row>
    <row r="75" spans="1:54" s="20" customFormat="1" ht="18" customHeight="1">
      <c r="A75" s="644"/>
      <c r="B75" s="110"/>
      <c r="C75" s="653"/>
      <c r="D75" s="111" t="str">
        <f>D73</f>
        <v>INS</v>
      </c>
      <c r="E75" s="112" t="str">
        <f>E73</f>
        <v>RFQ-022</v>
      </c>
      <c r="F75" s="113" t="str">
        <f t="shared" ref="F75" si="134">F73</f>
        <v>N</v>
      </c>
      <c r="G75" s="656"/>
      <c r="H75" s="113" t="str">
        <f t="shared" ref="H75:I75" si="135">H73</f>
        <v>Self Regulator Valve</v>
      </c>
      <c r="I75" s="112" t="str">
        <f t="shared" si="135"/>
        <v>LB</v>
      </c>
      <c r="J75" s="113"/>
      <c r="K75" s="114"/>
      <c r="L75" s="114"/>
      <c r="M75" s="114">
        <v>0.01</v>
      </c>
      <c r="N75" s="112"/>
      <c r="O75" s="112"/>
      <c r="P75" s="112"/>
      <c r="Q75" s="115" t="s">
        <v>4842</v>
      </c>
      <c r="R75" s="115"/>
      <c r="S75" s="126"/>
      <c r="T75" s="126"/>
      <c r="U75" s="126"/>
      <c r="V75" s="126"/>
      <c r="W75" s="126"/>
      <c r="X75" s="126"/>
      <c r="Y75" s="126"/>
      <c r="Z75" s="126"/>
      <c r="AA75" s="126"/>
      <c r="AB75" s="126"/>
      <c r="AC75" s="659"/>
      <c r="AD75" s="116"/>
      <c r="AE75" s="661"/>
      <c r="AF75" s="668"/>
      <c r="AG75" s="671"/>
      <c r="AH75" s="117"/>
      <c r="AI75" s="118"/>
      <c r="AJ75" s="674"/>
      <c r="AK75" s="119"/>
      <c r="AL75" s="120"/>
      <c r="AM75" s="121">
        <f t="shared" si="124"/>
        <v>0</v>
      </c>
      <c r="AN75" s="122">
        <f t="shared" si="124"/>
        <v>0</v>
      </c>
      <c r="AO75" s="122">
        <f t="shared" si="124"/>
        <v>0</v>
      </c>
      <c r="AP75" s="122">
        <f t="shared" si="124"/>
        <v>0</v>
      </c>
      <c r="AQ75" s="122">
        <f t="shared" si="124"/>
        <v>0</v>
      </c>
      <c r="AR75" s="122">
        <f t="shared" si="124"/>
        <v>0</v>
      </c>
      <c r="AS75" s="122">
        <f t="shared" si="124"/>
        <v>0</v>
      </c>
      <c r="AT75" s="122">
        <f t="shared" si="124"/>
        <v>0</v>
      </c>
      <c r="AU75" s="122">
        <f t="shared" si="124"/>
        <v>0</v>
      </c>
      <c r="AV75" s="122">
        <f t="shared" si="124"/>
        <v>0</v>
      </c>
      <c r="AW75" s="122">
        <f t="shared" ca="1" si="124"/>
        <v>0</v>
      </c>
      <c r="BB75" s="94" t="e">
        <v>#REF!</v>
      </c>
    </row>
    <row r="76" spans="1:54" s="20" customFormat="1" ht="18" customHeight="1">
      <c r="A76" s="642">
        <f t="shared" ref="A76" si="136">A73+1</f>
        <v>23</v>
      </c>
      <c r="B76" s="79"/>
      <c r="C76" s="651" t="s">
        <v>4836</v>
      </c>
      <c r="D76" s="80" t="s">
        <v>4868</v>
      </c>
      <c r="E76" s="81" t="s">
        <v>4760</v>
      </c>
      <c r="F76" s="82" t="s">
        <v>71</v>
      </c>
      <c r="G76" s="654" t="s">
        <v>4870</v>
      </c>
      <c r="H76" s="82" t="s">
        <v>146</v>
      </c>
      <c r="I76" s="81" t="s">
        <v>7</v>
      </c>
      <c r="J76" s="82"/>
      <c r="K76" s="84">
        <f>M78</f>
        <v>0.01</v>
      </c>
      <c r="L76" s="84"/>
      <c r="M76" s="84"/>
      <c r="N76" s="81"/>
      <c r="O76" s="81"/>
      <c r="P76" s="81"/>
      <c r="Q76" s="85" t="s">
        <v>4839</v>
      </c>
      <c r="R76" s="86">
        <f>'Before Award'!U83+5</f>
        <v>46235</v>
      </c>
      <c r="S76" s="86" t="e">
        <f>WORKDAY(R76,INDEX(S$2:S$5,MATCH($I76,$I$2:$I$5,0)),$BB$10:$BB$141)</f>
        <v>#REF!</v>
      </c>
      <c r="T76" s="86" t="e">
        <f>WORKDAY(S76,INDEX(T$2:T$5,MATCH($I76,$I$2:$I$5,0)),$BB$10:$BB$141)</f>
        <v>#REF!</v>
      </c>
      <c r="U76" s="86" t="e">
        <f>T76+30</f>
        <v>#REF!</v>
      </c>
      <c r="V76" s="86"/>
      <c r="W76" s="86">
        <f>AB76-35</f>
        <v>46503</v>
      </c>
      <c r="X76" s="86"/>
      <c r="Y76" s="86"/>
      <c r="Z76" s="86"/>
      <c r="AA76" s="86"/>
      <c r="AB76" s="86">
        <f>'Before Award'!X83</f>
        <v>46538</v>
      </c>
      <c r="AC76" s="657" t="s">
        <v>4840</v>
      </c>
      <c r="AD76" s="87">
        <v>7</v>
      </c>
      <c r="AE76" s="660">
        <f>44*7</f>
        <v>308</v>
      </c>
      <c r="AF76" s="666" t="e">
        <f>AB77</f>
        <v>#REF!</v>
      </c>
      <c r="AG76" s="669">
        <f>WORKDAY(AH76+1,-1,$BA$10:$BA$141)</f>
        <v>46538</v>
      </c>
      <c r="AH76" s="88">
        <v>46538</v>
      </c>
      <c r="AI76" s="89"/>
      <c r="AJ76" s="672" t="e">
        <f>AG76-AF76</f>
        <v>#REF!</v>
      </c>
      <c r="AK76" s="90"/>
      <c r="AL76" s="91"/>
      <c r="AM76" s="92">
        <f t="shared" si="124"/>
        <v>0</v>
      </c>
      <c r="AN76" s="93">
        <f t="shared" si="124"/>
        <v>0</v>
      </c>
      <c r="AO76" s="93">
        <f t="shared" si="124"/>
        <v>0</v>
      </c>
      <c r="AP76" s="93">
        <f t="shared" si="124"/>
        <v>0</v>
      </c>
      <c r="AQ76" s="93">
        <f t="shared" si="124"/>
        <v>0</v>
      </c>
      <c r="AR76" s="93">
        <f t="shared" si="124"/>
        <v>0</v>
      </c>
      <c r="AS76" s="93">
        <f t="shared" si="124"/>
        <v>0</v>
      </c>
      <c r="AT76" s="93">
        <f t="shared" si="124"/>
        <v>0</v>
      </c>
      <c r="AU76" s="93">
        <f t="shared" si="124"/>
        <v>0</v>
      </c>
      <c r="AV76" s="93">
        <f t="shared" si="124"/>
        <v>0</v>
      </c>
      <c r="AW76" s="93">
        <f t="shared" ca="1" si="124"/>
        <v>0</v>
      </c>
      <c r="BB76" s="94" t="e">
        <v>#REF!</v>
      </c>
    </row>
    <row r="77" spans="1:54" s="20" customFormat="1" ht="18" customHeight="1">
      <c r="A77" s="643"/>
      <c r="B77" s="95"/>
      <c r="C77" s="652"/>
      <c r="D77" s="96" t="str">
        <f>D76</f>
        <v>INS</v>
      </c>
      <c r="E77" s="97" t="str">
        <f t="shared" ref="E77:F77" si="137">E76</f>
        <v>RFQ-023</v>
      </c>
      <c r="F77" s="98" t="str">
        <f t="shared" si="137"/>
        <v>N</v>
      </c>
      <c r="G77" s="655"/>
      <c r="H77" s="98" t="str">
        <f t="shared" ref="H77:I77" si="138">H76</f>
        <v>Actuated Choke Valve</v>
      </c>
      <c r="I77" s="97" t="str">
        <f t="shared" si="138"/>
        <v>LB</v>
      </c>
      <c r="J77" s="98"/>
      <c r="K77" s="100"/>
      <c r="L77" s="100">
        <f>M78</f>
        <v>0.01</v>
      </c>
      <c r="M77" s="100"/>
      <c r="N77" s="97"/>
      <c r="O77" s="97"/>
      <c r="P77" s="97"/>
      <c r="Q77" s="101" t="s">
        <v>4841</v>
      </c>
      <c r="R77" s="101"/>
      <c r="S77" s="102" t="e">
        <f>S76</f>
        <v>#REF!</v>
      </c>
      <c r="T77" s="103" t="e">
        <f>T76</f>
        <v>#REF!</v>
      </c>
      <c r="U77" s="103" t="e">
        <f t="shared" ref="U77:Z77" si="139">WORKDAY(IF(T78="",T77,T78),INDEX(U$2:U$5,MATCH($I76,$I$2:$I$5,0)),$BB$10:$BB$141)</f>
        <v>#REF!</v>
      </c>
      <c r="V77" s="103" t="e">
        <f t="shared" si="139"/>
        <v>#REF!</v>
      </c>
      <c r="W77" s="103" t="e">
        <f t="shared" si="139"/>
        <v>#REF!</v>
      </c>
      <c r="X77" s="103" t="e">
        <f t="shared" si="139"/>
        <v>#REF!</v>
      </c>
      <c r="Y77" s="103" t="e">
        <f t="shared" si="139"/>
        <v>#REF!</v>
      </c>
      <c r="Z77" s="103" t="e">
        <f t="shared" si="139"/>
        <v>#REF!</v>
      </c>
      <c r="AA77" s="103" t="e">
        <f>WORKDAY(IF(Z78="",X77,Z78),INDEX(AA$2:AA$5,MATCH($I76,$I$2:$I$5,0)),$BB$10:$BB$141)</f>
        <v>#REF!</v>
      </c>
      <c r="AB77" s="104" t="e">
        <f>WORKDAY(AE76+#REF!,0,'[35]Equipment List and MR List (3)'!$A$2:$A$80)</f>
        <v>#REF!</v>
      </c>
      <c r="AC77" s="658"/>
      <c r="AD77" s="105"/>
      <c r="AE77" s="660"/>
      <c r="AF77" s="667"/>
      <c r="AG77" s="670"/>
      <c r="AH77" s="106"/>
      <c r="AI77" s="107"/>
      <c r="AJ77" s="673"/>
      <c r="AK77" s="108"/>
      <c r="AL77" s="109"/>
      <c r="AM77" s="92">
        <f t="shared" si="124"/>
        <v>0</v>
      </c>
      <c r="AN77" s="93">
        <f t="shared" si="124"/>
        <v>0</v>
      </c>
      <c r="AO77" s="93">
        <f t="shared" si="124"/>
        <v>0</v>
      </c>
      <c r="AP77" s="93">
        <f t="shared" si="124"/>
        <v>0</v>
      </c>
      <c r="AQ77" s="93">
        <f t="shared" si="124"/>
        <v>0</v>
      </c>
      <c r="AR77" s="93">
        <f t="shared" si="124"/>
        <v>0</v>
      </c>
      <c r="AS77" s="93">
        <f t="shared" si="124"/>
        <v>0</v>
      </c>
      <c r="AT77" s="93">
        <f t="shared" si="124"/>
        <v>0</v>
      </c>
      <c r="AU77" s="93">
        <f t="shared" si="124"/>
        <v>0</v>
      </c>
      <c r="AV77" s="93">
        <f t="shared" si="124"/>
        <v>0</v>
      </c>
      <c r="AW77" s="93">
        <f t="shared" ca="1" si="124"/>
        <v>0</v>
      </c>
      <c r="BB77" s="94" t="e">
        <v>#REF!</v>
      </c>
    </row>
    <row r="78" spans="1:54" s="20" customFormat="1" ht="18" customHeight="1">
      <c r="A78" s="644"/>
      <c r="B78" s="110"/>
      <c r="C78" s="653"/>
      <c r="D78" s="111" t="str">
        <f>D76</f>
        <v>INS</v>
      </c>
      <c r="E78" s="112" t="str">
        <f>E76</f>
        <v>RFQ-023</v>
      </c>
      <c r="F78" s="113" t="str">
        <f t="shared" ref="F78" si="140">F76</f>
        <v>N</v>
      </c>
      <c r="G78" s="656"/>
      <c r="H78" s="113" t="str">
        <f t="shared" ref="H78:I78" si="141">H76</f>
        <v>Actuated Choke Valve</v>
      </c>
      <c r="I78" s="112" t="str">
        <f t="shared" si="141"/>
        <v>LB</v>
      </c>
      <c r="J78" s="113"/>
      <c r="K78" s="114"/>
      <c r="L78" s="114"/>
      <c r="M78" s="114">
        <v>0.01</v>
      </c>
      <c r="N78" s="112"/>
      <c r="O78" s="112"/>
      <c r="P78" s="112"/>
      <c r="Q78" s="115" t="s">
        <v>4842</v>
      </c>
      <c r="R78" s="115"/>
      <c r="S78" s="126"/>
      <c r="T78" s="126"/>
      <c r="U78" s="126"/>
      <c r="V78" s="126"/>
      <c r="W78" s="126"/>
      <c r="X78" s="126"/>
      <c r="Y78" s="126"/>
      <c r="Z78" s="126"/>
      <c r="AA78" s="126"/>
      <c r="AB78" s="126"/>
      <c r="AC78" s="659"/>
      <c r="AD78" s="116"/>
      <c r="AE78" s="660"/>
      <c r="AF78" s="668"/>
      <c r="AG78" s="671"/>
      <c r="AH78" s="117"/>
      <c r="AI78" s="118"/>
      <c r="AJ78" s="674"/>
      <c r="AK78" s="119"/>
      <c r="AL78" s="120"/>
      <c r="AM78" s="121">
        <f t="shared" si="124"/>
        <v>0</v>
      </c>
      <c r="AN78" s="122">
        <f t="shared" si="124"/>
        <v>0</v>
      </c>
      <c r="AO78" s="122">
        <f t="shared" si="124"/>
        <v>0</v>
      </c>
      <c r="AP78" s="122">
        <f t="shared" si="124"/>
        <v>0</v>
      </c>
      <c r="AQ78" s="122">
        <f t="shared" si="124"/>
        <v>0</v>
      </c>
      <c r="AR78" s="122">
        <f t="shared" si="124"/>
        <v>0</v>
      </c>
      <c r="AS78" s="122">
        <f t="shared" si="124"/>
        <v>0</v>
      </c>
      <c r="AT78" s="122">
        <f t="shared" si="124"/>
        <v>0</v>
      </c>
      <c r="AU78" s="122">
        <f t="shared" si="124"/>
        <v>0</v>
      </c>
      <c r="AV78" s="122">
        <f t="shared" si="124"/>
        <v>0</v>
      </c>
      <c r="AW78" s="122">
        <f t="shared" ca="1" si="124"/>
        <v>0</v>
      </c>
      <c r="BB78" s="94" t="e">
        <v>#REF!</v>
      </c>
    </row>
    <row r="79" spans="1:54" s="20" customFormat="1" ht="18" customHeight="1">
      <c r="A79" s="642">
        <f t="shared" ref="A79" si="142">A76+1</f>
        <v>24</v>
      </c>
      <c r="B79" s="79"/>
      <c r="C79" s="651" t="s">
        <v>4836</v>
      </c>
      <c r="D79" s="80" t="s">
        <v>4868</v>
      </c>
      <c r="E79" s="81" t="s">
        <v>4761</v>
      </c>
      <c r="F79" s="82" t="s">
        <v>71</v>
      </c>
      <c r="G79" s="654" t="s">
        <v>4871</v>
      </c>
      <c r="H79" s="82" t="s">
        <v>149</v>
      </c>
      <c r="I79" s="81" t="s">
        <v>7</v>
      </c>
      <c r="J79" s="82"/>
      <c r="K79" s="84">
        <f>M81</f>
        <v>0.01</v>
      </c>
      <c r="L79" s="84"/>
      <c r="M79" s="84"/>
      <c r="N79" s="81"/>
      <c r="O79" s="81"/>
      <c r="P79" s="81"/>
      <c r="Q79" s="85" t="s">
        <v>4839</v>
      </c>
      <c r="R79" s="86">
        <f>'Before Award'!U86+5</f>
        <v>46291</v>
      </c>
      <c r="S79" s="86" t="e">
        <f>WORKDAY(R79,INDEX(S$2:S$5,MATCH($I79,$I$2:$I$5,0)),$BB$10:$BB$141)</f>
        <v>#REF!</v>
      </c>
      <c r="T79" s="86" t="e">
        <f>WORKDAY(S79,INDEX(T$2:T$5,MATCH($I79,$I$2:$I$5,0)),$BB$10:$BB$141)</f>
        <v>#REF!</v>
      </c>
      <c r="U79" s="86" t="e">
        <f>T79+30</f>
        <v>#REF!</v>
      </c>
      <c r="V79" s="86"/>
      <c r="W79" s="86">
        <f>AB79-35</f>
        <v>46503</v>
      </c>
      <c r="X79" s="86"/>
      <c r="Y79" s="86"/>
      <c r="Z79" s="86"/>
      <c r="AA79" s="86"/>
      <c r="AB79" s="86">
        <f>'Before Award'!X86</f>
        <v>46538</v>
      </c>
      <c r="AC79" s="657" t="s">
        <v>4840</v>
      </c>
      <c r="AD79" s="87">
        <v>7</v>
      </c>
      <c r="AE79" s="661">
        <f>36*7</f>
        <v>252</v>
      </c>
      <c r="AF79" s="666" t="e">
        <f>AB80</f>
        <v>#REF!</v>
      </c>
      <c r="AG79" s="669">
        <f>WORKDAY(AH79+1,-1,$BA$10:$BA$141)</f>
        <v>46538</v>
      </c>
      <c r="AH79" s="88">
        <v>46538</v>
      </c>
      <c r="AI79" s="89"/>
      <c r="AJ79" s="672" t="e">
        <f>AG79-AF79</f>
        <v>#REF!</v>
      </c>
      <c r="AK79" s="90"/>
      <c r="AL79" s="91"/>
      <c r="AM79" s="92">
        <f t="shared" si="124"/>
        <v>0</v>
      </c>
      <c r="AN79" s="93">
        <f t="shared" si="124"/>
        <v>0</v>
      </c>
      <c r="AO79" s="93">
        <f t="shared" si="124"/>
        <v>0</v>
      </c>
      <c r="AP79" s="93">
        <f t="shared" si="124"/>
        <v>0</v>
      </c>
      <c r="AQ79" s="93">
        <f t="shared" si="124"/>
        <v>0</v>
      </c>
      <c r="AR79" s="93">
        <f t="shared" si="124"/>
        <v>0</v>
      </c>
      <c r="AS79" s="93">
        <f t="shared" si="124"/>
        <v>0</v>
      </c>
      <c r="AT79" s="93">
        <f t="shared" si="124"/>
        <v>0</v>
      </c>
      <c r="AU79" s="93">
        <f t="shared" si="124"/>
        <v>0</v>
      </c>
      <c r="AV79" s="93">
        <f t="shared" si="124"/>
        <v>0</v>
      </c>
      <c r="AW79" s="93">
        <f t="shared" ca="1" si="124"/>
        <v>0</v>
      </c>
      <c r="BB79" s="94" t="e">
        <v>#REF!</v>
      </c>
    </row>
    <row r="80" spans="1:54" s="20" customFormat="1" ht="18" customHeight="1">
      <c r="A80" s="643"/>
      <c r="B80" s="95"/>
      <c r="C80" s="652"/>
      <c r="D80" s="96" t="str">
        <f>D79</f>
        <v>INS</v>
      </c>
      <c r="E80" s="97" t="str">
        <f t="shared" ref="E80:F80" si="143">E79</f>
        <v>RFQ-024</v>
      </c>
      <c r="F80" s="98" t="str">
        <f t="shared" si="143"/>
        <v>N</v>
      </c>
      <c r="G80" s="655"/>
      <c r="H80" s="98" t="str">
        <f t="shared" ref="H80:I80" si="144">H79</f>
        <v>Actuated Ball Valve</v>
      </c>
      <c r="I80" s="97" t="str">
        <f t="shared" si="144"/>
        <v>LB</v>
      </c>
      <c r="J80" s="98"/>
      <c r="K80" s="100"/>
      <c r="L80" s="100">
        <f>M81</f>
        <v>0.01</v>
      </c>
      <c r="M80" s="100"/>
      <c r="N80" s="97"/>
      <c r="O80" s="97"/>
      <c r="P80" s="97"/>
      <c r="Q80" s="101" t="s">
        <v>4841</v>
      </c>
      <c r="R80" s="101"/>
      <c r="S80" s="102" t="e">
        <f>S79</f>
        <v>#REF!</v>
      </c>
      <c r="T80" s="103" t="e">
        <f>T79</f>
        <v>#REF!</v>
      </c>
      <c r="U80" s="103" t="e">
        <f t="shared" ref="U80:Z80" si="145">WORKDAY(IF(T81="",T80,T81),INDEX(U$2:U$5,MATCH($I79,$I$2:$I$5,0)),$BB$10:$BB$141)</f>
        <v>#REF!</v>
      </c>
      <c r="V80" s="103" t="e">
        <f t="shared" si="145"/>
        <v>#REF!</v>
      </c>
      <c r="W80" s="103" t="e">
        <f t="shared" si="145"/>
        <v>#REF!</v>
      </c>
      <c r="X80" s="103" t="e">
        <f t="shared" si="145"/>
        <v>#REF!</v>
      </c>
      <c r="Y80" s="103" t="e">
        <f t="shared" si="145"/>
        <v>#REF!</v>
      </c>
      <c r="Z80" s="103" t="e">
        <f t="shared" si="145"/>
        <v>#REF!</v>
      </c>
      <c r="AA80" s="103" t="e">
        <f>WORKDAY(IF(Z81="",X80,Z81),INDEX(AA$2:AA$5,MATCH($I79,$I$2:$I$5,0)),$BB$10:$BB$141)</f>
        <v>#REF!</v>
      </c>
      <c r="AB80" s="104" t="e">
        <f>WORKDAY(AE79+#REF!,0,'[35]Equipment List and MR List (3)'!$A$2:$A$80)</f>
        <v>#REF!</v>
      </c>
      <c r="AC80" s="658"/>
      <c r="AD80" s="105"/>
      <c r="AE80" s="661"/>
      <c r="AF80" s="667"/>
      <c r="AG80" s="670"/>
      <c r="AH80" s="106"/>
      <c r="AI80" s="107"/>
      <c r="AJ80" s="673"/>
      <c r="AK80" s="108"/>
      <c r="AL80" s="109"/>
      <c r="AM80" s="92">
        <f t="shared" ref="AM80:AW89" si="146">IF(ISERROR(LOOKUP(AM$6,$S80:$AB80,$S$9:$AB$9)),0,(LOOKUP(AM$6,$S80:$AB80,$S$9:$AB$9)))</f>
        <v>0</v>
      </c>
      <c r="AN80" s="93">
        <f t="shared" si="146"/>
        <v>0</v>
      </c>
      <c r="AO80" s="93">
        <f t="shared" si="146"/>
        <v>0</v>
      </c>
      <c r="AP80" s="93">
        <f t="shared" si="146"/>
        <v>0</v>
      </c>
      <c r="AQ80" s="93">
        <f t="shared" si="146"/>
        <v>0</v>
      </c>
      <c r="AR80" s="93">
        <f t="shared" si="146"/>
        <v>0</v>
      </c>
      <c r="AS80" s="93">
        <f t="shared" si="146"/>
        <v>0</v>
      </c>
      <c r="AT80" s="93">
        <f t="shared" si="146"/>
        <v>0</v>
      </c>
      <c r="AU80" s="93">
        <f t="shared" si="146"/>
        <v>0</v>
      </c>
      <c r="AV80" s="93">
        <f t="shared" si="146"/>
        <v>0</v>
      </c>
      <c r="AW80" s="93">
        <f t="shared" ca="1" si="146"/>
        <v>0</v>
      </c>
      <c r="BB80" s="94" t="e">
        <v>#REF!</v>
      </c>
    </row>
    <row r="81" spans="1:54" s="20" customFormat="1" ht="18" customHeight="1">
      <c r="A81" s="644"/>
      <c r="B81" s="110"/>
      <c r="C81" s="653"/>
      <c r="D81" s="111" t="str">
        <f>D79</f>
        <v>INS</v>
      </c>
      <c r="E81" s="112" t="str">
        <f>E79</f>
        <v>RFQ-024</v>
      </c>
      <c r="F81" s="113" t="str">
        <f t="shared" ref="F81" si="147">F79</f>
        <v>N</v>
      </c>
      <c r="G81" s="656"/>
      <c r="H81" s="113" t="str">
        <f t="shared" ref="H81:I81" si="148">H79</f>
        <v>Actuated Ball Valve</v>
      </c>
      <c r="I81" s="112" t="str">
        <f t="shared" si="148"/>
        <v>LB</v>
      </c>
      <c r="J81" s="113"/>
      <c r="K81" s="114"/>
      <c r="L81" s="114"/>
      <c r="M81" s="114">
        <v>0.01</v>
      </c>
      <c r="N81" s="112"/>
      <c r="O81" s="112"/>
      <c r="P81" s="112"/>
      <c r="Q81" s="115" t="s">
        <v>4842</v>
      </c>
      <c r="R81" s="115"/>
      <c r="S81" s="126"/>
      <c r="T81" s="126"/>
      <c r="U81" s="126"/>
      <c r="V81" s="126"/>
      <c r="W81" s="126"/>
      <c r="X81" s="126"/>
      <c r="Y81" s="126"/>
      <c r="Z81" s="126"/>
      <c r="AA81" s="126"/>
      <c r="AB81" s="126"/>
      <c r="AC81" s="659"/>
      <c r="AD81" s="116"/>
      <c r="AE81" s="661"/>
      <c r="AF81" s="668"/>
      <c r="AG81" s="671"/>
      <c r="AH81" s="117"/>
      <c r="AI81" s="118"/>
      <c r="AJ81" s="674"/>
      <c r="AK81" s="119"/>
      <c r="AL81" s="120"/>
      <c r="AM81" s="121">
        <f t="shared" si="146"/>
        <v>0</v>
      </c>
      <c r="AN81" s="122">
        <f t="shared" si="146"/>
        <v>0</v>
      </c>
      <c r="AO81" s="122">
        <f t="shared" si="146"/>
        <v>0</v>
      </c>
      <c r="AP81" s="122">
        <f t="shared" si="146"/>
        <v>0</v>
      </c>
      <c r="AQ81" s="122">
        <f t="shared" si="146"/>
        <v>0</v>
      </c>
      <c r="AR81" s="122">
        <f t="shared" si="146"/>
        <v>0</v>
      </c>
      <c r="AS81" s="122">
        <f t="shared" si="146"/>
        <v>0</v>
      </c>
      <c r="AT81" s="122">
        <f t="shared" si="146"/>
        <v>0</v>
      </c>
      <c r="AU81" s="122">
        <f t="shared" si="146"/>
        <v>0</v>
      </c>
      <c r="AV81" s="122">
        <f t="shared" si="146"/>
        <v>0</v>
      </c>
      <c r="AW81" s="122">
        <f t="shared" ca="1" si="146"/>
        <v>0</v>
      </c>
      <c r="BB81" s="94" t="e">
        <v>#REF!</v>
      </c>
    </row>
    <row r="82" spans="1:54" s="20" customFormat="1" ht="18" customHeight="1">
      <c r="A82" s="642">
        <f t="shared" ref="A82" si="149">A79+1</f>
        <v>25</v>
      </c>
      <c r="B82" s="79"/>
      <c r="C82" s="651" t="s">
        <v>4836</v>
      </c>
      <c r="D82" s="80" t="s">
        <v>4868</v>
      </c>
      <c r="E82" s="81" t="s">
        <v>4762</v>
      </c>
      <c r="F82" s="82" t="str">
        <f>IF(_xlfn.XLOOKUP(E82,'[35]Before Award'!D:D,'[35]Before Award'!AV:AV,"N/A")="N/A","N","Y")</f>
        <v>N</v>
      </c>
      <c r="G82" s="654" t="s">
        <v>4872</v>
      </c>
      <c r="H82" s="82" t="s">
        <v>152</v>
      </c>
      <c r="I82" s="81" t="s">
        <v>7</v>
      </c>
      <c r="J82" s="82"/>
      <c r="K82" s="84">
        <f>M84</f>
        <v>0.01</v>
      </c>
      <c r="L82" s="84"/>
      <c r="M82" s="84"/>
      <c r="N82" s="81"/>
      <c r="O82" s="81"/>
      <c r="P82" s="81"/>
      <c r="Q82" s="85" t="s">
        <v>4839</v>
      </c>
      <c r="R82" s="86">
        <f>'Before Award'!U89+5</f>
        <v>46263</v>
      </c>
      <c r="S82" s="86" t="e">
        <f>WORKDAY(R82,INDEX(S$2:S$5,MATCH($I82,$I$2:$I$5,0)),$BB$10:$BB$141)</f>
        <v>#REF!</v>
      </c>
      <c r="T82" s="86" t="e">
        <f>WORKDAY(S82,INDEX(T$2:T$5,MATCH($I82,$I$2:$I$5,0)),$BB$10:$BB$141)</f>
        <v>#REF!</v>
      </c>
      <c r="U82" s="86" t="e">
        <f>T82+30</f>
        <v>#REF!</v>
      </c>
      <c r="V82" s="86"/>
      <c r="W82" s="86">
        <f>AB82-35</f>
        <v>46503</v>
      </c>
      <c r="X82" s="86"/>
      <c r="Y82" s="86"/>
      <c r="Z82" s="86"/>
      <c r="AA82" s="86"/>
      <c r="AB82" s="86">
        <f>'Before Award'!X89</f>
        <v>46538</v>
      </c>
      <c r="AC82" s="657" t="s">
        <v>4840</v>
      </c>
      <c r="AD82" s="87">
        <v>7</v>
      </c>
      <c r="AE82" s="661">
        <v>280</v>
      </c>
      <c r="AF82" s="666" t="e">
        <f>AB83</f>
        <v>#REF!</v>
      </c>
      <c r="AG82" s="669">
        <f>WORKDAY(AH82+1,-1,$BA$10:$BA$141)</f>
        <v>46538</v>
      </c>
      <c r="AH82" s="88">
        <v>46538</v>
      </c>
      <c r="AI82" s="89"/>
      <c r="AJ82" s="672" t="e">
        <f>AG82-AF82</f>
        <v>#REF!</v>
      </c>
      <c r="AK82" s="90"/>
      <c r="AL82" s="91"/>
      <c r="AM82" s="92">
        <f t="shared" si="146"/>
        <v>0</v>
      </c>
      <c r="AN82" s="93">
        <f t="shared" si="146"/>
        <v>0</v>
      </c>
      <c r="AO82" s="93">
        <f t="shared" si="146"/>
        <v>0</v>
      </c>
      <c r="AP82" s="93">
        <f t="shared" si="146"/>
        <v>0</v>
      </c>
      <c r="AQ82" s="93">
        <f t="shared" si="146"/>
        <v>0</v>
      </c>
      <c r="AR82" s="93">
        <f t="shared" si="146"/>
        <v>0</v>
      </c>
      <c r="AS82" s="93">
        <f t="shared" si="146"/>
        <v>0</v>
      </c>
      <c r="AT82" s="93">
        <f t="shared" si="146"/>
        <v>0</v>
      </c>
      <c r="AU82" s="93">
        <f t="shared" si="146"/>
        <v>0</v>
      </c>
      <c r="AV82" s="93">
        <f t="shared" si="146"/>
        <v>0</v>
      </c>
      <c r="AW82" s="93">
        <f t="shared" ca="1" si="146"/>
        <v>0</v>
      </c>
      <c r="BB82" s="94" t="e">
        <v>#REF!</v>
      </c>
    </row>
    <row r="83" spans="1:54" s="20" customFormat="1" ht="18" customHeight="1">
      <c r="A83" s="643"/>
      <c r="B83" s="95"/>
      <c r="C83" s="652"/>
      <c r="D83" s="96" t="str">
        <f>D82</f>
        <v>INS</v>
      </c>
      <c r="E83" s="97" t="str">
        <f t="shared" ref="E83:F83" si="150">E82</f>
        <v>RFQ-025</v>
      </c>
      <c r="F83" s="98" t="str">
        <f t="shared" si="150"/>
        <v>N</v>
      </c>
      <c r="G83" s="655"/>
      <c r="H83" s="98" t="str">
        <f t="shared" ref="H83:I83" si="151">H82</f>
        <v>Actuated Compact Ball Valve</v>
      </c>
      <c r="I83" s="97" t="str">
        <f t="shared" si="151"/>
        <v>LB</v>
      </c>
      <c r="J83" s="98"/>
      <c r="K83" s="100"/>
      <c r="L83" s="100">
        <f>M84</f>
        <v>0.01</v>
      </c>
      <c r="M83" s="100"/>
      <c r="N83" s="97"/>
      <c r="O83" s="97"/>
      <c r="P83" s="97"/>
      <c r="Q83" s="101" t="s">
        <v>4841</v>
      </c>
      <c r="R83" s="101"/>
      <c r="S83" s="102" t="e">
        <f>S82</f>
        <v>#REF!</v>
      </c>
      <c r="T83" s="103" t="e">
        <f>T82</f>
        <v>#REF!</v>
      </c>
      <c r="U83" s="103" t="e">
        <f t="shared" ref="U83:Z83" si="152">WORKDAY(IF(T84="",T83,T84),INDEX(U$2:U$5,MATCH($I82,$I$2:$I$5,0)),$BB$10:$BB$141)</f>
        <v>#REF!</v>
      </c>
      <c r="V83" s="103" t="e">
        <f t="shared" si="152"/>
        <v>#REF!</v>
      </c>
      <c r="W83" s="103" t="e">
        <f t="shared" si="152"/>
        <v>#REF!</v>
      </c>
      <c r="X83" s="103" t="e">
        <f t="shared" si="152"/>
        <v>#REF!</v>
      </c>
      <c r="Y83" s="103" t="e">
        <f t="shared" si="152"/>
        <v>#REF!</v>
      </c>
      <c r="Z83" s="103" t="e">
        <f t="shared" si="152"/>
        <v>#REF!</v>
      </c>
      <c r="AA83" s="103" t="e">
        <f>WORKDAY(IF(Z84="",X83,Z84),INDEX(AA$2:AA$5,MATCH($I82,$I$2:$I$5,0)),$BB$10:$BB$141)</f>
        <v>#REF!</v>
      </c>
      <c r="AB83" s="104" t="e">
        <f>WORKDAY(AE82+#REF!,0,'[35]Equipment List and MR List (3)'!$A$2:$A$80)</f>
        <v>#REF!</v>
      </c>
      <c r="AC83" s="658"/>
      <c r="AD83" s="105"/>
      <c r="AE83" s="661"/>
      <c r="AF83" s="667"/>
      <c r="AG83" s="670"/>
      <c r="AH83" s="106"/>
      <c r="AI83" s="107"/>
      <c r="AJ83" s="673"/>
      <c r="AK83" s="108"/>
      <c r="AL83" s="109"/>
      <c r="AM83" s="92">
        <f t="shared" si="146"/>
        <v>0</v>
      </c>
      <c r="AN83" s="93">
        <f t="shared" si="146"/>
        <v>0</v>
      </c>
      <c r="AO83" s="93">
        <f t="shared" si="146"/>
        <v>0</v>
      </c>
      <c r="AP83" s="93">
        <f t="shared" si="146"/>
        <v>0</v>
      </c>
      <c r="AQ83" s="93">
        <f t="shared" si="146"/>
        <v>0</v>
      </c>
      <c r="AR83" s="93">
        <f t="shared" si="146"/>
        <v>0</v>
      </c>
      <c r="AS83" s="93">
        <f t="shared" si="146"/>
        <v>0</v>
      </c>
      <c r="AT83" s="93">
        <f t="shared" si="146"/>
        <v>0</v>
      </c>
      <c r="AU83" s="93">
        <f t="shared" si="146"/>
        <v>0</v>
      </c>
      <c r="AV83" s="93">
        <f t="shared" si="146"/>
        <v>0</v>
      </c>
      <c r="AW83" s="93">
        <f t="shared" ca="1" si="146"/>
        <v>0</v>
      </c>
      <c r="BB83" s="94" t="e">
        <v>#REF!</v>
      </c>
    </row>
    <row r="84" spans="1:54" s="20" customFormat="1" ht="18" customHeight="1">
      <c r="A84" s="644"/>
      <c r="B84" s="110"/>
      <c r="C84" s="653"/>
      <c r="D84" s="111" t="str">
        <f>D82</f>
        <v>INS</v>
      </c>
      <c r="E84" s="112" t="str">
        <f>E82</f>
        <v>RFQ-025</v>
      </c>
      <c r="F84" s="113" t="str">
        <f t="shared" ref="F84" si="153">F82</f>
        <v>N</v>
      </c>
      <c r="G84" s="656"/>
      <c r="H84" s="113" t="str">
        <f t="shared" ref="H84:I84" si="154">H82</f>
        <v>Actuated Compact Ball Valve</v>
      </c>
      <c r="I84" s="112" t="str">
        <f t="shared" si="154"/>
        <v>LB</v>
      </c>
      <c r="J84" s="113"/>
      <c r="K84" s="114"/>
      <c r="L84" s="114"/>
      <c r="M84" s="114">
        <v>0.01</v>
      </c>
      <c r="N84" s="112"/>
      <c r="O84" s="112"/>
      <c r="P84" s="112"/>
      <c r="Q84" s="115" t="s">
        <v>4842</v>
      </c>
      <c r="R84" s="115"/>
      <c r="S84" s="126"/>
      <c r="T84" s="126"/>
      <c r="U84" s="126"/>
      <c r="V84" s="126"/>
      <c r="W84" s="126"/>
      <c r="X84" s="126"/>
      <c r="Y84" s="126"/>
      <c r="Z84" s="126"/>
      <c r="AA84" s="126"/>
      <c r="AB84" s="126"/>
      <c r="AC84" s="659"/>
      <c r="AD84" s="116"/>
      <c r="AE84" s="661"/>
      <c r="AF84" s="668"/>
      <c r="AG84" s="671"/>
      <c r="AH84" s="117"/>
      <c r="AI84" s="118"/>
      <c r="AJ84" s="674"/>
      <c r="AK84" s="119"/>
      <c r="AL84" s="120"/>
      <c r="AM84" s="121">
        <f t="shared" si="146"/>
        <v>0</v>
      </c>
      <c r="AN84" s="122">
        <f t="shared" si="146"/>
        <v>0</v>
      </c>
      <c r="AO84" s="122">
        <f t="shared" si="146"/>
        <v>0</v>
      </c>
      <c r="AP84" s="122">
        <f t="shared" si="146"/>
        <v>0</v>
      </c>
      <c r="AQ84" s="122">
        <f t="shared" si="146"/>
        <v>0</v>
      </c>
      <c r="AR84" s="122">
        <f t="shared" si="146"/>
        <v>0</v>
      </c>
      <c r="AS84" s="122">
        <f t="shared" si="146"/>
        <v>0</v>
      </c>
      <c r="AT84" s="122">
        <f t="shared" si="146"/>
        <v>0</v>
      </c>
      <c r="AU84" s="122">
        <f t="shared" si="146"/>
        <v>0</v>
      </c>
      <c r="AV84" s="122">
        <f t="shared" si="146"/>
        <v>0</v>
      </c>
      <c r="AW84" s="122">
        <f t="shared" ca="1" si="146"/>
        <v>0</v>
      </c>
      <c r="BB84" s="94" t="e">
        <v>#REF!</v>
      </c>
    </row>
    <row r="85" spans="1:54" s="20" customFormat="1" ht="18" customHeight="1">
      <c r="A85" s="642">
        <f t="shared" ref="A85" si="155">A82+1</f>
        <v>26</v>
      </c>
      <c r="B85" s="79"/>
      <c r="C85" s="651" t="s">
        <v>4836</v>
      </c>
      <c r="D85" s="80" t="s">
        <v>4868</v>
      </c>
      <c r="E85" s="81" t="s">
        <v>4763</v>
      </c>
      <c r="F85" s="82" t="s">
        <v>71</v>
      </c>
      <c r="G85" s="654" t="s">
        <v>4873</v>
      </c>
      <c r="H85" s="82" t="s">
        <v>154</v>
      </c>
      <c r="I85" s="81" t="s">
        <v>7</v>
      </c>
      <c r="J85" s="82"/>
      <c r="K85" s="84">
        <f>M87</f>
        <v>0.02</v>
      </c>
      <c r="L85" s="84"/>
      <c r="M85" s="84"/>
      <c r="N85" s="81"/>
      <c r="O85" s="81"/>
      <c r="P85" s="81"/>
      <c r="Q85" s="85" t="s">
        <v>4839</v>
      </c>
      <c r="R85" s="86">
        <f>'Before Award'!U92+5</f>
        <v>46361</v>
      </c>
      <c r="S85" s="86" t="e">
        <f>WORKDAY(R85,INDEX(S$2:S$5,MATCH($I85,$I$2:$I$5,0)),$BB$10:$BB$141)</f>
        <v>#REF!</v>
      </c>
      <c r="T85" s="86" t="e">
        <f>WORKDAY(S85,INDEX(T$2:T$5,MATCH($I85,$I$2:$I$5,0)),$BB$10:$BB$141)</f>
        <v>#REF!</v>
      </c>
      <c r="U85" s="86" t="e">
        <f>T85+30</f>
        <v>#REF!</v>
      </c>
      <c r="V85" s="86"/>
      <c r="W85" s="86">
        <f>AB85-35</f>
        <v>46503</v>
      </c>
      <c r="X85" s="86"/>
      <c r="Y85" s="86"/>
      <c r="Z85" s="86"/>
      <c r="AA85" s="86"/>
      <c r="AB85" s="86">
        <f>'Before Award'!X92</f>
        <v>46538</v>
      </c>
      <c r="AC85" s="657" t="s">
        <v>4840</v>
      </c>
      <c r="AD85" s="87">
        <v>7</v>
      </c>
      <c r="AE85" s="661">
        <v>184</v>
      </c>
      <c r="AF85" s="666" t="e">
        <f>AB86</f>
        <v>#REF!</v>
      </c>
      <c r="AG85" s="669">
        <f>WORKDAY(AH85+1,-1,$BA$10:$BA$141)</f>
        <v>46538</v>
      </c>
      <c r="AH85" s="88">
        <v>46538</v>
      </c>
      <c r="AI85" s="89"/>
      <c r="AJ85" s="672" t="e">
        <f>AG85-AF85</f>
        <v>#REF!</v>
      </c>
      <c r="AK85" s="90"/>
      <c r="AL85" s="91"/>
      <c r="AM85" s="92">
        <f t="shared" si="146"/>
        <v>0</v>
      </c>
      <c r="AN85" s="93">
        <f t="shared" si="146"/>
        <v>0</v>
      </c>
      <c r="AO85" s="93">
        <f t="shared" si="146"/>
        <v>0</v>
      </c>
      <c r="AP85" s="93">
        <f t="shared" si="146"/>
        <v>0</v>
      </c>
      <c r="AQ85" s="93">
        <f t="shared" si="146"/>
        <v>0</v>
      </c>
      <c r="AR85" s="93">
        <f t="shared" si="146"/>
        <v>0</v>
      </c>
      <c r="AS85" s="93">
        <f t="shared" si="146"/>
        <v>0</v>
      </c>
      <c r="AT85" s="93">
        <f t="shared" si="146"/>
        <v>0</v>
      </c>
      <c r="AU85" s="93">
        <f t="shared" si="146"/>
        <v>0</v>
      </c>
      <c r="AV85" s="93">
        <f t="shared" si="146"/>
        <v>0</v>
      </c>
      <c r="AW85" s="93">
        <f t="shared" ca="1" si="146"/>
        <v>0</v>
      </c>
      <c r="BB85" s="94" t="e">
        <v>#REF!</v>
      </c>
    </row>
    <row r="86" spans="1:54" s="20" customFormat="1" ht="18" customHeight="1">
      <c r="A86" s="643"/>
      <c r="B86" s="95"/>
      <c r="C86" s="652"/>
      <c r="D86" s="96" t="str">
        <f>D85</f>
        <v>INS</v>
      </c>
      <c r="E86" s="97" t="str">
        <f t="shared" ref="E86:F86" si="156">E85</f>
        <v>RFQ-026</v>
      </c>
      <c r="F86" s="98" t="str">
        <f t="shared" si="156"/>
        <v>N</v>
      </c>
      <c r="G86" s="655"/>
      <c r="H86" s="98" t="str">
        <f t="shared" ref="H86:I86" si="157">H85</f>
        <v>Safety Relief Valves</v>
      </c>
      <c r="I86" s="97" t="str">
        <f t="shared" si="157"/>
        <v>LB</v>
      </c>
      <c r="J86" s="98"/>
      <c r="K86" s="100"/>
      <c r="L86" s="100">
        <f>M87</f>
        <v>0.02</v>
      </c>
      <c r="M86" s="100"/>
      <c r="N86" s="97"/>
      <c r="O86" s="97"/>
      <c r="P86" s="97"/>
      <c r="Q86" s="101" t="s">
        <v>4841</v>
      </c>
      <c r="R86" s="101"/>
      <c r="S86" s="102" t="e">
        <f>S85</f>
        <v>#REF!</v>
      </c>
      <c r="T86" s="103" t="e">
        <f>T85</f>
        <v>#REF!</v>
      </c>
      <c r="U86" s="103" t="e">
        <f t="shared" ref="U86:Z86" si="158">WORKDAY(IF(T87="",T86,T87),INDEX(U$2:U$5,MATCH($I85,$I$2:$I$5,0)),$BB$10:$BB$141)</f>
        <v>#REF!</v>
      </c>
      <c r="V86" s="103" t="e">
        <f t="shared" si="158"/>
        <v>#REF!</v>
      </c>
      <c r="W86" s="103" t="e">
        <f t="shared" si="158"/>
        <v>#REF!</v>
      </c>
      <c r="X86" s="103" t="e">
        <f t="shared" si="158"/>
        <v>#REF!</v>
      </c>
      <c r="Y86" s="103" t="e">
        <f t="shared" si="158"/>
        <v>#REF!</v>
      </c>
      <c r="Z86" s="103" t="e">
        <f t="shared" si="158"/>
        <v>#REF!</v>
      </c>
      <c r="AA86" s="103" t="e">
        <f>WORKDAY(IF(Z87="",X86,Z87),INDEX(AA$2:AA$5,MATCH($I85,$I$2:$I$5,0)),$BB$10:$BB$141)</f>
        <v>#REF!</v>
      </c>
      <c r="AB86" s="104" t="e">
        <f>WORKDAY(AE85+#REF!,0,'[35]Equipment List and MR List (3)'!$A$2:$A$80)</f>
        <v>#REF!</v>
      </c>
      <c r="AC86" s="658"/>
      <c r="AD86" s="105"/>
      <c r="AE86" s="661"/>
      <c r="AF86" s="667"/>
      <c r="AG86" s="670"/>
      <c r="AH86" s="106"/>
      <c r="AI86" s="107"/>
      <c r="AJ86" s="673"/>
      <c r="AK86" s="108"/>
      <c r="AL86" s="109"/>
      <c r="AM86" s="92">
        <f t="shared" si="146"/>
        <v>0</v>
      </c>
      <c r="AN86" s="93">
        <f t="shared" si="146"/>
        <v>0</v>
      </c>
      <c r="AO86" s="93">
        <f t="shared" si="146"/>
        <v>0</v>
      </c>
      <c r="AP86" s="93">
        <f t="shared" si="146"/>
        <v>0</v>
      </c>
      <c r="AQ86" s="93">
        <f t="shared" si="146"/>
        <v>0</v>
      </c>
      <c r="AR86" s="93">
        <f t="shared" si="146"/>
        <v>0</v>
      </c>
      <c r="AS86" s="93">
        <f t="shared" si="146"/>
        <v>0</v>
      </c>
      <c r="AT86" s="93">
        <f t="shared" si="146"/>
        <v>0</v>
      </c>
      <c r="AU86" s="93">
        <f t="shared" si="146"/>
        <v>0</v>
      </c>
      <c r="AV86" s="93">
        <f t="shared" si="146"/>
        <v>0</v>
      </c>
      <c r="AW86" s="93">
        <f t="shared" ca="1" si="146"/>
        <v>0</v>
      </c>
      <c r="BB86" s="94" t="e">
        <v>#REF!</v>
      </c>
    </row>
    <row r="87" spans="1:54" s="20" customFormat="1" ht="18" customHeight="1">
      <c r="A87" s="644"/>
      <c r="B87" s="110"/>
      <c r="C87" s="653"/>
      <c r="D87" s="111" t="str">
        <f>D85</f>
        <v>INS</v>
      </c>
      <c r="E87" s="112" t="str">
        <f>E85</f>
        <v>RFQ-026</v>
      </c>
      <c r="F87" s="113" t="str">
        <f t="shared" ref="F87" si="159">F85</f>
        <v>N</v>
      </c>
      <c r="G87" s="656"/>
      <c r="H87" s="113" t="str">
        <f t="shared" ref="H87:I87" si="160">H85</f>
        <v>Safety Relief Valves</v>
      </c>
      <c r="I87" s="112" t="str">
        <f t="shared" si="160"/>
        <v>LB</v>
      </c>
      <c r="J87" s="113"/>
      <c r="K87" s="114"/>
      <c r="L87" s="114"/>
      <c r="M87" s="114">
        <v>0.02</v>
      </c>
      <c r="N87" s="112"/>
      <c r="O87" s="112"/>
      <c r="P87" s="112"/>
      <c r="Q87" s="115" t="s">
        <v>4842</v>
      </c>
      <c r="R87" s="115"/>
      <c r="S87" s="126"/>
      <c r="T87" s="126"/>
      <c r="U87" s="126"/>
      <c r="V87" s="126"/>
      <c r="W87" s="126"/>
      <c r="X87" s="126"/>
      <c r="Y87" s="126"/>
      <c r="Z87" s="126"/>
      <c r="AA87" s="126"/>
      <c r="AB87" s="126"/>
      <c r="AC87" s="659"/>
      <c r="AD87" s="116"/>
      <c r="AE87" s="661"/>
      <c r="AF87" s="668"/>
      <c r="AG87" s="671"/>
      <c r="AH87" s="117"/>
      <c r="AI87" s="118"/>
      <c r="AJ87" s="674"/>
      <c r="AK87" s="119"/>
      <c r="AL87" s="120"/>
      <c r="AM87" s="121">
        <f t="shared" si="146"/>
        <v>0</v>
      </c>
      <c r="AN87" s="122">
        <f t="shared" si="146"/>
        <v>0</v>
      </c>
      <c r="AO87" s="122">
        <f t="shared" si="146"/>
        <v>0</v>
      </c>
      <c r="AP87" s="122">
        <f t="shared" si="146"/>
        <v>0</v>
      </c>
      <c r="AQ87" s="122">
        <f t="shared" si="146"/>
        <v>0</v>
      </c>
      <c r="AR87" s="122">
        <f t="shared" si="146"/>
        <v>0</v>
      </c>
      <c r="AS87" s="122">
        <f t="shared" si="146"/>
        <v>0</v>
      </c>
      <c r="AT87" s="122">
        <f t="shared" si="146"/>
        <v>0</v>
      </c>
      <c r="AU87" s="122">
        <f t="shared" si="146"/>
        <v>0</v>
      </c>
      <c r="AV87" s="122">
        <f t="shared" si="146"/>
        <v>0</v>
      </c>
      <c r="AW87" s="122">
        <f t="shared" ca="1" si="146"/>
        <v>0</v>
      </c>
      <c r="BB87" s="94" t="e">
        <v>#REF!</v>
      </c>
    </row>
    <row r="88" spans="1:54" s="20" customFormat="1" ht="18" customHeight="1">
      <c r="A88" s="642">
        <f t="shared" ref="A88" si="161">A85+1</f>
        <v>27</v>
      </c>
      <c r="B88" s="79"/>
      <c r="C88" s="651" t="s">
        <v>4836</v>
      </c>
      <c r="D88" s="80" t="s">
        <v>4868</v>
      </c>
      <c r="E88" s="81" t="s">
        <v>4764</v>
      </c>
      <c r="F88" s="82" t="s">
        <v>71</v>
      </c>
      <c r="G88" s="654" t="s">
        <v>4874</v>
      </c>
      <c r="H88" s="82" t="s">
        <v>157</v>
      </c>
      <c r="I88" s="81" t="s">
        <v>8</v>
      </c>
      <c r="J88" s="82"/>
      <c r="K88" s="84">
        <f>M90</f>
        <v>0.04</v>
      </c>
      <c r="L88" s="84"/>
      <c r="M88" s="84"/>
      <c r="N88" s="81"/>
      <c r="O88" s="81"/>
      <c r="P88" s="81"/>
      <c r="Q88" s="85" t="s">
        <v>4839</v>
      </c>
      <c r="R88" s="86">
        <f>'Before Award'!U95+5</f>
        <v>46398</v>
      </c>
      <c r="S88" s="86" t="e">
        <f>WORKDAY(R88,INDEX(S$2:S$5,MATCH($I88,$I$2:$I$5,0)),$BB$10:$BB$141)</f>
        <v>#REF!</v>
      </c>
      <c r="T88" s="86" t="e">
        <f>WORKDAY(S88,INDEX(T$2:T$5,MATCH($I88,$I$2:$I$5,0)),$BB$10:$BB$141)</f>
        <v>#REF!</v>
      </c>
      <c r="U88" s="86" t="e">
        <f>T88+30</f>
        <v>#REF!</v>
      </c>
      <c r="V88" s="86"/>
      <c r="W88" s="86">
        <f>AB88-35</f>
        <v>46503</v>
      </c>
      <c r="X88" s="86"/>
      <c r="Y88" s="86"/>
      <c r="Z88" s="86"/>
      <c r="AA88" s="86"/>
      <c r="AB88" s="86">
        <f>'Before Award'!X95</f>
        <v>46538</v>
      </c>
      <c r="AC88" s="657" t="s">
        <v>4840</v>
      </c>
      <c r="AD88" s="87">
        <v>7</v>
      </c>
      <c r="AE88" s="661">
        <v>145</v>
      </c>
      <c r="AF88" s="666" t="e">
        <f>AB89</f>
        <v>#REF!</v>
      </c>
      <c r="AG88" s="669">
        <f>WORKDAY(AH88+1,-1,$BA$10:$BA$141)</f>
        <v>46538</v>
      </c>
      <c r="AH88" s="88">
        <v>46538</v>
      </c>
      <c r="AI88" s="89"/>
      <c r="AJ88" s="672" t="e">
        <f>AG88-AF88</f>
        <v>#REF!</v>
      </c>
      <c r="AK88" s="90"/>
      <c r="AL88" s="91"/>
      <c r="AM88" s="92">
        <f t="shared" si="146"/>
        <v>0</v>
      </c>
      <c r="AN88" s="93">
        <f t="shared" si="146"/>
        <v>0</v>
      </c>
      <c r="AO88" s="93">
        <f t="shared" si="146"/>
        <v>0</v>
      </c>
      <c r="AP88" s="93">
        <f t="shared" si="146"/>
        <v>0</v>
      </c>
      <c r="AQ88" s="93">
        <f t="shared" si="146"/>
        <v>0</v>
      </c>
      <c r="AR88" s="93">
        <f t="shared" si="146"/>
        <v>0</v>
      </c>
      <c r="AS88" s="93">
        <f t="shared" si="146"/>
        <v>0</v>
      </c>
      <c r="AT88" s="93">
        <f t="shared" si="146"/>
        <v>0</v>
      </c>
      <c r="AU88" s="93">
        <f t="shared" si="146"/>
        <v>0</v>
      </c>
      <c r="AV88" s="93">
        <f t="shared" si="146"/>
        <v>0</v>
      </c>
      <c r="AW88" s="93">
        <f t="shared" ca="1" si="146"/>
        <v>0</v>
      </c>
      <c r="BB88" s="94" t="e">
        <v>#REF!</v>
      </c>
    </row>
    <row r="89" spans="1:54" s="20" customFormat="1" ht="18" customHeight="1">
      <c r="A89" s="643"/>
      <c r="B89" s="79"/>
      <c r="C89" s="652"/>
      <c r="D89" s="96" t="str">
        <f>D88</f>
        <v>INS</v>
      </c>
      <c r="E89" s="97" t="str">
        <f t="shared" ref="E89:F89" si="162">E88</f>
        <v>RFQ-027</v>
      </c>
      <c r="F89" s="98" t="str">
        <f t="shared" si="162"/>
        <v>N</v>
      </c>
      <c r="G89" s="655"/>
      <c r="H89" s="98" t="str">
        <f t="shared" ref="H89:I89" si="163">H88</f>
        <v>Coriolis Flow Meters</v>
      </c>
      <c r="I89" s="97" t="str">
        <f t="shared" si="163"/>
        <v>LC</v>
      </c>
      <c r="J89" s="98"/>
      <c r="K89" s="100"/>
      <c r="L89" s="100">
        <f>M90</f>
        <v>0.04</v>
      </c>
      <c r="M89" s="100"/>
      <c r="N89" s="97"/>
      <c r="O89" s="97"/>
      <c r="P89" s="97"/>
      <c r="Q89" s="101" t="s">
        <v>4841</v>
      </c>
      <c r="R89" s="101"/>
      <c r="S89" s="102" t="e">
        <f>S88</f>
        <v>#REF!</v>
      </c>
      <c r="T89" s="103" t="e">
        <f>T88</f>
        <v>#REF!</v>
      </c>
      <c r="U89" s="103" t="e">
        <f t="shared" ref="U89:Z89" si="164">WORKDAY(IF(T90="",T89,T90),INDEX(U$2:U$5,MATCH($I88,$I$2:$I$5,0)),$BB$10:$BB$141)</f>
        <v>#REF!</v>
      </c>
      <c r="V89" s="103" t="e">
        <f t="shared" si="164"/>
        <v>#REF!</v>
      </c>
      <c r="W89" s="103" t="e">
        <f t="shared" si="164"/>
        <v>#REF!</v>
      </c>
      <c r="X89" s="103" t="e">
        <f t="shared" si="164"/>
        <v>#REF!</v>
      </c>
      <c r="Y89" s="103" t="e">
        <f t="shared" si="164"/>
        <v>#REF!</v>
      </c>
      <c r="Z89" s="103" t="e">
        <f t="shared" si="164"/>
        <v>#REF!</v>
      </c>
      <c r="AA89" s="103" t="e">
        <f>WORKDAY(IF(Z90="",X89,Z90),INDEX(AA$2:AA$5,MATCH($I88,$I$2:$I$5,0)),$BB$10:$BB$141)</f>
        <v>#REF!</v>
      </c>
      <c r="AB89" s="104" t="e">
        <f>WORKDAY(AE88+#REF!,0,'[35]Equipment List and MR List (3)'!$A$2:$A$80)</f>
        <v>#REF!</v>
      </c>
      <c r="AC89" s="658"/>
      <c r="AD89" s="105"/>
      <c r="AE89" s="661"/>
      <c r="AF89" s="667"/>
      <c r="AG89" s="670"/>
      <c r="AH89" s="106"/>
      <c r="AI89" s="107"/>
      <c r="AJ89" s="673"/>
      <c r="AK89" s="108"/>
      <c r="AL89" s="109"/>
      <c r="AM89" s="92">
        <f t="shared" si="146"/>
        <v>0</v>
      </c>
      <c r="AN89" s="93">
        <f t="shared" si="146"/>
        <v>0</v>
      </c>
      <c r="AO89" s="93">
        <f t="shared" si="146"/>
        <v>0</v>
      </c>
      <c r="AP89" s="93">
        <f t="shared" si="146"/>
        <v>0</v>
      </c>
      <c r="AQ89" s="93">
        <f t="shared" si="146"/>
        <v>0</v>
      </c>
      <c r="AR89" s="93">
        <f t="shared" si="146"/>
        <v>0</v>
      </c>
      <c r="AS89" s="93">
        <f t="shared" si="146"/>
        <v>0</v>
      </c>
      <c r="AT89" s="93">
        <f t="shared" si="146"/>
        <v>0</v>
      </c>
      <c r="AU89" s="93">
        <f t="shared" si="146"/>
        <v>0</v>
      </c>
      <c r="AV89" s="93">
        <f t="shared" si="146"/>
        <v>0</v>
      </c>
      <c r="AW89" s="93">
        <f t="shared" ca="1" si="146"/>
        <v>0</v>
      </c>
      <c r="BB89" s="94" t="e" cm="1">
        <f t="array" ref="BB89:BB167">'[35]Procurement progress '!$A$2:$A$80</f>
        <v>#REF!</v>
      </c>
    </row>
    <row r="90" spans="1:54" s="20" customFormat="1" ht="18" customHeight="1">
      <c r="A90" s="644"/>
      <c r="B90" s="79"/>
      <c r="C90" s="653"/>
      <c r="D90" s="111" t="str">
        <f>D88</f>
        <v>INS</v>
      </c>
      <c r="E90" s="112" t="str">
        <f>E88</f>
        <v>RFQ-027</v>
      </c>
      <c r="F90" s="113" t="str">
        <f t="shared" ref="F90" si="165">F88</f>
        <v>N</v>
      </c>
      <c r="G90" s="656"/>
      <c r="H90" s="113" t="str">
        <f t="shared" ref="H90:I90" si="166">H88</f>
        <v>Coriolis Flow Meters</v>
      </c>
      <c r="I90" s="112" t="str">
        <f t="shared" si="166"/>
        <v>LC</v>
      </c>
      <c r="J90" s="113"/>
      <c r="K90" s="114"/>
      <c r="L90" s="114"/>
      <c r="M90" s="114">
        <v>0.04</v>
      </c>
      <c r="N90" s="112"/>
      <c r="O90" s="112"/>
      <c r="P90" s="112"/>
      <c r="Q90" s="115" t="s">
        <v>4842</v>
      </c>
      <c r="R90" s="115"/>
      <c r="S90" s="126"/>
      <c r="T90" s="126"/>
      <c r="U90" s="126"/>
      <c r="V90" s="126"/>
      <c r="W90" s="126"/>
      <c r="X90" s="126"/>
      <c r="Y90" s="126"/>
      <c r="Z90" s="126"/>
      <c r="AA90" s="126"/>
      <c r="AB90" s="126"/>
      <c r="AC90" s="659"/>
      <c r="AD90" s="116"/>
      <c r="AE90" s="661"/>
      <c r="AF90" s="668"/>
      <c r="AG90" s="671"/>
      <c r="AH90" s="117"/>
      <c r="AI90" s="118"/>
      <c r="AJ90" s="674"/>
      <c r="AK90" s="119"/>
      <c r="AL90" s="120"/>
      <c r="AM90" s="121">
        <f t="shared" ref="AM90:AW99" si="167">IF(ISERROR(LOOKUP(AM$6,$S90:$AB90,$S$9:$AB$9)),0,(LOOKUP(AM$6,$S90:$AB90,$S$9:$AB$9)))</f>
        <v>0</v>
      </c>
      <c r="AN90" s="122">
        <f t="shared" si="167"/>
        <v>0</v>
      </c>
      <c r="AO90" s="122">
        <f t="shared" si="167"/>
        <v>0</v>
      </c>
      <c r="AP90" s="122">
        <f t="shared" si="167"/>
        <v>0</v>
      </c>
      <c r="AQ90" s="122">
        <f t="shared" si="167"/>
        <v>0</v>
      </c>
      <c r="AR90" s="122">
        <f t="shared" si="167"/>
        <v>0</v>
      </c>
      <c r="AS90" s="122">
        <f t="shared" si="167"/>
        <v>0</v>
      </c>
      <c r="AT90" s="122">
        <f t="shared" si="167"/>
        <v>0</v>
      </c>
      <c r="AU90" s="122">
        <f t="shared" si="167"/>
        <v>0</v>
      </c>
      <c r="AV90" s="122">
        <f t="shared" si="167"/>
        <v>0</v>
      </c>
      <c r="AW90" s="122">
        <f t="shared" ca="1" si="167"/>
        <v>0</v>
      </c>
      <c r="BB90" s="94" t="e">
        <v>#REF!</v>
      </c>
    </row>
    <row r="91" spans="1:54" s="20" customFormat="1" ht="18" customHeight="1">
      <c r="A91" s="642">
        <f t="shared" ref="A91" si="168">A88+1</f>
        <v>28</v>
      </c>
      <c r="B91" s="648" t="s">
        <v>4875</v>
      </c>
      <c r="C91" s="651" t="s">
        <v>4836</v>
      </c>
      <c r="D91" s="80" t="s">
        <v>4868</v>
      </c>
      <c r="E91" s="81" t="s">
        <v>4765</v>
      </c>
      <c r="F91" s="82" t="s">
        <v>60</v>
      </c>
      <c r="G91" s="654" t="s">
        <v>4876</v>
      </c>
      <c r="H91" s="123" t="s">
        <v>160</v>
      </c>
      <c r="I91" s="81" t="s">
        <v>7</v>
      </c>
      <c r="J91" s="82"/>
      <c r="K91" s="84">
        <f>M93</f>
        <v>0.03</v>
      </c>
      <c r="L91" s="84"/>
      <c r="M91" s="84"/>
      <c r="N91" s="81"/>
      <c r="O91" s="81"/>
      <c r="P91" s="81"/>
      <c r="Q91" s="85" t="s">
        <v>4839</v>
      </c>
      <c r="R91" s="86">
        <f>'Before Award'!U98+5</f>
        <v>46229</v>
      </c>
      <c r="S91" s="86" t="e">
        <f>WORKDAY(R91,INDEX(S$2:S$5,MATCH($I91,$I$2:$I$5,0)),$BB$10:$BB$141)</f>
        <v>#REF!</v>
      </c>
      <c r="T91" s="86" t="e">
        <f>WORKDAY(S91,INDEX(T$2:T$5,MATCH($I91,$I$2:$I$5,0)),$BB$10:$BB$141)</f>
        <v>#REF!</v>
      </c>
      <c r="U91" s="86" t="e">
        <f>T91+30</f>
        <v>#REF!</v>
      </c>
      <c r="V91" s="86"/>
      <c r="W91" s="86">
        <f>AB91-35</f>
        <v>46441</v>
      </c>
      <c r="X91" s="86"/>
      <c r="Y91" s="86"/>
      <c r="Z91" s="86"/>
      <c r="AA91" s="86"/>
      <c r="AB91" s="86">
        <f>'Before Award'!X98</f>
        <v>46476</v>
      </c>
      <c r="AC91" s="657" t="s">
        <v>4840</v>
      </c>
      <c r="AD91" s="87">
        <v>7</v>
      </c>
      <c r="AE91" s="660">
        <v>252</v>
      </c>
      <c r="AF91" s="666" t="e">
        <f>AB92</f>
        <v>#REF!</v>
      </c>
      <c r="AG91" s="669">
        <f>WORKDAY(AH91+1,-1,$BA$10:$BA$141)</f>
        <v>46416</v>
      </c>
      <c r="AH91" s="88">
        <v>46417</v>
      </c>
      <c r="AI91" s="89"/>
      <c r="AJ91" s="672" t="e">
        <f>AG91-AF91</f>
        <v>#REF!</v>
      </c>
      <c r="AK91" s="90"/>
      <c r="AL91" s="91"/>
      <c r="AM91" s="92">
        <f t="shared" si="167"/>
        <v>0</v>
      </c>
      <c r="AN91" s="93">
        <f t="shared" si="167"/>
        <v>0</v>
      </c>
      <c r="AO91" s="93">
        <f t="shared" si="167"/>
        <v>0</v>
      </c>
      <c r="AP91" s="93">
        <f t="shared" si="167"/>
        <v>0</v>
      </c>
      <c r="AQ91" s="93">
        <f t="shared" si="167"/>
        <v>0</v>
      </c>
      <c r="AR91" s="93">
        <f t="shared" si="167"/>
        <v>0</v>
      </c>
      <c r="AS91" s="93">
        <f t="shared" si="167"/>
        <v>0</v>
      </c>
      <c r="AT91" s="93">
        <f t="shared" si="167"/>
        <v>0</v>
      </c>
      <c r="AU91" s="93">
        <f t="shared" si="167"/>
        <v>0</v>
      </c>
      <c r="AV91" s="93">
        <f t="shared" si="167"/>
        <v>0</v>
      </c>
      <c r="AW91" s="93">
        <f t="shared" ca="1" si="167"/>
        <v>0</v>
      </c>
      <c r="BB91" s="94" t="e">
        <v>#REF!</v>
      </c>
    </row>
    <row r="92" spans="1:54" s="20" customFormat="1" ht="18" customHeight="1">
      <c r="A92" s="643"/>
      <c r="B92" s="649"/>
      <c r="C92" s="652"/>
      <c r="D92" s="96" t="str">
        <f>D91</f>
        <v>INS</v>
      </c>
      <c r="E92" s="97" t="str">
        <f t="shared" ref="E92:F92" si="169">E91</f>
        <v>RFQ-028</v>
      </c>
      <c r="F92" s="98" t="str">
        <f t="shared" si="169"/>
        <v>Y</v>
      </c>
      <c r="G92" s="655"/>
      <c r="H92" s="124" t="str">
        <f t="shared" ref="H92:I92" si="170">H91</f>
        <v>Wellhead Control Panel (WHCP)</v>
      </c>
      <c r="I92" s="97" t="str">
        <f t="shared" si="170"/>
        <v>LB</v>
      </c>
      <c r="J92" s="98"/>
      <c r="K92" s="100"/>
      <c r="L92" s="100">
        <f>M93</f>
        <v>0.03</v>
      </c>
      <c r="M92" s="100"/>
      <c r="N92" s="97"/>
      <c r="O92" s="97"/>
      <c r="P92" s="97"/>
      <c r="Q92" s="101" t="s">
        <v>4841</v>
      </c>
      <c r="R92" s="101"/>
      <c r="S92" s="102" t="e">
        <f>S91</f>
        <v>#REF!</v>
      </c>
      <c r="T92" s="103" t="e">
        <f>T91</f>
        <v>#REF!</v>
      </c>
      <c r="U92" s="103" t="e">
        <f t="shared" ref="U92:Z92" si="171">WORKDAY(IF(T93="",T92,T93),INDEX(U$2:U$5,MATCH($I91,$I$2:$I$5,0)),$BB$10:$BB$141)</f>
        <v>#REF!</v>
      </c>
      <c r="V92" s="103" t="e">
        <f t="shared" si="171"/>
        <v>#REF!</v>
      </c>
      <c r="W92" s="103" t="e">
        <f t="shared" si="171"/>
        <v>#REF!</v>
      </c>
      <c r="X92" s="103" t="e">
        <f t="shared" si="171"/>
        <v>#REF!</v>
      </c>
      <c r="Y92" s="103" t="e">
        <f t="shared" si="171"/>
        <v>#REF!</v>
      </c>
      <c r="Z92" s="103" t="e">
        <f t="shared" si="171"/>
        <v>#REF!</v>
      </c>
      <c r="AA92" s="103" t="e">
        <f>WORKDAY(IF(Z93="",X92,Z93),INDEX(AA$2:AA$5,MATCH($I91,$I$2:$I$5,0)),$BB$10:$BB$141)</f>
        <v>#REF!</v>
      </c>
      <c r="AB92" s="104" t="e">
        <f>WORKDAY(AE91+#REF!,0,'[35]Equipment List and MR List (3)'!$A$2:$A$80)</f>
        <v>#REF!</v>
      </c>
      <c r="AC92" s="658"/>
      <c r="AD92" s="105"/>
      <c r="AE92" s="660"/>
      <c r="AF92" s="667"/>
      <c r="AG92" s="670"/>
      <c r="AH92" s="106"/>
      <c r="AI92" s="107"/>
      <c r="AJ92" s="673"/>
      <c r="AK92" s="108"/>
      <c r="AL92" s="109"/>
      <c r="AM92" s="92">
        <f t="shared" si="167"/>
        <v>0</v>
      </c>
      <c r="AN92" s="93">
        <f t="shared" si="167"/>
        <v>0</v>
      </c>
      <c r="AO92" s="93">
        <f t="shared" si="167"/>
        <v>0</v>
      </c>
      <c r="AP92" s="93">
        <f t="shared" si="167"/>
        <v>0</v>
      </c>
      <c r="AQ92" s="93">
        <f t="shared" si="167"/>
        <v>0</v>
      </c>
      <c r="AR92" s="93">
        <f t="shared" si="167"/>
        <v>0</v>
      </c>
      <c r="AS92" s="93">
        <f t="shared" si="167"/>
        <v>0</v>
      </c>
      <c r="AT92" s="93">
        <f t="shared" si="167"/>
        <v>0</v>
      </c>
      <c r="AU92" s="93">
        <f t="shared" si="167"/>
        <v>0</v>
      </c>
      <c r="AV92" s="93">
        <f t="shared" si="167"/>
        <v>0</v>
      </c>
      <c r="AW92" s="93">
        <f t="shared" ca="1" si="167"/>
        <v>0</v>
      </c>
      <c r="BB92" s="94" t="e">
        <v>#REF!</v>
      </c>
    </row>
    <row r="93" spans="1:54" s="20" customFormat="1" ht="18" customHeight="1">
      <c r="A93" s="644"/>
      <c r="B93" s="650"/>
      <c r="C93" s="653"/>
      <c r="D93" s="111" t="str">
        <f>D91</f>
        <v>INS</v>
      </c>
      <c r="E93" s="112" t="str">
        <f>E91</f>
        <v>RFQ-028</v>
      </c>
      <c r="F93" s="113" t="str">
        <f t="shared" ref="F93" si="172">F91</f>
        <v>Y</v>
      </c>
      <c r="G93" s="656"/>
      <c r="H93" s="124" t="str">
        <f t="shared" ref="H93:I93" si="173">H91</f>
        <v>Wellhead Control Panel (WHCP)</v>
      </c>
      <c r="I93" s="112" t="str">
        <f t="shared" si="173"/>
        <v>LB</v>
      </c>
      <c r="J93" s="113"/>
      <c r="K93" s="114"/>
      <c r="L93" s="114"/>
      <c r="M93" s="114">
        <v>0.03</v>
      </c>
      <c r="N93" s="112"/>
      <c r="O93" s="112"/>
      <c r="P93" s="112"/>
      <c r="Q93" s="115" t="s">
        <v>4842</v>
      </c>
      <c r="R93" s="115"/>
      <c r="S93" s="126"/>
      <c r="T93" s="126"/>
      <c r="U93" s="126"/>
      <c r="V93" s="126"/>
      <c r="W93" s="126"/>
      <c r="X93" s="126"/>
      <c r="Y93" s="126"/>
      <c r="Z93" s="126"/>
      <c r="AA93" s="126"/>
      <c r="AB93" s="126"/>
      <c r="AC93" s="659"/>
      <c r="AD93" s="116"/>
      <c r="AE93" s="660"/>
      <c r="AF93" s="668"/>
      <c r="AG93" s="671"/>
      <c r="AH93" s="117"/>
      <c r="AI93" s="118"/>
      <c r="AJ93" s="674"/>
      <c r="AK93" s="119"/>
      <c r="AL93" s="120"/>
      <c r="AM93" s="121">
        <f t="shared" si="167"/>
        <v>0</v>
      </c>
      <c r="AN93" s="122">
        <f t="shared" si="167"/>
        <v>0</v>
      </c>
      <c r="AO93" s="122">
        <f t="shared" si="167"/>
        <v>0</v>
      </c>
      <c r="AP93" s="122">
        <f t="shared" si="167"/>
        <v>0</v>
      </c>
      <c r="AQ93" s="122">
        <f t="shared" si="167"/>
        <v>0</v>
      </c>
      <c r="AR93" s="122">
        <f t="shared" si="167"/>
        <v>0</v>
      </c>
      <c r="AS93" s="122">
        <f t="shared" si="167"/>
        <v>0</v>
      </c>
      <c r="AT93" s="122">
        <f t="shared" si="167"/>
        <v>0</v>
      </c>
      <c r="AU93" s="122">
        <f t="shared" si="167"/>
        <v>0</v>
      </c>
      <c r="AV93" s="122">
        <f t="shared" si="167"/>
        <v>0</v>
      </c>
      <c r="AW93" s="122">
        <f t="shared" ca="1" si="167"/>
        <v>0</v>
      </c>
      <c r="BB93" s="94" t="e">
        <v>#REF!</v>
      </c>
    </row>
    <row r="94" spans="1:54" s="20" customFormat="1" ht="18" customHeight="1">
      <c r="A94" s="642">
        <f t="shared" ref="A94" si="174">A91+1</f>
        <v>29</v>
      </c>
      <c r="B94" s="79"/>
      <c r="C94" s="651" t="s">
        <v>4836</v>
      </c>
      <c r="D94" s="80" t="s">
        <v>4868</v>
      </c>
      <c r="E94" s="81" t="s">
        <v>4766</v>
      </c>
      <c r="F94" s="82" t="s">
        <v>71</v>
      </c>
      <c r="G94" s="654" t="s">
        <v>4877</v>
      </c>
      <c r="H94" s="82" t="s">
        <v>163</v>
      </c>
      <c r="I94" s="81" t="s">
        <v>8</v>
      </c>
      <c r="J94" s="82"/>
      <c r="K94" s="84">
        <f>M96</f>
        <v>3.4000000000000002E-2</v>
      </c>
      <c r="L94" s="84"/>
      <c r="M94" s="84"/>
      <c r="N94" s="81"/>
      <c r="O94" s="81"/>
      <c r="P94" s="81"/>
      <c r="Q94" s="85" t="s">
        <v>4839</v>
      </c>
      <c r="R94" s="86">
        <f>'Before Award'!U101+5</f>
        <v>46417</v>
      </c>
      <c r="S94" s="86" t="e">
        <f>WORKDAY(R94,INDEX(S$2:S$5,MATCH($I94,$I$2:$I$5,0)),$BB$10:$BB$141)</f>
        <v>#REF!</v>
      </c>
      <c r="T94" s="86" t="e">
        <f>WORKDAY(S94,INDEX(T$2:T$5,MATCH($I94,$I$2:$I$5,0)),$BB$10:$BB$141)</f>
        <v>#REF!</v>
      </c>
      <c r="U94" s="86" t="e">
        <f>T94+30</f>
        <v>#REF!</v>
      </c>
      <c r="V94" s="86"/>
      <c r="W94" s="86">
        <f>AB94-35</f>
        <v>46503</v>
      </c>
      <c r="X94" s="86"/>
      <c r="Y94" s="86"/>
      <c r="Z94" s="86"/>
      <c r="AA94" s="86"/>
      <c r="AB94" s="86">
        <f>'Before Award'!X101</f>
        <v>46538</v>
      </c>
      <c r="AC94" s="657" t="s">
        <v>4840</v>
      </c>
      <c r="AD94" s="87">
        <v>7</v>
      </c>
      <c r="AE94" s="661">
        <f>18*7</f>
        <v>126</v>
      </c>
      <c r="AF94" s="666" t="e">
        <f>AB95</f>
        <v>#REF!</v>
      </c>
      <c r="AG94" s="669">
        <f>WORKDAY(AH94+1,-1,$BA$10:$BA$141)</f>
        <v>46538</v>
      </c>
      <c r="AH94" s="88">
        <v>46538</v>
      </c>
      <c r="AI94" s="89"/>
      <c r="AJ94" s="672" t="e">
        <f>AG94-AF94</f>
        <v>#REF!</v>
      </c>
      <c r="AK94" s="90"/>
      <c r="AL94" s="91"/>
      <c r="AM94" s="92">
        <f t="shared" si="167"/>
        <v>0</v>
      </c>
      <c r="AN94" s="93">
        <f t="shared" si="167"/>
        <v>0</v>
      </c>
      <c r="AO94" s="93">
        <f t="shared" si="167"/>
        <v>0</v>
      </c>
      <c r="AP94" s="93">
        <f t="shared" si="167"/>
        <v>0</v>
      </c>
      <c r="AQ94" s="93">
        <f t="shared" si="167"/>
        <v>0</v>
      </c>
      <c r="AR94" s="93">
        <f t="shared" si="167"/>
        <v>0</v>
      </c>
      <c r="AS94" s="93">
        <f t="shared" si="167"/>
        <v>0</v>
      </c>
      <c r="AT94" s="93">
        <f t="shared" si="167"/>
        <v>0</v>
      </c>
      <c r="AU94" s="93">
        <f t="shared" si="167"/>
        <v>0</v>
      </c>
      <c r="AV94" s="93">
        <f t="shared" si="167"/>
        <v>0</v>
      </c>
      <c r="AW94" s="93">
        <f t="shared" ca="1" si="167"/>
        <v>0</v>
      </c>
      <c r="BB94" s="94" t="e">
        <v>#REF!</v>
      </c>
    </row>
    <row r="95" spans="1:54" s="20" customFormat="1" ht="18" customHeight="1">
      <c r="A95" s="643"/>
      <c r="B95" s="95"/>
      <c r="C95" s="652"/>
      <c r="D95" s="96" t="str">
        <f>D94</f>
        <v>INS</v>
      </c>
      <c r="E95" s="97" t="str">
        <f t="shared" ref="E95:F95" si="175">E94</f>
        <v>RFQ-029</v>
      </c>
      <c r="F95" s="98" t="str">
        <f t="shared" si="175"/>
        <v>N</v>
      </c>
      <c r="G95" s="655"/>
      <c r="H95" s="98" t="str">
        <f t="shared" ref="H95:I95" si="176">H94</f>
        <v>Pressure Gauge</v>
      </c>
      <c r="I95" s="97" t="str">
        <f t="shared" si="176"/>
        <v>LC</v>
      </c>
      <c r="J95" s="98"/>
      <c r="K95" s="100"/>
      <c r="L95" s="100">
        <f>M96</f>
        <v>3.4000000000000002E-2</v>
      </c>
      <c r="M95" s="100"/>
      <c r="N95" s="97"/>
      <c r="O95" s="97"/>
      <c r="P95" s="97"/>
      <c r="Q95" s="101" t="s">
        <v>4841</v>
      </c>
      <c r="R95" s="101"/>
      <c r="S95" s="102" t="e">
        <f>S94</f>
        <v>#REF!</v>
      </c>
      <c r="T95" s="103" t="e">
        <f>T94</f>
        <v>#REF!</v>
      </c>
      <c r="U95" s="103" t="e">
        <f t="shared" ref="U95:Z95" si="177">WORKDAY(IF(T96="",T95,T96),INDEX(U$2:U$5,MATCH($I94,$I$2:$I$5,0)),$BB$10:$BB$141)</f>
        <v>#REF!</v>
      </c>
      <c r="V95" s="103" t="e">
        <f t="shared" si="177"/>
        <v>#REF!</v>
      </c>
      <c r="W95" s="103" t="e">
        <f t="shared" si="177"/>
        <v>#REF!</v>
      </c>
      <c r="X95" s="103" t="e">
        <f t="shared" si="177"/>
        <v>#REF!</v>
      </c>
      <c r="Y95" s="103" t="e">
        <f t="shared" si="177"/>
        <v>#REF!</v>
      </c>
      <c r="Z95" s="103" t="e">
        <f t="shared" si="177"/>
        <v>#REF!</v>
      </c>
      <c r="AA95" s="103" t="e">
        <f>WORKDAY(IF(Z96="",X95,Z96),INDEX(AA$2:AA$5,MATCH($I94,$I$2:$I$5,0)),$BB$10:$BB$141)</f>
        <v>#REF!</v>
      </c>
      <c r="AB95" s="104" t="e">
        <f>WORKDAY(AE94+#REF!,0,'[35]Equipment List and MR List (3)'!$A$2:$A$80)</f>
        <v>#REF!</v>
      </c>
      <c r="AC95" s="658"/>
      <c r="AD95" s="105"/>
      <c r="AE95" s="661"/>
      <c r="AF95" s="667"/>
      <c r="AG95" s="670"/>
      <c r="AH95" s="106"/>
      <c r="AI95" s="107"/>
      <c r="AJ95" s="673"/>
      <c r="AK95" s="108"/>
      <c r="AL95" s="109"/>
      <c r="AM95" s="92">
        <f t="shared" si="167"/>
        <v>0</v>
      </c>
      <c r="AN95" s="93">
        <f t="shared" si="167"/>
        <v>0</v>
      </c>
      <c r="AO95" s="93">
        <f t="shared" si="167"/>
        <v>0</v>
      </c>
      <c r="AP95" s="93">
        <f t="shared" si="167"/>
        <v>0</v>
      </c>
      <c r="AQ95" s="93">
        <f t="shared" si="167"/>
        <v>0</v>
      </c>
      <c r="AR95" s="93">
        <f t="shared" si="167"/>
        <v>0</v>
      </c>
      <c r="AS95" s="93">
        <f t="shared" si="167"/>
        <v>0</v>
      </c>
      <c r="AT95" s="93">
        <f t="shared" si="167"/>
        <v>0</v>
      </c>
      <c r="AU95" s="93">
        <f t="shared" si="167"/>
        <v>0</v>
      </c>
      <c r="AV95" s="93">
        <f t="shared" si="167"/>
        <v>0</v>
      </c>
      <c r="AW95" s="93">
        <f t="shared" ca="1" si="167"/>
        <v>0</v>
      </c>
      <c r="BB95" s="94" t="e">
        <v>#REF!</v>
      </c>
    </row>
    <row r="96" spans="1:54" s="20" customFormat="1" ht="18" customHeight="1">
      <c r="A96" s="644"/>
      <c r="B96" s="110"/>
      <c r="C96" s="653"/>
      <c r="D96" s="111" t="str">
        <f>D94</f>
        <v>INS</v>
      </c>
      <c r="E96" s="112" t="str">
        <f>E94</f>
        <v>RFQ-029</v>
      </c>
      <c r="F96" s="113" t="str">
        <f t="shared" ref="F96" si="178">F94</f>
        <v>N</v>
      </c>
      <c r="G96" s="656"/>
      <c r="H96" s="113" t="str">
        <f t="shared" ref="H96:I96" si="179">H94</f>
        <v>Pressure Gauge</v>
      </c>
      <c r="I96" s="112" t="str">
        <f t="shared" si="179"/>
        <v>LC</v>
      </c>
      <c r="J96" s="113"/>
      <c r="K96" s="114"/>
      <c r="L96" s="114"/>
      <c r="M96" s="114">
        <v>3.4000000000000002E-2</v>
      </c>
      <c r="N96" s="112"/>
      <c r="O96" s="112"/>
      <c r="P96" s="112"/>
      <c r="Q96" s="115" t="s">
        <v>4842</v>
      </c>
      <c r="R96" s="115"/>
      <c r="S96" s="126"/>
      <c r="T96" s="126"/>
      <c r="U96" s="126"/>
      <c r="V96" s="126"/>
      <c r="W96" s="126"/>
      <c r="X96" s="126"/>
      <c r="Y96" s="126"/>
      <c r="Z96" s="126"/>
      <c r="AA96" s="126"/>
      <c r="AB96" s="126"/>
      <c r="AC96" s="659"/>
      <c r="AD96" s="116"/>
      <c r="AE96" s="661"/>
      <c r="AF96" s="668"/>
      <c r="AG96" s="671"/>
      <c r="AH96" s="117"/>
      <c r="AI96" s="118"/>
      <c r="AJ96" s="674"/>
      <c r="AK96" s="119"/>
      <c r="AL96" s="120"/>
      <c r="AM96" s="121">
        <f t="shared" si="167"/>
        <v>0</v>
      </c>
      <c r="AN96" s="122">
        <f t="shared" si="167"/>
        <v>0</v>
      </c>
      <c r="AO96" s="122">
        <f t="shared" si="167"/>
        <v>0</v>
      </c>
      <c r="AP96" s="122">
        <f t="shared" si="167"/>
        <v>0</v>
      </c>
      <c r="AQ96" s="122">
        <f t="shared" si="167"/>
        <v>0</v>
      </c>
      <c r="AR96" s="122">
        <f t="shared" si="167"/>
        <v>0</v>
      </c>
      <c r="AS96" s="122">
        <f t="shared" si="167"/>
        <v>0</v>
      </c>
      <c r="AT96" s="122">
        <f t="shared" si="167"/>
        <v>0</v>
      </c>
      <c r="AU96" s="122">
        <f t="shared" si="167"/>
        <v>0</v>
      </c>
      <c r="AV96" s="122">
        <f t="shared" si="167"/>
        <v>0</v>
      </c>
      <c r="AW96" s="122">
        <f t="shared" ca="1" si="167"/>
        <v>0</v>
      </c>
      <c r="BB96" s="94" t="e">
        <v>#REF!</v>
      </c>
    </row>
    <row r="97" spans="1:54" s="20" customFormat="1" ht="18" customHeight="1">
      <c r="A97" s="642">
        <f t="shared" ref="A97" si="180">A94+1</f>
        <v>30</v>
      </c>
      <c r="B97" s="79"/>
      <c r="C97" s="651" t="s">
        <v>4836</v>
      </c>
      <c r="D97" s="80" t="s">
        <v>4868</v>
      </c>
      <c r="E97" s="81" t="s">
        <v>4767</v>
      </c>
      <c r="F97" s="82" t="s">
        <v>71</v>
      </c>
      <c r="G97" s="654" t="s">
        <v>4878</v>
      </c>
      <c r="H97" s="82" t="s">
        <v>166</v>
      </c>
      <c r="I97" s="81" t="s">
        <v>8</v>
      </c>
      <c r="J97" s="82"/>
      <c r="K97" s="84">
        <f>M99</f>
        <v>0.01</v>
      </c>
      <c r="L97" s="84"/>
      <c r="M97" s="84"/>
      <c r="N97" s="81"/>
      <c r="O97" s="81"/>
      <c r="P97" s="81"/>
      <c r="Q97" s="85" t="s">
        <v>4839</v>
      </c>
      <c r="R97" s="86">
        <f>'Before Award'!U104+5</f>
        <v>46417</v>
      </c>
      <c r="S97" s="86" t="e">
        <f>WORKDAY(R97,INDEX(S$2:S$5,MATCH($I97,$I$2:$I$5,0)),$BB$10:$BB$141)</f>
        <v>#REF!</v>
      </c>
      <c r="T97" s="86" t="e">
        <f>WORKDAY(S97,INDEX(T$2:T$5,MATCH($I97,$I$2:$I$5,0)),$BB$10:$BB$141)</f>
        <v>#REF!</v>
      </c>
      <c r="U97" s="86" t="e">
        <f>T97+30</f>
        <v>#REF!</v>
      </c>
      <c r="V97" s="86"/>
      <c r="W97" s="86">
        <f>AB97-35</f>
        <v>46503</v>
      </c>
      <c r="X97" s="86"/>
      <c r="Y97" s="86"/>
      <c r="Z97" s="86"/>
      <c r="AA97" s="86"/>
      <c r="AB97" s="86">
        <f>'Before Award'!X104</f>
        <v>46538</v>
      </c>
      <c r="AC97" s="657" t="s">
        <v>4840</v>
      </c>
      <c r="AD97" s="87">
        <v>7</v>
      </c>
      <c r="AE97" s="661">
        <f>18*7</f>
        <v>126</v>
      </c>
      <c r="AF97" s="666" t="e">
        <f>AB98</f>
        <v>#REF!</v>
      </c>
      <c r="AG97" s="669">
        <f>WORKDAY(AH97+1,-1,$BA$10:$BA$141)</f>
        <v>46538</v>
      </c>
      <c r="AH97" s="88">
        <v>46538</v>
      </c>
      <c r="AI97" s="89"/>
      <c r="AJ97" s="672" t="e">
        <f>AG97-AF97</f>
        <v>#REF!</v>
      </c>
      <c r="AK97" s="90"/>
      <c r="AL97" s="91"/>
      <c r="AM97" s="92">
        <f t="shared" si="167"/>
        <v>0</v>
      </c>
      <c r="AN97" s="93">
        <f t="shared" si="167"/>
        <v>0</v>
      </c>
      <c r="AO97" s="93">
        <f t="shared" si="167"/>
        <v>0</v>
      </c>
      <c r="AP97" s="93">
        <f t="shared" si="167"/>
        <v>0</v>
      </c>
      <c r="AQ97" s="93">
        <f t="shared" si="167"/>
        <v>0</v>
      </c>
      <c r="AR97" s="93">
        <f t="shared" si="167"/>
        <v>0</v>
      </c>
      <c r="AS97" s="93">
        <f t="shared" si="167"/>
        <v>0</v>
      </c>
      <c r="AT97" s="93">
        <f t="shared" si="167"/>
        <v>0</v>
      </c>
      <c r="AU97" s="93">
        <f t="shared" si="167"/>
        <v>0</v>
      </c>
      <c r="AV97" s="93">
        <f t="shared" si="167"/>
        <v>0</v>
      </c>
      <c r="AW97" s="93">
        <f t="shared" ca="1" si="167"/>
        <v>0</v>
      </c>
      <c r="BB97" s="94" t="e">
        <v>#REF!</v>
      </c>
    </row>
    <row r="98" spans="1:54" s="20" customFormat="1" ht="18" customHeight="1">
      <c r="A98" s="643"/>
      <c r="B98" s="95"/>
      <c r="C98" s="652"/>
      <c r="D98" s="96" t="str">
        <f>D97</f>
        <v>INS</v>
      </c>
      <c r="E98" s="97" t="str">
        <f t="shared" ref="E98:F98" si="181">E97</f>
        <v>RFQ-030</v>
      </c>
      <c r="F98" s="98" t="str">
        <f t="shared" si="181"/>
        <v>N</v>
      </c>
      <c r="G98" s="655"/>
      <c r="H98" s="98" t="str">
        <f t="shared" ref="H98:I98" si="182">H97</f>
        <v>Pressure Transmitter</v>
      </c>
      <c r="I98" s="97" t="str">
        <f t="shared" si="182"/>
        <v>LC</v>
      </c>
      <c r="J98" s="98"/>
      <c r="K98" s="100"/>
      <c r="L98" s="100">
        <f>M99</f>
        <v>0.01</v>
      </c>
      <c r="M98" s="100"/>
      <c r="N98" s="97"/>
      <c r="O98" s="97"/>
      <c r="P98" s="97"/>
      <c r="Q98" s="101" t="s">
        <v>4841</v>
      </c>
      <c r="R98" s="101"/>
      <c r="S98" s="102" t="e">
        <f>S97</f>
        <v>#REF!</v>
      </c>
      <c r="T98" s="103" t="e">
        <f>T97</f>
        <v>#REF!</v>
      </c>
      <c r="U98" s="103" t="e">
        <f t="shared" ref="U98:Z98" si="183">WORKDAY(IF(T99="",T98,T99),INDEX(U$2:U$5,MATCH($I97,$I$2:$I$5,0)),$BB$10:$BB$141)</f>
        <v>#REF!</v>
      </c>
      <c r="V98" s="103" t="e">
        <f t="shared" si="183"/>
        <v>#REF!</v>
      </c>
      <c r="W98" s="103" t="e">
        <f t="shared" si="183"/>
        <v>#REF!</v>
      </c>
      <c r="X98" s="103" t="e">
        <f t="shared" si="183"/>
        <v>#REF!</v>
      </c>
      <c r="Y98" s="103" t="e">
        <f t="shared" si="183"/>
        <v>#REF!</v>
      </c>
      <c r="Z98" s="103" t="e">
        <f t="shared" si="183"/>
        <v>#REF!</v>
      </c>
      <c r="AA98" s="103" t="e">
        <f>WORKDAY(IF(Z99="",X98,Z99),INDEX(AA$2:AA$5,MATCH($I97,$I$2:$I$5,0)),$BB$10:$BB$141)</f>
        <v>#REF!</v>
      </c>
      <c r="AB98" s="104" t="e">
        <f>WORKDAY(AE97+#REF!,0,'[35]Equipment List and MR List (3)'!$A$2:$A$80)</f>
        <v>#REF!</v>
      </c>
      <c r="AC98" s="658"/>
      <c r="AD98" s="105"/>
      <c r="AE98" s="661"/>
      <c r="AF98" s="667"/>
      <c r="AG98" s="670"/>
      <c r="AH98" s="106"/>
      <c r="AI98" s="107"/>
      <c r="AJ98" s="673"/>
      <c r="AK98" s="108"/>
      <c r="AL98" s="109"/>
      <c r="AM98" s="92">
        <f t="shared" si="167"/>
        <v>0</v>
      </c>
      <c r="AN98" s="93">
        <f t="shared" si="167"/>
        <v>0</v>
      </c>
      <c r="AO98" s="93">
        <f t="shared" si="167"/>
        <v>0</v>
      </c>
      <c r="AP98" s="93">
        <f t="shared" si="167"/>
        <v>0</v>
      </c>
      <c r="AQ98" s="93">
        <f t="shared" si="167"/>
        <v>0</v>
      </c>
      <c r="AR98" s="93">
        <f t="shared" si="167"/>
        <v>0</v>
      </c>
      <c r="AS98" s="93">
        <f t="shared" si="167"/>
        <v>0</v>
      </c>
      <c r="AT98" s="93">
        <f t="shared" si="167"/>
        <v>0</v>
      </c>
      <c r="AU98" s="93">
        <f t="shared" si="167"/>
        <v>0</v>
      </c>
      <c r="AV98" s="93">
        <f t="shared" si="167"/>
        <v>0</v>
      </c>
      <c r="AW98" s="93">
        <f t="shared" ca="1" si="167"/>
        <v>0</v>
      </c>
      <c r="BB98" s="94" t="e">
        <v>#REF!</v>
      </c>
    </row>
    <row r="99" spans="1:54" s="20" customFormat="1" ht="18" customHeight="1">
      <c r="A99" s="644"/>
      <c r="B99" s="110"/>
      <c r="C99" s="653"/>
      <c r="D99" s="111" t="str">
        <f>D97</f>
        <v>INS</v>
      </c>
      <c r="E99" s="112" t="str">
        <f>E97</f>
        <v>RFQ-030</v>
      </c>
      <c r="F99" s="113" t="str">
        <f t="shared" ref="F99" si="184">F97</f>
        <v>N</v>
      </c>
      <c r="G99" s="656"/>
      <c r="H99" s="113" t="str">
        <f t="shared" ref="H99:I99" si="185">H97</f>
        <v>Pressure Transmitter</v>
      </c>
      <c r="I99" s="112" t="str">
        <f t="shared" si="185"/>
        <v>LC</v>
      </c>
      <c r="J99" s="113"/>
      <c r="K99" s="114"/>
      <c r="L99" s="114"/>
      <c r="M99" s="114">
        <v>0.01</v>
      </c>
      <c r="N99" s="112"/>
      <c r="O99" s="112"/>
      <c r="P99" s="112"/>
      <c r="Q99" s="115" t="s">
        <v>4842</v>
      </c>
      <c r="R99" s="115"/>
      <c r="S99" s="126"/>
      <c r="T99" s="126"/>
      <c r="U99" s="126"/>
      <c r="V99" s="126"/>
      <c r="W99" s="126"/>
      <c r="X99" s="126"/>
      <c r="Y99" s="126"/>
      <c r="Z99" s="126"/>
      <c r="AA99" s="126"/>
      <c r="AB99" s="126"/>
      <c r="AC99" s="659"/>
      <c r="AD99" s="116"/>
      <c r="AE99" s="661"/>
      <c r="AF99" s="668"/>
      <c r="AG99" s="671"/>
      <c r="AH99" s="117"/>
      <c r="AI99" s="118"/>
      <c r="AJ99" s="674"/>
      <c r="AK99" s="119"/>
      <c r="AL99" s="120"/>
      <c r="AM99" s="121">
        <f t="shared" si="167"/>
        <v>0</v>
      </c>
      <c r="AN99" s="122">
        <f t="shared" si="167"/>
        <v>0</v>
      </c>
      <c r="AO99" s="122">
        <f t="shared" si="167"/>
        <v>0</v>
      </c>
      <c r="AP99" s="122">
        <f t="shared" si="167"/>
        <v>0</v>
      </c>
      <c r="AQ99" s="122">
        <f t="shared" si="167"/>
        <v>0</v>
      </c>
      <c r="AR99" s="122">
        <f t="shared" si="167"/>
        <v>0</v>
      </c>
      <c r="AS99" s="122">
        <f t="shared" si="167"/>
        <v>0</v>
      </c>
      <c r="AT99" s="122">
        <f t="shared" si="167"/>
        <v>0</v>
      </c>
      <c r="AU99" s="122">
        <f t="shared" si="167"/>
        <v>0</v>
      </c>
      <c r="AV99" s="122">
        <f t="shared" si="167"/>
        <v>0</v>
      </c>
      <c r="AW99" s="122">
        <f t="shared" ca="1" si="167"/>
        <v>0</v>
      </c>
      <c r="BB99" s="94" t="e">
        <v>#REF!</v>
      </c>
    </row>
    <row r="100" spans="1:54" s="20" customFormat="1" ht="18" customHeight="1">
      <c r="A100" s="642">
        <f t="shared" ref="A100" si="186">A97+1</f>
        <v>31</v>
      </c>
      <c r="B100" s="79"/>
      <c r="C100" s="651" t="s">
        <v>4836</v>
      </c>
      <c r="D100" s="80" t="s">
        <v>4868</v>
      </c>
      <c r="E100" s="81" t="s">
        <v>4768</v>
      </c>
      <c r="F100" s="82" t="s">
        <v>71</v>
      </c>
      <c r="G100" s="654" t="s">
        <v>4879</v>
      </c>
      <c r="H100" s="82" t="s">
        <v>168</v>
      </c>
      <c r="I100" s="81" t="s">
        <v>8</v>
      </c>
      <c r="J100" s="82"/>
      <c r="K100" s="84">
        <f>M102</f>
        <v>0.01</v>
      </c>
      <c r="L100" s="84"/>
      <c r="M100" s="84"/>
      <c r="N100" s="81"/>
      <c r="O100" s="81"/>
      <c r="P100" s="81"/>
      <c r="Q100" s="85" t="s">
        <v>4839</v>
      </c>
      <c r="R100" s="86">
        <f>'Before Award'!U107+5</f>
        <v>46417</v>
      </c>
      <c r="S100" s="86" t="e">
        <f>WORKDAY(R100,INDEX(S$2:S$5,MATCH($I100,$I$2:$I$5,0)),$BB$10:$BB$141)</f>
        <v>#REF!</v>
      </c>
      <c r="T100" s="86" t="e">
        <f>WORKDAY(S100,INDEX(T$2:T$5,MATCH($I100,$I$2:$I$5,0)),$BB$10:$BB$141)</f>
        <v>#REF!</v>
      </c>
      <c r="U100" s="86" t="e">
        <f>T100+30</f>
        <v>#REF!</v>
      </c>
      <c r="V100" s="86"/>
      <c r="W100" s="86">
        <f>AB100-35</f>
        <v>46503</v>
      </c>
      <c r="X100" s="86"/>
      <c r="Y100" s="86"/>
      <c r="Z100" s="86"/>
      <c r="AA100" s="86"/>
      <c r="AB100" s="86">
        <f>'Before Award'!X107</f>
        <v>46538</v>
      </c>
      <c r="AC100" s="657" t="s">
        <v>4840</v>
      </c>
      <c r="AD100" s="87">
        <v>7</v>
      </c>
      <c r="AE100" s="661">
        <f>18*7</f>
        <v>126</v>
      </c>
      <c r="AF100" s="666" t="e">
        <f>AB101</f>
        <v>#REF!</v>
      </c>
      <c r="AG100" s="669">
        <f>WORKDAY(AH100+1,-1,$BA$10:$BA$141)</f>
        <v>46538</v>
      </c>
      <c r="AH100" s="88">
        <v>46538</v>
      </c>
      <c r="AI100" s="89"/>
      <c r="AJ100" s="672" t="e">
        <f>AG100-AF100</f>
        <v>#REF!</v>
      </c>
      <c r="AK100" s="90"/>
      <c r="AL100" s="91"/>
      <c r="AM100" s="92">
        <f t="shared" ref="AM100:AW109" si="187">IF(ISERROR(LOOKUP(AM$6,$S100:$AB100,$S$9:$AB$9)),0,(LOOKUP(AM$6,$S100:$AB100,$S$9:$AB$9)))</f>
        <v>0</v>
      </c>
      <c r="AN100" s="93">
        <f t="shared" si="187"/>
        <v>0</v>
      </c>
      <c r="AO100" s="93">
        <f t="shared" si="187"/>
        <v>0</v>
      </c>
      <c r="AP100" s="93">
        <f t="shared" si="187"/>
        <v>0</v>
      </c>
      <c r="AQ100" s="93">
        <f t="shared" si="187"/>
        <v>0</v>
      </c>
      <c r="AR100" s="93">
        <f t="shared" si="187"/>
        <v>0</v>
      </c>
      <c r="AS100" s="93">
        <f t="shared" si="187"/>
        <v>0</v>
      </c>
      <c r="AT100" s="93">
        <f t="shared" si="187"/>
        <v>0</v>
      </c>
      <c r="AU100" s="93">
        <f t="shared" si="187"/>
        <v>0</v>
      </c>
      <c r="AV100" s="93">
        <f t="shared" si="187"/>
        <v>0</v>
      </c>
      <c r="AW100" s="93">
        <f t="shared" ca="1" si="187"/>
        <v>0</v>
      </c>
      <c r="BB100" s="94" t="e">
        <v>#REF!</v>
      </c>
    </row>
    <row r="101" spans="1:54" s="20" customFormat="1" ht="18" customHeight="1">
      <c r="A101" s="643"/>
      <c r="B101" s="95"/>
      <c r="C101" s="652"/>
      <c r="D101" s="96" t="str">
        <f t="shared" ref="D101:F101" si="188">D100</f>
        <v>INS</v>
      </c>
      <c r="E101" s="97" t="str">
        <f t="shared" si="188"/>
        <v>RFQ-031</v>
      </c>
      <c r="F101" s="98" t="str">
        <f t="shared" si="188"/>
        <v>N</v>
      </c>
      <c r="G101" s="655"/>
      <c r="H101" s="98" t="str">
        <f t="shared" ref="H101:I101" si="189">H100</f>
        <v>Temperature Gauge</v>
      </c>
      <c r="I101" s="97" t="str">
        <f t="shared" si="189"/>
        <v>LC</v>
      </c>
      <c r="J101" s="98"/>
      <c r="K101" s="100"/>
      <c r="L101" s="100">
        <f>M102</f>
        <v>0.01</v>
      </c>
      <c r="M101" s="100"/>
      <c r="N101" s="97"/>
      <c r="O101" s="97"/>
      <c r="P101" s="97"/>
      <c r="Q101" s="101" t="s">
        <v>4841</v>
      </c>
      <c r="R101" s="101"/>
      <c r="S101" s="102" t="e">
        <f>S100</f>
        <v>#REF!</v>
      </c>
      <c r="T101" s="103" t="e">
        <f>T100</f>
        <v>#REF!</v>
      </c>
      <c r="U101" s="103" t="e">
        <f t="shared" ref="U101:Z101" si="190">WORKDAY(IF(T102="",T101,T102),INDEX(U$2:U$5,MATCH($I100,$I$2:$I$5,0)),$BB$10:$BB$141)</f>
        <v>#REF!</v>
      </c>
      <c r="V101" s="103" t="e">
        <f t="shared" si="190"/>
        <v>#REF!</v>
      </c>
      <c r="W101" s="103" t="e">
        <f t="shared" si="190"/>
        <v>#REF!</v>
      </c>
      <c r="X101" s="103" t="e">
        <f t="shared" si="190"/>
        <v>#REF!</v>
      </c>
      <c r="Y101" s="103" t="e">
        <f t="shared" si="190"/>
        <v>#REF!</v>
      </c>
      <c r="Z101" s="103" t="e">
        <f t="shared" si="190"/>
        <v>#REF!</v>
      </c>
      <c r="AA101" s="103" t="e">
        <f>WORKDAY(IF(Z102="",X101,Z102),INDEX(AA$2:AA$5,MATCH($I100,$I$2:$I$5,0)),$BB$10:$BB$141)</f>
        <v>#REF!</v>
      </c>
      <c r="AB101" s="104" t="e">
        <f>WORKDAY(AE100+#REF!,0,'[35]Equipment List and MR List (3)'!$A$2:$A$80)</f>
        <v>#REF!</v>
      </c>
      <c r="AC101" s="658"/>
      <c r="AD101" s="105"/>
      <c r="AE101" s="661"/>
      <c r="AF101" s="667"/>
      <c r="AG101" s="670"/>
      <c r="AH101" s="106"/>
      <c r="AI101" s="107"/>
      <c r="AJ101" s="673"/>
      <c r="AK101" s="108"/>
      <c r="AL101" s="109"/>
      <c r="AM101" s="92">
        <f t="shared" si="187"/>
        <v>0</v>
      </c>
      <c r="AN101" s="93">
        <f t="shared" si="187"/>
        <v>0</v>
      </c>
      <c r="AO101" s="93">
        <f t="shared" si="187"/>
        <v>0</v>
      </c>
      <c r="AP101" s="93">
        <f t="shared" si="187"/>
        <v>0</v>
      </c>
      <c r="AQ101" s="93">
        <f t="shared" si="187"/>
        <v>0</v>
      </c>
      <c r="AR101" s="93">
        <f t="shared" si="187"/>
        <v>0</v>
      </c>
      <c r="AS101" s="93">
        <f t="shared" si="187"/>
        <v>0</v>
      </c>
      <c r="AT101" s="93">
        <f t="shared" si="187"/>
        <v>0</v>
      </c>
      <c r="AU101" s="93">
        <f t="shared" si="187"/>
        <v>0</v>
      </c>
      <c r="AV101" s="93">
        <f t="shared" si="187"/>
        <v>0</v>
      </c>
      <c r="AW101" s="93">
        <f t="shared" ca="1" si="187"/>
        <v>0</v>
      </c>
      <c r="BB101" s="94" t="e">
        <v>#REF!</v>
      </c>
    </row>
    <row r="102" spans="1:54" s="20" customFormat="1" ht="18" customHeight="1">
      <c r="A102" s="644"/>
      <c r="B102" s="110"/>
      <c r="C102" s="653"/>
      <c r="D102" s="111" t="str">
        <f>D100</f>
        <v>INS</v>
      </c>
      <c r="E102" s="112" t="str">
        <f>E100</f>
        <v>RFQ-031</v>
      </c>
      <c r="F102" s="113" t="str">
        <f t="shared" ref="F102" si="191">F100</f>
        <v>N</v>
      </c>
      <c r="G102" s="656"/>
      <c r="H102" s="113" t="str">
        <f t="shared" ref="H102:I102" si="192">H100</f>
        <v>Temperature Gauge</v>
      </c>
      <c r="I102" s="112" t="str">
        <f t="shared" si="192"/>
        <v>LC</v>
      </c>
      <c r="J102" s="113"/>
      <c r="K102" s="114"/>
      <c r="L102" s="114"/>
      <c r="M102" s="114">
        <v>0.01</v>
      </c>
      <c r="N102" s="112"/>
      <c r="O102" s="112"/>
      <c r="P102" s="112"/>
      <c r="Q102" s="115" t="s">
        <v>4842</v>
      </c>
      <c r="R102" s="115"/>
      <c r="S102" s="126"/>
      <c r="T102" s="126"/>
      <c r="U102" s="126"/>
      <c r="V102" s="126"/>
      <c r="W102" s="126"/>
      <c r="X102" s="126"/>
      <c r="Y102" s="126"/>
      <c r="Z102" s="126"/>
      <c r="AA102" s="126"/>
      <c r="AB102" s="126"/>
      <c r="AC102" s="659"/>
      <c r="AD102" s="116"/>
      <c r="AE102" s="661"/>
      <c r="AF102" s="668"/>
      <c r="AG102" s="671"/>
      <c r="AH102" s="117"/>
      <c r="AI102" s="118"/>
      <c r="AJ102" s="674"/>
      <c r="AK102" s="119"/>
      <c r="AL102" s="120"/>
      <c r="AM102" s="121">
        <f t="shared" si="187"/>
        <v>0</v>
      </c>
      <c r="AN102" s="122">
        <f t="shared" si="187"/>
        <v>0</v>
      </c>
      <c r="AO102" s="122">
        <f t="shared" si="187"/>
        <v>0</v>
      </c>
      <c r="AP102" s="122">
        <f t="shared" si="187"/>
        <v>0</v>
      </c>
      <c r="AQ102" s="122">
        <f t="shared" si="187"/>
        <v>0</v>
      </c>
      <c r="AR102" s="122">
        <f t="shared" si="187"/>
        <v>0</v>
      </c>
      <c r="AS102" s="122">
        <f t="shared" si="187"/>
        <v>0</v>
      </c>
      <c r="AT102" s="122">
        <f t="shared" si="187"/>
        <v>0</v>
      </c>
      <c r="AU102" s="122">
        <f t="shared" si="187"/>
        <v>0</v>
      </c>
      <c r="AV102" s="122">
        <f t="shared" si="187"/>
        <v>0</v>
      </c>
      <c r="AW102" s="122">
        <f t="shared" ca="1" si="187"/>
        <v>0</v>
      </c>
      <c r="BB102" s="94" t="e">
        <v>#REF!</v>
      </c>
    </row>
    <row r="103" spans="1:54" s="20" customFormat="1" ht="18" customHeight="1">
      <c r="A103" s="642">
        <f t="shared" ref="A103" si="193">A100+1</f>
        <v>32</v>
      </c>
      <c r="B103" s="79"/>
      <c r="C103" s="651" t="s">
        <v>4836</v>
      </c>
      <c r="D103" s="80" t="s">
        <v>4868</v>
      </c>
      <c r="E103" s="81" t="s">
        <v>4769</v>
      </c>
      <c r="F103" s="82" t="s">
        <v>71</v>
      </c>
      <c r="G103" s="654" t="s">
        <v>4880</v>
      </c>
      <c r="H103" s="82" t="s">
        <v>170</v>
      </c>
      <c r="I103" s="81" t="s">
        <v>8</v>
      </c>
      <c r="J103" s="82"/>
      <c r="K103" s="84">
        <f>M105</f>
        <v>0.02</v>
      </c>
      <c r="L103" s="84"/>
      <c r="M103" s="84"/>
      <c r="N103" s="81"/>
      <c r="O103" s="81"/>
      <c r="P103" s="81"/>
      <c r="Q103" s="85" t="s">
        <v>4839</v>
      </c>
      <c r="R103" s="86">
        <f>'Before Award'!U110+5</f>
        <v>46417</v>
      </c>
      <c r="S103" s="86" t="e">
        <f>WORKDAY(R103,INDEX(S$2:S$5,MATCH($I103,$I$2:$I$5,0)),$BB$10:$BB$141)</f>
        <v>#REF!</v>
      </c>
      <c r="T103" s="86" t="e">
        <f>WORKDAY(S103,INDEX(T$2:T$5,MATCH($I103,$I$2:$I$5,0)),$BB$10:$BB$141)</f>
        <v>#REF!</v>
      </c>
      <c r="U103" s="86" t="e">
        <f>T103+30</f>
        <v>#REF!</v>
      </c>
      <c r="V103" s="86"/>
      <c r="W103" s="86">
        <f>AB103-35</f>
        <v>46503</v>
      </c>
      <c r="X103" s="86"/>
      <c r="Y103" s="86"/>
      <c r="Z103" s="86"/>
      <c r="AA103" s="86"/>
      <c r="AB103" s="86">
        <f>'Before Award'!X110</f>
        <v>46538</v>
      </c>
      <c r="AC103" s="657" t="s">
        <v>4840</v>
      </c>
      <c r="AD103" s="87">
        <v>7</v>
      </c>
      <c r="AE103" s="661">
        <f>18*7</f>
        <v>126</v>
      </c>
      <c r="AF103" s="666" t="e">
        <f>AB104</f>
        <v>#REF!</v>
      </c>
      <c r="AG103" s="669">
        <f>WORKDAY(AH103+1,-1,$BA$10:$BA$141)</f>
        <v>46538</v>
      </c>
      <c r="AH103" s="88">
        <v>46538</v>
      </c>
      <c r="AI103" s="89"/>
      <c r="AJ103" s="672" t="e">
        <f>AG103-AF103</f>
        <v>#REF!</v>
      </c>
      <c r="AK103" s="90"/>
      <c r="AL103" s="91"/>
      <c r="AM103" s="92">
        <f t="shared" si="187"/>
        <v>0</v>
      </c>
      <c r="AN103" s="93">
        <f t="shared" si="187"/>
        <v>0</v>
      </c>
      <c r="AO103" s="93">
        <f t="shared" si="187"/>
        <v>0</v>
      </c>
      <c r="AP103" s="93">
        <f t="shared" si="187"/>
        <v>0</v>
      </c>
      <c r="AQ103" s="93">
        <f t="shared" si="187"/>
        <v>0</v>
      </c>
      <c r="AR103" s="93">
        <f t="shared" si="187"/>
        <v>0</v>
      </c>
      <c r="AS103" s="93">
        <f t="shared" si="187"/>
        <v>0</v>
      </c>
      <c r="AT103" s="93">
        <f t="shared" si="187"/>
        <v>0</v>
      </c>
      <c r="AU103" s="93">
        <f t="shared" si="187"/>
        <v>0</v>
      </c>
      <c r="AV103" s="93">
        <f t="shared" si="187"/>
        <v>0</v>
      </c>
      <c r="AW103" s="93">
        <f t="shared" ca="1" si="187"/>
        <v>0</v>
      </c>
      <c r="BB103" s="94" t="e">
        <v>#REF!</v>
      </c>
    </row>
    <row r="104" spans="1:54" s="20" customFormat="1" ht="18" customHeight="1">
      <c r="A104" s="643"/>
      <c r="B104" s="95"/>
      <c r="C104" s="652"/>
      <c r="D104" s="96" t="str">
        <f t="shared" ref="D104:F104" si="194">D103</f>
        <v>INS</v>
      </c>
      <c r="E104" s="97" t="str">
        <f t="shared" si="194"/>
        <v>RFQ-032</v>
      </c>
      <c r="F104" s="98" t="str">
        <f t="shared" si="194"/>
        <v>N</v>
      </c>
      <c r="G104" s="655"/>
      <c r="H104" s="98" t="str">
        <f t="shared" ref="H104:I104" si="195">H103</f>
        <v>Temperature Transmitter</v>
      </c>
      <c r="I104" s="97" t="str">
        <f t="shared" si="195"/>
        <v>LC</v>
      </c>
      <c r="J104" s="98"/>
      <c r="K104" s="100"/>
      <c r="L104" s="100">
        <f>M105</f>
        <v>0.02</v>
      </c>
      <c r="M104" s="100"/>
      <c r="N104" s="97"/>
      <c r="O104" s="97"/>
      <c r="P104" s="97"/>
      <c r="Q104" s="101" t="s">
        <v>4841</v>
      </c>
      <c r="R104" s="101"/>
      <c r="S104" s="102" t="e">
        <f>S103</f>
        <v>#REF!</v>
      </c>
      <c r="T104" s="103" t="e">
        <f>T103</f>
        <v>#REF!</v>
      </c>
      <c r="U104" s="103" t="e">
        <f t="shared" ref="U104:Z104" si="196">WORKDAY(IF(T105="",T104,T105),INDEX(U$2:U$5,MATCH($I103,$I$2:$I$5,0)),$BB$10:$BB$141)</f>
        <v>#REF!</v>
      </c>
      <c r="V104" s="103" t="e">
        <f t="shared" si="196"/>
        <v>#REF!</v>
      </c>
      <c r="W104" s="103" t="e">
        <f t="shared" si="196"/>
        <v>#REF!</v>
      </c>
      <c r="X104" s="103" t="e">
        <f t="shared" si="196"/>
        <v>#REF!</v>
      </c>
      <c r="Y104" s="103" t="e">
        <f t="shared" si="196"/>
        <v>#REF!</v>
      </c>
      <c r="Z104" s="103" t="e">
        <f t="shared" si="196"/>
        <v>#REF!</v>
      </c>
      <c r="AA104" s="103" t="e">
        <f>WORKDAY(IF(Z105="",X104,Z105),INDEX(AA$2:AA$5,MATCH($I103,$I$2:$I$5,0)),$BB$10:$BB$141)</f>
        <v>#REF!</v>
      </c>
      <c r="AB104" s="104" t="e">
        <f>WORKDAY(AE103+#REF!,0,'[35]Equipment List and MR List (3)'!$A$2:$A$80)</f>
        <v>#REF!</v>
      </c>
      <c r="AC104" s="658"/>
      <c r="AD104" s="105"/>
      <c r="AE104" s="661"/>
      <c r="AF104" s="667"/>
      <c r="AG104" s="670"/>
      <c r="AH104" s="106"/>
      <c r="AI104" s="107"/>
      <c r="AJ104" s="673"/>
      <c r="AK104" s="108"/>
      <c r="AL104" s="109"/>
      <c r="AM104" s="92">
        <f t="shared" si="187"/>
        <v>0</v>
      </c>
      <c r="AN104" s="93">
        <f t="shared" si="187"/>
        <v>0</v>
      </c>
      <c r="AO104" s="93">
        <f t="shared" si="187"/>
        <v>0</v>
      </c>
      <c r="AP104" s="93">
        <f t="shared" si="187"/>
        <v>0</v>
      </c>
      <c r="AQ104" s="93">
        <f t="shared" si="187"/>
        <v>0</v>
      </c>
      <c r="AR104" s="93">
        <f t="shared" si="187"/>
        <v>0</v>
      </c>
      <c r="AS104" s="93">
        <f t="shared" si="187"/>
        <v>0</v>
      </c>
      <c r="AT104" s="93">
        <f t="shared" si="187"/>
        <v>0</v>
      </c>
      <c r="AU104" s="93">
        <f t="shared" si="187"/>
        <v>0</v>
      </c>
      <c r="AV104" s="93">
        <f t="shared" si="187"/>
        <v>0</v>
      </c>
      <c r="AW104" s="93">
        <f t="shared" ca="1" si="187"/>
        <v>0</v>
      </c>
      <c r="BB104" s="94" t="e">
        <v>#REF!</v>
      </c>
    </row>
    <row r="105" spans="1:54" s="20" customFormat="1" ht="18" customHeight="1">
      <c r="A105" s="644"/>
      <c r="B105" s="110"/>
      <c r="C105" s="653"/>
      <c r="D105" s="111" t="str">
        <f>D103</f>
        <v>INS</v>
      </c>
      <c r="E105" s="112" t="str">
        <f>E103</f>
        <v>RFQ-032</v>
      </c>
      <c r="F105" s="113" t="str">
        <f t="shared" ref="F105" si="197">F103</f>
        <v>N</v>
      </c>
      <c r="G105" s="656"/>
      <c r="H105" s="113" t="str">
        <f t="shared" ref="H105:I105" si="198">H103</f>
        <v>Temperature Transmitter</v>
      </c>
      <c r="I105" s="112" t="str">
        <f t="shared" si="198"/>
        <v>LC</v>
      </c>
      <c r="J105" s="113"/>
      <c r="K105" s="114"/>
      <c r="L105" s="114"/>
      <c r="M105" s="114">
        <v>0.02</v>
      </c>
      <c r="N105" s="112"/>
      <c r="O105" s="112"/>
      <c r="P105" s="112"/>
      <c r="Q105" s="115" t="s">
        <v>4842</v>
      </c>
      <c r="R105" s="115"/>
      <c r="S105" s="126"/>
      <c r="T105" s="126"/>
      <c r="U105" s="126"/>
      <c r="V105" s="126"/>
      <c r="W105" s="126"/>
      <c r="X105" s="126"/>
      <c r="Y105" s="126"/>
      <c r="Z105" s="126"/>
      <c r="AA105" s="126"/>
      <c r="AB105" s="126"/>
      <c r="AC105" s="659"/>
      <c r="AD105" s="116"/>
      <c r="AE105" s="661"/>
      <c r="AF105" s="668"/>
      <c r="AG105" s="671"/>
      <c r="AH105" s="117"/>
      <c r="AI105" s="118"/>
      <c r="AJ105" s="674"/>
      <c r="AK105" s="119"/>
      <c r="AL105" s="120"/>
      <c r="AM105" s="121">
        <f t="shared" si="187"/>
        <v>0</v>
      </c>
      <c r="AN105" s="122">
        <f t="shared" si="187"/>
        <v>0</v>
      </c>
      <c r="AO105" s="122">
        <f t="shared" si="187"/>
        <v>0</v>
      </c>
      <c r="AP105" s="122">
        <f t="shared" si="187"/>
        <v>0</v>
      </c>
      <c r="AQ105" s="122">
        <f t="shared" si="187"/>
        <v>0</v>
      </c>
      <c r="AR105" s="122">
        <f t="shared" si="187"/>
        <v>0</v>
      </c>
      <c r="AS105" s="122">
        <f t="shared" si="187"/>
        <v>0</v>
      </c>
      <c r="AT105" s="122">
        <f t="shared" si="187"/>
        <v>0</v>
      </c>
      <c r="AU105" s="122">
        <f t="shared" si="187"/>
        <v>0</v>
      </c>
      <c r="AV105" s="122">
        <f t="shared" si="187"/>
        <v>0</v>
      </c>
      <c r="AW105" s="122">
        <f t="shared" ca="1" si="187"/>
        <v>0</v>
      </c>
      <c r="BB105" s="94" t="e">
        <v>#REF!</v>
      </c>
    </row>
    <row r="106" spans="1:54" s="20" customFormat="1" ht="18" customHeight="1">
      <c r="A106" s="642">
        <f t="shared" ref="A106" si="199">A103+1</f>
        <v>33</v>
      </c>
      <c r="B106" s="79"/>
      <c r="C106" s="651" t="s">
        <v>4836</v>
      </c>
      <c r="D106" s="80" t="s">
        <v>4868</v>
      </c>
      <c r="E106" s="81" t="s">
        <v>4770</v>
      </c>
      <c r="F106" s="82" t="s">
        <v>71</v>
      </c>
      <c r="G106" s="654" t="s">
        <v>4881</v>
      </c>
      <c r="H106" s="82" t="s">
        <v>172</v>
      </c>
      <c r="I106" s="81" t="s">
        <v>8</v>
      </c>
      <c r="J106" s="82"/>
      <c r="K106" s="84">
        <f>M108</f>
        <v>0.04</v>
      </c>
      <c r="L106" s="84"/>
      <c r="M106" s="84"/>
      <c r="N106" s="81"/>
      <c r="O106" s="81"/>
      <c r="P106" s="81"/>
      <c r="Q106" s="85" t="s">
        <v>4839</v>
      </c>
      <c r="R106" s="86">
        <f>'Before Award'!U113+5</f>
        <v>46417</v>
      </c>
      <c r="S106" s="86" t="e">
        <f>WORKDAY(R106,INDEX(S$2:S$5,MATCH($I106,$I$2:$I$5,0)),$BB$10:$BB$141)</f>
        <v>#REF!</v>
      </c>
      <c r="T106" s="86" t="e">
        <f>WORKDAY(S106,INDEX(T$2:T$5,MATCH($I106,$I$2:$I$5,0)),$BB$10:$BB$141)</f>
        <v>#REF!</v>
      </c>
      <c r="U106" s="86" t="e">
        <f>T106+30</f>
        <v>#REF!</v>
      </c>
      <c r="V106" s="86"/>
      <c r="W106" s="86">
        <f>AB106-35</f>
        <v>46503</v>
      </c>
      <c r="X106" s="86"/>
      <c r="Y106" s="86"/>
      <c r="Z106" s="86"/>
      <c r="AA106" s="86"/>
      <c r="AB106" s="86">
        <f>'Before Award'!X113</f>
        <v>46538</v>
      </c>
      <c r="AC106" s="657" t="s">
        <v>4840</v>
      </c>
      <c r="AD106" s="87">
        <v>7</v>
      </c>
      <c r="AE106" s="661">
        <f t="shared" ref="AE106" si="200">18*7</f>
        <v>126</v>
      </c>
      <c r="AF106" s="666" t="e">
        <f>AB107</f>
        <v>#REF!</v>
      </c>
      <c r="AG106" s="669">
        <f>WORKDAY(AH106+1,-1,$BA$10:$BA$141)</f>
        <v>46538</v>
      </c>
      <c r="AH106" s="88">
        <v>46538</v>
      </c>
      <c r="AI106" s="89"/>
      <c r="AJ106" s="672" t="e">
        <f>AG106-AF106</f>
        <v>#REF!</v>
      </c>
      <c r="AK106" s="90"/>
      <c r="AL106" s="91"/>
      <c r="AM106" s="92">
        <f t="shared" si="187"/>
        <v>0</v>
      </c>
      <c r="AN106" s="93">
        <f t="shared" si="187"/>
        <v>0</v>
      </c>
      <c r="AO106" s="93">
        <f t="shared" si="187"/>
        <v>0</v>
      </c>
      <c r="AP106" s="93">
        <f t="shared" si="187"/>
        <v>0</v>
      </c>
      <c r="AQ106" s="93">
        <f t="shared" si="187"/>
        <v>0</v>
      </c>
      <c r="AR106" s="93">
        <f t="shared" si="187"/>
        <v>0</v>
      </c>
      <c r="AS106" s="93">
        <f t="shared" si="187"/>
        <v>0</v>
      </c>
      <c r="AT106" s="93">
        <f t="shared" si="187"/>
        <v>0</v>
      </c>
      <c r="AU106" s="93">
        <f t="shared" si="187"/>
        <v>0</v>
      </c>
      <c r="AV106" s="93">
        <f t="shared" si="187"/>
        <v>0</v>
      </c>
      <c r="AW106" s="93">
        <f t="shared" ca="1" si="187"/>
        <v>0</v>
      </c>
      <c r="BB106" s="94" t="e">
        <v>#REF!</v>
      </c>
    </row>
    <row r="107" spans="1:54" s="20" customFormat="1" ht="18" customHeight="1">
      <c r="A107" s="643"/>
      <c r="B107" s="95"/>
      <c r="C107" s="652"/>
      <c r="D107" s="96" t="str">
        <f t="shared" ref="D107:F107" si="201">D106</f>
        <v>INS</v>
      </c>
      <c r="E107" s="97" t="str">
        <f t="shared" si="201"/>
        <v>RFQ-033</v>
      </c>
      <c r="F107" s="98" t="str">
        <f t="shared" si="201"/>
        <v>N</v>
      </c>
      <c r="G107" s="655"/>
      <c r="H107" s="98" t="str">
        <f t="shared" ref="H107:I107" si="202">H106</f>
        <v>Vortex Flow Meter</v>
      </c>
      <c r="I107" s="97" t="str">
        <f t="shared" si="202"/>
        <v>LC</v>
      </c>
      <c r="J107" s="98"/>
      <c r="K107" s="100"/>
      <c r="L107" s="100">
        <f>M108</f>
        <v>0.04</v>
      </c>
      <c r="M107" s="100"/>
      <c r="N107" s="97"/>
      <c r="O107" s="97"/>
      <c r="P107" s="97"/>
      <c r="Q107" s="101" t="s">
        <v>4841</v>
      </c>
      <c r="R107" s="101"/>
      <c r="S107" s="102" t="e">
        <f>S106</f>
        <v>#REF!</v>
      </c>
      <c r="T107" s="103" t="e">
        <f>T106</f>
        <v>#REF!</v>
      </c>
      <c r="U107" s="103" t="e">
        <f t="shared" ref="U107:Z107" si="203">WORKDAY(IF(T108="",T107,T108),INDEX(U$2:U$5,MATCH($I106,$I$2:$I$5,0)),$BB$10:$BB$141)</f>
        <v>#REF!</v>
      </c>
      <c r="V107" s="103" t="e">
        <f t="shared" si="203"/>
        <v>#REF!</v>
      </c>
      <c r="W107" s="103" t="e">
        <f t="shared" si="203"/>
        <v>#REF!</v>
      </c>
      <c r="X107" s="103" t="e">
        <f t="shared" si="203"/>
        <v>#REF!</v>
      </c>
      <c r="Y107" s="103" t="e">
        <f t="shared" si="203"/>
        <v>#REF!</v>
      </c>
      <c r="Z107" s="103" t="e">
        <f t="shared" si="203"/>
        <v>#REF!</v>
      </c>
      <c r="AA107" s="103" t="e">
        <f>WORKDAY(IF(Z108="",X107,Z108),INDEX(AA$2:AA$5,MATCH($I106,$I$2:$I$5,0)),$BB$10:$BB$141)</f>
        <v>#REF!</v>
      </c>
      <c r="AB107" s="104" t="e">
        <f>WORKDAY(AE106+#REF!,0,'[35]Equipment List and MR List (3)'!$A$2:$A$80)</f>
        <v>#REF!</v>
      </c>
      <c r="AC107" s="658"/>
      <c r="AD107" s="105"/>
      <c r="AE107" s="661"/>
      <c r="AF107" s="667"/>
      <c r="AG107" s="670"/>
      <c r="AH107" s="106"/>
      <c r="AI107" s="107"/>
      <c r="AJ107" s="673"/>
      <c r="AK107" s="108"/>
      <c r="AL107" s="109"/>
      <c r="AM107" s="92">
        <f t="shared" si="187"/>
        <v>0</v>
      </c>
      <c r="AN107" s="93">
        <f t="shared" si="187"/>
        <v>0</v>
      </c>
      <c r="AO107" s="93">
        <f t="shared" si="187"/>
        <v>0</v>
      </c>
      <c r="AP107" s="93">
        <f t="shared" si="187"/>
        <v>0</v>
      </c>
      <c r="AQ107" s="93">
        <f t="shared" si="187"/>
        <v>0</v>
      </c>
      <c r="AR107" s="93">
        <f t="shared" si="187"/>
        <v>0</v>
      </c>
      <c r="AS107" s="93">
        <f t="shared" si="187"/>
        <v>0</v>
      </c>
      <c r="AT107" s="93">
        <f t="shared" si="187"/>
        <v>0</v>
      </c>
      <c r="AU107" s="93">
        <f t="shared" si="187"/>
        <v>0</v>
      </c>
      <c r="AV107" s="93">
        <f t="shared" si="187"/>
        <v>0</v>
      </c>
      <c r="AW107" s="93">
        <f t="shared" ca="1" si="187"/>
        <v>0</v>
      </c>
      <c r="BB107" s="94" t="e">
        <v>#REF!</v>
      </c>
    </row>
    <row r="108" spans="1:54" s="20" customFormat="1" ht="18" customHeight="1">
      <c r="A108" s="644"/>
      <c r="B108" s="110"/>
      <c r="C108" s="653"/>
      <c r="D108" s="111" t="str">
        <f>D106</f>
        <v>INS</v>
      </c>
      <c r="E108" s="112" t="str">
        <f>E106</f>
        <v>RFQ-033</v>
      </c>
      <c r="F108" s="113" t="str">
        <f t="shared" ref="F108" si="204">F106</f>
        <v>N</v>
      </c>
      <c r="G108" s="656"/>
      <c r="H108" s="113" t="str">
        <f t="shared" ref="H108:I108" si="205">H106</f>
        <v>Vortex Flow Meter</v>
      </c>
      <c r="I108" s="112" t="str">
        <f t="shared" si="205"/>
        <v>LC</v>
      </c>
      <c r="J108" s="113"/>
      <c r="K108" s="114"/>
      <c r="L108" s="114"/>
      <c r="M108" s="114">
        <v>0.04</v>
      </c>
      <c r="N108" s="112"/>
      <c r="O108" s="112"/>
      <c r="P108" s="112"/>
      <c r="Q108" s="115" t="s">
        <v>4842</v>
      </c>
      <c r="R108" s="115"/>
      <c r="S108" s="126"/>
      <c r="T108" s="126"/>
      <c r="U108" s="126"/>
      <c r="V108" s="126"/>
      <c r="W108" s="126"/>
      <c r="X108" s="126"/>
      <c r="Y108" s="126"/>
      <c r="Z108" s="126"/>
      <c r="AA108" s="126"/>
      <c r="AB108" s="126"/>
      <c r="AC108" s="659"/>
      <c r="AD108" s="116"/>
      <c r="AE108" s="661"/>
      <c r="AF108" s="668"/>
      <c r="AG108" s="671"/>
      <c r="AH108" s="117"/>
      <c r="AI108" s="118"/>
      <c r="AJ108" s="674"/>
      <c r="AK108" s="119"/>
      <c r="AL108" s="120"/>
      <c r="AM108" s="121">
        <f t="shared" si="187"/>
        <v>0</v>
      </c>
      <c r="AN108" s="122">
        <f t="shared" si="187"/>
        <v>0</v>
      </c>
      <c r="AO108" s="122">
        <f t="shared" si="187"/>
        <v>0</v>
      </c>
      <c r="AP108" s="122">
        <f t="shared" si="187"/>
        <v>0</v>
      </c>
      <c r="AQ108" s="122">
        <f t="shared" si="187"/>
        <v>0</v>
      </c>
      <c r="AR108" s="122">
        <f t="shared" si="187"/>
        <v>0</v>
      </c>
      <c r="AS108" s="122">
        <f t="shared" si="187"/>
        <v>0</v>
      </c>
      <c r="AT108" s="122">
        <f t="shared" si="187"/>
        <v>0</v>
      </c>
      <c r="AU108" s="122">
        <f t="shared" si="187"/>
        <v>0</v>
      </c>
      <c r="AV108" s="122">
        <f t="shared" si="187"/>
        <v>0</v>
      </c>
      <c r="AW108" s="122">
        <f t="shared" ca="1" si="187"/>
        <v>0</v>
      </c>
      <c r="BB108" s="94" t="e">
        <v>#REF!</v>
      </c>
    </row>
    <row r="109" spans="1:54" s="20" customFormat="1" ht="18" customHeight="1">
      <c r="A109" s="642">
        <f t="shared" ref="A109" si="206">A106+1</f>
        <v>34</v>
      </c>
      <c r="B109" s="79"/>
      <c r="C109" s="651" t="s">
        <v>4836</v>
      </c>
      <c r="D109" s="80" t="s">
        <v>4868</v>
      </c>
      <c r="E109" s="81" t="s">
        <v>4771</v>
      </c>
      <c r="F109" s="82" t="s">
        <v>71</v>
      </c>
      <c r="G109" s="654" t="s">
        <v>4882</v>
      </c>
      <c r="H109" s="82" t="s">
        <v>175</v>
      </c>
      <c r="I109" s="81" t="s">
        <v>8</v>
      </c>
      <c r="J109" s="82"/>
      <c r="K109" s="84">
        <f>M111</f>
        <v>0.01</v>
      </c>
      <c r="L109" s="84"/>
      <c r="M109" s="84"/>
      <c r="N109" s="81"/>
      <c r="O109" s="81"/>
      <c r="P109" s="81"/>
      <c r="Q109" s="85" t="s">
        <v>4839</v>
      </c>
      <c r="R109" s="86">
        <f>'Before Award'!U116+5</f>
        <v>46417</v>
      </c>
      <c r="S109" s="86" t="e">
        <f>WORKDAY(R109,INDEX(S$2:S$5,MATCH($I109,$I$2:$I$5,0)),$BB$10:$BB$141)</f>
        <v>#REF!</v>
      </c>
      <c r="T109" s="86" t="e">
        <f>WORKDAY(S109,INDEX(T$2:T$5,MATCH($I109,$I$2:$I$5,0)),$BB$10:$BB$141)</f>
        <v>#REF!</v>
      </c>
      <c r="U109" s="86" t="e">
        <f>T109+30</f>
        <v>#REF!</v>
      </c>
      <c r="V109" s="86"/>
      <c r="W109" s="86">
        <f>AB109-35</f>
        <v>46503</v>
      </c>
      <c r="X109" s="86"/>
      <c r="Y109" s="86"/>
      <c r="Z109" s="86"/>
      <c r="AA109" s="86"/>
      <c r="AB109" s="86">
        <f>'Before Award'!X116</f>
        <v>46538</v>
      </c>
      <c r="AC109" s="657" t="s">
        <v>4840</v>
      </c>
      <c r="AD109" s="87">
        <v>7</v>
      </c>
      <c r="AE109" s="661">
        <f t="shared" ref="AE109" si="207">18*7</f>
        <v>126</v>
      </c>
      <c r="AF109" s="666" t="e">
        <f>AB110</f>
        <v>#REF!</v>
      </c>
      <c r="AG109" s="669">
        <f>WORKDAY(AH109+1,-1,$BA$10:$BA$141)</f>
        <v>46538</v>
      </c>
      <c r="AH109" s="88">
        <v>46538</v>
      </c>
      <c r="AI109" s="89"/>
      <c r="AJ109" s="672" t="e">
        <f>AG109-AF109</f>
        <v>#REF!</v>
      </c>
      <c r="AK109" s="90"/>
      <c r="AL109" s="91"/>
      <c r="AM109" s="92">
        <f t="shared" si="187"/>
        <v>0</v>
      </c>
      <c r="AN109" s="93">
        <f t="shared" si="187"/>
        <v>0</v>
      </c>
      <c r="AO109" s="93">
        <f t="shared" si="187"/>
        <v>0</v>
      </c>
      <c r="AP109" s="93">
        <f t="shared" si="187"/>
        <v>0</v>
      </c>
      <c r="AQ109" s="93">
        <f t="shared" si="187"/>
        <v>0</v>
      </c>
      <c r="AR109" s="93">
        <f t="shared" si="187"/>
        <v>0</v>
      </c>
      <c r="AS109" s="93">
        <f t="shared" si="187"/>
        <v>0</v>
      </c>
      <c r="AT109" s="93">
        <f t="shared" si="187"/>
        <v>0</v>
      </c>
      <c r="AU109" s="93">
        <f t="shared" si="187"/>
        <v>0</v>
      </c>
      <c r="AV109" s="93">
        <f t="shared" si="187"/>
        <v>0</v>
      </c>
      <c r="AW109" s="93">
        <f t="shared" ca="1" si="187"/>
        <v>0</v>
      </c>
      <c r="BB109" s="94" t="e">
        <v>#REF!</v>
      </c>
    </row>
    <row r="110" spans="1:54" s="20" customFormat="1" ht="18" customHeight="1">
      <c r="A110" s="643"/>
      <c r="B110" s="95"/>
      <c r="C110" s="652"/>
      <c r="D110" s="96" t="str">
        <f>D109</f>
        <v>INS</v>
      </c>
      <c r="E110" s="97" t="str">
        <f t="shared" ref="E110:F110" si="208">E109</f>
        <v>RFQ-034</v>
      </c>
      <c r="F110" s="98" t="str">
        <f t="shared" si="208"/>
        <v>N</v>
      </c>
      <c r="G110" s="655"/>
      <c r="H110" s="98" t="str">
        <f t="shared" ref="H110:I110" si="209">H109</f>
        <v>Level Transmitter and Gauge</v>
      </c>
      <c r="I110" s="97" t="str">
        <f t="shared" si="209"/>
        <v>LC</v>
      </c>
      <c r="J110" s="98"/>
      <c r="K110" s="100"/>
      <c r="L110" s="100">
        <f>M111</f>
        <v>0.01</v>
      </c>
      <c r="M110" s="100"/>
      <c r="N110" s="97"/>
      <c r="O110" s="97"/>
      <c r="P110" s="97"/>
      <c r="Q110" s="101" t="s">
        <v>4841</v>
      </c>
      <c r="R110" s="101"/>
      <c r="S110" s="102" t="e">
        <f>S109</f>
        <v>#REF!</v>
      </c>
      <c r="T110" s="103" t="e">
        <f>T109</f>
        <v>#REF!</v>
      </c>
      <c r="U110" s="103" t="e">
        <f t="shared" ref="U110:Z110" si="210">WORKDAY(IF(T111="",T110,T111),INDEX(U$2:U$5,MATCH($I109,$I$2:$I$5,0)),$BB$10:$BB$141)</f>
        <v>#REF!</v>
      </c>
      <c r="V110" s="103" t="e">
        <f t="shared" si="210"/>
        <v>#REF!</v>
      </c>
      <c r="W110" s="103" t="e">
        <f t="shared" si="210"/>
        <v>#REF!</v>
      </c>
      <c r="X110" s="103" t="e">
        <f t="shared" si="210"/>
        <v>#REF!</v>
      </c>
      <c r="Y110" s="103" t="e">
        <f t="shared" si="210"/>
        <v>#REF!</v>
      </c>
      <c r="Z110" s="103" t="e">
        <f t="shared" si="210"/>
        <v>#REF!</v>
      </c>
      <c r="AA110" s="103" t="e">
        <f>WORKDAY(IF(Z111="",X110,Z111),INDEX(AA$2:AA$5,MATCH($I109,$I$2:$I$5,0)),$BB$10:$BB$141)</f>
        <v>#REF!</v>
      </c>
      <c r="AB110" s="104" t="e">
        <f>WORKDAY(AE109+#REF!,0,'[35]Equipment List and MR List (3)'!$A$2:$A$80)</f>
        <v>#REF!</v>
      </c>
      <c r="AC110" s="658"/>
      <c r="AD110" s="105"/>
      <c r="AE110" s="661"/>
      <c r="AF110" s="667"/>
      <c r="AG110" s="670"/>
      <c r="AH110" s="106"/>
      <c r="AI110" s="107"/>
      <c r="AJ110" s="673"/>
      <c r="AK110" s="108"/>
      <c r="AL110" s="109"/>
      <c r="AM110" s="92">
        <f t="shared" ref="AM110:AW119" si="211">IF(ISERROR(LOOKUP(AM$6,$S110:$AB110,$S$9:$AB$9)),0,(LOOKUP(AM$6,$S110:$AB110,$S$9:$AB$9)))</f>
        <v>0</v>
      </c>
      <c r="AN110" s="93">
        <f t="shared" si="211"/>
        <v>0</v>
      </c>
      <c r="AO110" s="93">
        <f t="shared" si="211"/>
        <v>0</v>
      </c>
      <c r="AP110" s="93">
        <f t="shared" si="211"/>
        <v>0</v>
      </c>
      <c r="AQ110" s="93">
        <f t="shared" si="211"/>
        <v>0</v>
      </c>
      <c r="AR110" s="93">
        <f t="shared" si="211"/>
        <v>0</v>
      </c>
      <c r="AS110" s="93">
        <f t="shared" si="211"/>
        <v>0</v>
      </c>
      <c r="AT110" s="93">
        <f t="shared" si="211"/>
        <v>0</v>
      </c>
      <c r="AU110" s="93">
        <f t="shared" si="211"/>
        <v>0</v>
      </c>
      <c r="AV110" s="93">
        <f t="shared" si="211"/>
        <v>0</v>
      </c>
      <c r="AW110" s="93">
        <f t="shared" ca="1" si="211"/>
        <v>0</v>
      </c>
      <c r="BB110" s="94" t="e">
        <v>#REF!</v>
      </c>
    </row>
    <row r="111" spans="1:54" s="20" customFormat="1" ht="18" customHeight="1">
      <c r="A111" s="644"/>
      <c r="B111" s="110"/>
      <c r="C111" s="653"/>
      <c r="D111" s="111" t="str">
        <f>D109</f>
        <v>INS</v>
      </c>
      <c r="E111" s="112" t="str">
        <f>E109</f>
        <v>RFQ-034</v>
      </c>
      <c r="F111" s="113" t="str">
        <f t="shared" ref="F111" si="212">F109</f>
        <v>N</v>
      </c>
      <c r="G111" s="656"/>
      <c r="H111" s="113" t="str">
        <f t="shared" ref="H111:I111" si="213">H109</f>
        <v>Level Transmitter and Gauge</v>
      </c>
      <c r="I111" s="112" t="str">
        <f t="shared" si="213"/>
        <v>LC</v>
      </c>
      <c r="J111" s="113"/>
      <c r="K111" s="114"/>
      <c r="L111" s="114"/>
      <c r="M111" s="114">
        <v>0.01</v>
      </c>
      <c r="N111" s="112"/>
      <c r="O111" s="112"/>
      <c r="P111" s="112"/>
      <c r="Q111" s="115" t="s">
        <v>4842</v>
      </c>
      <c r="R111" s="115"/>
      <c r="S111" s="126"/>
      <c r="T111" s="126"/>
      <c r="U111" s="126"/>
      <c r="V111" s="126"/>
      <c r="W111" s="126"/>
      <c r="X111" s="126"/>
      <c r="Y111" s="126"/>
      <c r="Z111" s="126"/>
      <c r="AA111" s="126"/>
      <c r="AB111" s="126"/>
      <c r="AC111" s="659"/>
      <c r="AD111" s="116"/>
      <c r="AE111" s="661"/>
      <c r="AF111" s="668"/>
      <c r="AG111" s="671"/>
      <c r="AH111" s="117"/>
      <c r="AI111" s="118"/>
      <c r="AJ111" s="674"/>
      <c r="AK111" s="119"/>
      <c r="AL111" s="120"/>
      <c r="AM111" s="121">
        <f t="shared" si="211"/>
        <v>0</v>
      </c>
      <c r="AN111" s="122">
        <f t="shared" si="211"/>
        <v>0</v>
      </c>
      <c r="AO111" s="122">
        <f t="shared" si="211"/>
        <v>0</v>
      </c>
      <c r="AP111" s="122">
        <f t="shared" si="211"/>
        <v>0</v>
      </c>
      <c r="AQ111" s="122">
        <f t="shared" si="211"/>
        <v>0</v>
      </c>
      <c r="AR111" s="122">
        <f t="shared" si="211"/>
        <v>0</v>
      </c>
      <c r="AS111" s="122">
        <f t="shared" si="211"/>
        <v>0</v>
      </c>
      <c r="AT111" s="122">
        <f t="shared" si="211"/>
        <v>0</v>
      </c>
      <c r="AU111" s="122">
        <f t="shared" si="211"/>
        <v>0</v>
      </c>
      <c r="AV111" s="122">
        <f t="shared" si="211"/>
        <v>0</v>
      </c>
      <c r="AW111" s="122">
        <f t="shared" ca="1" si="211"/>
        <v>0</v>
      </c>
      <c r="BB111" s="94" t="e">
        <v>#REF!</v>
      </c>
    </row>
    <row r="112" spans="1:54" s="20" customFormat="1" ht="18" customHeight="1">
      <c r="A112" s="642">
        <f t="shared" ref="A112" si="214">A109+1</f>
        <v>35</v>
      </c>
      <c r="B112" s="79"/>
      <c r="C112" s="651" t="s">
        <v>4836</v>
      </c>
      <c r="D112" s="80" t="s">
        <v>4868</v>
      </c>
      <c r="E112" s="81" t="s">
        <v>4772</v>
      </c>
      <c r="F112" s="82" t="s">
        <v>71</v>
      </c>
      <c r="G112" s="654" t="s">
        <v>4883</v>
      </c>
      <c r="H112" s="82" t="s">
        <v>177</v>
      </c>
      <c r="I112" s="81" t="s">
        <v>8</v>
      </c>
      <c r="J112" s="82"/>
      <c r="K112" s="84">
        <f>M114</f>
        <v>5.0000000000000001E-3</v>
      </c>
      <c r="L112" s="84"/>
      <c r="M112" s="84"/>
      <c r="N112" s="81"/>
      <c r="O112" s="81"/>
      <c r="P112" s="81"/>
      <c r="Q112" s="85" t="s">
        <v>4839</v>
      </c>
      <c r="R112" s="86">
        <f>'Before Award'!U119+5</f>
        <v>46417</v>
      </c>
      <c r="S112" s="86" t="e">
        <f>WORKDAY(R112,INDEX(S$2:S$5,MATCH($I112,$I$2:$I$5,0)),$BB$10:$BB$141)</f>
        <v>#REF!</v>
      </c>
      <c r="T112" s="86" t="e">
        <f>WORKDAY(S112,INDEX(T$2:T$5,MATCH($I112,$I$2:$I$5,0)),$BB$10:$BB$141)</f>
        <v>#REF!</v>
      </c>
      <c r="U112" s="86" t="e">
        <f>T112+30</f>
        <v>#REF!</v>
      </c>
      <c r="V112" s="86"/>
      <c r="W112" s="86">
        <f>AB112-35</f>
        <v>46503</v>
      </c>
      <c r="X112" s="86"/>
      <c r="Y112" s="86"/>
      <c r="Z112" s="86"/>
      <c r="AA112" s="86"/>
      <c r="AB112" s="86">
        <f>'Before Award'!X119</f>
        <v>46538</v>
      </c>
      <c r="AC112" s="657" t="s">
        <v>4840</v>
      </c>
      <c r="AD112" s="87">
        <v>7</v>
      </c>
      <c r="AE112" s="661">
        <f>18*7</f>
        <v>126</v>
      </c>
      <c r="AF112" s="666" t="e">
        <f>AB113</f>
        <v>#REF!</v>
      </c>
      <c r="AG112" s="669">
        <f>WORKDAY(AH112+1,-1,$BA$10:$BA$141)</f>
        <v>46538</v>
      </c>
      <c r="AH112" s="88">
        <v>46538</v>
      </c>
      <c r="AI112" s="89"/>
      <c r="AJ112" s="672" t="e">
        <f>AG112-AF112</f>
        <v>#REF!</v>
      </c>
      <c r="AK112" s="90"/>
      <c r="AL112" s="91"/>
      <c r="AM112" s="92">
        <f t="shared" si="211"/>
        <v>0</v>
      </c>
      <c r="AN112" s="93">
        <f t="shared" si="211"/>
        <v>0</v>
      </c>
      <c r="AO112" s="93">
        <f t="shared" si="211"/>
        <v>0</v>
      </c>
      <c r="AP112" s="93">
        <f t="shared" si="211"/>
        <v>0</v>
      </c>
      <c r="AQ112" s="93">
        <f t="shared" si="211"/>
        <v>0</v>
      </c>
      <c r="AR112" s="93">
        <f t="shared" si="211"/>
        <v>0</v>
      </c>
      <c r="AS112" s="93">
        <f t="shared" si="211"/>
        <v>0</v>
      </c>
      <c r="AT112" s="93">
        <f t="shared" si="211"/>
        <v>0</v>
      </c>
      <c r="AU112" s="93">
        <f t="shared" si="211"/>
        <v>0</v>
      </c>
      <c r="AV112" s="93">
        <f t="shared" si="211"/>
        <v>0</v>
      </c>
      <c r="AW112" s="93">
        <f t="shared" ca="1" si="211"/>
        <v>0</v>
      </c>
      <c r="BB112" s="94" t="e">
        <v>#REF!</v>
      </c>
    </row>
    <row r="113" spans="1:54" s="20" customFormat="1" ht="18" customHeight="1">
      <c r="A113" s="643"/>
      <c r="B113" s="95"/>
      <c r="C113" s="652"/>
      <c r="D113" s="96" t="str">
        <f>D112</f>
        <v>INS</v>
      </c>
      <c r="E113" s="97" t="str">
        <f t="shared" ref="E113:F113" si="215">E112</f>
        <v>RFQ-035</v>
      </c>
      <c r="F113" s="98" t="str">
        <f t="shared" si="215"/>
        <v>N</v>
      </c>
      <c r="G113" s="655"/>
      <c r="H113" s="98" t="str">
        <f t="shared" ref="H113:I113" si="216">H112</f>
        <v>Pig Signaller</v>
      </c>
      <c r="I113" s="97" t="str">
        <f t="shared" si="216"/>
        <v>LC</v>
      </c>
      <c r="J113" s="98"/>
      <c r="K113" s="100"/>
      <c r="L113" s="100">
        <f>M114</f>
        <v>5.0000000000000001E-3</v>
      </c>
      <c r="M113" s="100"/>
      <c r="N113" s="97"/>
      <c r="O113" s="97"/>
      <c r="P113" s="97"/>
      <c r="Q113" s="101" t="s">
        <v>4841</v>
      </c>
      <c r="R113" s="101"/>
      <c r="S113" s="102" t="e">
        <f>S112</f>
        <v>#REF!</v>
      </c>
      <c r="T113" s="103" t="e">
        <f>T112</f>
        <v>#REF!</v>
      </c>
      <c r="U113" s="103" t="e">
        <f t="shared" ref="U113:Z113" si="217">WORKDAY(IF(T114="",T113,T114),INDEX(U$2:U$5,MATCH($I112,$I$2:$I$5,0)),$BB$10:$BB$141)</f>
        <v>#REF!</v>
      </c>
      <c r="V113" s="103" t="e">
        <f t="shared" si="217"/>
        <v>#REF!</v>
      </c>
      <c r="W113" s="103" t="e">
        <f t="shared" si="217"/>
        <v>#REF!</v>
      </c>
      <c r="X113" s="103" t="e">
        <f t="shared" si="217"/>
        <v>#REF!</v>
      </c>
      <c r="Y113" s="103" t="e">
        <f t="shared" si="217"/>
        <v>#REF!</v>
      </c>
      <c r="Z113" s="103" t="e">
        <f t="shared" si="217"/>
        <v>#REF!</v>
      </c>
      <c r="AA113" s="103" t="e">
        <f>WORKDAY(IF(Z114="",X113,Z114),INDEX(AA$2:AA$5,MATCH($I112,$I$2:$I$5,0)),$BB$10:$BB$141)</f>
        <v>#REF!</v>
      </c>
      <c r="AB113" s="104" t="e">
        <f>WORKDAY(AE112+#REF!,0,'[35]Equipment List and MR List (3)'!$A$2:$A$80)</f>
        <v>#REF!</v>
      </c>
      <c r="AC113" s="658"/>
      <c r="AD113" s="105"/>
      <c r="AE113" s="661"/>
      <c r="AF113" s="667"/>
      <c r="AG113" s="670"/>
      <c r="AH113" s="106"/>
      <c r="AI113" s="107"/>
      <c r="AJ113" s="673"/>
      <c r="AK113" s="108"/>
      <c r="AL113" s="109"/>
      <c r="AM113" s="92">
        <f t="shared" si="211"/>
        <v>0</v>
      </c>
      <c r="AN113" s="93">
        <f t="shared" si="211"/>
        <v>0</v>
      </c>
      <c r="AO113" s="93">
        <f t="shared" si="211"/>
        <v>0</v>
      </c>
      <c r="AP113" s="93">
        <f t="shared" si="211"/>
        <v>0</v>
      </c>
      <c r="AQ113" s="93">
        <f t="shared" si="211"/>
        <v>0</v>
      </c>
      <c r="AR113" s="93">
        <f t="shared" si="211"/>
        <v>0</v>
      </c>
      <c r="AS113" s="93">
        <f t="shared" si="211"/>
        <v>0</v>
      </c>
      <c r="AT113" s="93">
        <f t="shared" si="211"/>
        <v>0</v>
      </c>
      <c r="AU113" s="93">
        <f t="shared" si="211"/>
        <v>0</v>
      </c>
      <c r="AV113" s="93">
        <f t="shared" si="211"/>
        <v>0</v>
      </c>
      <c r="AW113" s="93">
        <f t="shared" ca="1" si="211"/>
        <v>0</v>
      </c>
      <c r="BB113" s="94" t="e">
        <v>#REF!</v>
      </c>
    </row>
    <row r="114" spans="1:54" s="20" customFormat="1" ht="18" customHeight="1">
      <c r="A114" s="644"/>
      <c r="B114" s="110"/>
      <c r="C114" s="653"/>
      <c r="D114" s="111" t="str">
        <f>D112</f>
        <v>INS</v>
      </c>
      <c r="E114" s="112" t="str">
        <f>E112</f>
        <v>RFQ-035</v>
      </c>
      <c r="F114" s="113" t="str">
        <f t="shared" ref="F114" si="218">F112</f>
        <v>N</v>
      </c>
      <c r="G114" s="656"/>
      <c r="H114" s="113" t="str">
        <f t="shared" ref="H114:I114" si="219">H112</f>
        <v>Pig Signaller</v>
      </c>
      <c r="I114" s="112" t="str">
        <f t="shared" si="219"/>
        <v>LC</v>
      </c>
      <c r="J114" s="113"/>
      <c r="K114" s="114"/>
      <c r="L114" s="114"/>
      <c r="M114" s="114">
        <v>5.0000000000000001E-3</v>
      </c>
      <c r="N114" s="112"/>
      <c r="O114" s="112"/>
      <c r="P114" s="112"/>
      <c r="Q114" s="115" t="s">
        <v>4842</v>
      </c>
      <c r="R114" s="115"/>
      <c r="S114" s="126"/>
      <c r="T114" s="126"/>
      <c r="U114" s="126"/>
      <c r="V114" s="126"/>
      <c r="W114" s="126"/>
      <c r="X114" s="126"/>
      <c r="Y114" s="126"/>
      <c r="Z114" s="126"/>
      <c r="AA114" s="126"/>
      <c r="AB114" s="126"/>
      <c r="AC114" s="659"/>
      <c r="AD114" s="116"/>
      <c r="AE114" s="661"/>
      <c r="AF114" s="668"/>
      <c r="AG114" s="671"/>
      <c r="AH114" s="117"/>
      <c r="AI114" s="118"/>
      <c r="AJ114" s="674"/>
      <c r="AK114" s="119"/>
      <c r="AL114" s="120"/>
      <c r="AM114" s="121">
        <f t="shared" si="211"/>
        <v>0</v>
      </c>
      <c r="AN114" s="122">
        <f t="shared" si="211"/>
        <v>0</v>
      </c>
      <c r="AO114" s="122">
        <f t="shared" si="211"/>
        <v>0</v>
      </c>
      <c r="AP114" s="122">
        <f t="shared" si="211"/>
        <v>0</v>
      </c>
      <c r="AQ114" s="122">
        <f t="shared" si="211"/>
        <v>0</v>
      </c>
      <c r="AR114" s="122">
        <f t="shared" si="211"/>
        <v>0</v>
      </c>
      <c r="AS114" s="122">
        <f t="shared" si="211"/>
        <v>0</v>
      </c>
      <c r="AT114" s="122">
        <f t="shared" si="211"/>
        <v>0</v>
      </c>
      <c r="AU114" s="122">
        <f t="shared" si="211"/>
        <v>0</v>
      </c>
      <c r="AV114" s="122">
        <f t="shared" si="211"/>
        <v>0</v>
      </c>
      <c r="AW114" s="122">
        <f t="shared" ca="1" si="211"/>
        <v>0</v>
      </c>
      <c r="BB114" s="94" t="e">
        <v>#REF!</v>
      </c>
    </row>
    <row r="115" spans="1:54" s="20" customFormat="1" ht="18" customHeight="1">
      <c r="A115" s="642">
        <f t="shared" ref="A115" si="220">A112+1</f>
        <v>36</v>
      </c>
      <c r="B115" s="79"/>
      <c r="C115" s="651" t="s">
        <v>4836</v>
      </c>
      <c r="D115" s="80" t="s">
        <v>4868</v>
      </c>
      <c r="E115" s="81" t="s">
        <v>4773</v>
      </c>
      <c r="F115" s="82" t="s">
        <v>71</v>
      </c>
      <c r="G115" s="654" t="s">
        <v>4884</v>
      </c>
      <c r="H115" s="82" t="s">
        <v>180</v>
      </c>
      <c r="I115" s="81" t="s">
        <v>8</v>
      </c>
      <c r="J115" s="82"/>
      <c r="K115" s="84">
        <f>M117</f>
        <v>5.0000000000000001E-3</v>
      </c>
      <c r="L115" s="84"/>
      <c r="M115" s="84"/>
      <c r="N115" s="81"/>
      <c r="O115" s="81"/>
      <c r="P115" s="81"/>
      <c r="Q115" s="85" t="s">
        <v>4839</v>
      </c>
      <c r="R115" s="86">
        <f>'Before Award'!U122+5</f>
        <v>46389</v>
      </c>
      <c r="S115" s="86" t="e">
        <f>WORKDAY(R115,INDEX(S$2:S$5,MATCH($I115,$I$2:$I$5,0)),$BB$10:$BB$141)</f>
        <v>#REF!</v>
      </c>
      <c r="T115" s="86" t="e">
        <f>WORKDAY(S115,INDEX(T$2:T$5,MATCH($I115,$I$2:$I$5,0)),$BB$10:$BB$141)</f>
        <v>#REF!</v>
      </c>
      <c r="U115" s="86" t="e">
        <f>T115+30</f>
        <v>#REF!</v>
      </c>
      <c r="V115" s="86"/>
      <c r="W115" s="86">
        <f>AB115-35</f>
        <v>46503</v>
      </c>
      <c r="X115" s="86"/>
      <c r="Y115" s="86"/>
      <c r="Z115" s="86"/>
      <c r="AA115" s="86"/>
      <c r="AB115" s="86">
        <f>'Before Award'!X122</f>
        <v>46538</v>
      </c>
      <c r="AC115" s="657" t="s">
        <v>4840</v>
      </c>
      <c r="AD115" s="87">
        <v>7</v>
      </c>
      <c r="AE115" s="661">
        <v>154</v>
      </c>
      <c r="AF115" s="666" t="e">
        <f>AB116</f>
        <v>#REF!</v>
      </c>
      <c r="AG115" s="669">
        <f>WORKDAY(AH115+1,-1,$BA$10:$BA$141)</f>
        <v>46538</v>
      </c>
      <c r="AH115" s="88">
        <v>46538</v>
      </c>
      <c r="AI115" s="89"/>
      <c r="AJ115" s="672" t="e">
        <f>AG115-AF115</f>
        <v>#REF!</v>
      </c>
      <c r="AK115" s="90"/>
      <c r="AL115" s="91"/>
      <c r="AM115" s="92">
        <f t="shared" si="211"/>
        <v>0</v>
      </c>
      <c r="AN115" s="93">
        <f t="shared" si="211"/>
        <v>0</v>
      </c>
      <c r="AO115" s="93">
        <f t="shared" si="211"/>
        <v>0</v>
      </c>
      <c r="AP115" s="93">
        <f t="shared" si="211"/>
        <v>0</v>
      </c>
      <c r="AQ115" s="93">
        <f t="shared" si="211"/>
        <v>0</v>
      </c>
      <c r="AR115" s="93">
        <f t="shared" si="211"/>
        <v>0</v>
      </c>
      <c r="AS115" s="93">
        <f t="shared" si="211"/>
        <v>0</v>
      </c>
      <c r="AT115" s="93">
        <f t="shared" si="211"/>
        <v>0</v>
      </c>
      <c r="AU115" s="93">
        <f t="shared" si="211"/>
        <v>0</v>
      </c>
      <c r="AV115" s="93">
        <f t="shared" si="211"/>
        <v>0</v>
      </c>
      <c r="AW115" s="93">
        <f t="shared" ca="1" si="211"/>
        <v>0</v>
      </c>
      <c r="BB115" s="94" t="e">
        <v>#REF!</v>
      </c>
    </row>
    <row r="116" spans="1:54" s="20" customFormat="1" ht="18" customHeight="1">
      <c r="A116" s="643"/>
      <c r="B116" s="95"/>
      <c r="C116" s="652"/>
      <c r="D116" s="96" t="str">
        <f>D115</f>
        <v>INS</v>
      </c>
      <c r="E116" s="97" t="str">
        <f t="shared" ref="E116:F116" si="221">E115</f>
        <v>RFQ-036</v>
      </c>
      <c r="F116" s="98" t="str">
        <f t="shared" si="221"/>
        <v>N</v>
      </c>
      <c r="G116" s="655"/>
      <c r="H116" s="98" t="str">
        <f t="shared" ref="H116:I116" si="222">H115</f>
        <v>Rrestriction Orifice</v>
      </c>
      <c r="I116" s="97" t="str">
        <f t="shared" si="222"/>
        <v>LC</v>
      </c>
      <c r="J116" s="98"/>
      <c r="K116" s="100"/>
      <c r="L116" s="100">
        <f>M117</f>
        <v>5.0000000000000001E-3</v>
      </c>
      <c r="M116" s="100"/>
      <c r="N116" s="97"/>
      <c r="O116" s="97"/>
      <c r="P116" s="97"/>
      <c r="Q116" s="101" t="s">
        <v>4841</v>
      </c>
      <c r="R116" s="101"/>
      <c r="S116" s="102" t="e">
        <f>S115</f>
        <v>#REF!</v>
      </c>
      <c r="T116" s="103" t="e">
        <f>T115</f>
        <v>#REF!</v>
      </c>
      <c r="U116" s="103" t="e">
        <f t="shared" ref="U116:Z116" si="223">WORKDAY(IF(T117="",T116,T117),INDEX(U$2:U$5,MATCH($I115,$I$2:$I$5,0)),$BB$10:$BB$141)</f>
        <v>#REF!</v>
      </c>
      <c r="V116" s="103" t="e">
        <f t="shared" si="223"/>
        <v>#REF!</v>
      </c>
      <c r="W116" s="103" t="e">
        <f t="shared" si="223"/>
        <v>#REF!</v>
      </c>
      <c r="X116" s="103" t="e">
        <f t="shared" si="223"/>
        <v>#REF!</v>
      </c>
      <c r="Y116" s="103" t="e">
        <f t="shared" si="223"/>
        <v>#REF!</v>
      </c>
      <c r="Z116" s="103" t="e">
        <f t="shared" si="223"/>
        <v>#REF!</v>
      </c>
      <c r="AA116" s="103" t="e">
        <f>WORKDAY(IF(Z117="",X116,Z117),INDEX(AA$2:AA$5,MATCH($I115,$I$2:$I$5,0)),$BB$10:$BB$141)</f>
        <v>#REF!</v>
      </c>
      <c r="AB116" s="104" t="e">
        <f>WORKDAY(AE115+#REF!,0,'[35]Equipment List and MR List (3)'!$A$2:$A$80)</f>
        <v>#REF!</v>
      </c>
      <c r="AC116" s="658"/>
      <c r="AD116" s="105"/>
      <c r="AE116" s="661"/>
      <c r="AF116" s="667"/>
      <c r="AG116" s="670"/>
      <c r="AH116" s="106"/>
      <c r="AI116" s="107"/>
      <c r="AJ116" s="673"/>
      <c r="AK116" s="108"/>
      <c r="AL116" s="109"/>
      <c r="AM116" s="92">
        <f t="shared" si="211"/>
        <v>0</v>
      </c>
      <c r="AN116" s="93">
        <f t="shared" si="211"/>
        <v>0</v>
      </c>
      <c r="AO116" s="93">
        <f t="shared" si="211"/>
        <v>0</v>
      </c>
      <c r="AP116" s="93">
        <f t="shared" si="211"/>
        <v>0</v>
      </c>
      <c r="AQ116" s="93">
        <f t="shared" si="211"/>
        <v>0</v>
      </c>
      <c r="AR116" s="93">
        <f t="shared" si="211"/>
        <v>0</v>
      </c>
      <c r="AS116" s="93">
        <f t="shared" si="211"/>
        <v>0</v>
      </c>
      <c r="AT116" s="93">
        <f t="shared" si="211"/>
        <v>0</v>
      </c>
      <c r="AU116" s="93">
        <f t="shared" si="211"/>
        <v>0</v>
      </c>
      <c r="AV116" s="93">
        <f t="shared" si="211"/>
        <v>0</v>
      </c>
      <c r="AW116" s="93">
        <f t="shared" ca="1" si="211"/>
        <v>0</v>
      </c>
      <c r="BB116" s="94" t="e">
        <v>#REF!</v>
      </c>
    </row>
    <row r="117" spans="1:54" s="20" customFormat="1" ht="18" customHeight="1">
      <c r="A117" s="644"/>
      <c r="B117" s="110"/>
      <c r="C117" s="653"/>
      <c r="D117" s="111" t="str">
        <f>D115</f>
        <v>INS</v>
      </c>
      <c r="E117" s="112" t="str">
        <f>E115</f>
        <v>RFQ-036</v>
      </c>
      <c r="F117" s="113" t="str">
        <f t="shared" ref="F117" si="224">F115</f>
        <v>N</v>
      </c>
      <c r="G117" s="656"/>
      <c r="H117" s="113" t="str">
        <f t="shared" ref="H117:I117" si="225">H115</f>
        <v>Rrestriction Orifice</v>
      </c>
      <c r="I117" s="112" t="str">
        <f t="shared" si="225"/>
        <v>LC</v>
      </c>
      <c r="J117" s="113"/>
      <c r="K117" s="114"/>
      <c r="L117" s="114"/>
      <c r="M117" s="114">
        <v>5.0000000000000001E-3</v>
      </c>
      <c r="N117" s="112"/>
      <c r="O117" s="112"/>
      <c r="P117" s="112"/>
      <c r="Q117" s="115" t="s">
        <v>4842</v>
      </c>
      <c r="R117" s="115"/>
      <c r="S117" s="126"/>
      <c r="T117" s="126"/>
      <c r="U117" s="126"/>
      <c r="V117" s="126"/>
      <c r="W117" s="126"/>
      <c r="X117" s="126"/>
      <c r="Y117" s="126"/>
      <c r="Z117" s="126"/>
      <c r="AA117" s="126"/>
      <c r="AB117" s="126"/>
      <c r="AC117" s="659"/>
      <c r="AD117" s="116"/>
      <c r="AE117" s="661"/>
      <c r="AF117" s="668"/>
      <c r="AG117" s="671"/>
      <c r="AH117" s="117"/>
      <c r="AI117" s="118"/>
      <c r="AJ117" s="674"/>
      <c r="AK117" s="119"/>
      <c r="AL117" s="120"/>
      <c r="AM117" s="121">
        <f t="shared" si="211"/>
        <v>0</v>
      </c>
      <c r="AN117" s="122">
        <f t="shared" si="211"/>
        <v>0</v>
      </c>
      <c r="AO117" s="122">
        <f t="shared" si="211"/>
        <v>0</v>
      </c>
      <c r="AP117" s="122">
        <f t="shared" si="211"/>
        <v>0</v>
      </c>
      <c r="AQ117" s="122">
        <f t="shared" si="211"/>
        <v>0</v>
      </c>
      <c r="AR117" s="122">
        <f t="shared" si="211"/>
        <v>0</v>
      </c>
      <c r="AS117" s="122">
        <f t="shared" si="211"/>
        <v>0</v>
      </c>
      <c r="AT117" s="122">
        <f t="shared" si="211"/>
        <v>0</v>
      </c>
      <c r="AU117" s="122">
        <f t="shared" si="211"/>
        <v>0</v>
      </c>
      <c r="AV117" s="122">
        <f t="shared" si="211"/>
        <v>0</v>
      </c>
      <c r="AW117" s="122">
        <f t="shared" ca="1" si="211"/>
        <v>0</v>
      </c>
      <c r="BB117" s="94" t="e">
        <v>#REF!</v>
      </c>
    </row>
    <row r="118" spans="1:54" s="20" customFormat="1" ht="18" customHeight="1">
      <c r="A118" s="642">
        <f t="shared" ref="A118" si="226">A115+1</f>
        <v>37</v>
      </c>
      <c r="B118" s="79"/>
      <c r="C118" s="651" t="s">
        <v>4836</v>
      </c>
      <c r="D118" s="80" t="s">
        <v>4868</v>
      </c>
      <c r="E118" s="81" t="s">
        <v>4774</v>
      </c>
      <c r="F118" s="82" t="s">
        <v>71</v>
      </c>
      <c r="G118" s="654" t="s">
        <v>4885</v>
      </c>
      <c r="H118" s="82" t="s">
        <v>182</v>
      </c>
      <c r="I118" s="81" t="s">
        <v>7</v>
      </c>
      <c r="J118" s="82"/>
      <c r="K118" s="84">
        <f>M120</f>
        <v>5.0000000000000001E-3</v>
      </c>
      <c r="L118" s="84"/>
      <c r="M118" s="84"/>
      <c r="N118" s="81"/>
      <c r="O118" s="81"/>
      <c r="P118" s="81"/>
      <c r="Q118" s="85" t="s">
        <v>4839</v>
      </c>
      <c r="R118" s="86">
        <f>'Before Award'!U125+5</f>
        <v>46291</v>
      </c>
      <c r="S118" s="86" t="e">
        <f>WORKDAY(R118,INDEX(S$2:S$5,MATCH($I118,$I$2:$I$5,0)),$BB$10:$BB$141)</f>
        <v>#REF!</v>
      </c>
      <c r="T118" s="86" t="e">
        <f>WORKDAY(S118,INDEX(T$2:T$5,MATCH($I118,$I$2:$I$5,0)),$BB$10:$BB$141)</f>
        <v>#REF!</v>
      </c>
      <c r="U118" s="86" t="e">
        <f>T118+30</f>
        <v>#REF!</v>
      </c>
      <c r="V118" s="86"/>
      <c r="W118" s="86">
        <f>AB118-35</f>
        <v>46503</v>
      </c>
      <c r="X118" s="86"/>
      <c r="Y118" s="86"/>
      <c r="Z118" s="86"/>
      <c r="AA118" s="86"/>
      <c r="AB118" s="86">
        <f>'Before Award'!X125</f>
        <v>46538</v>
      </c>
      <c r="AC118" s="657" t="s">
        <v>4840</v>
      </c>
      <c r="AD118" s="87">
        <v>7</v>
      </c>
      <c r="AE118" s="661">
        <f>36*7</f>
        <v>252</v>
      </c>
      <c r="AF118" s="666" t="e">
        <f>AB119</f>
        <v>#REF!</v>
      </c>
      <c r="AG118" s="669">
        <f>WORKDAY(AH118+1,-1,$BA$10:$BA$141)</f>
        <v>46538</v>
      </c>
      <c r="AH118" s="88">
        <v>46538</v>
      </c>
      <c r="AI118" s="89"/>
      <c r="AJ118" s="672" t="e">
        <f>AG118-AF118</f>
        <v>#REF!</v>
      </c>
      <c r="AK118" s="90"/>
      <c r="AL118" s="91"/>
      <c r="AM118" s="92">
        <f t="shared" si="211"/>
        <v>0</v>
      </c>
      <c r="AN118" s="93">
        <f t="shared" si="211"/>
        <v>0</v>
      </c>
      <c r="AO118" s="93">
        <f t="shared" si="211"/>
        <v>0</v>
      </c>
      <c r="AP118" s="93">
        <f t="shared" si="211"/>
        <v>0</v>
      </c>
      <c r="AQ118" s="93">
        <f t="shared" si="211"/>
        <v>0</v>
      </c>
      <c r="AR118" s="93">
        <f t="shared" si="211"/>
        <v>0</v>
      </c>
      <c r="AS118" s="93">
        <f t="shared" si="211"/>
        <v>0</v>
      </c>
      <c r="AT118" s="93">
        <f t="shared" si="211"/>
        <v>0</v>
      </c>
      <c r="AU118" s="93">
        <f t="shared" si="211"/>
        <v>0</v>
      </c>
      <c r="AV118" s="93">
        <f t="shared" si="211"/>
        <v>0</v>
      </c>
      <c r="AW118" s="93">
        <f t="shared" ca="1" si="211"/>
        <v>0</v>
      </c>
      <c r="BB118" s="94" t="e">
        <v>#REF!</v>
      </c>
    </row>
    <row r="119" spans="1:54" s="20" customFormat="1" ht="18" customHeight="1">
      <c r="A119" s="643"/>
      <c r="B119" s="95"/>
      <c r="C119" s="652"/>
      <c r="D119" s="96" t="str">
        <f t="shared" ref="D119:F119" si="227">D118</f>
        <v>INS</v>
      </c>
      <c r="E119" s="97" t="str">
        <f t="shared" si="227"/>
        <v>RFQ-037</v>
      </c>
      <c r="F119" s="98" t="str">
        <f t="shared" si="227"/>
        <v>N</v>
      </c>
      <c r="G119" s="655"/>
      <c r="H119" s="98" t="str">
        <f t="shared" ref="H119:I119" si="228">H118</f>
        <v>PLC System</v>
      </c>
      <c r="I119" s="97" t="str">
        <f t="shared" si="228"/>
        <v>LB</v>
      </c>
      <c r="J119" s="98"/>
      <c r="K119" s="100"/>
      <c r="L119" s="100">
        <f>M120</f>
        <v>5.0000000000000001E-3</v>
      </c>
      <c r="M119" s="100"/>
      <c r="N119" s="97"/>
      <c r="O119" s="97"/>
      <c r="P119" s="97"/>
      <c r="Q119" s="101" t="s">
        <v>4841</v>
      </c>
      <c r="R119" s="101"/>
      <c r="S119" s="102" t="e">
        <f>S118</f>
        <v>#REF!</v>
      </c>
      <c r="T119" s="103" t="e">
        <f>T118</f>
        <v>#REF!</v>
      </c>
      <c r="U119" s="103" t="e">
        <f t="shared" ref="U119:Z119" si="229">WORKDAY(IF(T120="",T119,T120),INDEX(U$2:U$5,MATCH($I118,$I$2:$I$5,0)),$BB$10:$BB$141)</f>
        <v>#REF!</v>
      </c>
      <c r="V119" s="103" t="e">
        <f t="shared" si="229"/>
        <v>#REF!</v>
      </c>
      <c r="W119" s="103" t="e">
        <f t="shared" si="229"/>
        <v>#REF!</v>
      </c>
      <c r="X119" s="103" t="e">
        <f t="shared" si="229"/>
        <v>#REF!</v>
      </c>
      <c r="Y119" s="103" t="e">
        <f t="shared" si="229"/>
        <v>#REF!</v>
      </c>
      <c r="Z119" s="103" t="e">
        <f t="shared" si="229"/>
        <v>#REF!</v>
      </c>
      <c r="AA119" s="103" t="e">
        <f>WORKDAY(IF(Z120="",X119,Z120),INDEX(AA$2:AA$5,MATCH($I118,$I$2:$I$5,0)),$BB$10:$BB$141)</f>
        <v>#REF!</v>
      </c>
      <c r="AB119" s="104" t="e">
        <f>WORKDAY(AE118+#REF!,0,'[35]Equipment List and MR List (3)'!$A$2:$A$80)</f>
        <v>#REF!</v>
      </c>
      <c r="AC119" s="658"/>
      <c r="AD119" s="105"/>
      <c r="AE119" s="661"/>
      <c r="AF119" s="667"/>
      <c r="AG119" s="670"/>
      <c r="AH119" s="106"/>
      <c r="AI119" s="107"/>
      <c r="AJ119" s="673"/>
      <c r="AK119" s="108"/>
      <c r="AL119" s="109"/>
      <c r="AM119" s="92">
        <f t="shared" si="211"/>
        <v>0</v>
      </c>
      <c r="AN119" s="93">
        <f t="shared" si="211"/>
        <v>0</v>
      </c>
      <c r="AO119" s="93">
        <f t="shared" si="211"/>
        <v>0</v>
      </c>
      <c r="AP119" s="93">
        <f t="shared" si="211"/>
        <v>0</v>
      </c>
      <c r="AQ119" s="93">
        <f t="shared" si="211"/>
        <v>0</v>
      </c>
      <c r="AR119" s="93">
        <f t="shared" si="211"/>
        <v>0</v>
      </c>
      <c r="AS119" s="93">
        <f t="shared" si="211"/>
        <v>0</v>
      </c>
      <c r="AT119" s="93">
        <f t="shared" si="211"/>
        <v>0</v>
      </c>
      <c r="AU119" s="93">
        <f t="shared" si="211"/>
        <v>0</v>
      </c>
      <c r="AV119" s="93">
        <f t="shared" si="211"/>
        <v>0</v>
      </c>
      <c r="AW119" s="93">
        <f t="shared" ca="1" si="211"/>
        <v>0</v>
      </c>
      <c r="BB119" s="94" t="e">
        <v>#REF!</v>
      </c>
    </row>
    <row r="120" spans="1:54" s="20" customFormat="1" ht="18" customHeight="1">
      <c r="A120" s="644"/>
      <c r="B120" s="110"/>
      <c r="C120" s="653"/>
      <c r="D120" s="111" t="str">
        <f>D118</f>
        <v>INS</v>
      </c>
      <c r="E120" s="112" t="str">
        <f>E118</f>
        <v>RFQ-037</v>
      </c>
      <c r="F120" s="113" t="str">
        <f t="shared" ref="F120" si="230">F118</f>
        <v>N</v>
      </c>
      <c r="G120" s="656"/>
      <c r="H120" s="113" t="str">
        <f t="shared" ref="H120:I120" si="231">H118</f>
        <v>PLC System</v>
      </c>
      <c r="I120" s="112" t="str">
        <f t="shared" si="231"/>
        <v>LB</v>
      </c>
      <c r="J120" s="113"/>
      <c r="K120" s="114"/>
      <c r="L120" s="114"/>
      <c r="M120" s="114">
        <v>5.0000000000000001E-3</v>
      </c>
      <c r="N120" s="112"/>
      <c r="O120" s="112"/>
      <c r="P120" s="112"/>
      <c r="Q120" s="115" t="s">
        <v>4842</v>
      </c>
      <c r="R120" s="115"/>
      <c r="S120" s="126"/>
      <c r="T120" s="126"/>
      <c r="U120" s="126"/>
      <c r="V120" s="126"/>
      <c r="W120" s="126"/>
      <c r="X120" s="126"/>
      <c r="Y120" s="126"/>
      <c r="Z120" s="126"/>
      <c r="AA120" s="126"/>
      <c r="AB120" s="126"/>
      <c r="AC120" s="659"/>
      <c r="AD120" s="116"/>
      <c r="AE120" s="661"/>
      <c r="AF120" s="668"/>
      <c r="AG120" s="671"/>
      <c r="AH120" s="117"/>
      <c r="AI120" s="118"/>
      <c r="AJ120" s="674"/>
      <c r="AK120" s="119"/>
      <c r="AL120" s="120"/>
      <c r="AM120" s="121">
        <f t="shared" ref="AM120:AW129" si="232">IF(ISERROR(LOOKUP(AM$6,$S120:$AB120,$S$9:$AB$9)),0,(LOOKUP(AM$6,$S120:$AB120,$S$9:$AB$9)))</f>
        <v>0</v>
      </c>
      <c r="AN120" s="122">
        <f t="shared" si="232"/>
        <v>0</v>
      </c>
      <c r="AO120" s="122">
        <f t="shared" si="232"/>
        <v>0</v>
      </c>
      <c r="AP120" s="122">
        <f t="shared" si="232"/>
        <v>0</v>
      </c>
      <c r="AQ120" s="122">
        <f t="shared" si="232"/>
        <v>0</v>
      </c>
      <c r="AR120" s="122">
        <f t="shared" si="232"/>
        <v>0</v>
      </c>
      <c r="AS120" s="122">
        <f t="shared" si="232"/>
        <v>0</v>
      </c>
      <c r="AT120" s="122">
        <f t="shared" si="232"/>
        <v>0</v>
      </c>
      <c r="AU120" s="122">
        <f t="shared" si="232"/>
        <v>0</v>
      </c>
      <c r="AV120" s="122">
        <f t="shared" si="232"/>
        <v>0</v>
      </c>
      <c r="AW120" s="122">
        <f t="shared" ca="1" si="232"/>
        <v>0</v>
      </c>
      <c r="BB120" s="94" t="e">
        <v>#REF!</v>
      </c>
    </row>
    <row r="121" spans="1:54" s="20" customFormat="1" ht="18" customHeight="1">
      <c r="A121" s="642">
        <f t="shared" ref="A121" si="233">A118+1</f>
        <v>38</v>
      </c>
      <c r="B121" s="79"/>
      <c r="C121" s="651" t="s">
        <v>4836</v>
      </c>
      <c r="D121" s="80" t="s">
        <v>4868</v>
      </c>
      <c r="E121" s="81" t="s">
        <v>4775</v>
      </c>
      <c r="F121" s="82" t="s">
        <v>71</v>
      </c>
      <c r="G121" s="654" t="s">
        <v>4886</v>
      </c>
      <c r="H121" s="82" t="s">
        <v>185</v>
      </c>
      <c r="I121" s="81" t="s">
        <v>8</v>
      </c>
      <c r="J121" s="82"/>
      <c r="K121" s="84">
        <f>M123</f>
        <v>5.0000000000000001E-3</v>
      </c>
      <c r="L121" s="84"/>
      <c r="M121" s="84"/>
      <c r="N121" s="81"/>
      <c r="O121" s="81"/>
      <c r="P121" s="81"/>
      <c r="Q121" s="85" t="s">
        <v>4839</v>
      </c>
      <c r="R121" s="86">
        <f>'Before Award'!U128+5</f>
        <v>46412</v>
      </c>
      <c r="S121" s="86" t="e">
        <f>WORKDAY(R121,INDEX(S$2:S$5,MATCH($I121,$I$2:$I$5,0)),$BB$10:$BB$141)</f>
        <v>#REF!</v>
      </c>
      <c r="T121" s="86" t="e">
        <f>WORKDAY(S121,INDEX(T$2:T$5,MATCH($I121,$I$2:$I$5,0)),$BB$10:$BB$141)</f>
        <v>#REF!</v>
      </c>
      <c r="U121" s="86" t="e">
        <f>T121+30</f>
        <v>#REF!</v>
      </c>
      <c r="V121" s="86"/>
      <c r="W121" s="86">
        <f>AB121-35</f>
        <v>46503</v>
      </c>
      <c r="X121" s="86"/>
      <c r="Y121" s="86"/>
      <c r="Z121" s="86"/>
      <c r="AA121" s="86"/>
      <c r="AB121" s="86">
        <f>'Before Award'!X128</f>
        <v>46538</v>
      </c>
      <c r="AC121" s="657" t="s">
        <v>4840</v>
      </c>
      <c r="AD121" s="87">
        <v>7</v>
      </c>
      <c r="AE121" s="661">
        <v>131</v>
      </c>
      <c r="AF121" s="666" t="e">
        <f>AB122</f>
        <v>#REF!</v>
      </c>
      <c r="AG121" s="669">
        <f>WORKDAY(AH121+1,-1,$BA$10:$BA$141)</f>
        <v>46538</v>
      </c>
      <c r="AH121" s="88">
        <v>46538</v>
      </c>
      <c r="AI121" s="89"/>
      <c r="AJ121" s="672" t="e">
        <f>AG121-AF121</f>
        <v>#REF!</v>
      </c>
      <c r="AK121" s="90"/>
      <c r="AL121" s="91"/>
      <c r="AM121" s="92">
        <f t="shared" si="232"/>
        <v>0</v>
      </c>
      <c r="AN121" s="93">
        <f t="shared" si="232"/>
        <v>0</v>
      </c>
      <c r="AO121" s="93">
        <f t="shared" si="232"/>
        <v>0</v>
      </c>
      <c r="AP121" s="93">
        <f t="shared" si="232"/>
        <v>0</v>
      </c>
      <c r="AQ121" s="93">
        <f t="shared" si="232"/>
        <v>0</v>
      </c>
      <c r="AR121" s="93">
        <f t="shared" si="232"/>
        <v>0</v>
      </c>
      <c r="AS121" s="93">
        <f t="shared" si="232"/>
        <v>0</v>
      </c>
      <c r="AT121" s="93">
        <f t="shared" si="232"/>
        <v>0</v>
      </c>
      <c r="AU121" s="93">
        <f t="shared" si="232"/>
        <v>0</v>
      </c>
      <c r="AV121" s="93">
        <f t="shared" si="232"/>
        <v>0</v>
      </c>
      <c r="AW121" s="93">
        <f t="shared" ca="1" si="232"/>
        <v>0</v>
      </c>
      <c r="BB121" s="94" t="e">
        <v>#REF!</v>
      </c>
    </row>
    <row r="122" spans="1:54" s="20" customFormat="1" ht="18" customHeight="1">
      <c r="A122" s="643"/>
      <c r="B122" s="95"/>
      <c r="C122" s="652"/>
      <c r="D122" s="96" t="str">
        <f>D121</f>
        <v>INS</v>
      </c>
      <c r="E122" s="97" t="str">
        <f t="shared" ref="E122:F122" si="234">E121</f>
        <v>RFQ-038</v>
      </c>
      <c r="F122" s="98" t="str">
        <f t="shared" si="234"/>
        <v>N</v>
      </c>
      <c r="G122" s="655"/>
      <c r="H122" s="98" t="str">
        <f t="shared" ref="H122:I122" si="235">H121</f>
        <v>Fire and Gas Detector</v>
      </c>
      <c r="I122" s="97" t="str">
        <f t="shared" si="235"/>
        <v>LC</v>
      </c>
      <c r="J122" s="98"/>
      <c r="K122" s="100"/>
      <c r="L122" s="100">
        <f>M123</f>
        <v>5.0000000000000001E-3</v>
      </c>
      <c r="M122" s="100"/>
      <c r="N122" s="97"/>
      <c r="O122" s="97"/>
      <c r="P122" s="97"/>
      <c r="Q122" s="101" t="s">
        <v>4841</v>
      </c>
      <c r="R122" s="101"/>
      <c r="S122" s="102" t="e">
        <f>S121</f>
        <v>#REF!</v>
      </c>
      <c r="T122" s="103" t="e">
        <f>T121</f>
        <v>#REF!</v>
      </c>
      <c r="U122" s="103" t="e">
        <f t="shared" ref="U122:Z122" si="236">WORKDAY(IF(T123="",T122,T123),INDEX(U$2:U$5,MATCH($I121,$I$2:$I$5,0)),$BB$10:$BB$141)</f>
        <v>#REF!</v>
      </c>
      <c r="V122" s="103" t="e">
        <f t="shared" si="236"/>
        <v>#REF!</v>
      </c>
      <c r="W122" s="103" t="e">
        <f t="shared" si="236"/>
        <v>#REF!</v>
      </c>
      <c r="X122" s="103" t="e">
        <f t="shared" si="236"/>
        <v>#REF!</v>
      </c>
      <c r="Y122" s="103" t="e">
        <f t="shared" si="236"/>
        <v>#REF!</v>
      </c>
      <c r="Z122" s="103" t="e">
        <f t="shared" si="236"/>
        <v>#REF!</v>
      </c>
      <c r="AA122" s="103" t="e">
        <f>WORKDAY(IF(Z123="",X122,Z123),INDEX(AA$2:AA$5,MATCH($I121,$I$2:$I$5,0)),$BB$10:$BB$141)</f>
        <v>#REF!</v>
      </c>
      <c r="AB122" s="104" t="e">
        <f>WORKDAY(AE121+#REF!,0,'[35]Equipment List and MR List (3)'!$A$2:$A$80)</f>
        <v>#REF!</v>
      </c>
      <c r="AC122" s="658"/>
      <c r="AD122" s="105"/>
      <c r="AE122" s="661"/>
      <c r="AF122" s="667"/>
      <c r="AG122" s="670"/>
      <c r="AH122" s="106"/>
      <c r="AI122" s="107"/>
      <c r="AJ122" s="673"/>
      <c r="AK122" s="108"/>
      <c r="AL122" s="109"/>
      <c r="AM122" s="92">
        <f t="shared" si="232"/>
        <v>0</v>
      </c>
      <c r="AN122" s="93">
        <f t="shared" si="232"/>
        <v>0</v>
      </c>
      <c r="AO122" s="93">
        <f t="shared" si="232"/>
        <v>0</v>
      </c>
      <c r="AP122" s="93">
        <f t="shared" si="232"/>
        <v>0</v>
      </c>
      <c r="AQ122" s="93">
        <f t="shared" si="232"/>
        <v>0</v>
      </c>
      <c r="AR122" s="93">
        <f t="shared" si="232"/>
        <v>0</v>
      </c>
      <c r="AS122" s="93">
        <f t="shared" si="232"/>
        <v>0</v>
      </c>
      <c r="AT122" s="93">
        <f t="shared" si="232"/>
        <v>0</v>
      </c>
      <c r="AU122" s="93">
        <f t="shared" si="232"/>
        <v>0</v>
      </c>
      <c r="AV122" s="93">
        <f t="shared" si="232"/>
        <v>0</v>
      </c>
      <c r="AW122" s="93">
        <f t="shared" ca="1" si="232"/>
        <v>0</v>
      </c>
      <c r="BB122" s="94" t="e">
        <v>#REF!</v>
      </c>
    </row>
    <row r="123" spans="1:54" s="20" customFormat="1" ht="18" customHeight="1">
      <c r="A123" s="644"/>
      <c r="B123" s="110"/>
      <c r="C123" s="653"/>
      <c r="D123" s="111" t="str">
        <f>D121</f>
        <v>INS</v>
      </c>
      <c r="E123" s="112" t="str">
        <f>E121</f>
        <v>RFQ-038</v>
      </c>
      <c r="F123" s="113" t="str">
        <f t="shared" ref="F123" si="237">F121</f>
        <v>N</v>
      </c>
      <c r="G123" s="656"/>
      <c r="H123" s="113" t="str">
        <f t="shared" ref="H123:I123" si="238">H121</f>
        <v>Fire and Gas Detector</v>
      </c>
      <c r="I123" s="112" t="str">
        <f t="shared" si="238"/>
        <v>LC</v>
      </c>
      <c r="J123" s="113"/>
      <c r="K123" s="114"/>
      <c r="L123" s="114"/>
      <c r="M123" s="114">
        <v>5.0000000000000001E-3</v>
      </c>
      <c r="N123" s="112"/>
      <c r="O123" s="112"/>
      <c r="P123" s="112"/>
      <c r="Q123" s="115" t="s">
        <v>4842</v>
      </c>
      <c r="R123" s="115"/>
      <c r="S123" s="126"/>
      <c r="T123" s="126"/>
      <c r="U123" s="126"/>
      <c r="V123" s="126"/>
      <c r="W123" s="126"/>
      <c r="X123" s="126"/>
      <c r="Y123" s="126"/>
      <c r="Z123" s="126"/>
      <c r="AA123" s="126"/>
      <c r="AB123" s="126"/>
      <c r="AC123" s="659"/>
      <c r="AD123" s="116"/>
      <c r="AE123" s="661"/>
      <c r="AF123" s="668"/>
      <c r="AG123" s="671"/>
      <c r="AH123" s="117"/>
      <c r="AI123" s="118"/>
      <c r="AJ123" s="674"/>
      <c r="AK123" s="119"/>
      <c r="AL123" s="120"/>
      <c r="AM123" s="121">
        <f t="shared" si="232"/>
        <v>0</v>
      </c>
      <c r="AN123" s="122">
        <f t="shared" si="232"/>
        <v>0</v>
      </c>
      <c r="AO123" s="122">
        <f t="shared" si="232"/>
        <v>0</v>
      </c>
      <c r="AP123" s="122">
        <f t="shared" si="232"/>
        <v>0</v>
      </c>
      <c r="AQ123" s="122">
        <f t="shared" si="232"/>
        <v>0</v>
      </c>
      <c r="AR123" s="122">
        <f t="shared" si="232"/>
        <v>0</v>
      </c>
      <c r="AS123" s="122">
        <f t="shared" si="232"/>
        <v>0</v>
      </c>
      <c r="AT123" s="122">
        <f t="shared" si="232"/>
        <v>0</v>
      </c>
      <c r="AU123" s="122">
        <f t="shared" si="232"/>
        <v>0</v>
      </c>
      <c r="AV123" s="122">
        <f t="shared" si="232"/>
        <v>0</v>
      </c>
      <c r="AW123" s="122">
        <f t="shared" ca="1" si="232"/>
        <v>0</v>
      </c>
      <c r="BB123" s="94" t="e">
        <v>#REF!</v>
      </c>
    </row>
    <row r="124" spans="1:54" s="20" customFormat="1" ht="18" customHeight="1">
      <c r="A124" s="642">
        <f t="shared" ref="A124" si="239">A121+1</f>
        <v>39</v>
      </c>
      <c r="B124" s="79"/>
      <c r="C124" s="651" t="s">
        <v>4836</v>
      </c>
      <c r="D124" s="80" t="s">
        <v>4868</v>
      </c>
      <c r="E124" s="81" t="s">
        <v>4776</v>
      </c>
      <c r="F124" s="82" t="s">
        <v>71</v>
      </c>
      <c r="G124" s="654" t="s">
        <v>4887</v>
      </c>
      <c r="H124" s="82" t="s">
        <v>188</v>
      </c>
      <c r="I124" s="81" t="s">
        <v>8</v>
      </c>
      <c r="J124" s="82"/>
      <c r="K124" s="84">
        <f>M126</f>
        <v>5.0000000000000001E-3</v>
      </c>
      <c r="L124" s="84"/>
      <c r="M124" s="84"/>
      <c r="N124" s="81"/>
      <c r="O124" s="81"/>
      <c r="P124" s="81"/>
      <c r="Q124" s="85" t="s">
        <v>4839</v>
      </c>
      <c r="R124" s="86">
        <f>'Before Award'!U131+5</f>
        <v>46417</v>
      </c>
      <c r="S124" s="86" t="e">
        <f>WORKDAY(R124,INDEX(S$2:S$5,MATCH($I124,$I$2:$I$5,0)),$BB$10:$BB$141)</f>
        <v>#REF!</v>
      </c>
      <c r="T124" s="86" t="e">
        <f>WORKDAY(S124,INDEX(T$2:T$5,MATCH($I124,$I$2:$I$5,0)),$BB$10:$BB$141)</f>
        <v>#REF!</v>
      </c>
      <c r="U124" s="86" t="e">
        <f>T124+30</f>
        <v>#REF!</v>
      </c>
      <c r="V124" s="86"/>
      <c r="W124" s="86">
        <f>AB124-35</f>
        <v>46503</v>
      </c>
      <c r="X124" s="86"/>
      <c r="Y124" s="86"/>
      <c r="Z124" s="86"/>
      <c r="AA124" s="86"/>
      <c r="AB124" s="86">
        <f>'Before Award'!X131</f>
        <v>46538</v>
      </c>
      <c r="AC124" s="657" t="s">
        <v>4840</v>
      </c>
      <c r="AD124" s="87">
        <v>7</v>
      </c>
      <c r="AE124" s="661">
        <f>18*7</f>
        <v>126</v>
      </c>
      <c r="AF124" s="666" t="e">
        <f>AB125</f>
        <v>#REF!</v>
      </c>
      <c r="AG124" s="669">
        <f>WORKDAY(AH124+1,-1,$BA$10:$BA$141)</f>
        <v>46538</v>
      </c>
      <c r="AH124" s="88">
        <v>46538</v>
      </c>
      <c r="AI124" s="89"/>
      <c r="AJ124" s="672" t="e">
        <f>AG124-AF124</f>
        <v>#REF!</v>
      </c>
      <c r="AK124" s="90"/>
      <c r="AL124" s="91"/>
      <c r="AM124" s="92">
        <f t="shared" si="232"/>
        <v>0</v>
      </c>
      <c r="AN124" s="93">
        <f t="shared" si="232"/>
        <v>0</v>
      </c>
      <c r="AO124" s="93">
        <f t="shared" si="232"/>
        <v>0</v>
      </c>
      <c r="AP124" s="93">
        <f t="shared" si="232"/>
        <v>0</v>
      </c>
      <c r="AQ124" s="93">
        <f t="shared" si="232"/>
        <v>0</v>
      </c>
      <c r="AR124" s="93">
        <f t="shared" si="232"/>
        <v>0</v>
      </c>
      <c r="AS124" s="93">
        <f t="shared" si="232"/>
        <v>0</v>
      </c>
      <c r="AT124" s="93">
        <f t="shared" si="232"/>
        <v>0</v>
      </c>
      <c r="AU124" s="93">
        <f t="shared" si="232"/>
        <v>0</v>
      </c>
      <c r="AV124" s="93">
        <f t="shared" si="232"/>
        <v>0</v>
      </c>
      <c r="AW124" s="93">
        <f t="shared" ca="1" si="232"/>
        <v>0</v>
      </c>
      <c r="BB124" s="94" t="e">
        <v>#REF!</v>
      </c>
    </row>
    <row r="125" spans="1:54" s="20" customFormat="1" ht="18" customHeight="1">
      <c r="A125" s="643"/>
      <c r="B125" s="95"/>
      <c r="C125" s="652"/>
      <c r="D125" s="96" t="str">
        <f t="shared" ref="D125:F125" si="240">D124</f>
        <v>INS</v>
      </c>
      <c r="E125" s="97" t="str">
        <f t="shared" si="240"/>
        <v>RFQ-039</v>
      </c>
      <c r="F125" s="98" t="str">
        <f t="shared" si="240"/>
        <v>N</v>
      </c>
      <c r="G125" s="655"/>
      <c r="H125" s="98" t="str">
        <f t="shared" ref="H125:I125" si="241">H124</f>
        <v>Dip Tape Level Indicator</v>
      </c>
      <c r="I125" s="97" t="str">
        <f t="shared" si="241"/>
        <v>LC</v>
      </c>
      <c r="J125" s="98"/>
      <c r="K125" s="100"/>
      <c r="L125" s="100">
        <f>M126</f>
        <v>5.0000000000000001E-3</v>
      </c>
      <c r="M125" s="100"/>
      <c r="N125" s="97"/>
      <c r="O125" s="97"/>
      <c r="P125" s="97"/>
      <c r="Q125" s="101" t="s">
        <v>4841</v>
      </c>
      <c r="R125" s="101"/>
      <c r="S125" s="102" t="e">
        <f>S124</f>
        <v>#REF!</v>
      </c>
      <c r="T125" s="103" t="e">
        <f>T124</f>
        <v>#REF!</v>
      </c>
      <c r="U125" s="103" t="e">
        <f t="shared" ref="U125:Z125" si="242">WORKDAY(IF(T126="",T125,T126),INDEX(U$2:U$5,MATCH($I124,$I$2:$I$5,0)),$BB$10:$BB$141)</f>
        <v>#REF!</v>
      </c>
      <c r="V125" s="103" t="e">
        <f t="shared" si="242"/>
        <v>#REF!</v>
      </c>
      <c r="W125" s="103" t="e">
        <f t="shared" si="242"/>
        <v>#REF!</v>
      </c>
      <c r="X125" s="103" t="e">
        <f t="shared" si="242"/>
        <v>#REF!</v>
      </c>
      <c r="Y125" s="103" t="e">
        <f t="shared" si="242"/>
        <v>#REF!</v>
      </c>
      <c r="Z125" s="103" t="e">
        <f t="shared" si="242"/>
        <v>#REF!</v>
      </c>
      <c r="AA125" s="103" t="e">
        <f>WORKDAY(IF(Z126="",X125,Z126),INDEX(AA$2:AA$5,MATCH($I124,$I$2:$I$5,0)),$BB$10:$BB$141)</f>
        <v>#REF!</v>
      </c>
      <c r="AB125" s="104" t="e">
        <f>WORKDAY(AE124+#REF!,0,'[35]Equipment List and MR List (3)'!$A$2:$A$80)</f>
        <v>#REF!</v>
      </c>
      <c r="AC125" s="658"/>
      <c r="AD125" s="105"/>
      <c r="AE125" s="661"/>
      <c r="AF125" s="667"/>
      <c r="AG125" s="670"/>
      <c r="AH125" s="106"/>
      <c r="AI125" s="107"/>
      <c r="AJ125" s="673"/>
      <c r="AK125" s="108"/>
      <c r="AL125" s="109"/>
      <c r="AM125" s="92">
        <f t="shared" si="232"/>
        <v>0</v>
      </c>
      <c r="AN125" s="93">
        <f t="shared" si="232"/>
        <v>0</v>
      </c>
      <c r="AO125" s="93">
        <f t="shared" si="232"/>
        <v>0</v>
      </c>
      <c r="AP125" s="93">
        <f t="shared" si="232"/>
        <v>0</v>
      </c>
      <c r="AQ125" s="93">
        <f t="shared" si="232"/>
        <v>0</v>
      </c>
      <c r="AR125" s="93">
        <f t="shared" si="232"/>
        <v>0</v>
      </c>
      <c r="AS125" s="93">
        <f t="shared" si="232"/>
        <v>0</v>
      </c>
      <c r="AT125" s="93">
        <f t="shared" si="232"/>
        <v>0</v>
      </c>
      <c r="AU125" s="93">
        <f t="shared" si="232"/>
        <v>0</v>
      </c>
      <c r="AV125" s="93">
        <f t="shared" si="232"/>
        <v>0</v>
      </c>
      <c r="AW125" s="93">
        <f t="shared" ca="1" si="232"/>
        <v>0</v>
      </c>
      <c r="BB125" s="94" t="e">
        <v>#REF!</v>
      </c>
    </row>
    <row r="126" spans="1:54" s="20" customFormat="1" ht="18" customHeight="1">
      <c r="A126" s="644"/>
      <c r="B126" s="110"/>
      <c r="C126" s="653"/>
      <c r="D126" s="111" t="str">
        <f>D124</f>
        <v>INS</v>
      </c>
      <c r="E126" s="112" t="str">
        <f>E124</f>
        <v>RFQ-039</v>
      </c>
      <c r="F126" s="113" t="str">
        <f t="shared" ref="F126" si="243">F124</f>
        <v>N</v>
      </c>
      <c r="G126" s="656"/>
      <c r="H126" s="113" t="str">
        <f t="shared" ref="H126:I126" si="244">H124</f>
        <v>Dip Tape Level Indicator</v>
      </c>
      <c r="I126" s="112" t="str">
        <f t="shared" si="244"/>
        <v>LC</v>
      </c>
      <c r="J126" s="113"/>
      <c r="K126" s="114"/>
      <c r="L126" s="114"/>
      <c r="M126" s="114">
        <v>5.0000000000000001E-3</v>
      </c>
      <c r="N126" s="112"/>
      <c r="O126" s="112"/>
      <c r="P126" s="112"/>
      <c r="Q126" s="115" t="s">
        <v>4842</v>
      </c>
      <c r="R126" s="115"/>
      <c r="S126" s="126"/>
      <c r="T126" s="126"/>
      <c r="U126" s="126"/>
      <c r="V126" s="126"/>
      <c r="W126" s="126"/>
      <c r="X126" s="126"/>
      <c r="Y126" s="126"/>
      <c r="Z126" s="126"/>
      <c r="AA126" s="126"/>
      <c r="AB126" s="126"/>
      <c r="AC126" s="659"/>
      <c r="AD126" s="116"/>
      <c r="AE126" s="661"/>
      <c r="AF126" s="668"/>
      <c r="AG126" s="671"/>
      <c r="AH126" s="117"/>
      <c r="AI126" s="118"/>
      <c r="AJ126" s="674"/>
      <c r="AK126" s="119"/>
      <c r="AL126" s="120"/>
      <c r="AM126" s="121">
        <f t="shared" si="232"/>
        <v>0</v>
      </c>
      <c r="AN126" s="122">
        <f t="shared" si="232"/>
        <v>0</v>
      </c>
      <c r="AO126" s="122">
        <f t="shared" si="232"/>
        <v>0</v>
      </c>
      <c r="AP126" s="122">
        <f t="shared" si="232"/>
        <v>0</v>
      </c>
      <c r="AQ126" s="122">
        <f t="shared" si="232"/>
        <v>0</v>
      </c>
      <c r="AR126" s="122">
        <f t="shared" si="232"/>
        <v>0</v>
      </c>
      <c r="AS126" s="122">
        <f t="shared" si="232"/>
        <v>0</v>
      </c>
      <c r="AT126" s="122">
        <f t="shared" si="232"/>
        <v>0</v>
      </c>
      <c r="AU126" s="122">
        <f t="shared" si="232"/>
        <v>0</v>
      </c>
      <c r="AV126" s="122">
        <f t="shared" si="232"/>
        <v>0</v>
      </c>
      <c r="AW126" s="122">
        <f t="shared" ca="1" si="232"/>
        <v>0</v>
      </c>
      <c r="BB126" s="94" t="e">
        <v>#REF!</v>
      </c>
    </row>
    <row r="127" spans="1:54" s="20" customFormat="1" ht="18" customHeight="1">
      <c r="A127" s="642">
        <f t="shared" ref="A127" si="245">A124+1</f>
        <v>40</v>
      </c>
      <c r="B127" s="79"/>
      <c r="C127" s="651" t="s">
        <v>4836</v>
      </c>
      <c r="D127" s="80" t="s">
        <v>4868</v>
      </c>
      <c r="E127" s="81" t="s">
        <v>4777</v>
      </c>
      <c r="F127" s="82" t="s">
        <v>71</v>
      </c>
      <c r="G127" s="654" t="s">
        <v>4888</v>
      </c>
      <c r="H127" s="82" t="s">
        <v>190</v>
      </c>
      <c r="I127" s="81" t="s">
        <v>8</v>
      </c>
      <c r="J127" s="82"/>
      <c r="K127" s="84">
        <f>M129</f>
        <v>5.0000000000000001E-3</v>
      </c>
      <c r="L127" s="84"/>
      <c r="M127" s="84"/>
      <c r="N127" s="81"/>
      <c r="O127" s="81"/>
      <c r="P127" s="81"/>
      <c r="Q127" s="85" t="s">
        <v>4839</v>
      </c>
      <c r="R127" s="86">
        <f>'Before Award'!U134+5</f>
        <v>46417</v>
      </c>
      <c r="S127" s="86" t="e">
        <f>WORKDAY(R127,INDEX(S$2:S$5,MATCH($I127,$I$2:$I$5,0)),$BB$10:$BB$141)</f>
        <v>#REF!</v>
      </c>
      <c r="T127" s="86" t="e">
        <f>WORKDAY(S127,INDEX(T$2:T$5,MATCH($I127,$I$2:$I$5,0)),$BB$10:$BB$141)</f>
        <v>#REF!</v>
      </c>
      <c r="U127" s="86" t="e">
        <f>T127+30</f>
        <v>#REF!</v>
      </c>
      <c r="V127" s="86"/>
      <c r="W127" s="86">
        <f>AB127-35</f>
        <v>46503</v>
      </c>
      <c r="X127" s="86"/>
      <c r="Y127" s="86"/>
      <c r="Z127" s="86"/>
      <c r="AA127" s="86"/>
      <c r="AB127" s="86">
        <f>'Before Award'!X134</f>
        <v>46538</v>
      </c>
      <c r="AC127" s="657" t="s">
        <v>4840</v>
      </c>
      <c r="AD127" s="87">
        <v>7</v>
      </c>
      <c r="AE127" s="661">
        <f>18*7</f>
        <v>126</v>
      </c>
      <c r="AF127" s="666" t="e">
        <f>AB128</f>
        <v>#REF!</v>
      </c>
      <c r="AG127" s="669">
        <f>WORKDAY(AH127+1,-1,$BA$10:$BA$141)</f>
        <v>46538</v>
      </c>
      <c r="AH127" s="88">
        <v>46538</v>
      </c>
      <c r="AI127" s="89"/>
      <c r="AJ127" s="672" t="e">
        <f>AG127-AF127</f>
        <v>#REF!</v>
      </c>
      <c r="AK127" s="90"/>
      <c r="AL127" s="91"/>
      <c r="AM127" s="92">
        <f t="shared" si="232"/>
        <v>0</v>
      </c>
      <c r="AN127" s="93">
        <f t="shared" si="232"/>
        <v>0</v>
      </c>
      <c r="AO127" s="93">
        <f t="shared" si="232"/>
        <v>0</v>
      </c>
      <c r="AP127" s="93">
        <f t="shared" si="232"/>
        <v>0</v>
      </c>
      <c r="AQ127" s="93">
        <f t="shared" si="232"/>
        <v>0</v>
      </c>
      <c r="AR127" s="93">
        <f t="shared" si="232"/>
        <v>0</v>
      </c>
      <c r="AS127" s="93">
        <f t="shared" si="232"/>
        <v>0</v>
      </c>
      <c r="AT127" s="93">
        <f t="shared" si="232"/>
        <v>0</v>
      </c>
      <c r="AU127" s="93">
        <f t="shared" si="232"/>
        <v>0</v>
      </c>
      <c r="AV127" s="93">
        <f t="shared" si="232"/>
        <v>0</v>
      </c>
      <c r="AW127" s="93">
        <f t="shared" ca="1" si="232"/>
        <v>0</v>
      </c>
      <c r="BB127" s="94" t="e">
        <v>#REF!</v>
      </c>
    </row>
    <row r="128" spans="1:54" s="20" customFormat="1" ht="18" customHeight="1">
      <c r="A128" s="643"/>
      <c r="B128" s="95"/>
      <c r="C128" s="652"/>
      <c r="D128" s="96" t="str">
        <f t="shared" ref="D128:I128" si="246">D127</f>
        <v>INS</v>
      </c>
      <c r="E128" s="97" t="str">
        <f t="shared" si="246"/>
        <v>RFQ-040</v>
      </c>
      <c r="F128" s="98" t="str">
        <f t="shared" si="246"/>
        <v>N</v>
      </c>
      <c r="G128" s="655"/>
      <c r="H128" s="98" t="str">
        <f t="shared" ref="H128" si="247">H127</f>
        <v>Position Limit Switches</v>
      </c>
      <c r="I128" s="97" t="str">
        <f t="shared" si="246"/>
        <v>LC</v>
      </c>
      <c r="J128" s="98"/>
      <c r="K128" s="100"/>
      <c r="L128" s="100">
        <f>M129</f>
        <v>5.0000000000000001E-3</v>
      </c>
      <c r="M128" s="100"/>
      <c r="N128" s="97"/>
      <c r="O128" s="97"/>
      <c r="P128" s="97"/>
      <c r="Q128" s="101" t="s">
        <v>4841</v>
      </c>
      <c r="R128" s="101"/>
      <c r="S128" s="102" t="e">
        <f>S127</f>
        <v>#REF!</v>
      </c>
      <c r="T128" s="103" t="e">
        <f>T127</f>
        <v>#REF!</v>
      </c>
      <c r="U128" s="103" t="e">
        <f t="shared" ref="U128:Z128" si="248">WORKDAY(IF(T129="",T128,T129),INDEX(U$2:U$5,MATCH($I127,$I$2:$I$5,0)),$BB$10:$BB$141)</f>
        <v>#REF!</v>
      </c>
      <c r="V128" s="103" t="e">
        <f t="shared" si="248"/>
        <v>#REF!</v>
      </c>
      <c r="W128" s="103" t="e">
        <f t="shared" si="248"/>
        <v>#REF!</v>
      </c>
      <c r="X128" s="103" t="e">
        <f t="shared" si="248"/>
        <v>#REF!</v>
      </c>
      <c r="Y128" s="103" t="e">
        <f t="shared" si="248"/>
        <v>#REF!</v>
      </c>
      <c r="Z128" s="103" t="e">
        <f t="shared" si="248"/>
        <v>#REF!</v>
      </c>
      <c r="AA128" s="103" t="e">
        <f>WORKDAY(IF(Z129="",X128,Z129),INDEX(AA$2:AA$5,MATCH($I127,$I$2:$I$5,0)),$BB$10:$BB$141)</f>
        <v>#REF!</v>
      </c>
      <c r="AB128" s="104" t="e">
        <f>WORKDAY(AE127+#REF!,0,'[35]Equipment List and MR List (3)'!$A$2:$A$80)</f>
        <v>#REF!</v>
      </c>
      <c r="AC128" s="658"/>
      <c r="AD128" s="105"/>
      <c r="AE128" s="661"/>
      <c r="AF128" s="667"/>
      <c r="AG128" s="670"/>
      <c r="AH128" s="106"/>
      <c r="AI128" s="107"/>
      <c r="AJ128" s="673"/>
      <c r="AK128" s="108"/>
      <c r="AL128" s="109"/>
      <c r="AM128" s="92">
        <f t="shared" si="232"/>
        <v>0</v>
      </c>
      <c r="AN128" s="93">
        <f t="shared" si="232"/>
        <v>0</v>
      </c>
      <c r="AO128" s="93">
        <f t="shared" si="232"/>
        <v>0</v>
      </c>
      <c r="AP128" s="93">
        <f t="shared" si="232"/>
        <v>0</v>
      </c>
      <c r="AQ128" s="93">
        <f t="shared" si="232"/>
        <v>0</v>
      </c>
      <c r="AR128" s="93">
        <f t="shared" si="232"/>
        <v>0</v>
      </c>
      <c r="AS128" s="93">
        <f t="shared" si="232"/>
        <v>0</v>
      </c>
      <c r="AT128" s="93">
        <f t="shared" si="232"/>
        <v>0</v>
      </c>
      <c r="AU128" s="93">
        <f t="shared" si="232"/>
        <v>0</v>
      </c>
      <c r="AV128" s="93">
        <f t="shared" si="232"/>
        <v>0</v>
      </c>
      <c r="AW128" s="93">
        <f t="shared" ca="1" si="232"/>
        <v>0</v>
      </c>
      <c r="BB128" s="94" t="e">
        <v>#REF!</v>
      </c>
    </row>
    <row r="129" spans="1:54" s="20" customFormat="1" ht="18" customHeight="1">
      <c r="A129" s="644"/>
      <c r="B129" s="110"/>
      <c r="C129" s="653"/>
      <c r="D129" s="111" t="str">
        <f>D127</f>
        <v>INS</v>
      </c>
      <c r="E129" s="112" t="str">
        <f>E127</f>
        <v>RFQ-040</v>
      </c>
      <c r="F129" s="113" t="str">
        <f t="shared" ref="F129" si="249">F127</f>
        <v>N</v>
      </c>
      <c r="G129" s="656"/>
      <c r="H129" s="113" t="str">
        <f t="shared" ref="H129:I129" si="250">H127</f>
        <v>Position Limit Switches</v>
      </c>
      <c r="I129" s="112" t="str">
        <f t="shared" si="250"/>
        <v>LC</v>
      </c>
      <c r="J129" s="113"/>
      <c r="K129" s="114"/>
      <c r="L129" s="114"/>
      <c r="M129" s="114">
        <v>5.0000000000000001E-3</v>
      </c>
      <c r="N129" s="112"/>
      <c r="O129" s="112"/>
      <c r="P129" s="112"/>
      <c r="Q129" s="115" t="s">
        <v>4842</v>
      </c>
      <c r="R129" s="115"/>
      <c r="S129" s="126"/>
      <c r="T129" s="126"/>
      <c r="U129" s="126"/>
      <c r="V129" s="126"/>
      <c r="W129" s="126"/>
      <c r="X129" s="126"/>
      <c r="Y129" s="126"/>
      <c r="Z129" s="126"/>
      <c r="AA129" s="126"/>
      <c r="AB129" s="126"/>
      <c r="AC129" s="659"/>
      <c r="AD129" s="116"/>
      <c r="AE129" s="661"/>
      <c r="AF129" s="668"/>
      <c r="AG129" s="671"/>
      <c r="AH129" s="117"/>
      <c r="AI129" s="118"/>
      <c r="AJ129" s="674"/>
      <c r="AK129" s="119"/>
      <c r="AL129" s="120"/>
      <c r="AM129" s="121">
        <f t="shared" si="232"/>
        <v>0</v>
      </c>
      <c r="AN129" s="122">
        <f t="shared" si="232"/>
        <v>0</v>
      </c>
      <c r="AO129" s="122">
        <f t="shared" si="232"/>
        <v>0</v>
      </c>
      <c r="AP129" s="122">
        <f t="shared" si="232"/>
        <v>0</v>
      </c>
      <c r="AQ129" s="122">
        <f t="shared" si="232"/>
        <v>0</v>
      </c>
      <c r="AR129" s="122">
        <f t="shared" si="232"/>
        <v>0</v>
      </c>
      <c r="AS129" s="122">
        <f t="shared" si="232"/>
        <v>0</v>
      </c>
      <c r="AT129" s="122">
        <f t="shared" si="232"/>
        <v>0</v>
      </c>
      <c r="AU129" s="122">
        <f t="shared" si="232"/>
        <v>0</v>
      </c>
      <c r="AV129" s="122">
        <f t="shared" si="232"/>
        <v>0</v>
      </c>
      <c r="AW129" s="122">
        <f t="shared" ca="1" si="232"/>
        <v>0</v>
      </c>
      <c r="BB129" s="94" t="e">
        <v>#REF!</v>
      </c>
    </row>
    <row r="130" spans="1:54" s="20" customFormat="1" ht="18" customHeight="1">
      <c r="A130" s="642">
        <f t="shared" ref="A130" si="251">A127+1</f>
        <v>41</v>
      </c>
      <c r="B130" s="79"/>
      <c r="C130" s="651" t="s">
        <v>4836</v>
      </c>
      <c r="D130" s="80" t="s">
        <v>4868</v>
      </c>
      <c r="E130" s="81" t="s">
        <v>4778</v>
      </c>
      <c r="F130" s="82" t="s">
        <v>71</v>
      </c>
      <c r="G130" s="654" t="s">
        <v>4889</v>
      </c>
      <c r="H130" s="82" t="s">
        <v>193</v>
      </c>
      <c r="I130" s="81" t="s">
        <v>8</v>
      </c>
      <c r="J130" s="82"/>
      <c r="K130" s="84">
        <f>M132</f>
        <v>5.0000000000000001E-3</v>
      </c>
      <c r="L130" s="84"/>
      <c r="M130" s="84"/>
      <c r="N130" s="81"/>
      <c r="O130" s="81"/>
      <c r="P130" s="81"/>
      <c r="Q130" s="85" t="s">
        <v>4839</v>
      </c>
      <c r="R130" s="86">
        <f>'Before Award'!U137+5</f>
        <v>46333</v>
      </c>
      <c r="S130" s="86" t="e">
        <f>WORKDAY(R130,INDEX(S$2:S$5,MATCH($I130,$I$2:$I$5,0)),$BB$10:$BB$141)</f>
        <v>#REF!</v>
      </c>
      <c r="T130" s="86" t="e">
        <f>WORKDAY(S130,INDEX(T$2:T$5,MATCH($I130,$I$2:$I$5,0)),$BB$10:$BB$141)</f>
        <v>#REF!</v>
      </c>
      <c r="U130" s="86" t="e">
        <f>T130+30</f>
        <v>#REF!</v>
      </c>
      <c r="V130" s="86"/>
      <c r="W130" s="86">
        <f>AB130-35</f>
        <v>46503</v>
      </c>
      <c r="X130" s="86"/>
      <c r="Y130" s="86"/>
      <c r="Z130" s="86"/>
      <c r="AA130" s="86"/>
      <c r="AB130" s="86">
        <f>'Before Award'!X137</f>
        <v>46538</v>
      </c>
      <c r="AC130" s="657" t="s">
        <v>4840</v>
      </c>
      <c r="AD130" s="87">
        <v>7</v>
      </c>
      <c r="AE130" s="661">
        <f>30*7</f>
        <v>210</v>
      </c>
      <c r="AF130" s="666" t="e">
        <f>AB131</f>
        <v>#REF!</v>
      </c>
      <c r="AG130" s="669">
        <f>WORKDAY(AH130+1,-1,$BA$10:$BA$141)</f>
        <v>46538</v>
      </c>
      <c r="AH130" s="88">
        <v>46538</v>
      </c>
      <c r="AI130" s="89"/>
      <c r="AJ130" s="672" t="e">
        <f>AG130-AF130</f>
        <v>#REF!</v>
      </c>
      <c r="AK130" s="90"/>
      <c r="AL130" s="91"/>
      <c r="AM130" s="92">
        <f t="shared" ref="AM130:AW139" si="252">IF(ISERROR(LOOKUP(AM$6,$S130:$AB130,$S$9:$AB$9)),0,(LOOKUP(AM$6,$S130:$AB130,$S$9:$AB$9)))</f>
        <v>0</v>
      </c>
      <c r="AN130" s="93">
        <f t="shared" si="252"/>
        <v>0</v>
      </c>
      <c r="AO130" s="93">
        <f t="shared" si="252"/>
        <v>0</v>
      </c>
      <c r="AP130" s="93">
        <f t="shared" si="252"/>
        <v>0</v>
      </c>
      <c r="AQ130" s="93">
        <f t="shared" si="252"/>
        <v>0</v>
      </c>
      <c r="AR130" s="93">
        <f t="shared" si="252"/>
        <v>0</v>
      </c>
      <c r="AS130" s="93">
        <f t="shared" si="252"/>
        <v>0</v>
      </c>
      <c r="AT130" s="93">
        <f t="shared" si="252"/>
        <v>0</v>
      </c>
      <c r="AU130" s="93">
        <f t="shared" si="252"/>
        <v>0</v>
      </c>
      <c r="AV130" s="93">
        <f t="shared" si="252"/>
        <v>0</v>
      </c>
      <c r="AW130" s="93">
        <f t="shared" ca="1" si="252"/>
        <v>0</v>
      </c>
      <c r="BB130" s="94" t="e">
        <v>#REF!</v>
      </c>
    </row>
    <row r="131" spans="1:54" s="20" customFormat="1" ht="18" customHeight="1">
      <c r="A131" s="643"/>
      <c r="B131" s="95"/>
      <c r="C131" s="652"/>
      <c r="D131" s="96" t="str">
        <f t="shared" ref="D131:I131" si="253">D130</f>
        <v>INS</v>
      </c>
      <c r="E131" s="97" t="str">
        <f t="shared" si="253"/>
        <v>RFQ-041</v>
      </c>
      <c r="F131" s="98" t="str">
        <f t="shared" si="253"/>
        <v>N</v>
      </c>
      <c r="G131" s="655"/>
      <c r="H131" s="98" t="str">
        <f t="shared" ref="H131" si="254">H130</f>
        <v>Guided Wave Radar Level Transmitter</v>
      </c>
      <c r="I131" s="97" t="str">
        <f t="shared" si="253"/>
        <v>LC</v>
      </c>
      <c r="J131" s="98"/>
      <c r="K131" s="100"/>
      <c r="L131" s="100">
        <f>M132</f>
        <v>5.0000000000000001E-3</v>
      </c>
      <c r="M131" s="100"/>
      <c r="N131" s="97"/>
      <c r="O131" s="97"/>
      <c r="P131" s="97"/>
      <c r="Q131" s="101" t="s">
        <v>4841</v>
      </c>
      <c r="R131" s="101"/>
      <c r="S131" s="102" t="e">
        <f>S130</f>
        <v>#REF!</v>
      </c>
      <c r="T131" s="103" t="e">
        <f>T130</f>
        <v>#REF!</v>
      </c>
      <c r="U131" s="103" t="e">
        <f t="shared" ref="U131:Z131" si="255">WORKDAY(IF(T132="",T131,T132),INDEX(U$2:U$5,MATCH($I130,$I$2:$I$5,0)),$BB$10:$BB$141)</f>
        <v>#REF!</v>
      </c>
      <c r="V131" s="103" t="e">
        <f t="shared" si="255"/>
        <v>#REF!</v>
      </c>
      <c r="W131" s="103" t="e">
        <f t="shared" si="255"/>
        <v>#REF!</v>
      </c>
      <c r="X131" s="103" t="e">
        <f t="shared" si="255"/>
        <v>#REF!</v>
      </c>
      <c r="Y131" s="103" t="e">
        <f t="shared" si="255"/>
        <v>#REF!</v>
      </c>
      <c r="Z131" s="103" t="e">
        <f t="shared" si="255"/>
        <v>#REF!</v>
      </c>
      <c r="AA131" s="103" t="e">
        <f>WORKDAY(IF(Z132="",X131,Z132),INDEX(AA$2:AA$5,MATCH($I130,$I$2:$I$5,0)),$BB$10:$BB$141)</f>
        <v>#REF!</v>
      </c>
      <c r="AB131" s="104" t="e">
        <f>WORKDAY(AE130+#REF!,0,'[35]Equipment List and MR List (3)'!$A$2:$A$80)</f>
        <v>#REF!</v>
      </c>
      <c r="AC131" s="658"/>
      <c r="AD131" s="105"/>
      <c r="AE131" s="661"/>
      <c r="AF131" s="667"/>
      <c r="AG131" s="670"/>
      <c r="AH131" s="106"/>
      <c r="AI131" s="107"/>
      <c r="AJ131" s="673"/>
      <c r="AK131" s="108"/>
      <c r="AL131" s="109"/>
      <c r="AM131" s="92">
        <f t="shared" si="252"/>
        <v>0</v>
      </c>
      <c r="AN131" s="93">
        <f t="shared" si="252"/>
        <v>0</v>
      </c>
      <c r="AO131" s="93">
        <f t="shared" si="252"/>
        <v>0</v>
      </c>
      <c r="AP131" s="93">
        <f t="shared" si="252"/>
        <v>0</v>
      </c>
      <c r="AQ131" s="93">
        <f t="shared" si="252"/>
        <v>0</v>
      </c>
      <c r="AR131" s="93">
        <f t="shared" si="252"/>
        <v>0</v>
      </c>
      <c r="AS131" s="93">
        <f t="shared" si="252"/>
        <v>0</v>
      </c>
      <c r="AT131" s="93">
        <f t="shared" si="252"/>
        <v>0</v>
      </c>
      <c r="AU131" s="93">
        <f t="shared" si="252"/>
        <v>0</v>
      </c>
      <c r="AV131" s="93">
        <f t="shared" si="252"/>
        <v>0</v>
      </c>
      <c r="AW131" s="93">
        <f t="shared" ca="1" si="252"/>
        <v>0</v>
      </c>
      <c r="BB131" s="94" t="e">
        <v>#REF!</v>
      </c>
    </row>
    <row r="132" spans="1:54" s="20" customFormat="1" ht="18" customHeight="1">
      <c r="A132" s="644"/>
      <c r="B132" s="110"/>
      <c r="C132" s="653"/>
      <c r="D132" s="111" t="str">
        <f>D130</f>
        <v>INS</v>
      </c>
      <c r="E132" s="112" t="str">
        <f>E130</f>
        <v>RFQ-041</v>
      </c>
      <c r="F132" s="113" t="str">
        <f t="shared" ref="F132" si="256">F130</f>
        <v>N</v>
      </c>
      <c r="G132" s="656"/>
      <c r="H132" s="113" t="str">
        <f t="shared" ref="H132:I132" si="257">H130</f>
        <v>Guided Wave Radar Level Transmitter</v>
      </c>
      <c r="I132" s="112" t="str">
        <f t="shared" si="257"/>
        <v>LC</v>
      </c>
      <c r="J132" s="113"/>
      <c r="K132" s="114"/>
      <c r="L132" s="114"/>
      <c r="M132" s="114">
        <v>5.0000000000000001E-3</v>
      </c>
      <c r="N132" s="112"/>
      <c r="O132" s="112"/>
      <c r="P132" s="112"/>
      <c r="Q132" s="115" t="s">
        <v>4842</v>
      </c>
      <c r="R132" s="115"/>
      <c r="S132" s="126"/>
      <c r="T132" s="126"/>
      <c r="U132" s="126"/>
      <c r="V132" s="126"/>
      <c r="W132" s="126"/>
      <c r="X132" s="126"/>
      <c r="Y132" s="126"/>
      <c r="Z132" s="126"/>
      <c r="AA132" s="126"/>
      <c r="AB132" s="126"/>
      <c r="AC132" s="659"/>
      <c r="AD132" s="116"/>
      <c r="AE132" s="661"/>
      <c r="AF132" s="668"/>
      <c r="AG132" s="671"/>
      <c r="AH132" s="117"/>
      <c r="AI132" s="118"/>
      <c r="AJ132" s="674"/>
      <c r="AK132" s="119"/>
      <c r="AL132" s="120"/>
      <c r="AM132" s="121">
        <f t="shared" si="252"/>
        <v>0</v>
      </c>
      <c r="AN132" s="122">
        <f t="shared" si="252"/>
        <v>0</v>
      </c>
      <c r="AO132" s="122">
        <f t="shared" si="252"/>
        <v>0</v>
      </c>
      <c r="AP132" s="122">
        <f t="shared" si="252"/>
        <v>0</v>
      </c>
      <c r="AQ132" s="122">
        <f t="shared" si="252"/>
        <v>0</v>
      </c>
      <c r="AR132" s="122">
        <f t="shared" si="252"/>
        <v>0</v>
      </c>
      <c r="AS132" s="122">
        <f t="shared" si="252"/>
        <v>0</v>
      </c>
      <c r="AT132" s="122">
        <f t="shared" si="252"/>
        <v>0</v>
      </c>
      <c r="AU132" s="122">
        <f t="shared" si="252"/>
        <v>0</v>
      </c>
      <c r="AV132" s="122">
        <f t="shared" si="252"/>
        <v>0</v>
      </c>
      <c r="AW132" s="122">
        <f t="shared" ca="1" si="252"/>
        <v>0</v>
      </c>
      <c r="BB132" s="94" t="e">
        <v>#REF!</v>
      </c>
    </row>
    <row r="133" spans="1:54" s="20" customFormat="1" ht="18" customHeight="1">
      <c r="A133" s="642">
        <f t="shared" ref="A133" si="258">A130+1</f>
        <v>42</v>
      </c>
      <c r="B133" s="79"/>
      <c r="C133" s="651" t="s">
        <v>4836</v>
      </c>
      <c r="D133" s="80" t="s">
        <v>4868</v>
      </c>
      <c r="E133" s="81" t="s">
        <v>4779</v>
      </c>
      <c r="F133" s="82" t="s">
        <v>71</v>
      </c>
      <c r="G133" s="654" t="s">
        <v>4890</v>
      </c>
      <c r="H133" s="82" t="s">
        <v>195</v>
      </c>
      <c r="I133" s="81" t="s">
        <v>8</v>
      </c>
      <c r="J133" s="82"/>
      <c r="K133" s="84">
        <f>M135</f>
        <v>2E-3</v>
      </c>
      <c r="L133" s="84"/>
      <c r="M133" s="84"/>
      <c r="N133" s="81"/>
      <c r="O133" s="81"/>
      <c r="P133" s="81"/>
      <c r="Q133" s="85" t="s">
        <v>4839</v>
      </c>
      <c r="R133" s="86">
        <f>'Before Award'!U140+5</f>
        <v>46375</v>
      </c>
      <c r="S133" s="86" t="e">
        <f>WORKDAY(R133,INDEX(S$2:S$5,MATCH($I133,$I$2:$I$5,0)),$BB$10:$BB$141)</f>
        <v>#REF!</v>
      </c>
      <c r="T133" s="86" t="e">
        <f>WORKDAY(S133,INDEX(T$2:T$5,MATCH($I133,$I$2:$I$5,0)),$BB$10:$BB$141)</f>
        <v>#REF!</v>
      </c>
      <c r="U133" s="86" t="e">
        <f>T133+30</f>
        <v>#REF!</v>
      </c>
      <c r="V133" s="86"/>
      <c r="W133" s="86">
        <f>AB133-35</f>
        <v>46503</v>
      </c>
      <c r="X133" s="86"/>
      <c r="Y133" s="86"/>
      <c r="Z133" s="86"/>
      <c r="AA133" s="86"/>
      <c r="AB133" s="86">
        <f>'Before Award'!X140</f>
        <v>46538</v>
      </c>
      <c r="AC133" s="657" t="s">
        <v>4840</v>
      </c>
      <c r="AD133" s="87">
        <v>7</v>
      </c>
      <c r="AE133" s="661">
        <f>24*7</f>
        <v>168</v>
      </c>
      <c r="AF133" s="666" t="e">
        <f>AB134</f>
        <v>#REF!</v>
      </c>
      <c r="AG133" s="669">
        <f>WORKDAY(AH133+1,-1,$BA$10:$BA$141)</f>
        <v>46538</v>
      </c>
      <c r="AH133" s="88">
        <v>46538</v>
      </c>
      <c r="AI133" s="89"/>
      <c r="AJ133" s="672" t="e">
        <f>AG133-AF133</f>
        <v>#REF!</v>
      </c>
      <c r="AK133" s="90"/>
      <c r="AL133" s="91"/>
      <c r="AM133" s="92">
        <f t="shared" si="252"/>
        <v>0</v>
      </c>
      <c r="AN133" s="93">
        <f t="shared" si="252"/>
        <v>0</v>
      </c>
      <c r="AO133" s="93">
        <f t="shared" si="252"/>
        <v>0</v>
      </c>
      <c r="AP133" s="93">
        <f t="shared" si="252"/>
        <v>0</v>
      </c>
      <c r="AQ133" s="93">
        <f t="shared" si="252"/>
        <v>0</v>
      </c>
      <c r="AR133" s="93">
        <f t="shared" si="252"/>
        <v>0</v>
      </c>
      <c r="AS133" s="93">
        <f t="shared" si="252"/>
        <v>0</v>
      </c>
      <c r="AT133" s="93">
        <f t="shared" si="252"/>
        <v>0</v>
      </c>
      <c r="AU133" s="93">
        <f t="shared" si="252"/>
        <v>0</v>
      </c>
      <c r="AV133" s="93">
        <f t="shared" si="252"/>
        <v>0</v>
      </c>
      <c r="AW133" s="93">
        <f t="shared" ca="1" si="252"/>
        <v>0</v>
      </c>
      <c r="BB133" s="94" t="e">
        <v>#REF!</v>
      </c>
    </row>
    <row r="134" spans="1:54" s="20" customFormat="1" ht="18" customHeight="1">
      <c r="A134" s="643"/>
      <c r="B134" s="95"/>
      <c r="C134" s="652"/>
      <c r="D134" s="96" t="str">
        <f t="shared" ref="D134:I134" si="259">D133</f>
        <v>INS</v>
      </c>
      <c r="E134" s="97" t="str">
        <f t="shared" si="259"/>
        <v>RFQ-042</v>
      </c>
      <c r="F134" s="98" t="str">
        <f t="shared" si="259"/>
        <v>N</v>
      </c>
      <c r="G134" s="655"/>
      <c r="H134" s="98" t="str">
        <f t="shared" ref="H134" si="260">H133</f>
        <v>Oil in Water Analyzer</v>
      </c>
      <c r="I134" s="97" t="str">
        <f t="shared" si="259"/>
        <v>LC</v>
      </c>
      <c r="J134" s="98"/>
      <c r="K134" s="100"/>
      <c r="L134" s="100">
        <f>M135</f>
        <v>2E-3</v>
      </c>
      <c r="M134" s="100"/>
      <c r="N134" s="97"/>
      <c r="O134" s="97"/>
      <c r="P134" s="97"/>
      <c r="Q134" s="101" t="s">
        <v>4841</v>
      </c>
      <c r="R134" s="101"/>
      <c r="S134" s="102" t="e">
        <f>S133</f>
        <v>#REF!</v>
      </c>
      <c r="T134" s="103" t="e">
        <f>T133</f>
        <v>#REF!</v>
      </c>
      <c r="U134" s="103" t="e">
        <f t="shared" ref="U134:Z134" si="261">WORKDAY(IF(T135="",T134,T135),INDEX(U$2:U$5,MATCH($I133,$I$2:$I$5,0)),$BB$10:$BB$141)</f>
        <v>#REF!</v>
      </c>
      <c r="V134" s="103" t="e">
        <f t="shared" si="261"/>
        <v>#REF!</v>
      </c>
      <c r="W134" s="103" t="e">
        <f t="shared" si="261"/>
        <v>#REF!</v>
      </c>
      <c r="X134" s="103" t="e">
        <f t="shared" si="261"/>
        <v>#REF!</v>
      </c>
      <c r="Y134" s="103" t="e">
        <f t="shared" si="261"/>
        <v>#REF!</v>
      </c>
      <c r="Z134" s="103" t="e">
        <f t="shared" si="261"/>
        <v>#REF!</v>
      </c>
      <c r="AA134" s="103" t="e">
        <f>WORKDAY(IF(Z135="",X134,Z135),INDEX(AA$2:AA$5,MATCH($I133,$I$2:$I$5,0)),$BB$10:$BB$141)</f>
        <v>#REF!</v>
      </c>
      <c r="AB134" s="104" t="e">
        <f>WORKDAY(AE133+#REF!,0,'[35]Equipment List and MR List (3)'!$A$2:$A$80)</f>
        <v>#REF!</v>
      </c>
      <c r="AC134" s="658"/>
      <c r="AD134" s="105"/>
      <c r="AE134" s="661"/>
      <c r="AF134" s="667"/>
      <c r="AG134" s="670"/>
      <c r="AH134" s="106"/>
      <c r="AI134" s="107"/>
      <c r="AJ134" s="673"/>
      <c r="AK134" s="108"/>
      <c r="AL134" s="109"/>
      <c r="AM134" s="92">
        <f t="shared" si="252"/>
        <v>0</v>
      </c>
      <c r="AN134" s="93">
        <f t="shared" si="252"/>
        <v>0</v>
      </c>
      <c r="AO134" s="93">
        <f t="shared" si="252"/>
        <v>0</v>
      </c>
      <c r="AP134" s="93">
        <f t="shared" si="252"/>
        <v>0</v>
      </c>
      <c r="AQ134" s="93">
        <f t="shared" si="252"/>
        <v>0</v>
      </c>
      <c r="AR134" s="93">
        <f t="shared" si="252"/>
        <v>0</v>
      </c>
      <c r="AS134" s="93">
        <f t="shared" si="252"/>
        <v>0</v>
      </c>
      <c r="AT134" s="93">
        <f t="shared" si="252"/>
        <v>0</v>
      </c>
      <c r="AU134" s="93">
        <f t="shared" si="252"/>
        <v>0</v>
      </c>
      <c r="AV134" s="93">
        <f t="shared" si="252"/>
        <v>0</v>
      </c>
      <c r="AW134" s="93">
        <f t="shared" ca="1" si="252"/>
        <v>0</v>
      </c>
      <c r="BB134" s="94" t="e">
        <v>#REF!</v>
      </c>
    </row>
    <row r="135" spans="1:54" s="20" customFormat="1" ht="18" customHeight="1">
      <c r="A135" s="644"/>
      <c r="B135" s="110"/>
      <c r="C135" s="653"/>
      <c r="D135" s="111" t="str">
        <f>D133</f>
        <v>INS</v>
      </c>
      <c r="E135" s="112" t="str">
        <f>E133</f>
        <v>RFQ-042</v>
      </c>
      <c r="F135" s="113" t="str">
        <f t="shared" ref="F135" si="262">F133</f>
        <v>N</v>
      </c>
      <c r="G135" s="656"/>
      <c r="H135" s="113" t="str">
        <f t="shared" ref="H135:I135" si="263">H133</f>
        <v>Oil in Water Analyzer</v>
      </c>
      <c r="I135" s="112" t="str">
        <f t="shared" si="263"/>
        <v>LC</v>
      </c>
      <c r="J135" s="113"/>
      <c r="K135" s="114"/>
      <c r="L135" s="114"/>
      <c r="M135" s="114">
        <v>2E-3</v>
      </c>
      <c r="N135" s="112"/>
      <c r="O135" s="112"/>
      <c r="P135" s="112"/>
      <c r="Q135" s="115" t="s">
        <v>4842</v>
      </c>
      <c r="R135" s="115"/>
      <c r="S135" s="126"/>
      <c r="T135" s="126"/>
      <c r="U135" s="126"/>
      <c r="V135" s="126"/>
      <c r="W135" s="126"/>
      <c r="X135" s="126"/>
      <c r="Y135" s="126"/>
      <c r="Z135" s="126"/>
      <c r="AA135" s="126"/>
      <c r="AB135" s="126"/>
      <c r="AC135" s="659"/>
      <c r="AD135" s="116"/>
      <c r="AE135" s="661"/>
      <c r="AF135" s="668"/>
      <c r="AG135" s="671"/>
      <c r="AH135" s="117"/>
      <c r="AI135" s="118"/>
      <c r="AJ135" s="674"/>
      <c r="AK135" s="119"/>
      <c r="AL135" s="120"/>
      <c r="AM135" s="121">
        <f t="shared" si="252"/>
        <v>0</v>
      </c>
      <c r="AN135" s="122">
        <f t="shared" si="252"/>
        <v>0</v>
      </c>
      <c r="AO135" s="122">
        <f t="shared" si="252"/>
        <v>0</v>
      </c>
      <c r="AP135" s="122">
        <f t="shared" si="252"/>
        <v>0</v>
      </c>
      <c r="AQ135" s="122">
        <f t="shared" si="252"/>
        <v>0</v>
      </c>
      <c r="AR135" s="122">
        <f t="shared" si="252"/>
        <v>0</v>
      </c>
      <c r="AS135" s="122">
        <f t="shared" si="252"/>
        <v>0</v>
      </c>
      <c r="AT135" s="122">
        <f t="shared" si="252"/>
        <v>0</v>
      </c>
      <c r="AU135" s="122">
        <f t="shared" si="252"/>
        <v>0</v>
      </c>
      <c r="AV135" s="122">
        <f t="shared" si="252"/>
        <v>0</v>
      </c>
      <c r="AW135" s="122">
        <f t="shared" ca="1" si="252"/>
        <v>0</v>
      </c>
      <c r="BB135" s="94" t="e">
        <v>#REF!</v>
      </c>
    </row>
    <row r="136" spans="1:54" s="20" customFormat="1" ht="18" customHeight="1">
      <c r="A136" s="642">
        <f t="shared" ref="A136" si="264">A133+1</f>
        <v>43</v>
      </c>
      <c r="B136" s="79"/>
      <c r="C136" s="651" t="s">
        <v>4836</v>
      </c>
      <c r="D136" s="80" t="s">
        <v>4868</v>
      </c>
      <c r="E136" s="81" t="s">
        <v>4780</v>
      </c>
      <c r="F136" s="82" t="s">
        <v>71</v>
      </c>
      <c r="G136" s="654" t="s">
        <v>4891</v>
      </c>
      <c r="H136" s="82" t="s">
        <v>198</v>
      </c>
      <c r="I136" s="81" t="s">
        <v>8</v>
      </c>
      <c r="J136" s="82"/>
      <c r="K136" s="84">
        <f>M138</f>
        <v>5.0000000000000001E-3</v>
      </c>
      <c r="L136" s="84"/>
      <c r="M136" s="84"/>
      <c r="N136" s="81"/>
      <c r="O136" s="81"/>
      <c r="P136" s="81"/>
      <c r="Q136" s="85" t="s">
        <v>4839</v>
      </c>
      <c r="R136" s="86">
        <f>'Before Award'!U143+5</f>
        <v>46483</v>
      </c>
      <c r="S136" s="86" t="e">
        <f>WORKDAY(R136,INDEX(S$2:S$5,MATCH($I136,$I$2:$I$5,0)),$BB$10:$BB$141)</f>
        <v>#REF!</v>
      </c>
      <c r="T136" s="86" t="e">
        <f>WORKDAY(S136,INDEX(T$2:T$5,MATCH($I136,$I$2:$I$5,0)),$BB$10:$BB$141)</f>
        <v>#REF!</v>
      </c>
      <c r="U136" s="86" t="e">
        <f>T136+30</f>
        <v>#REF!</v>
      </c>
      <c r="V136" s="86"/>
      <c r="W136" s="86">
        <f>AB136-35</f>
        <v>46503</v>
      </c>
      <c r="X136" s="86"/>
      <c r="Y136" s="86"/>
      <c r="Z136" s="86"/>
      <c r="AA136" s="86"/>
      <c r="AB136" s="86">
        <f>'Before Award'!X143</f>
        <v>46538</v>
      </c>
      <c r="AC136" s="657" t="s">
        <v>4840</v>
      </c>
      <c r="AD136" s="87">
        <v>7</v>
      </c>
      <c r="AE136" s="661">
        <v>60</v>
      </c>
      <c r="AF136" s="666" t="e">
        <f>AB137</f>
        <v>#REF!</v>
      </c>
      <c r="AG136" s="669">
        <f>WORKDAY(AH136+1,-1,$BA$10:$BA$141)</f>
        <v>46538</v>
      </c>
      <c r="AH136" s="88">
        <v>46538</v>
      </c>
      <c r="AI136" s="89"/>
      <c r="AJ136" s="672" t="e">
        <f>AG136-AF136</f>
        <v>#REF!</v>
      </c>
      <c r="AK136" s="90"/>
      <c r="AL136" s="91"/>
      <c r="AM136" s="92">
        <f t="shared" si="252"/>
        <v>0</v>
      </c>
      <c r="AN136" s="93">
        <f t="shared" si="252"/>
        <v>0</v>
      </c>
      <c r="AO136" s="93">
        <f t="shared" si="252"/>
        <v>0</v>
      </c>
      <c r="AP136" s="93">
        <f t="shared" si="252"/>
        <v>0</v>
      </c>
      <c r="AQ136" s="93">
        <f t="shared" si="252"/>
        <v>0</v>
      </c>
      <c r="AR136" s="93">
        <f t="shared" si="252"/>
        <v>0</v>
      </c>
      <c r="AS136" s="93">
        <f t="shared" si="252"/>
        <v>0</v>
      </c>
      <c r="AT136" s="93">
        <f t="shared" si="252"/>
        <v>0</v>
      </c>
      <c r="AU136" s="93">
        <f t="shared" si="252"/>
        <v>0</v>
      </c>
      <c r="AV136" s="93">
        <f t="shared" si="252"/>
        <v>0</v>
      </c>
      <c r="AW136" s="93">
        <f t="shared" ca="1" si="252"/>
        <v>0</v>
      </c>
      <c r="BB136" s="94" t="e">
        <v>#REF!</v>
      </c>
    </row>
    <row r="137" spans="1:54" s="20" customFormat="1" ht="18" customHeight="1">
      <c r="A137" s="643"/>
      <c r="B137" s="95"/>
      <c r="C137" s="652"/>
      <c r="D137" s="96" t="str">
        <f t="shared" ref="D137:I137" si="265">D136</f>
        <v>INS</v>
      </c>
      <c r="E137" s="97" t="str">
        <f t="shared" si="265"/>
        <v>RFQ-043</v>
      </c>
      <c r="F137" s="98" t="str">
        <f t="shared" si="265"/>
        <v>N</v>
      </c>
      <c r="G137" s="655"/>
      <c r="H137" s="98" t="str">
        <f t="shared" ref="H137" si="266">H136</f>
        <v>Level Switch</v>
      </c>
      <c r="I137" s="97" t="str">
        <f t="shared" si="265"/>
        <v>LC</v>
      </c>
      <c r="J137" s="98"/>
      <c r="K137" s="100"/>
      <c r="L137" s="100">
        <f>M138</f>
        <v>5.0000000000000001E-3</v>
      </c>
      <c r="M137" s="100"/>
      <c r="N137" s="97"/>
      <c r="O137" s="97"/>
      <c r="P137" s="97"/>
      <c r="Q137" s="101" t="s">
        <v>4841</v>
      </c>
      <c r="R137" s="101"/>
      <c r="S137" s="102" t="e">
        <f>S136</f>
        <v>#REF!</v>
      </c>
      <c r="T137" s="103" t="e">
        <f>T136</f>
        <v>#REF!</v>
      </c>
      <c r="U137" s="103" t="e">
        <f t="shared" ref="U137:Z137" si="267">WORKDAY(IF(T138="",T137,T138),INDEX(U$2:U$5,MATCH($I136,$I$2:$I$5,0)),$BB$10:$BB$141)</f>
        <v>#REF!</v>
      </c>
      <c r="V137" s="103" t="e">
        <f t="shared" si="267"/>
        <v>#REF!</v>
      </c>
      <c r="W137" s="103" t="e">
        <f t="shared" si="267"/>
        <v>#REF!</v>
      </c>
      <c r="X137" s="103" t="e">
        <f t="shared" si="267"/>
        <v>#REF!</v>
      </c>
      <c r="Y137" s="103" t="e">
        <f t="shared" si="267"/>
        <v>#REF!</v>
      </c>
      <c r="Z137" s="103" t="e">
        <f t="shared" si="267"/>
        <v>#REF!</v>
      </c>
      <c r="AA137" s="103" t="e">
        <f>WORKDAY(IF(Z138="",X137,Z138),INDEX(AA$2:AA$5,MATCH($I136,$I$2:$I$5,0)),$BB$10:$BB$141)</f>
        <v>#REF!</v>
      </c>
      <c r="AB137" s="104" t="e">
        <f>WORKDAY(AE136+#REF!,0,'[35]Equipment List and MR List (3)'!$A$2:$A$80)</f>
        <v>#REF!</v>
      </c>
      <c r="AC137" s="658"/>
      <c r="AD137" s="105"/>
      <c r="AE137" s="661"/>
      <c r="AF137" s="667"/>
      <c r="AG137" s="670"/>
      <c r="AH137" s="106"/>
      <c r="AI137" s="107"/>
      <c r="AJ137" s="673"/>
      <c r="AK137" s="108"/>
      <c r="AL137" s="109"/>
      <c r="AM137" s="92">
        <f t="shared" si="252"/>
        <v>0</v>
      </c>
      <c r="AN137" s="93">
        <f t="shared" si="252"/>
        <v>0</v>
      </c>
      <c r="AO137" s="93">
        <f t="shared" si="252"/>
        <v>0</v>
      </c>
      <c r="AP137" s="93">
        <f t="shared" si="252"/>
        <v>0</v>
      </c>
      <c r="AQ137" s="93">
        <f t="shared" si="252"/>
        <v>0</v>
      </c>
      <c r="AR137" s="93">
        <f t="shared" si="252"/>
        <v>0</v>
      </c>
      <c r="AS137" s="93">
        <f t="shared" si="252"/>
        <v>0</v>
      </c>
      <c r="AT137" s="93">
        <f t="shared" si="252"/>
        <v>0</v>
      </c>
      <c r="AU137" s="93">
        <f t="shared" si="252"/>
        <v>0</v>
      </c>
      <c r="AV137" s="93">
        <f t="shared" si="252"/>
        <v>0</v>
      </c>
      <c r="AW137" s="93">
        <f t="shared" ca="1" si="252"/>
        <v>0</v>
      </c>
      <c r="BB137" s="94" t="e">
        <v>#REF!</v>
      </c>
    </row>
    <row r="138" spans="1:54" s="20" customFormat="1" ht="18" customHeight="1">
      <c r="A138" s="644"/>
      <c r="B138" s="110"/>
      <c r="C138" s="653"/>
      <c r="D138" s="111" t="str">
        <f>D136</f>
        <v>INS</v>
      </c>
      <c r="E138" s="112" t="str">
        <f>E136</f>
        <v>RFQ-043</v>
      </c>
      <c r="F138" s="113" t="str">
        <f t="shared" ref="F138" si="268">F136</f>
        <v>N</v>
      </c>
      <c r="G138" s="656"/>
      <c r="H138" s="113" t="str">
        <f t="shared" ref="H138:I138" si="269">H136</f>
        <v>Level Switch</v>
      </c>
      <c r="I138" s="112" t="str">
        <f t="shared" si="269"/>
        <v>LC</v>
      </c>
      <c r="J138" s="113"/>
      <c r="K138" s="114"/>
      <c r="L138" s="114"/>
      <c r="M138" s="114">
        <v>5.0000000000000001E-3</v>
      </c>
      <c r="N138" s="112"/>
      <c r="O138" s="112"/>
      <c r="P138" s="112"/>
      <c r="Q138" s="115" t="s">
        <v>4842</v>
      </c>
      <c r="R138" s="115"/>
      <c r="S138" s="126"/>
      <c r="T138" s="126"/>
      <c r="U138" s="126"/>
      <c r="V138" s="126"/>
      <c r="W138" s="126"/>
      <c r="X138" s="126"/>
      <c r="Y138" s="126"/>
      <c r="Z138" s="126"/>
      <c r="AA138" s="126"/>
      <c r="AB138" s="126"/>
      <c r="AC138" s="659"/>
      <c r="AD138" s="116"/>
      <c r="AE138" s="661"/>
      <c r="AF138" s="668"/>
      <c r="AG138" s="671"/>
      <c r="AH138" s="117"/>
      <c r="AI138" s="118"/>
      <c r="AJ138" s="674"/>
      <c r="AK138" s="119"/>
      <c r="AL138" s="120"/>
      <c r="AM138" s="121">
        <f t="shared" si="252"/>
        <v>0</v>
      </c>
      <c r="AN138" s="122">
        <f t="shared" si="252"/>
        <v>0</v>
      </c>
      <c r="AO138" s="122">
        <f t="shared" si="252"/>
        <v>0</v>
      </c>
      <c r="AP138" s="122">
        <f t="shared" si="252"/>
        <v>0</v>
      </c>
      <c r="AQ138" s="122">
        <f t="shared" si="252"/>
        <v>0</v>
      </c>
      <c r="AR138" s="122">
        <f t="shared" si="252"/>
        <v>0</v>
      </c>
      <c r="AS138" s="122">
        <f t="shared" si="252"/>
        <v>0</v>
      </c>
      <c r="AT138" s="122">
        <f t="shared" si="252"/>
        <v>0</v>
      </c>
      <c r="AU138" s="122">
        <f t="shared" si="252"/>
        <v>0</v>
      </c>
      <c r="AV138" s="122">
        <f t="shared" si="252"/>
        <v>0</v>
      </c>
      <c r="AW138" s="122">
        <f t="shared" ca="1" si="252"/>
        <v>0</v>
      </c>
      <c r="BB138" s="94" t="e">
        <v>#REF!</v>
      </c>
    </row>
    <row r="139" spans="1:54" s="20" customFormat="1" ht="18" customHeight="1">
      <c r="A139" s="642">
        <f t="shared" ref="A139" si="270">A136+1</f>
        <v>44</v>
      </c>
      <c r="B139" s="79"/>
      <c r="C139" s="651" t="s">
        <v>4836</v>
      </c>
      <c r="D139" s="80" t="s">
        <v>4868</v>
      </c>
      <c r="E139" s="81" t="s">
        <v>4781</v>
      </c>
      <c r="F139" s="82" t="s">
        <v>71</v>
      </c>
      <c r="G139" s="654" t="s">
        <v>4892</v>
      </c>
      <c r="H139" s="82" t="s">
        <v>201</v>
      </c>
      <c r="I139" s="81" t="s">
        <v>8</v>
      </c>
      <c r="J139" s="82"/>
      <c r="K139" s="84">
        <f>M141</f>
        <v>5.0000000000000001E-3</v>
      </c>
      <c r="L139" s="84"/>
      <c r="M139" s="84"/>
      <c r="N139" s="81"/>
      <c r="O139" s="81"/>
      <c r="P139" s="81"/>
      <c r="Q139" s="85" t="s">
        <v>4839</v>
      </c>
      <c r="R139" s="86">
        <f>'Before Award'!U146+5</f>
        <v>46483</v>
      </c>
      <c r="S139" s="86" t="e">
        <f>WORKDAY(R139,INDEX(S$2:S$5,MATCH($I139,$I$2:$I$5,0)),$BB$10:$BB$141)</f>
        <v>#REF!</v>
      </c>
      <c r="T139" s="86" t="e">
        <f>WORKDAY(S139,INDEX(T$2:T$5,MATCH($I139,$I$2:$I$5,0)),$BB$10:$BB$141)</f>
        <v>#REF!</v>
      </c>
      <c r="U139" s="86" t="e">
        <f>T139+30</f>
        <v>#REF!</v>
      </c>
      <c r="V139" s="86"/>
      <c r="W139" s="86">
        <f>AB139-35</f>
        <v>46503</v>
      </c>
      <c r="X139" s="86"/>
      <c r="Y139" s="86"/>
      <c r="Z139" s="86"/>
      <c r="AA139" s="86"/>
      <c r="AB139" s="86">
        <f>'Before Award'!X146</f>
        <v>46538</v>
      </c>
      <c r="AC139" s="657" t="s">
        <v>4840</v>
      </c>
      <c r="AD139" s="87">
        <v>7</v>
      </c>
      <c r="AE139" s="661">
        <v>60</v>
      </c>
      <c r="AF139" s="666" t="e">
        <f>AB140</f>
        <v>#REF!</v>
      </c>
      <c r="AG139" s="669">
        <f>WORKDAY(AH139+1,-1,$BA$10:$BA$141)</f>
        <v>46538</v>
      </c>
      <c r="AH139" s="88">
        <v>46538</v>
      </c>
      <c r="AI139" s="89"/>
      <c r="AJ139" s="672" t="e">
        <f>AG139-AF139</f>
        <v>#REF!</v>
      </c>
      <c r="AK139" s="90"/>
      <c r="AL139" s="91"/>
      <c r="AM139" s="92">
        <f t="shared" si="252"/>
        <v>0</v>
      </c>
      <c r="AN139" s="93">
        <f t="shared" si="252"/>
        <v>0</v>
      </c>
      <c r="AO139" s="93">
        <f t="shared" si="252"/>
        <v>0</v>
      </c>
      <c r="AP139" s="93">
        <f t="shared" si="252"/>
        <v>0</v>
      </c>
      <c r="AQ139" s="93">
        <f t="shared" si="252"/>
        <v>0</v>
      </c>
      <c r="AR139" s="93">
        <f t="shared" si="252"/>
        <v>0</v>
      </c>
      <c r="AS139" s="93">
        <f t="shared" si="252"/>
        <v>0</v>
      </c>
      <c r="AT139" s="93">
        <f t="shared" si="252"/>
        <v>0</v>
      </c>
      <c r="AU139" s="93">
        <f t="shared" si="252"/>
        <v>0</v>
      </c>
      <c r="AV139" s="93">
        <f t="shared" si="252"/>
        <v>0</v>
      </c>
      <c r="AW139" s="93">
        <f t="shared" ca="1" si="252"/>
        <v>0</v>
      </c>
      <c r="BB139" s="94" t="e">
        <v>#REF!</v>
      </c>
    </row>
    <row r="140" spans="1:54" s="20" customFormat="1" ht="18" customHeight="1">
      <c r="A140" s="643"/>
      <c r="B140" s="95"/>
      <c r="C140" s="652"/>
      <c r="D140" s="96" t="str">
        <f t="shared" ref="D140:I140" si="271">D139</f>
        <v>INS</v>
      </c>
      <c r="E140" s="97" t="str">
        <f t="shared" si="271"/>
        <v>RFQ-044</v>
      </c>
      <c r="F140" s="98" t="str">
        <f t="shared" si="271"/>
        <v>N</v>
      </c>
      <c r="G140" s="655"/>
      <c r="H140" s="98" t="str">
        <f t="shared" ref="H140" si="272">H139</f>
        <v>Flow Switch</v>
      </c>
      <c r="I140" s="97" t="str">
        <f t="shared" si="271"/>
        <v>LC</v>
      </c>
      <c r="J140" s="98"/>
      <c r="K140" s="100"/>
      <c r="L140" s="100">
        <f>M141</f>
        <v>5.0000000000000001E-3</v>
      </c>
      <c r="M140" s="100"/>
      <c r="N140" s="97"/>
      <c r="O140" s="97"/>
      <c r="P140" s="97"/>
      <c r="Q140" s="101" t="s">
        <v>4841</v>
      </c>
      <c r="R140" s="101"/>
      <c r="S140" s="102" t="e">
        <f>S139</f>
        <v>#REF!</v>
      </c>
      <c r="T140" s="103" t="e">
        <f>T139</f>
        <v>#REF!</v>
      </c>
      <c r="U140" s="103" t="e">
        <f t="shared" ref="U140:Z140" si="273">WORKDAY(IF(T141="",T140,T141),INDEX(U$2:U$5,MATCH($I139,$I$2:$I$5,0)),$BB$10:$BB$141)</f>
        <v>#REF!</v>
      </c>
      <c r="V140" s="103" t="e">
        <f t="shared" si="273"/>
        <v>#REF!</v>
      </c>
      <c r="W140" s="103" t="e">
        <f t="shared" si="273"/>
        <v>#REF!</v>
      </c>
      <c r="X140" s="103" t="e">
        <f t="shared" si="273"/>
        <v>#REF!</v>
      </c>
      <c r="Y140" s="103" t="e">
        <f t="shared" si="273"/>
        <v>#REF!</v>
      </c>
      <c r="Z140" s="103" t="e">
        <f t="shared" si="273"/>
        <v>#REF!</v>
      </c>
      <c r="AA140" s="103" t="e">
        <f>WORKDAY(IF(Z141="",X140,Z141),INDEX(AA$2:AA$5,MATCH($I139,$I$2:$I$5,0)),$BB$10:$BB$141)</f>
        <v>#REF!</v>
      </c>
      <c r="AB140" s="104" t="e">
        <f>WORKDAY(AE139+#REF!,0,'[35]Equipment List and MR List (3)'!$A$2:$A$80)</f>
        <v>#REF!</v>
      </c>
      <c r="AC140" s="658"/>
      <c r="AD140" s="105"/>
      <c r="AE140" s="661"/>
      <c r="AF140" s="667"/>
      <c r="AG140" s="670"/>
      <c r="AH140" s="106"/>
      <c r="AI140" s="107"/>
      <c r="AJ140" s="673"/>
      <c r="AK140" s="108"/>
      <c r="AL140" s="109"/>
      <c r="AM140" s="92">
        <f t="shared" ref="AM140:AW149" si="274">IF(ISERROR(LOOKUP(AM$6,$S140:$AB140,$S$9:$AB$9)),0,(LOOKUP(AM$6,$S140:$AB140,$S$9:$AB$9)))</f>
        <v>0</v>
      </c>
      <c r="AN140" s="93">
        <f t="shared" si="274"/>
        <v>0</v>
      </c>
      <c r="AO140" s="93">
        <f t="shared" si="274"/>
        <v>0</v>
      </c>
      <c r="AP140" s="93">
        <f t="shared" si="274"/>
        <v>0</v>
      </c>
      <c r="AQ140" s="93">
        <f t="shared" si="274"/>
        <v>0</v>
      </c>
      <c r="AR140" s="93">
        <f t="shared" si="274"/>
        <v>0</v>
      </c>
      <c r="AS140" s="93">
        <f t="shared" si="274"/>
        <v>0</v>
      </c>
      <c r="AT140" s="93">
        <f t="shared" si="274"/>
        <v>0</v>
      </c>
      <c r="AU140" s="93">
        <f t="shared" si="274"/>
        <v>0</v>
      </c>
      <c r="AV140" s="93">
        <f t="shared" si="274"/>
        <v>0</v>
      </c>
      <c r="AW140" s="93">
        <f t="shared" ca="1" si="274"/>
        <v>0</v>
      </c>
      <c r="BB140" s="94" t="e">
        <v>#REF!</v>
      </c>
    </row>
    <row r="141" spans="1:54" s="20" customFormat="1" ht="18" customHeight="1">
      <c r="A141" s="644"/>
      <c r="B141" s="110"/>
      <c r="C141" s="653"/>
      <c r="D141" s="111" t="str">
        <f>D139</f>
        <v>INS</v>
      </c>
      <c r="E141" s="112" t="str">
        <f>E139</f>
        <v>RFQ-044</v>
      </c>
      <c r="F141" s="113" t="str">
        <f t="shared" ref="F141" si="275">F139</f>
        <v>N</v>
      </c>
      <c r="G141" s="656"/>
      <c r="H141" s="113" t="str">
        <f t="shared" ref="H141:I141" si="276">H139</f>
        <v>Flow Switch</v>
      </c>
      <c r="I141" s="112" t="str">
        <f t="shared" si="276"/>
        <v>LC</v>
      </c>
      <c r="J141" s="113"/>
      <c r="K141" s="114"/>
      <c r="L141" s="114"/>
      <c r="M141" s="114">
        <v>5.0000000000000001E-3</v>
      </c>
      <c r="N141" s="112"/>
      <c r="O141" s="112"/>
      <c r="P141" s="112"/>
      <c r="Q141" s="115" t="s">
        <v>4842</v>
      </c>
      <c r="R141" s="115"/>
      <c r="S141" s="126"/>
      <c r="T141" s="126"/>
      <c r="U141" s="126"/>
      <c r="V141" s="126"/>
      <c r="W141" s="126"/>
      <c r="X141" s="126"/>
      <c r="Y141" s="126"/>
      <c r="Z141" s="126"/>
      <c r="AA141" s="126"/>
      <c r="AB141" s="126"/>
      <c r="AC141" s="659"/>
      <c r="AD141" s="116"/>
      <c r="AE141" s="661"/>
      <c r="AF141" s="668"/>
      <c r="AG141" s="671"/>
      <c r="AH141" s="117"/>
      <c r="AI141" s="118"/>
      <c r="AJ141" s="674"/>
      <c r="AK141" s="119"/>
      <c r="AL141" s="120"/>
      <c r="AM141" s="121">
        <f t="shared" si="274"/>
        <v>0</v>
      </c>
      <c r="AN141" s="122">
        <f t="shared" si="274"/>
        <v>0</v>
      </c>
      <c r="AO141" s="122">
        <f t="shared" si="274"/>
        <v>0</v>
      </c>
      <c r="AP141" s="122">
        <f t="shared" si="274"/>
        <v>0</v>
      </c>
      <c r="AQ141" s="122">
        <f t="shared" si="274"/>
        <v>0</v>
      </c>
      <c r="AR141" s="122">
        <f t="shared" si="274"/>
        <v>0</v>
      </c>
      <c r="AS141" s="122">
        <f t="shared" si="274"/>
        <v>0</v>
      </c>
      <c r="AT141" s="122">
        <f t="shared" si="274"/>
        <v>0</v>
      </c>
      <c r="AU141" s="122">
        <f t="shared" si="274"/>
        <v>0</v>
      </c>
      <c r="AV141" s="122">
        <f t="shared" si="274"/>
        <v>0</v>
      </c>
      <c r="AW141" s="122">
        <f t="shared" ca="1" si="274"/>
        <v>0</v>
      </c>
      <c r="BB141" s="94" t="e">
        <v>#REF!</v>
      </c>
    </row>
    <row r="142" spans="1:54" s="20" customFormat="1" ht="18" customHeight="1">
      <c r="A142" s="642">
        <f t="shared" ref="A142" si="277">A139+1</f>
        <v>45</v>
      </c>
      <c r="B142" s="79"/>
      <c r="C142" s="651" t="s">
        <v>4836</v>
      </c>
      <c r="D142" s="80" t="s">
        <v>4868</v>
      </c>
      <c r="E142" s="81" t="s">
        <v>4782</v>
      </c>
      <c r="F142" s="82" t="s">
        <v>71</v>
      </c>
      <c r="G142" s="654" t="s">
        <v>4885</v>
      </c>
      <c r="H142" s="82" t="s">
        <v>203</v>
      </c>
      <c r="I142" s="81" t="s">
        <v>7</v>
      </c>
      <c r="J142" s="82"/>
      <c r="K142" s="84">
        <f>M144</f>
        <v>2E-3</v>
      </c>
      <c r="L142" s="84"/>
      <c r="M142" s="84"/>
      <c r="N142" s="81"/>
      <c r="O142" s="81"/>
      <c r="P142" s="81"/>
      <c r="Q142" s="85" t="s">
        <v>4839</v>
      </c>
      <c r="R142" s="86">
        <f>'Before Award'!U149+5</f>
        <v>46291</v>
      </c>
      <c r="S142" s="86" t="e">
        <f>WORKDAY(R142,INDEX(S$2:S$5,MATCH($I142,$I$2:$I$5,0)),$BB$10:$BB$141)</f>
        <v>#REF!</v>
      </c>
      <c r="T142" s="86" t="e">
        <f>WORKDAY(S142,INDEX(T$2:T$5,MATCH($I142,$I$2:$I$5,0)),$BB$10:$BB$141)</f>
        <v>#REF!</v>
      </c>
      <c r="U142" s="86" t="e">
        <f>T142+30</f>
        <v>#REF!</v>
      </c>
      <c r="V142" s="86"/>
      <c r="W142" s="86">
        <f>AB142-35</f>
        <v>46503</v>
      </c>
      <c r="X142" s="86"/>
      <c r="Y142" s="86"/>
      <c r="Z142" s="86"/>
      <c r="AA142" s="86"/>
      <c r="AB142" s="86">
        <f>'Before Award'!X149</f>
        <v>46538</v>
      </c>
      <c r="AC142" s="657" t="s">
        <v>4840</v>
      </c>
      <c r="AD142" s="87">
        <v>7</v>
      </c>
      <c r="AE142" s="661">
        <f>36*7</f>
        <v>252</v>
      </c>
      <c r="AF142" s="666" t="e">
        <f>AB143</f>
        <v>#REF!</v>
      </c>
      <c r="AG142" s="669">
        <f>WORKDAY(AH142+1,-1,$BA$10:$BA$141)</f>
        <v>46538</v>
      </c>
      <c r="AH142" s="88">
        <v>46538</v>
      </c>
      <c r="AI142" s="89"/>
      <c r="AJ142" s="672" t="e">
        <f>AG142-AF142</f>
        <v>#REF!</v>
      </c>
      <c r="AK142" s="90"/>
      <c r="AL142" s="91"/>
      <c r="AM142" s="92">
        <f t="shared" si="274"/>
        <v>0</v>
      </c>
      <c r="AN142" s="93">
        <f t="shared" si="274"/>
        <v>0</v>
      </c>
      <c r="AO142" s="93">
        <f t="shared" si="274"/>
        <v>0</v>
      </c>
      <c r="AP142" s="93">
        <f t="shared" si="274"/>
        <v>0</v>
      </c>
      <c r="AQ142" s="93">
        <f t="shared" si="274"/>
        <v>0</v>
      </c>
      <c r="AR142" s="93">
        <f t="shared" si="274"/>
        <v>0</v>
      </c>
      <c r="AS142" s="93">
        <f t="shared" si="274"/>
        <v>0</v>
      </c>
      <c r="AT142" s="93">
        <f t="shared" si="274"/>
        <v>0</v>
      </c>
      <c r="AU142" s="93">
        <f t="shared" si="274"/>
        <v>0</v>
      </c>
      <c r="AV142" s="93">
        <f t="shared" si="274"/>
        <v>0</v>
      </c>
      <c r="AW142" s="93">
        <f t="shared" ca="1" si="274"/>
        <v>0</v>
      </c>
      <c r="BB142" s="94" t="e">
        <v>#REF!</v>
      </c>
    </row>
    <row r="143" spans="1:54" s="20" customFormat="1" ht="18" customHeight="1">
      <c r="A143" s="643"/>
      <c r="B143" s="95"/>
      <c r="C143" s="652"/>
      <c r="D143" s="96" t="str">
        <f t="shared" ref="D143:I143" si="278">D142</f>
        <v>INS</v>
      </c>
      <c r="E143" s="97" t="str">
        <f t="shared" si="278"/>
        <v>RFQ-045</v>
      </c>
      <c r="F143" s="98" t="str">
        <f t="shared" si="278"/>
        <v>N</v>
      </c>
      <c r="G143" s="655"/>
      <c r="H143" s="98" t="str">
        <f t="shared" ref="H143" si="279">H142</f>
        <v>SCADA System</v>
      </c>
      <c r="I143" s="97" t="str">
        <f t="shared" si="278"/>
        <v>LB</v>
      </c>
      <c r="J143" s="98"/>
      <c r="K143" s="100"/>
      <c r="L143" s="100">
        <f>M144</f>
        <v>2E-3</v>
      </c>
      <c r="M143" s="100"/>
      <c r="N143" s="97"/>
      <c r="O143" s="97"/>
      <c r="P143" s="97"/>
      <c r="Q143" s="101" t="s">
        <v>4841</v>
      </c>
      <c r="R143" s="101"/>
      <c r="S143" s="102" t="e">
        <f>S142</f>
        <v>#REF!</v>
      </c>
      <c r="T143" s="103" t="e">
        <f>T142</f>
        <v>#REF!</v>
      </c>
      <c r="U143" s="103" t="e">
        <f t="shared" ref="U143:Z143" si="280">WORKDAY(IF(T144="",T143,T144),INDEX(U$2:U$5,MATCH($I142,$I$2:$I$5,0)),$BB$10:$BB$141)</f>
        <v>#REF!</v>
      </c>
      <c r="V143" s="103" t="e">
        <f t="shared" si="280"/>
        <v>#REF!</v>
      </c>
      <c r="W143" s="103" t="e">
        <f t="shared" si="280"/>
        <v>#REF!</v>
      </c>
      <c r="X143" s="103" t="e">
        <f t="shared" si="280"/>
        <v>#REF!</v>
      </c>
      <c r="Y143" s="103" t="e">
        <f t="shared" si="280"/>
        <v>#REF!</v>
      </c>
      <c r="Z143" s="103" t="e">
        <f t="shared" si="280"/>
        <v>#REF!</v>
      </c>
      <c r="AA143" s="103" t="e">
        <f>WORKDAY(IF(Z144="",X143,Z144),INDEX(AA$2:AA$5,MATCH($I142,$I$2:$I$5,0)),$BB$10:$BB$141)</f>
        <v>#REF!</v>
      </c>
      <c r="AB143" s="104" t="e">
        <f>WORKDAY(AE142+#REF!,0,'[35]Equipment List and MR List (3)'!$A$2:$A$80)</f>
        <v>#REF!</v>
      </c>
      <c r="AC143" s="658"/>
      <c r="AD143" s="105"/>
      <c r="AE143" s="661"/>
      <c r="AF143" s="667"/>
      <c r="AG143" s="670"/>
      <c r="AH143" s="106"/>
      <c r="AI143" s="107"/>
      <c r="AJ143" s="673"/>
      <c r="AK143" s="108"/>
      <c r="AL143" s="109"/>
      <c r="AM143" s="92">
        <f t="shared" si="274"/>
        <v>0</v>
      </c>
      <c r="AN143" s="93">
        <f t="shared" si="274"/>
        <v>0</v>
      </c>
      <c r="AO143" s="93">
        <f t="shared" si="274"/>
        <v>0</v>
      </c>
      <c r="AP143" s="93">
        <f t="shared" si="274"/>
        <v>0</v>
      </c>
      <c r="AQ143" s="93">
        <f t="shared" si="274"/>
        <v>0</v>
      </c>
      <c r="AR143" s="93">
        <f t="shared" si="274"/>
        <v>0</v>
      </c>
      <c r="AS143" s="93">
        <f t="shared" si="274"/>
        <v>0</v>
      </c>
      <c r="AT143" s="93">
        <f t="shared" si="274"/>
        <v>0</v>
      </c>
      <c r="AU143" s="93">
        <f t="shared" si="274"/>
        <v>0</v>
      </c>
      <c r="AV143" s="93">
        <f t="shared" si="274"/>
        <v>0</v>
      </c>
      <c r="AW143" s="93">
        <f t="shared" ca="1" si="274"/>
        <v>0</v>
      </c>
      <c r="BB143" s="94" t="e">
        <v>#REF!</v>
      </c>
    </row>
    <row r="144" spans="1:54" s="20" customFormat="1" ht="18" customHeight="1">
      <c r="A144" s="644"/>
      <c r="B144" s="110"/>
      <c r="C144" s="653"/>
      <c r="D144" s="111" t="str">
        <f>D142</f>
        <v>INS</v>
      </c>
      <c r="E144" s="112" t="str">
        <f>E142</f>
        <v>RFQ-045</v>
      </c>
      <c r="F144" s="113" t="str">
        <f t="shared" ref="F144" si="281">F142</f>
        <v>N</v>
      </c>
      <c r="G144" s="656"/>
      <c r="H144" s="113" t="str">
        <f t="shared" ref="H144:I144" si="282">H142</f>
        <v>SCADA System</v>
      </c>
      <c r="I144" s="112" t="str">
        <f t="shared" si="282"/>
        <v>LB</v>
      </c>
      <c r="J144" s="113"/>
      <c r="K144" s="114"/>
      <c r="L144" s="114"/>
      <c r="M144" s="114">
        <v>2E-3</v>
      </c>
      <c r="N144" s="112"/>
      <c r="O144" s="112"/>
      <c r="P144" s="112"/>
      <c r="Q144" s="115" t="s">
        <v>4842</v>
      </c>
      <c r="R144" s="115"/>
      <c r="S144" s="126"/>
      <c r="T144" s="126"/>
      <c r="U144" s="126"/>
      <c r="V144" s="126"/>
      <c r="W144" s="126"/>
      <c r="X144" s="126"/>
      <c r="Y144" s="126"/>
      <c r="Z144" s="126"/>
      <c r="AA144" s="126"/>
      <c r="AB144" s="126"/>
      <c r="AC144" s="659"/>
      <c r="AD144" s="116"/>
      <c r="AE144" s="661"/>
      <c r="AF144" s="668"/>
      <c r="AG144" s="671"/>
      <c r="AH144" s="117"/>
      <c r="AI144" s="118"/>
      <c r="AJ144" s="674"/>
      <c r="AK144" s="119"/>
      <c r="AL144" s="120"/>
      <c r="AM144" s="121">
        <f t="shared" si="274"/>
        <v>0</v>
      </c>
      <c r="AN144" s="122">
        <f t="shared" si="274"/>
        <v>0</v>
      </c>
      <c r="AO144" s="122">
        <f t="shared" si="274"/>
        <v>0</v>
      </c>
      <c r="AP144" s="122">
        <f t="shared" si="274"/>
        <v>0</v>
      </c>
      <c r="AQ144" s="122">
        <f t="shared" si="274"/>
        <v>0</v>
      </c>
      <c r="AR144" s="122">
        <f t="shared" si="274"/>
        <v>0</v>
      </c>
      <c r="AS144" s="122">
        <f t="shared" si="274"/>
        <v>0</v>
      </c>
      <c r="AT144" s="122">
        <f t="shared" si="274"/>
        <v>0</v>
      </c>
      <c r="AU144" s="122">
        <f t="shared" si="274"/>
        <v>0</v>
      </c>
      <c r="AV144" s="122">
        <f t="shared" si="274"/>
        <v>0</v>
      </c>
      <c r="AW144" s="122">
        <f t="shared" ca="1" si="274"/>
        <v>0</v>
      </c>
      <c r="BB144" s="94" t="e">
        <v>#REF!</v>
      </c>
    </row>
    <row r="145" spans="1:54" s="20" customFormat="1" ht="18" customHeight="1">
      <c r="A145" s="642">
        <f t="shared" ref="A145" si="283">A142+1</f>
        <v>46</v>
      </c>
      <c r="B145" s="79"/>
      <c r="C145" s="651" t="s">
        <v>4836</v>
      </c>
      <c r="D145" s="80" t="s">
        <v>4868</v>
      </c>
      <c r="E145" s="81" t="s">
        <v>4783</v>
      </c>
      <c r="F145" s="82" t="s">
        <v>60</v>
      </c>
      <c r="G145" s="654" t="s">
        <v>4893</v>
      </c>
      <c r="H145" s="82" t="s">
        <v>4784</v>
      </c>
      <c r="I145" s="81" t="s">
        <v>8</v>
      </c>
      <c r="J145" s="82"/>
      <c r="K145" s="84">
        <f>M147</f>
        <v>2E-3</v>
      </c>
      <c r="L145" s="84"/>
      <c r="M145" s="84"/>
      <c r="N145" s="81"/>
      <c r="O145" s="81"/>
      <c r="P145" s="81"/>
      <c r="Q145" s="85" t="s">
        <v>4839</v>
      </c>
      <c r="R145" s="86">
        <f>'Before Award'!U152+5</f>
        <v>46249</v>
      </c>
      <c r="S145" s="86" t="e">
        <f>WORKDAY(R145,INDEX(S$2:S$5,MATCH($I145,$I$2:$I$5,0)),$BB$10:$BB$141)</f>
        <v>#REF!</v>
      </c>
      <c r="T145" s="86" t="e">
        <f>WORKDAY(S145,INDEX(T$2:T$5,MATCH($I145,$I$2:$I$5,0)),$BB$10:$BB$141)</f>
        <v>#REF!</v>
      </c>
      <c r="U145" s="86" t="e">
        <f>T145+30</f>
        <v>#REF!</v>
      </c>
      <c r="V145" s="86"/>
      <c r="W145" s="86">
        <f>AB145-35</f>
        <v>46503</v>
      </c>
      <c r="X145" s="86"/>
      <c r="Y145" s="86"/>
      <c r="Z145" s="86"/>
      <c r="AA145" s="86"/>
      <c r="AB145" s="86">
        <f>'Before Award'!X152</f>
        <v>46538</v>
      </c>
      <c r="AC145" s="657" t="s">
        <v>4840</v>
      </c>
      <c r="AD145" s="87">
        <v>7</v>
      </c>
      <c r="AE145" s="661">
        <v>294</v>
      </c>
      <c r="AF145" s="666" t="e">
        <f>AB146</f>
        <v>#REF!</v>
      </c>
      <c r="AG145" s="669">
        <f>WORKDAY(AH145+1,-1,$BA$10:$BA$141)</f>
        <v>46538</v>
      </c>
      <c r="AH145" s="88">
        <v>46538</v>
      </c>
      <c r="AI145" s="89"/>
      <c r="AJ145" s="672" t="e">
        <f>AG145-AF145</f>
        <v>#REF!</v>
      </c>
      <c r="AK145" s="90"/>
      <c r="AL145" s="91"/>
      <c r="AM145" s="92">
        <f t="shared" si="274"/>
        <v>0</v>
      </c>
      <c r="AN145" s="93">
        <f t="shared" si="274"/>
        <v>0</v>
      </c>
      <c r="AO145" s="93">
        <f t="shared" si="274"/>
        <v>0</v>
      </c>
      <c r="AP145" s="93">
        <f t="shared" si="274"/>
        <v>0</v>
      </c>
      <c r="AQ145" s="93">
        <f t="shared" si="274"/>
        <v>0</v>
      </c>
      <c r="AR145" s="93">
        <f t="shared" si="274"/>
        <v>0</v>
      </c>
      <c r="AS145" s="93">
        <f t="shared" si="274"/>
        <v>0</v>
      </c>
      <c r="AT145" s="93">
        <f t="shared" si="274"/>
        <v>0</v>
      </c>
      <c r="AU145" s="93">
        <f t="shared" si="274"/>
        <v>0</v>
      </c>
      <c r="AV145" s="93">
        <f t="shared" si="274"/>
        <v>0</v>
      </c>
      <c r="AW145" s="93">
        <f t="shared" ca="1" si="274"/>
        <v>0</v>
      </c>
      <c r="BB145" s="94" t="e">
        <v>#REF!</v>
      </c>
    </row>
    <row r="146" spans="1:54" s="20" customFormat="1" ht="18" customHeight="1">
      <c r="A146" s="643"/>
      <c r="B146" s="95"/>
      <c r="C146" s="652"/>
      <c r="D146" s="96" t="str">
        <f>D145</f>
        <v>INS</v>
      </c>
      <c r="E146" s="97" t="str">
        <f t="shared" ref="E146:F146" si="284">E145</f>
        <v>RFQ-046</v>
      </c>
      <c r="F146" s="98" t="str">
        <f t="shared" si="284"/>
        <v>Y</v>
      </c>
      <c r="G146" s="655"/>
      <c r="H146" s="98" t="str">
        <f t="shared" ref="H146:I146" si="285">H145</f>
        <v>Telecommunication System (WiMAX, Telephone, Marine Radio)</v>
      </c>
      <c r="I146" s="97" t="str">
        <f t="shared" si="285"/>
        <v>LC</v>
      </c>
      <c r="J146" s="98"/>
      <c r="K146" s="100"/>
      <c r="L146" s="100">
        <f>M147</f>
        <v>2E-3</v>
      </c>
      <c r="M146" s="100"/>
      <c r="N146" s="97"/>
      <c r="O146" s="97"/>
      <c r="P146" s="97"/>
      <c r="Q146" s="101" t="s">
        <v>4841</v>
      </c>
      <c r="R146" s="101"/>
      <c r="S146" s="102" t="e">
        <f>S145</f>
        <v>#REF!</v>
      </c>
      <c r="T146" s="103" t="e">
        <f>T145</f>
        <v>#REF!</v>
      </c>
      <c r="U146" s="103" t="e">
        <f t="shared" ref="U146:Z146" si="286">WORKDAY(IF(T147="",T146,T147),INDEX(U$2:U$5,MATCH($I145,$I$2:$I$5,0)),$BB$10:$BB$141)</f>
        <v>#REF!</v>
      </c>
      <c r="V146" s="103" t="e">
        <f t="shared" si="286"/>
        <v>#REF!</v>
      </c>
      <c r="W146" s="103" t="e">
        <f t="shared" si="286"/>
        <v>#REF!</v>
      </c>
      <c r="X146" s="103" t="e">
        <f t="shared" si="286"/>
        <v>#REF!</v>
      </c>
      <c r="Y146" s="103" t="e">
        <f t="shared" si="286"/>
        <v>#REF!</v>
      </c>
      <c r="Z146" s="103" t="e">
        <f t="shared" si="286"/>
        <v>#REF!</v>
      </c>
      <c r="AA146" s="103" t="e">
        <f>WORKDAY(IF(Z147="",X146,Z147),INDEX(AA$2:AA$5,MATCH($I145,$I$2:$I$5,0)),$BB$10:$BB$141)</f>
        <v>#REF!</v>
      </c>
      <c r="AB146" s="104" t="e">
        <f>WORKDAY(AE145+#REF!,0,'[35]Equipment List and MR List (3)'!$A$2:$A$80)</f>
        <v>#REF!</v>
      </c>
      <c r="AC146" s="658"/>
      <c r="AD146" s="105"/>
      <c r="AE146" s="661"/>
      <c r="AF146" s="667"/>
      <c r="AG146" s="670"/>
      <c r="AH146" s="106"/>
      <c r="AI146" s="107"/>
      <c r="AJ146" s="673"/>
      <c r="AK146" s="108"/>
      <c r="AL146" s="109"/>
      <c r="AM146" s="92">
        <f t="shared" si="274"/>
        <v>0</v>
      </c>
      <c r="AN146" s="93">
        <f t="shared" si="274"/>
        <v>0</v>
      </c>
      <c r="AO146" s="93">
        <f t="shared" si="274"/>
        <v>0</v>
      </c>
      <c r="AP146" s="93">
        <f t="shared" si="274"/>
        <v>0</v>
      </c>
      <c r="AQ146" s="93">
        <f t="shared" si="274"/>
        <v>0</v>
      </c>
      <c r="AR146" s="93">
        <f t="shared" si="274"/>
        <v>0</v>
      </c>
      <c r="AS146" s="93">
        <f t="shared" si="274"/>
        <v>0</v>
      </c>
      <c r="AT146" s="93">
        <f t="shared" si="274"/>
        <v>0</v>
      </c>
      <c r="AU146" s="93">
        <f t="shared" si="274"/>
        <v>0</v>
      </c>
      <c r="AV146" s="93">
        <f t="shared" si="274"/>
        <v>0</v>
      </c>
      <c r="AW146" s="93">
        <f t="shared" ca="1" si="274"/>
        <v>0</v>
      </c>
      <c r="BB146" s="94" t="e">
        <v>#REF!</v>
      </c>
    </row>
    <row r="147" spans="1:54" s="20" customFormat="1" ht="18" customHeight="1">
      <c r="A147" s="644"/>
      <c r="B147" s="110"/>
      <c r="C147" s="653"/>
      <c r="D147" s="111" t="str">
        <f>D145</f>
        <v>INS</v>
      </c>
      <c r="E147" s="112" t="str">
        <f>E145</f>
        <v>RFQ-046</v>
      </c>
      <c r="F147" s="113" t="str">
        <f t="shared" ref="F147" si="287">F145</f>
        <v>Y</v>
      </c>
      <c r="G147" s="656"/>
      <c r="H147" s="113" t="str">
        <f t="shared" ref="H147:I147" si="288">H145</f>
        <v>Telecommunication System (WiMAX, Telephone, Marine Radio)</v>
      </c>
      <c r="I147" s="112" t="str">
        <f t="shared" si="288"/>
        <v>LC</v>
      </c>
      <c r="J147" s="113"/>
      <c r="K147" s="114"/>
      <c r="L147" s="114"/>
      <c r="M147" s="114">
        <v>2E-3</v>
      </c>
      <c r="N147" s="112"/>
      <c r="O147" s="112"/>
      <c r="P147" s="112"/>
      <c r="Q147" s="115" t="s">
        <v>4842</v>
      </c>
      <c r="R147" s="115"/>
      <c r="S147" s="126"/>
      <c r="T147" s="126"/>
      <c r="U147" s="126"/>
      <c r="V147" s="126"/>
      <c r="W147" s="126"/>
      <c r="X147" s="126"/>
      <c r="Y147" s="126"/>
      <c r="Z147" s="126"/>
      <c r="AA147" s="126"/>
      <c r="AB147" s="126"/>
      <c r="AC147" s="659"/>
      <c r="AD147" s="116"/>
      <c r="AE147" s="661"/>
      <c r="AF147" s="668"/>
      <c r="AG147" s="671"/>
      <c r="AH147" s="117"/>
      <c r="AI147" s="118"/>
      <c r="AJ147" s="674"/>
      <c r="AK147" s="119"/>
      <c r="AL147" s="120"/>
      <c r="AM147" s="121">
        <f t="shared" si="274"/>
        <v>0</v>
      </c>
      <c r="AN147" s="122">
        <f t="shared" si="274"/>
        <v>0</v>
      </c>
      <c r="AO147" s="122">
        <f t="shared" si="274"/>
        <v>0</v>
      </c>
      <c r="AP147" s="122">
        <f t="shared" si="274"/>
        <v>0</v>
      </c>
      <c r="AQ147" s="122">
        <f t="shared" si="274"/>
        <v>0</v>
      </c>
      <c r="AR147" s="122">
        <f t="shared" si="274"/>
        <v>0</v>
      </c>
      <c r="AS147" s="122">
        <f t="shared" si="274"/>
        <v>0</v>
      </c>
      <c r="AT147" s="122">
        <f t="shared" si="274"/>
        <v>0</v>
      </c>
      <c r="AU147" s="122">
        <f t="shared" si="274"/>
        <v>0</v>
      </c>
      <c r="AV147" s="122">
        <f t="shared" si="274"/>
        <v>0</v>
      </c>
      <c r="AW147" s="122">
        <f t="shared" ca="1" si="274"/>
        <v>0</v>
      </c>
      <c r="BB147" s="94" t="e">
        <v>#REF!</v>
      </c>
    </row>
    <row r="148" spans="1:54" s="20" customFormat="1" ht="18" customHeight="1">
      <c r="A148" s="642">
        <f t="shared" ref="A148" si="289">A145+1</f>
        <v>47</v>
      </c>
      <c r="B148" s="79"/>
      <c r="C148" s="651" t="s">
        <v>4836</v>
      </c>
      <c r="D148" s="80" t="s">
        <v>4868</v>
      </c>
      <c r="E148" s="81" t="s">
        <v>4785</v>
      </c>
      <c r="F148" s="82" t="s">
        <v>71</v>
      </c>
      <c r="G148" s="654" t="s">
        <v>4894</v>
      </c>
      <c r="H148" s="82" t="s">
        <v>210</v>
      </c>
      <c r="I148" s="81" t="s">
        <v>8</v>
      </c>
      <c r="J148" s="82"/>
      <c r="K148" s="84">
        <f>M150</f>
        <v>1E-3</v>
      </c>
      <c r="L148" s="84"/>
      <c r="M148" s="84"/>
      <c r="N148" s="81"/>
      <c r="O148" s="81"/>
      <c r="P148" s="81"/>
      <c r="Q148" s="85" t="s">
        <v>4839</v>
      </c>
      <c r="R148" s="86">
        <f>'Before Award'!U155+5</f>
        <v>46370</v>
      </c>
      <c r="S148" s="86" t="e">
        <f>WORKDAY(R148,INDEX(S$2:S$5,MATCH($I148,$I$2:$I$5,0)),$BB$10:$BB$141)</f>
        <v>#REF!</v>
      </c>
      <c r="T148" s="86" t="e">
        <f>WORKDAY(S148,INDEX(T$2:T$5,MATCH($I148,$I$2:$I$5,0)),$BB$10:$BB$141)</f>
        <v>#REF!</v>
      </c>
      <c r="U148" s="86" t="e">
        <f>T148+30</f>
        <v>#REF!</v>
      </c>
      <c r="V148" s="86"/>
      <c r="W148" s="86">
        <f>AB148-35</f>
        <v>46442</v>
      </c>
      <c r="X148" s="86"/>
      <c r="Y148" s="86"/>
      <c r="Z148" s="86"/>
      <c r="AA148" s="86"/>
      <c r="AB148" s="86">
        <f>'Before Award'!X155</f>
        <v>46477</v>
      </c>
      <c r="AC148" s="657" t="s">
        <v>4840</v>
      </c>
      <c r="AD148" s="87">
        <v>7</v>
      </c>
      <c r="AE148" s="661">
        <f>16*7</f>
        <v>112</v>
      </c>
      <c r="AF148" s="666" t="e">
        <f>AB149</f>
        <v>#REF!</v>
      </c>
      <c r="AG148" s="669">
        <f>WORKDAY(AH148+1,-1,$BA$10:$BA$141)</f>
        <v>46477</v>
      </c>
      <c r="AH148" s="88">
        <v>46477</v>
      </c>
      <c r="AI148" s="89"/>
      <c r="AJ148" s="672" t="e">
        <f>AG148-AF148</f>
        <v>#REF!</v>
      </c>
      <c r="AK148" s="90"/>
      <c r="AL148" s="91"/>
      <c r="AM148" s="92">
        <f t="shared" si="274"/>
        <v>0</v>
      </c>
      <c r="AN148" s="93">
        <f t="shared" si="274"/>
        <v>0</v>
      </c>
      <c r="AO148" s="93">
        <f t="shared" si="274"/>
        <v>0</v>
      </c>
      <c r="AP148" s="93">
        <f t="shared" si="274"/>
        <v>0</v>
      </c>
      <c r="AQ148" s="93">
        <f t="shared" si="274"/>
        <v>0</v>
      </c>
      <c r="AR148" s="93">
        <f t="shared" si="274"/>
        <v>0</v>
      </c>
      <c r="AS148" s="93">
        <f t="shared" si="274"/>
        <v>0</v>
      </c>
      <c r="AT148" s="93">
        <f t="shared" si="274"/>
        <v>0</v>
      </c>
      <c r="AU148" s="93">
        <f t="shared" si="274"/>
        <v>0</v>
      </c>
      <c r="AV148" s="93">
        <f t="shared" si="274"/>
        <v>0</v>
      </c>
      <c r="AW148" s="93">
        <f t="shared" ca="1" si="274"/>
        <v>0</v>
      </c>
      <c r="BB148" s="94" t="e">
        <v>#REF!</v>
      </c>
    </row>
    <row r="149" spans="1:54" s="20" customFormat="1" ht="18" customHeight="1">
      <c r="A149" s="643"/>
      <c r="B149" s="95"/>
      <c r="C149" s="652"/>
      <c r="D149" s="96" t="str">
        <f>D148</f>
        <v>INS</v>
      </c>
      <c r="E149" s="97" t="str">
        <f t="shared" ref="E149:F149" si="290">E148</f>
        <v>RFQ-047</v>
      </c>
      <c r="F149" s="98" t="str">
        <f t="shared" si="290"/>
        <v>N</v>
      </c>
      <c r="G149" s="655"/>
      <c r="H149" s="98" t="s">
        <v>210</v>
      </c>
      <c r="I149" s="97" t="str">
        <f t="shared" ref="I149" si="291">I148</f>
        <v>LC</v>
      </c>
      <c r="J149" s="98"/>
      <c r="K149" s="100"/>
      <c r="L149" s="100">
        <f>M150</f>
        <v>1E-3</v>
      </c>
      <c r="M149" s="100"/>
      <c r="N149" s="97"/>
      <c r="O149" s="97"/>
      <c r="P149" s="97"/>
      <c r="Q149" s="101" t="s">
        <v>4841</v>
      </c>
      <c r="R149" s="101"/>
      <c r="S149" s="102" t="e">
        <f>S148</f>
        <v>#REF!</v>
      </c>
      <c r="T149" s="103" t="e">
        <f>T148</f>
        <v>#REF!</v>
      </c>
      <c r="U149" s="103" t="e">
        <f t="shared" ref="U149:Z149" si="292">WORKDAY(IF(T150="",T149,T150),INDEX(U$2:U$5,MATCH($I148,$I$2:$I$5,0)),$BB$10:$BB$141)</f>
        <v>#REF!</v>
      </c>
      <c r="V149" s="103" t="e">
        <f t="shared" si="292"/>
        <v>#REF!</v>
      </c>
      <c r="W149" s="103" t="e">
        <f t="shared" si="292"/>
        <v>#REF!</v>
      </c>
      <c r="X149" s="103" t="e">
        <f t="shared" si="292"/>
        <v>#REF!</v>
      </c>
      <c r="Y149" s="103" t="e">
        <f t="shared" si="292"/>
        <v>#REF!</v>
      </c>
      <c r="Z149" s="103" t="e">
        <f t="shared" si="292"/>
        <v>#REF!</v>
      </c>
      <c r="AA149" s="103" t="e">
        <f>WORKDAY(IF(Z150="",X149,Z150),INDEX(AA$2:AA$5,MATCH($I148,$I$2:$I$5,0)),$BB$10:$BB$141)</f>
        <v>#REF!</v>
      </c>
      <c r="AB149" s="104" t="e">
        <f>WORKDAY(AE148+#REF!,0,'[35]Equipment List and MR List (3)'!$A$2:$A$80)</f>
        <v>#REF!</v>
      </c>
      <c r="AC149" s="658"/>
      <c r="AD149" s="105"/>
      <c r="AE149" s="661"/>
      <c r="AF149" s="667"/>
      <c r="AG149" s="670"/>
      <c r="AH149" s="106"/>
      <c r="AI149" s="107"/>
      <c r="AJ149" s="673"/>
      <c r="AK149" s="108"/>
      <c r="AL149" s="109"/>
      <c r="AM149" s="92">
        <f t="shared" si="274"/>
        <v>0</v>
      </c>
      <c r="AN149" s="93">
        <f t="shared" si="274"/>
        <v>0</v>
      </c>
      <c r="AO149" s="93">
        <f t="shared" si="274"/>
        <v>0</v>
      </c>
      <c r="AP149" s="93">
        <f t="shared" si="274"/>
        <v>0</v>
      </c>
      <c r="AQ149" s="93">
        <f t="shared" si="274"/>
        <v>0</v>
      </c>
      <c r="AR149" s="93">
        <f t="shared" si="274"/>
        <v>0</v>
      </c>
      <c r="AS149" s="93">
        <f t="shared" si="274"/>
        <v>0</v>
      </c>
      <c r="AT149" s="93">
        <f t="shared" si="274"/>
        <v>0</v>
      </c>
      <c r="AU149" s="93">
        <f t="shared" si="274"/>
        <v>0</v>
      </c>
      <c r="AV149" s="93">
        <f t="shared" si="274"/>
        <v>0</v>
      </c>
      <c r="AW149" s="93">
        <f t="shared" ca="1" si="274"/>
        <v>0</v>
      </c>
      <c r="BB149" s="94" t="e">
        <v>#REF!</v>
      </c>
    </row>
    <row r="150" spans="1:54" s="20" customFormat="1" ht="18" customHeight="1">
      <c r="A150" s="644"/>
      <c r="B150" s="110"/>
      <c r="C150" s="653"/>
      <c r="D150" s="111" t="str">
        <f>D148</f>
        <v>INS</v>
      </c>
      <c r="E150" s="112" t="str">
        <f>E148</f>
        <v>RFQ-047</v>
      </c>
      <c r="F150" s="113" t="str">
        <f t="shared" ref="F150" si="293">F148</f>
        <v>N</v>
      </c>
      <c r="G150" s="656"/>
      <c r="H150" s="113" t="str">
        <f t="shared" ref="H150:I150" si="294">H148</f>
        <v>Marine Racon</v>
      </c>
      <c r="I150" s="112" t="str">
        <f t="shared" si="294"/>
        <v>LC</v>
      </c>
      <c r="J150" s="113"/>
      <c r="K150" s="114"/>
      <c r="L150" s="114"/>
      <c r="M150" s="114">
        <v>1E-3</v>
      </c>
      <c r="N150" s="112"/>
      <c r="O150" s="112"/>
      <c r="P150" s="112"/>
      <c r="Q150" s="115" t="s">
        <v>4842</v>
      </c>
      <c r="R150" s="115"/>
      <c r="S150" s="126"/>
      <c r="T150" s="126"/>
      <c r="U150" s="126"/>
      <c r="V150" s="126"/>
      <c r="W150" s="126"/>
      <c r="X150" s="126"/>
      <c r="Y150" s="126"/>
      <c r="Z150" s="126"/>
      <c r="AA150" s="126"/>
      <c r="AB150" s="126"/>
      <c r="AC150" s="659"/>
      <c r="AD150" s="116"/>
      <c r="AE150" s="661"/>
      <c r="AF150" s="668"/>
      <c r="AG150" s="671"/>
      <c r="AH150" s="117"/>
      <c r="AI150" s="118"/>
      <c r="AJ150" s="674"/>
      <c r="AK150" s="119"/>
      <c r="AL150" s="120"/>
      <c r="AM150" s="121">
        <f t="shared" ref="AM150:AW159" si="295">IF(ISERROR(LOOKUP(AM$6,$S150:$AB150,$S$9:$AB$9)),0,(LOOKUP(AM$6,$S150:$AB150,$S$9:$AB$9)))</f>
        <v>0</v>
      </c>
      <c r="AN150" s="122">
        <f t="shared" si="295"/>
        <v>0</v>
      </c>
      <c r="AO150" s="122">
        <f t="shared" si="295"/>
        <v>0</v>
      </c>
      <c r="AP150" s="122">
        <f t="shared" si="295"/>
        <v>0</v>
      </c>
      <c r="AQ150" s="122">
        <f t="shared" si="295"/>
        <v>0</v>
      </c>
      <c r="AR150" s="122">
        <f t="shared" si="295"/>
        <v>0</v>
      </c>
      <c r="AS150" s="122">
        <f t="shared" si="295"/>
        <v>0</v>
      </c>
      <c r="AT150" s="122">
        <f t="shared" si="295"/>
        <v>0</v>
      </c>
      <c r="AU150" s="122">
        <f t="shared" si="295"/>
        <v>0</v>
      </c>
      <c r="AV150" s="122">
        <f t="shared" si="295"/>
        <v>0</v>
      </c>
      <c r="AW150" s="122">
        <f t="shared" ca="1" si="295"/>
        <v>0</v>
      </c>
      <c r="BB150" s="94" t="e">
        <v>#REF!</v>
      </c>
    </row>
    <row r="151" spans="1:54" s="20" customFormat="1" ht="18" customHeight="1">
      <c r="A151" s="642">
        <f t="shared" ref="A151" si="296">A148+1</f>
        <v>48</v>
      </c>
      <c r="B151" s="79"/>
      <c r="C151" s="651" t="s">
        <v>4836</v>
      </c>
      <c r="D151" s="80" t="s">
        <v>4848</v>
      </c>
      <c r="E151" s="81" t="s">
        <v>4786</v>
      </c>
      <c r="F151" s="82" t="s">
        <v>71</v>
      </c>
      <c r="G151" s="654" t="s">
        <v>4895</v>
      </c>
      <c r="H151" s="82" t="s">
        <v>213</v>
      </c>
      <c r="I151" s="81" t="s">
        <v>8</v>
      </c>
      <c r="J151" s="82"/>
      <c r="K151" s="84">
        <f>M153</f>
        <v>1E-3</v>
      </c>
      <c r="L151" s="84"/>
      <c r="M151" s="84"/>
      <c r="N151" s="81"/>
      <c r="O151" s="81"/>
      <c r="P151" s="81"/>
      <c r="Q151" s="85" t="s">
        <v>4839</v>
      </c>
      <c r="R151" s="86">
        <f>'Before Award'!U158+5</f>
        <v>46269</v>
      </c>
      <c r="S151" s="86" t="e">
        <f>WORKDAY(R151,INDEX(S$2:S$5,MATCH($I151,$I$2:$I$5,0)),$BB$10:$BB$141)</f>
        <v>#REF!</v>
      </c>
      <c r="T151" s="86" t="e">
        <f>WORKDAY(S151,INDEX(T$2:T$5,MATCH($I151,$I$2:$I$5,0)),$BB$10:$BB$141)</f>
        <v>#REF!</v>
      </c>
      <c r="U151" s="86" t="e">
        <f>T151+30</f>
        <v>#REF!</v>
      </c>
      <c r="V151" s="86"/>
      <c r="W151" s="86">
        <f>AB151-35</f>
        <v>46412</v>
      </c>
      <c r="X151" s="86"/>
      <c r="Y151" s="86"/>
      <c r="Z151" s="86"/>
      <c r="AA151" s="86"/>
      <c r="AB151" s="86">
        <f>'Before Award'!X158</f>
        <v>46447</v>
      </c>
      <c r="AC151" s="657" t="s">
        <v>4840</v>
      </c>
      <c r="AD151" s="87">
        <v>7</v>
      </c>
      <c r="AE151" s="662">
        <v>183</v>
      </c>
      <c r="AF151" s="666" t="e">
        <f>AB152</f>
        <v>#REF!</v>
      </c>
      <c r="AG151" s="669">
        <f>WORKDAY(AH151+1,-1,$BA$10:$BA$141)</f>
        <v>46538</v>
      </c>
      <c r="AH151" s="88">
        <v>46538</v>
      </c>
      <c r="AI151" s="89"/>
      <c r="AJ151" s="672" t="e">
        <f>AG151-AF151</f>
        <v>#REF!</v>
      </c>
      <c r="AK151" s="90"/>
      <c r="AL151" s="91"/>
      <c r="AM151" s="92">
        <f t="shared" si="295"/>
        <v>0</v>
      </c>
      <c r="AN151" s="93">
        <f t="shared" si="295"/>
        <v>0</v>
      </c>
      <c r="AO151" s="93">
        <f t="shared" si="295"/>
        <v>0</v>
      </c>
      <c r="AP151" s="93">
        <f t="shared" si="295"/>
        <v>0</v>
      </c>
      <c r="AQ151" s="93">
        <f t="shared" si="295"/>
        <v>0</v>
      </c>
      <c r="AR151" s="93">
        <f t="shared" si="295"/>
        <v>0</v>
      </c>
      <c r="AS151" s="93">
        <f t="shared" si="295"/>
        <v>0</v>
      </c>
      <c r="AT151" s="93">
        <f t="shared" si="295"/>
        <v>0</v>
      </c>
      <c r="AU151" s="93">
        <f t="shared" si="295"/>
        <v>0</v>
      </c>
      <c r="AV151" s="93">
        <f t="shared" si="295"/>
        <v>0</v>
      </c>
      <c r="AW151" s="93">
        <f t="shared" ca="1" si="295"/>
        <v>0</v>
      </c>
      <c r="BB151" s="94" t="e">
        <v>#REF!</v>
      </c>
    </row>
    <row r="152" spans="1:54" s="20" customFormat="1" ht="18" customHeight="1">
      <c r="A152" s="643"/>
      <c r="B152" s="95"/>
      <c r="C152" s="652"/>
      <c r="D152" s="96" t="str">
        <f>D151</f>
        <v>PIP</v>
      </c>
      <c r="E152" s="97" t="str">
        <f t="shared" ref="E152:F152" si="297">E151</f>
        <v>RFQ-048</v>
      </c>
      <c r="F152" s="98" t="str">
        <f t="shared" si="297"/>
        <v>N</v>
      </c>
      <c r="G152" s="655"/>
      <c r="H152" s="98" t="str">
        <f t="shared" ref="H152:I152" si="298">H151</f>
        <v>BALL VALVE (FLANGE END)</v>
      </c>
      <c r="I152" s="97" t="str">
        <f t="shared" si="298"/>
        <v>LC</v>
      </c>
      <c r="J152" s="98"/>
      <c r="K152" s="100"/>
      <c r="L152" s="100">
        <f>M153</f>
        <v>1E-3</v>
      </c>
      <c r="M152" s="100"/>
      <c r="N152" s="97"/>
      <c r="O152" s="97"/>
      <c r="P152" s="97"/>
      <c r="Q152" s="101" t="s">
        <v>4841</v>
      </c>
      <c r="R152" s="101"/>
      <c r="S152" s="102" t="e">
        <f>S151</f>
        <v>#REF!</v>
      </c>
      <c r="T152" s="103" t="e">
        <f>T151</f>
        <v>#REF!</v>
      </c>
      <c r="U152" s="103" t="e">
        <f t="shared" ref="U152:Z152" si="299">WORKDAY(IF(T153="",T152,T153),INDEX(U$2:U$5,MATCH($I151,$I$2:$I$5,0)),$BB$10:$BB$141)</f>
        <v>#REF!</v>
      </c>
      <c r="V152" s="103" t="e">
        <f t="shared" si="299"/>
        <v>#REF!</v>
      </c>
      <c r="W152" s="103" t="e">
        <f t="shared" si="299"/>
        <v>#REF!</v>
      </c>
      <c r="X152" s="103" t="e">
        <f t="shared" si="299"/>
        <v>#REF!</v>
      </c>
      <c r="Y152" s="103" t="e">
        <f t="shared" si="299"/>
        <v>#REF!</v>
      </c>
      <c r="Z152" s="103" t="e">
        <f t="shared" si="299"/>
        <v>#REF!</v>
      </c>
      <c r="AA152" s="103" t="e">
        <f>WORKDAY(IF(Z153="",X152,Z153),INDEX(AA$2:AA$5,MATCH($I151,$I$2:$I$5,0)),$BB$10:$BB$141)</f>
        <v>#REF!</v>
      </c>
      <c r="AB152" s="104" t="e">
        <f>WORKDAY(AE151+#REF!,0,'[35]Equipment List and MR List (3)'!$A$2:$A$80)</f>
        <v>#REF!</v>
      </c>
      <c r="AC152" s="658"/>
      <c r="AD152" s="105"/>
      <c r="AE152" s="662"/>
      <c r="AF152" s="667"/>
      <c r="AG152" s="670"/>
      <c r="AH152" s="106"/>
      <c r="AI152" s="107"/>
      <c r="AJ152" s="673"/>
      <c r="AK152" s="108"/>
      <c r="AL152" s="109"/>
      <c r="AM152" s="92">
        <f t="shared" si="295"/>
        <v>0</v>
      </c>
      <c r="AN152" s="93">
        <f t="shared" si="295"/>
        <v>0</v>
      </c>
      <c r="AO152" s="93">
        <f t="shared" si="295"/>
        <v>0</v>
      </c>
      <c r="AP152" s="93">
        <f t="shared" si="295"/>
        <v>0</v>
      </c>
      <c r="AQ152" s="93">
        <f t="shared" si="295"/>
        <v>0</v>
      </c>
      <c r="AR152" s="93">
        <f t="shared" si="295"/>
        <v>0</v>
      </c>
      <c r="AS152" s="93">
        <f t="shared" si="295"/>
        <v>0</v>
      </c>
      <c r="AT152" s="93">
        <f t="shared" si="295"/>
        <v>0</v>
      </c>
      <c r="AU152" s="93">
        <f t="shared" si="295"/>
        <v>0</v>
      </c>
      <c r="AV152" s="93">
        <f t="shared" si="295"/>
        <v>0</v>
      </c>
      <c r="AW152" s="93">
        <f t="shared" ca="1" si="295"/>
        <v>0</v>
      </c>
      <c r="BB152" s="94" t="e">
        <v>#REF!</v>
      </c>
    </row>
    <row r="153" spans="1:54" s="20" customFormat="1" ht="18" customHeight="1">
      <c r="A153" s="644"/>
      <c r="B153" s="110"/>
      <c r="C153" s="653"/>
      <c r="D153" s="111" t="str">
        <f>D151</f>
        <v>PIP</v>
      </c>
      <c r="E153" s="112" t="str">
        <f>E151</f>
        <v>RFQ-048</v>
      </c>
      <c r="F153" s="113" t="str">
        <f t="shared" ref="F153" si="300">F151</f>
        <v>N</v>
      </c>
      <c r="G153" s="656"/>
      <c r="H153" s="113" t="str">
        <f t="shared" ref="H153:I153" si="301">H151</f>
        <v>BALL VALVE (FLANGE END)</v>
      </c>
      <c r="I153" s="112" t="str">
        <f t="shared" si="301"/>
        <v>LC</v>
      </c>
      <c r="J153" s="113"/>
      <c r="K153" s="114"/>
      <c r="L153" s="114"/>
      <c r="M153" s="114">
        <v>1E-3</v>
      </c>
      <c r="N153" s="112"/>
      <c r="O153" s="112"/>
      <c r="P153" s="112"/>
      <c r="Q153" s="115" t="s">
        <v>4842</v>
      </c>
      <c r="R153" s="115"/>
      <c r="S153" s="126"/>
      <c r="T153" s="126"/>
      <c r="U153" s="126"/>
      <c r="V153" s="126"/>
      <c r="W153" s="126"/>
      <c r="X153" s="126"/>
      <c r="Y153" s="126"/>
      <c r="Z153" s="126"/>
      <c r="AA153" s="126"/>
      <c r="AB153" s="126"/>
      <c r="AC153" s="659"/>
      <c r="AD153" s="116"/>
      <c r="AE153" s="662"/>
      <c r="AF153" s="668"/>
      <c r="AG153" s="671"/>
      <c r="AH153" s="117"/>
      <c r="AI153" s="118"/>
      <c r="AJ153" s="674"/>
      <c r="AK153" s="119"/>
      <c r="AL153" s="120"/>
      <c r="AM153" s="121">
        <f t="shared" si="295"/>
        <v>0</v>
      </c>
      <c r="AN153" s="122">
        <f t="shared" si="295"/>
        <v>0</v>
      </c>
      <c r="AO153" s="122">
        <f t="shared" si="295"/>
        <v>0</v>
      </c>
      <c r="AP153" s="122">
        <f t="shared" si="295"/>
        <v>0</v>
      </c>
      <c r="AQ153" s="122">
        <f t="shared" si="295"/>
        <v>0</v>
      </c>
      <c r="AR153" s="122">
        <f t="shared" si="295"/>
        <v>0</v>
      </c>
      <c r="AS153" s="122">
        <f t="shared" si="295"/>
        <v>0</v>
      </c>
      <c r="AT153" s="122">
        <f t="shared" si="295"/>
        <v>0</v>
      </c>
      <c r="AU153" s="122">
        <f t="shared" si="295"/>
        <v>0</v>
      </c>
      <c r="AV153" s="122">
        <f t="shared" si="295"/>
        <v>0</v>
      </c>
      <c r="AW153" s="122">
        <f t="shared" ca="1" si="295"/>
        <v>0</v>
      </c>
      <c r="BB153" s="94" t="e">
        <v>#REF!</v>
      </c>
    </row>
    <row r="154" spans="1:54" s="20" customFormat="1" ht="18" customHeight="1">
      <c r="A154" s="642">
        <f t="shared" ref="A154" si="302">A151+1</f>
        <v>49</v>
      </c>
      <c r="B154" s="79"/>
      <c r="C154" s="651" t="s">
        <v>4836</v>
      </c>
      <c r="D154" s="80" t="s">
        <v>4848</v>
      </c>
      <c r="E154" s="81" t="s">
        <v>4787</v>
      </c>
      <c r="F154" s="82" t="s">
        <v>71</v>
      </c>
      <c r="G154" s="654" t="s">
        <v>4895</v>
      </c>
      <c r="H154" s="82" t="s">
        <v>220</v>
      </c>
      <c r="I154" s="81" t="s">
        <v>8</v>
      </c>
      <c r="J154" s="82"/>
      <c r="K154" s="84">
        <f>M156</f>
        <v>0.01</v>
      </c>
      <c r="L154" s="84"/>
      <c r="M154" s="84"/>
      <c r="N154" s="81"/>
      <c r="O154" s="81"/>
      <c r="P154" s="81"/>
      <c r="Q154" s="85" t="s">
        <v>4839</v>
      </c>
      <c r="R154" s="86">
        <f>'Before Award'!U161+5</f>
        <v>46269</v>
      </c>
      <c r="S154" s="86" t="e">
        <f>WORKDAY(R154,INDEX(S$2:S$5,MATCH($I154,$I$2:$I$5,0)),$BB$10:$BB$141)</f>
        <v>#REF!</v>
      </c>
      <c r="T154" s="86" t="e">
        <f>WORKDAY(S154,INDEX(T$2:T$5,MATCH($I154,$I$2:$I$5,0)),$BB$10:$BB$141)</f>
        <v>#REF!</v>
      </c>
      <c r="U154" s="86" t="e">
        <f>T154+30</f>
        <v>#REF!</v>
      </c>
      <c r="V154" s="86"/>
      <c r="W154" s="86">
        <f>AB154-35</f>
        <v>46412</v>
      </c>
      <c r="X154" s="86"/>
      <c r="Y154" s="86"/>
      <c r="Z154" s="86"/>
      <c r="AA154" s="86"/>
      <c r="AB154" s="86">
        <f>'Before Award'!X161</f>
        <v>46447</v>
      </c>
      <c r="AC154" s="657" t="s">
        <v>4840</v>
      </c>
      <c r="AD154" s="87">
        <v>7</v>
      </c>
      <c r="AE154" s="662">
        <v>183</v>
      </c>
      <c r="AF154" s="666" t="e">
        <f>AB155</f>
        <v>#REF!</v>
      </c>
      <c r="AG154" s="669">
        <f>WORKDAY(AH154+1,-1,$BA$10:$BA$141)</f>
        <v>46538</v>
      </c>
      <c r="AH154" s="88">
        <v>46538</v>
      </c>
      <c r="AI154" s="89"/>
      <c r="AJ154" s="672" t="e">
        <f>AG154-AF154</f>
        <v>#REF!</v>
      </c>
      <c r="AK154" s="90"/>
      <c r="AL154" s="91"/>
      <c r="AM154" s="92">
        <f t="shared" si="295"/>
        <v>0</v>
      </c>
      <c r="AN154" s="93">
        <f t="shared" si="295"/>
        <v>0</v>
      </c>
      <c r="AO154" s="93">
        <f t="shared" si="295"/>
        <v>0</v>
      </c>
      <c r="AP154" s="93">
        <f t="shared" si="295"/>
        <v>0</v>
      </c>
      <c r="AQ154" s="93">
        <f t="shared" si="295"/>
        <v>0</v>
      </c>
      <c r="AR154" s="93">
        <f t="shared" si="295"/>
        <v>0</v>
      </c>
      <c r="AS154" s="93">
        <f t="shared" si="295"/>
        <v>0</v>
      </c>
      <c r="AT154" s="93">
        <f t="shared" si="295"/>
        <v>0</v>
      </c>
      <c r="AU154" s="93">
        <f t="shared" si="295"/>
        <v>0</v>
      </c>
      <c r="AV154" s="93">
        <f t="shared" si="295"/>
        <v>0</v>
      </c>
      <c r="AW154" s="93">
        <f t="shared" ca="1" si="295"/>
        <v>0</v>
      </c>
      <c r="BB154" s="94" t="e">
        <v>#REF!</v>
      </c>
    </row>
    <row r="155" spans="1:54" s="20" customFormat="1" ht="18" customHeight="1">
      <c r="A155" s="643"/>
      <c r="B155" s="95"/>
      <c r="C155" s="652"/>
      <c r="D155" s="96" t="str">
        <f>D154</f>
        <v>PIP</v>
      </c>
      <c r="E155" s="97" t="str">
        <f t="shared" ref="E155:F155" si="303">E154</f>
        <v>RFQ-049</v>
      </c>
      <c r="F155" s="98" t="str">
        <f t="shared" si="303"/>
        <v>N</v>
      </c>
      <c r="G155" s="655"/>
      <c r="H155" s="98" t="str">
        <f t="shared" ref="H155:I155" si="304">H154</f>
        <v>GLOBE VALVE (FLANGE END)</v>
      </c>
      <c r="I155" s="97" t="str">
        <f t="shared" si="304"/>
        <v>LC</v>
      </c>
      <c r="J155" s="98"/>
      <c r="K155" s="100"/>
      <c r="L155" s="100">
        <f>M156</f>
        <v>0.01</v>
      </c>
      <c r="M155" s="100"/>
      <c r="N155" s="97"/>
      <c r="O155" s="97"/>
      <c r="P155" s="97"/>
      <c r="Q155" s="101" t="s">
        <v>4841</v>
      </c>
      <c r="R155" s="101"/>
      <c r="S155" s="102" t="e">
        <f>S154</f>
        <v>#REF!</v>
      </c>
      <c r="T155" s="103" t="e">
        <f>T154</f>
        <v>#REF!</v>
      </c>
      <c r="U155" s="103" t="e">
        <f t="shared" ref="U155:Z155" si="305">WORKDAY(IF(T156="",T155,T156),INDEX(U$2:U$5,MATCH($I154,$I$2:$I$5,0)),$BB$10:$BB$141)</f>
        <v>#REF!</v>
      </c>
      <c r="V155" s="103" t="e">
        <f t="shared" si="305"/>
        <v>#REF!</v>
      </c>
      <c r="W155" s="103" t="e">
        <f t="shared" si="305"/>
        <v>#REF!</v>
      </c>
      <c r="X155" s="103" t="e">
        <f t="shared" si="305"/>
        <v>#REF!</v>
      </c>
      <c r="Y155" s="103" t="e">
        <f t="shared" si="305"/>
        <v>#REF!</v>
      </c>
      <c r="Z155" s="103" t="e">
        <f t="shared" si="305"/>
        <v>#REF!</v>
      </c>
      <c r="AA155" s="103" t="e">
        <f>WORKDAY(IF(Z156="",X155,Z156),INDEX(AA$2:AA$5,MATCH($I154,$I$2:$I$5,0)),$BB$10:$BB$141)</f>
        <v>#REF!</v>
      </c>
      <c r="AB155" s="104" t="e">
        <f>WORKDAY(AE154+#REF!,0,'[35]Equipment List and MR List (3)'!$A$2:$A$80)</f>
        <v>#REF!</v>
      </c>
      <c r="AC155" s="658"/>
      <c r="AD155" s="105"/>
      <c r="AE155" s="662"/>
      <c r="AF155" s="667"/>
      <c r="AG155" s="670"/>
      <c r="AH155" s="106"/>
      <c r="AI155" s="107"/>
      <c r="AJ155" s="673"/>
      <c r="AK155" s="108"/>
      <c r="AL155" s="109"/>
      <c r="AM155" s="92">
        <f t="shared" si="295"/>
        <v>0</v>
      </c>
      <c r="AN155" s="93">
        <f t="shared" si="295"/>
        <v>0</v>
      </c>
      <c r="AO155" s="93">
        <f t="shared" si="295"/>
        <v>0</v>
      </c>
      <c r="AP155" s="93">
        <f t="shared" si="295"/>
        <v>0</v>
      </c>
      <c r="AQ155" s="93">
        <f t="shared" si="295"/>
        <v>0</v>
      </c>
      <c r="AR155" s="93">
        <f t="shared" si="295"/>
        <v>0</v>
      </c>
      <c r="AS155" s="93">
        <f t="shared" si="295"/>
        <v>0</v>
      </c>
      <c r="AT155" s="93">
        <f t="shared" si="295"/>
        <v>0</v>
      </c>
      <c r="AU155" s="93">
        <f t="shared" si="295"/>
        <v>0</v>
      </c>
      <c r="AV155" s="93">
        <f t="shared" si="295"/>
        <v>0</v>
      </c>
      <c r="AW155" s="93">
        <f t="shared" ca="1" si="295"/>
        <v>0</v>
      </c>
      <c r="BB155" s="94" t="e">
        <v>#REF!</v>
      </c>
    </row>
    <row r="156" spans="1:54" s="20" customFormat="1" ht="18" customHeight="1">
      <c r="A156" s="644"/>
      <c r="B156" s="110"/>
      <c r="C156" s="653"/>
      <c r="D156" s="111" t="str">
        <f>D154</f>
        <v>PIP</v>
      </c>
      <c r="E156" s="112" t="str">
        <f>E154</f>
        <v>RFQ-049</v>
      </c>
      <c r="F156" s="113" t="str">
        <f t="shared" ref="F156" si="306">F154</f>
        <v>N</v>
      </c>
      <c r="G156" s="656"/>
      <c r="H156" s="113" t="str">
        <f t="shared" ref="H156:I156" si="307">H154</f>
        <v>GLOBE VALVE (FLANGE END)</v>
      </c>
      <c r="I156" s="112" t="str">
        <f t="shared" si="307"/>
        <v>LC</v>
      </c>
      <c r="J156" s="113"/>
      <c r="K156" s="114"/>
      <c r="L156" s="114"/>
      <c r="M156" s="114">
        <v>0.01</v>
      </c>
      <c r="N156" s="112"/>
      <c r="O156" s="112"/>
      <c r="P156" s="112"/>
      <c r="Q156" s="115" t="s">
        <v>4842</v>
      </c>
      <c r="R156" s="115"/>
      <c r="S156" s="126"/>
      <c r="T156" s="126"/>
      <c r="U156" s="126"/>
      <c r="V156" s="126"/>
      <c r="W156" s="126"/>
      <c r="X156" s="126"/>
      <c r="Y156" s="126"/>
      <c r="Z156" s="126"/>
      <c r="AA156" s="126"/>
      <c r="AB156" s="126"/>
      <c r="AC156" s="659"/>
      <c r="AD156" s="116"/>
      <c r="AE156" s="662"/>
      <c r="AF156" s="668"/>
      <c r="AG156" s="671"/>
      <c r="AH156" s="117"/>
      <c r="AI156" s="118"/>
      <c r="AJ156" s="674"/>
      <c r="AK156" s="119"/>
      <c r="AL156" s="120"/>
      <c r="AM156" s="121">
        <f t="shared" si="295"/>
        <v>0</v>
      </c>
      <c r="AN156" s="122">
        <f t="shared" si="295"/>
        <v>0</v>
      </c>
      <c r="AO156" s="122">
        <f t="shared" si="295"/>
        <v>0</v>
      </c>
      <c r="AP156" s="122">
        <f t="shared" si="295"/>
        <v>0</v>
      </c>
      <c r="AQ156" s="122">
        <f t="shared" si="295"/>
        <v>0</v>
      </c>
      <c r="AR156" s="122">
        <f t="shared" si="295"/>
        <v>0</v>
      </c>
      <c r="AS156" s="122">
        <f t="shared" si="295"/>
        <v>0</v>
      </c>
      <c r="AT156" s="122">
        <f t="shared" si="295"/>
        <v>0</v>
      </c>
      <c r="AU156" s="122">
        <f t="shared" si="295"/>
        <v>0</v>
      </c>
      <c r="AV156" s="122">
        <f t="shared" si="295"/>
        <v>0</v>
      </c>
      <c r="AW156" s="122">
        <f t="shared" ca="1" si="295"/>
        <v>0</v>
      </c>
      <c r="BB156" s="94" t="e">
        <v>#REF!</v>
      </c>
    </row>
    <row r="157" spans="1:54" s="20" customFormat="1" ht="18" customHeight="1">
      <c r="A157" s="642">
        <f t="shared" ref="A157" si="308">A154+1</f>
        <v>50</v>
      </c>
      <c r="B157" s="79"/>
      <c r="C157" s="651" t="s">
        <v>4836</v>
      </c>
      <c r="D157" s="80" t="s">
        <v>4848</v>
      </c>
      <c r="E157" s="81" t="s">
        <v>4788</v>
      </c>
      <c r="F157" s="82" t="s">
        <v>71</v>
      </c>
      <c r="G157" s="654" t="s">
        <v>4895</v>
      </c>
      <c r="H157" s="82" t="s">
        <v>222</v>
      </c>
      <c r="I157" s="81" t="s">
        <v>8</v>
      </c>
      <c r="J157" s="82"/>
      <c r="K157" s="84">
        <f>M159</f>
        <v>5.0000000000000001E-4</v>
      </c>
      <c r="L157" s="84"/>
      <c r="M157" s="84"/>
      <c r="N157" s="81"/>
      <c r="O157" s="81"/>
      <c r="P157" s="81"/>
      <c r="Q157" s="85" t="s">
        <v>4839</v>
      </c>
      <c r="R157" s="86">
        <f>'Before Award'!U164+5</f>
        <v>46269</v>
      </c>
      <c r="S157" s="86" t="e">
        <f>WORKDAY(R157,INDEX(S$2:S$5,MATCH($I157,$I$2:$I$5,0)),$BB$10:$BB$141)</f>
        <v>#REF!</v>
      </c>
      <c r="T157" s="86" t="e">
        <f>WORKDAY(S157,INDEX(T$2:T$5,MATCH($I157,$I$2:$I$5,0)),$BB$10:$BB$141)</f>
        <v>#REF!</v>
      </c>
      <c r="U157" s="86" t="e">
        <f>T157+30</f>
        <v>#REF!</v>
      </c>
      <c r="V157" s="86"/>
      <c r="W157" s="86">
        <f>AB157-35</f>
        <v>46412</v>
      </c>
      <c r="X157" s="86"/>
      <c r="Y157" s="86"/>
      <c r="Z157" s="86"/>
      <c r="AA157" s="86"/>
      <c r="AB157" s="86">
        <f>'Before Award'!X164</f>
        <v>46447</v>
      </c>
      <c r="AC157" s="657" t="s">
        <v>4840</v>
      </c>
      <c r="AD157" s="87">
        <v>7</v>
      </c>
      <c r="AE157" s="662">
        <v>183</v>
      </c>
      <c r="AF157" s="666" t="e">
        <f>AB158</f>
        <v>#REF!</v>
      </c>
      <c r="AG157" s="669">
        <f>WORKDAY(AH157+1,-1,$BA$10:$BA$141)</f>
        <v>46538</v>
      </c>
      <c r="AH157" s="88">
        <v>46538</v>
      </c>
      <c r="AI157" s="89"/>
      <c r="AJ157" s="672" t="e">
        <f>AG157-AF157</f>
        <v>#REF!</v>
      </c>
      <c r="AK157" s="90"/>
      <c r="AL157" s="91"/>
      <c r="AM157" s="92">
        <f t="shared" si="295"/>
        <v>0</v>
      </c>
      <c r="AN157" s="93">
        <f t="shared" si="295"/>
        <v>0</v>
      </c>
      <c r="AO157" s="93">
        <f t="shared" si="295"/>
        <v>0</v>
      </c>
      <c r="AP157" s="93">
        <f t="shared" si="295"/>
        <v>0</v>
      </c>
      <c r="AQ157" s="93">
        <f t="shared" si="295"/>
        <v>0</v>
      </c>
      <c r="AR157" s="93">
        <f t="shared" si="295"/>
        <v>0</v>
      </c>
      <c r="AS157" s="93">
        <f t="shared" si="295"/>
        <v>0</v>
      </c>
      <c r="AT157" s="93">
        <f t="shared" si="295"/>
        <v>0</v>
      </c>
      <c r="AU157" s="93">
        <f t="shared" si="295"/>
        <v>0</v>
      </c>
      <c r="AV157" s="93">
        <f t="shared" si="295"/>
        <v>0</v>
      </c>
      <c r="AW157" s="93">
        <f t="shared" ca="1" si="295"/>
        <v>0</v>
      </c>
      <c r="BB157" s="94" t="e">
        <v>#REF!</v>
      </c>
    </row>
    <row r="158" spans="1:54" s="20" customFormat="1" ht="18" customHeight="1">
      <c r="A158" s="643"/>
      <c r="B158" s="95"/>
      <c r="C158" s="652"/>
      <c r="D158" s="96" t="str">
        <f>D157</f>
        <v>PIP</v>
      </c>
      <c r="E158" s="97" t="str">
        <f t="shared" ref="E158:F158" si="309">E157</f>
        <v>RFQ-050</v>
      </c>
      <c r="F158" s="98" t="str">
        <f t="shared" si="309"/>
        <v>N</v>
      </c>
      <c r="G158" s="655"/>
      <c r="H158" s="98" t="str">
        <f t="shared" ref="H158:I158" si="310">H157</f>
        <v>GLOBE VALVE (WELDED END)</v>
      </c>
      <c r="I158" s="97" t="str">
        <f t="shared" si="310"/>
        <v>LC</v>
      </c>
      <c r="J158" s="98"/>
      <c r="K158" s="100"/>
      <c r="L158" s="100">
        <f>M159</f>
        <v>5.0000000000000001E-4</v>
      </c>
      <c r="M158" s="100"/>
      <c r="N158" s="97"/>
      <c r="O158" s="97"/>
      <c r="P158" s="97"/>
      <c r="Q158" s="101" t="s">
        <v>4841</v>
      </c>
      <c r="R158" s="101"/>
      <c r="S158" s="102" t="e">
        <f>S157</f>
        <v>#REF!</v>
      </c>
      <c r="T158" s="103" t="e">
        <f>T157</f>
        <v>#REF!</v>
      </c>
      <c r="U158" s="103" t="e">
        <f t="shared" ref="U158:Z158" si="311">WORKDAY(IF(T159="",T158,T159),INDEX(U$2:U$5,MATCH($I157,$I$2:$I$5,0)),$BB$10:$BB$141)</f>
        <v>#REF!</v>
      </c>
      <c r="V158" s="103" t="e">
        <f t="shared" si="311"/>
        <v>#REF!</v>
      </c>
      <c r="W158" s="103" t="e">
        <f t="shared" si="311"/>
        <v>#REF!</v>
      </c>
      <c r="X158" s="103" t="e">
        <f t="shared" si="311"/>
        <v>#REF!</v>
      </c>
      <c r="Y158" s="103" t="e">
        <f t="shared" si="311"/>
        <v>#REF!</v>
      </c>
      <c r="Z158" s="103" t="e">
        <f t="shared" si="311"/>
        <v>#REF!</v>
      </c>
      <c r="AA158" s="103" t="e">
        <f>WORKDAY(IF(Z159="",X158,Z159),INDEX(AA$2:AA$5,MATCH($I157,$I$2:$I$5,0)),$BB$10:$BB$141)</f>
        <v>#REF!</v>
      </c>
      <c r="AB158" s="104" t="e">
        <f>WORKDAY(AE157+#REF!,0,'[35]Equipment List and MR List (3)'!$A$2:$A$80)</f>
        <v>#REF!</v>
      </c>
      <c r="AC158" s="658"/>
      <c r="AD158" s="105"/>
      <c r="AE158" s="662"/>
      <c r="AF158" s="667"/>
      <c r="AG158" s="670"/>
      <c r="AH158" s="106"/>
      <c r="AI158" s="107"/>
      <c r="AJ158" s="673"/>
      <c r="AK158" s="108"/>
      <c r="AL158" s="109"/>
      <c r="AM158" s="92">
        <f t="shared" si="295"/>
        <v>0</v>
      </c>
      <c r="AN158" s="93">
        <f t="shared" si="295"/>
        <v>0</v>
      </c>
      <c r="AO158" s="93">
        <f t="shared" si="295"/>
        <v>0</v>
      </c>
      <c r="AP158" s="93">
        <f t="shared" si="295"/>
        <v>0</v>
      </c>
      <c r="AQ158" s="93">
        <f t="shared" si="295"/>
        <v>0</v>
      </c>
      <c r="AR158" s="93">
        <f t="shared" si="295"/>
        <v>0</v>
      </c>
      <c r="AS158" s="93">
        <f t="shared" si="295"/>
        <v>0</v>
      </c>
      <c r="AT158" s="93">
        <f t="shared" si="295"/>
        <v>0</v>
      </c>
      <c r="AU158" s="93">
        <f t="shared" si="295"/>
        <v>0</v>
      </c>
      <c r="AV158" s="93">
        <f t="shared" si="295"/>
        <v>0</v>
      </c>
      <c r="AW158" s="93">
        <f t="shared" ca="1" si="295"/>
        <v>0</v>
      </c>
      <c r="BB158" s="94" t="e">
        <v>#REF!</v>
      </c>
    </row>
    <row r="159" spans="1:54" s="20" customFormat="1" ht="18" customHeight="1">
      <c r="A159" s="644"/>
      <c r="B159" s="110"/>
      <c r="C159" s="653"/>
      <c r="D159" s="111" t="str">
        <f>D157</f>
        <v>PIP</v>
      </c>
      <c r="E159" s="112" t="str">
        <f>E157</f>
        <v>RFQ-050</v>
      </c>
      <c r="F159" s="113" t="str">
        <f t="shared" ref="F159" si="312">F157</f>
        <v>N</v>
      </c>
      <c r="G159" s="656"/>
      <c r="H159" s="113" t="str">
        <f t="shared" ref="H159:I159" si="313">H157</f>
        <v>GLOBE VALVE (WELDED END)</v>
      </c>
      <c r="I159" s="112" t="str">
        <f t="shared" si="313"/>
        <v>LC</v>
      </c>
      <c r="J159" s="113"/>
      <c r="K159" s="114"/>
      <c r="L159" s="114"/>
      <c r="M159" s="114">
        <v>5.0000000000000001E-4</v>
      </c>
      <c r="N159" s="112"/>
      <c r="O159" s="112"/>
      <c r="P159" s="112"/>
      <c r="Q159" s="115" t="s">
        <v>4842</v>
      </c>
      <c r="R159" s="115"/>
      <c r="S159" s="126"/>
      <c r="T159" s="126"/>
      <c r="U159" s="126"/>
      <c r="V159" s="126"/>
      <c r="W159" s="126"/>
      <c r="X159" s="126"/>
      <c r="Y159" s="126"/>
      <c r="Z159" s="126"/>
      <c r="AA159" s="126"/>
      <c r="AB159" s="126"/>
      <c r="AC159" s="659"/>
      <c r="AD159" s="116"/>
      <c r="AE159" s="662"/>
      <c r="AF159" s="668"/>
      <c r="AG159" s="671"/>
      <c r="AH159" s="117"/>
      <c r="AI159" s="118"/>
      <c r="AJ159" s="674"/>
      <c r="AK159" s="119"/>
      <c r="AL159" s="120"/>
      <c r="AM159" s="121">
        <f t="shared" si="295"/>
        <v>0</v>
      </c>
      <c r="AN159" s="122">
        <f t="shared" si="295"/>
        <v>0</v>
      </c>
      <c r="AO159" s="122">
        <f t="shared" si="295"/>
        <v>0</v>
      </c>
      <c r="AP159" s="122">
        <f t="shared" si="295"/>
        <v>0</v>
      </c>
      <c r="AQ159" s="122">
        <f t="shared" si="295"/>
        <v>0</v>
      </c>
      <c r="AR159" s="122">
        <f t="shared" si="295"/>
        <v>0</v>
      </c>
      <c r="AS159" s="122">
        <f t="shared" si="295"/>
        <v>0</v>
      </c>
      <c r="AT159" s="122">
        <f t="shared" si="295"/>
        <v>0</v>
      </c>
      <c r="AU159" s="122">
        <f t="shared" si="295"/>
        <v>0</v>
      </c>
      <c r="AV159" s="122">
        <f t="shared" si="295"/>
        <v>0</v>
      </c>
      <c r="AW159" s="122">
        <f t="shared" ca="1" si="295"/>
        <v>0</v>
      </c>
      <c r="BB159" s="94" t="e">
        <v>#REF!</v>
      </c>
    </row>
    <row r="160" spans="1:54" s="20" customFormat="1" ht="18" customHeight="1">
      <c r="A160" s="642">
        <f t="shared" ref="A160" si="314">A157+1</f>
        <v>51</v>
      </c>
      <c r="B160" s="79"/>
      <c r="C160" s="651" t="s">
        <v>4836</v>
      </c>
      <c r="D160" s="80" t="s">
        <v>4848</v>
      </c>
      <c r="E160" s="81" t="s">
        <v>4789</v>
      </c>
      <c r="F160" s="82" t="s">
        <v>71</v>
      </c>
      <c r="G160" s="654" t="s">
        <v>4895</v>
      </c>
      <c r="H160" s="82" t="s">
        <v>224</v>
      </c>
      <c r="I160" s="81" t="s">
        <v>8</v>
      </c>
      <c r="J160" s="82"/>
      <c r="K160" s="84">
        <f>M162</f>
        <v>1E-3</v>
      </c>
      <c r="L160" s="84"/>
      <c r="M160" s="84"/>
      <c r="N160" s="81"/>
      <c r="O160" s="81"/>
      <c r="P160" s="81"/>
      <c r="Q160" s="85" t="s">
        <v>4839</v>
      </c>
      <c r="R160" s="86">
        <f>'Before Award'!U167+5</f>
        <v>46269</v>
      </c>
      <c r="S160" s="86" t="e">
        <f>WORKDAY(R160,INDEX(S$2:S$5,MATCH($I160,$I$2:$I$5,0)),$BB$10:$BB$141)</f>
        <v>#REF!</v>
      </c>
      <c r="T160" s="86" t="e">
        <f>WORKDAY(S160,INDEX(T$2:T$5,MATCH($I160,$I$2:$I$5,0)),$BB$10:$BB$141)</f>
        <v>#REF!</v>
      </c>
      <c r="U160" s="86" t="e">
        <f>T160+30</f>
        <v>#REF!</v>
      </c>
      <c r="V160" s="86"/>
      <c r="W160" s="86">
        <f>AB160-35</f>
        <v>46412</v>
      </c>
      <c r="X160" s="86"/>
      <c r="Y160" s="86"/>
      <c r="Z160" s="86"/>
      <c r="AA160" s="86"/>
      <c r="AB160" s="86">
        <f>'Before Award'!X167</f>
        <v>46447</v>
      </c>
      <c r="AC160" s="657" t="s">
        <v>4840</v>
      </c>
      <c r="AD160" s="87">
        <v>7</v>
      </c>
      <c r="AE160" s="662">
        <v>183</v>
      </c>
      <c r="AF160" s="666" t="e">
        <f>AB161</f>
        <v>#REF!</v>
      </c>
      <c r="AG160" s="669">
        <f>WORKDAY(AH160+1,-1,$BA$10:$BA$141)</f>
        <v>46538</v>
      </c>
      <c r="AH160" s="88">
        <v>46538</v>
      </c>
      <c r="AI160" s="89"/>
      <c r="AJ160" s="672" t="e">
        <f>AG160-AF160</f>
        <v>#REF!</v>
      </c>
      <c r="AK160" s="90"/>
      <c r="AL160" s="91"/>
      <c r="AM160" s="92">
        <f t="shared" ref="AM160:AW169" si="315">IF(ISERROR(LOOKUP(AM$6,$S160:$AB160,$S$9:$AB$9)),0,(LOOKUP(AM$6,$S160:$AB160,$S$9:$AB$9)))</f>
        <v>0</v>
      </c>
      <c r="AN160" s="93">
        <f t="shared" si="315"/>
        <v>0</v>
      </c>
      <c r="AO160" s="93">
        <f t="shared" si="315"/>
        <v>0</v>
      </c>
      <c r="AP160" s="93">
        <f t="shared" si="315"/>
        <v>0</v>
      </c>
      <c r="AQ160" s="93">
        <f t="shared" si="315"/>
        <v>0</v>
      </c>
      <c r="AR160" s="93">
        <f t="shared" si="315"/>
        <v>0</v>
      </c>
      <c r="AS160" s="93">
        <f t="shared" si="315"/>
        <v>0</v>
      </c>
      <c r="AT160" s="93">
        <f t="shared" si="315"/>
        <v>0</v>
      </c>
      <c r="AU160" s="93">
        <f t="shared" si="315"/>
        <v>0</v>
      </c>
      <c r="AV160" s="93">
        <f t="shared" si="315"/>
        <v>0</v>
      </c>
      <c r="AW160" s="93">
        <f t="shared" ca="1" si="315"/>
        <v>0</v>
      </c>
      <c r="BB160" s="94" t="e">
        <v>#REF!</v>
      </c>
    </row>
    <row r="161" spans="1:54" s="20" customFormat="1" ht="18" customHeight="1">
      <c r="A161" s="643"/>
      <c r="B161" s="95"/>
      <c r="C161" s="652"/>
      <c r="D161" s="96" t="str">
        <f>D160</f>
        <v>PIP</v>
      </c>
      <c r="E161" s="97" t="str">
        <f t="shared" ref="E161:F161" si="316">E160</f>
        <v>RFQ-051</v>
      </c>
      <c r="F161" s="98" t="str">
        <f t="shared" si="316"/>
        <v>N</v>
      </c>
      <c r="G161" s="655"/>
      <c r="H161" s="98" t="str">
        <f t="shared" ref="H161:I161" si="317">H160</f>
        <v>CHECK VALVE (FLANGE END)</v>
      </c>
      <c r="I161" s="97" t="str">
        <f t="shared" si="317"/>
        <v>LC</v>
      </c>
      <c r="J161" s="98"/>
      <c r="K161" s="100"/>
      <c r="L161" s="100">
        <f>M162</f>
        <v>1E-3</v>
      </c>
      <c r="M161" s="100"/>
      <c r="N161" s="97"/>
      <c r="O161" s="97"/>
      <c r="P161" s="97"/>
      <c r="Q161" s="101" t="s">
        <v>4841</v>
      </c>
      <c r="R161" s="101"/>
      <c r="S161" s="102" t="e">
        <f>S160</f>
        <v>#REF!</v>
      </c>
      <c r="T161" s="103" t="e">
        <f>T160</f>
        <v>#REF!</v>
      </c>
      <c r="U161" s="103" t="e">
        <f t="shared" ref="U161:Z161" si="318">WORKDAY(IF(T162="",T161,T162),INDEX(U$2:U$5,MATCH($I160,$I$2:$I$5,0)),$BB$10:$BB$141)</f>
        <v>#REF!</v>
      </c>
      <c r="V161" s="103" t="e">
        <f t="shared" si="318"/>
        <v>#REF!</v>
      </c>
      <c r="W161" s="103" t="e">
        <f t="shared" si="318"/>
        <v>#REF!</v>
      </c>
      <c r="X161" s="103" t="e">
        <f t="shared" si="318"/>
        <v>#REF!</v>
      </c>
      <c r="Y161" s="103" t="e">
        <f t="shared" si="318"/>
        <v>#REF!</v>
      </c>
      <c r="Z161" s="103" t="e">
        <f t="shared" si="318"/>
        <v>#REF!</v>
      </c>
      <c r="AA161" s="103" t="e">
        <f>WORKDAY(IF(Z162="",X161,Z162),INDEX(AA$2:AA$5,MATCH($I160,$I$2:$I$5,0)),$BB$10:$BB$141)</f>
        <v>#REF!</v>
      </c>
      <c r="AB161" s="104" t="e">
        <f>WORKDAY(AE160+#REF!,0,'[35]Equipment List and MR List (3)'!$A$2:$A$80)</f>
        <v>#REF!</v>
      </c>
      <c r="AC161" s="658"/>
      <c r="AD161" s="105"/>
      <c r="AE161" s="662"/>
      <c r="AF161" s="667"/>
      <c r="AG161" s="670"/>
      <c r="AH161" s="106"/>
      <c r="AI161" s="107"/>
      <c r="AJ161" s="673"/>
      <c r="AK161" s="108"/>
      <c r="AL161" s="109"/>
      <c r="AM161" s="92">
        <f t="shared" si="315"/>
        <v>0</v>
      </c>
      <c r="AN161" s="93">
        <f t="shared" si="315"/>
        <v>0</v>
      </c>
      <c r="AO161" s="93">
        <f t="shared" si="315"/>
        <v>0</v>
      </c>
      <c r="AP161" s="93">
        <f t="shared" si="315"/>
        <v>0</v>
      </c>
      <c r="AQ161" s="93">
        <f t="shared" si="315"/>
        <v>0</v>
      </c>
      <c r="AR161" s="93">
        <f t="shared" si="315"/>
        <v>0</v>
      </c>
      <c r="AS161" s="93">
        <f t="shared" si="315"/>
        <v>0</v>
      </c>
      <c r="AT161" s="93">
        <f t="shared" si="315"/>
        <v>0</v>
      </c>
      <c r="AU161" s="93">
        <f t="shared" si="315"/>
        <v>0</v>
      </c>
      <c r="AV161" s="93">
        <f t="shared" si="315"/>
        <v>0</v>
      </c>
      <c r="AW161" s="93">
        <f t="shared" ca="1" si="315"/>
        <v>0</v>
      </c>
      <c r="BB161" s="94" t="e">
        <v>#REF!</v>
      </c>
    </row>
    <row r="162" spans="1:54" s="20" customFormat="1" ht="18" customHeight="1">
      <c r="A162" s="644"/>
      <c r="B162" s="110"/>
      <c r="C162" s="653"/>
      <c r="D162" s="111" t="str">
        <f>D160</f>
        <v>PIP</v>
      </c>
      <c r="E162" s="112" t="str">
        <f>E160</f>
        <v>RFQ-051</v>
      </c>
      <c r="F162" s="113" t="str">
        <f t="shared" ref="F162" si="319">F160</f>
        <v>N</v>
      </c>
      <c r="G162" s="656"/>
      <c r="H162" s="113" t="str">
        <f t="shared" ref="H162:I162" si="320">H160</f>
        <v>CHECK VALVE (FLANGE END)</v>
      </c>
      <c r="I162" s="112" t="str">
        <f t="shared" si="320"/>
        <v>LC</v>
      </c>
      <c r="J162" s="113"/>
      <c r="K162" s="114"/>
      <c r="L162" s="114"/>
      <c r="M162" s="114">
        <v>1E-3</v>
      </c>
      <c r="N162" s="112"/>
      <c r="O162" s="112"/>
      <c r="P162" s="112"/>
      <c r="Q162" s="115" t="s">
        <v>4842</v>
      </c>
      <c r="R162" s="115"/>
      <c r="S162" s="126"/>
      <c r="T162" s="126"/>
      <c r="U162" s="126"/>
      <c r="V162" s="126"/>
      <c r="W162" s="126"/>
      <c r="X162" s="126"/>
      <c r="Y162" s="126"/>
      <c r="Z162" s="126"/>
      <c r="AA162" s="126"/>
      <c r="AB162" s="126"/>
      <c r="AC162" s="659"/>
      <c r="AD162" s="116"/>
      <c r="AE162" s="662"/>
      <c r="AF162" s="668"/>
      <c r="AG162" s="671"/>
      <c r="AH162" s="117"/>
      <c r="AI162" s="118"/>
      <c r="AJ162" s="674"/>
      <c r="AK162" s="119"/>
      <c r="AL162" s="120"/>
      <c r="AM162" s="121">
        <f t="shared" si="315"/>
        <v>0</v>
      </c>
      <c r="AN162" s="122">
        <f t="shared" si="315"/>
        <v>0</v>
      </c>
      <c r="AO162" s="122">
        <f t="shared" si="315"/>
        <v>0</v>
      </c>
      <c r="AP162" s="122">
        <f t="shared" si="315"/>
        <v>0</v>
      </c>
      <c r="AQ162" s="122">
        <f t="shared" si="315"/>
        <v>0</v>
      </c>
      <c r="AR162" s="122">
        <f t="shared" si="315"/>
        <v>0</v>
      </c>
      <c r="AS162" s="122">
        <f t="shared" si="315"/>
        <v>0</v>
      </c>
      <c r="AT162" s="122">
        <f t="shared" si="315"/>
        <v>0</v>
      </c>
      <c r="AU162" s="122">
        <f t="shared" si="315"/>
        <v>0</v>
      </c>
      <c r="AV162" s="122">
        <f t="shared" si="315"/>
        <v>0</v>
      </c>
      <c r="AW162" s="122">
        <f t="shared" ca="1" si="315"/>
        <v>0</v>
      </c>
      <c r="BB162" s="94" t="e">
        <v>#REF!</v>
      </c>
    </row>
    <row r="163" spans="1:54" s="20" customFormat="1" ht="18" customHeight="1">
      <c r="A163" s="642">
        <f t="shared" ref="A163" si="321">A160+1</f>
        <v>52</v>
      </c>
      <c r="B163" s="79"/>
      <c r="C163" s="651" t="s">
        <v>4836</v>
      </c>
      <c r="D163" s="80" t="s">
        <v>4868</v>
      </c>
      <c r="E163" s="81" t="s">
        <v>4790</v>
      </c>
      <c r="F163" s="82" t="s">
        <v>71</v>
      </c>
      <c r="G163" s="654" t="s">
        <v>4895</v>
      </c>
      <c r="H163" s="82" t="s">
        <v>226</v>
      </c>
      <c r="I163" s="81" t="s">
        <v>8</v>
      </c>
      <c r="J163" s="82"/>
      <c r="K163" s="84">
        <f>M165</f>
        <v>1E-3</v>
      </c>
      <c r="L163" s="84"/>
      <c r="M163" s="84"/>
      <c r="N163" s="81"/>
      <c r="O163" s="81"/>
      <c r="P163" s="81"/>
      <c r="Q163" s="85" t="s">
        <v>4839</v>
      </c>
      <c r="R163" s="86">
        <f>'Before Award'!U170+5</f>
        <v>46269</v>
      </c>
      <c r="S163" s="86" t="e">
        <f>WORKDAY(R163,INDEX(S$2:S$5,MATCH($I163,$I$2:$I$5,0)),$BB$10:$BB$141)</f>
        <v>#REF!</v>
      </c>
      <c r="T163" s="86" t="e">
        <f>WORKDAY(S163,INDEX(T$2:T$5,MATCH($I163,$I$2:$I$5,0)),$BB$10:$BB$141)</f>
        <v>#REF!</v>
      </c>
      <c r="U163" s="86" t="e">
        <f>T163+30</f>
        <v>#REF!</v>
      </c>
      <c r="V163" s="86"/>
      <c r="W163" s="86">
        <f>AB163-35</f>
        <v>46412</v>
      </c>
      <c r="X163" s="86"/>
      <c r="Y163" s="86"/>
      <c r="Z163" s="86"/>
      <c r="AA163" s="86"/>
      <c r="AB163" s="86">
        <f>'Before Award'!X170</f>
        <v>46447</v>
      </c>
      <c r="AC163" s="657" t="s">
        <v>4840</v>
      </c>
      <c r="AD163" s="87">
        <v>7</v>
      </c>
      <c r="AE163" s="662">
        <v>183</v>
      </c>
      <c r="AF163" s="666" t="e">
        <f>AB164</f>
        <v>#REF!</v>
      </c>
      <c r="AG163" s="669">
        <f>WORKDAY(AH163+1,-1,$BA$10:$BA$141)</f>
        <v>46538</v>
      </c>
      <c r="AH163" s="88">
        <v>46538</v>
      </c>
      <c r="AI163" s="89"/>
      <c r="AJ163" s="672" t="e">
        <f>AG163-AF163</f>
        <v>#REF!</v>
      </c>
      <c r="AK163" s="90"/>
      <c r="AL163" s="91"/>
      <c r="AM163" s="92">
        <f t="shared" si="315"/>
        <v>0</v>
      </c>
      <c r="AN163" s="93">
        <f t="shared" si="315"/>
        <v>0</v>
      </c>
      <c r="AO163" s="93">
        <f t="shared" si="315"/>
        <v>0</v>
      </c>
      <c r="AP163" s="93">
        <f t="shared" si="315"/>
        <v>0</v>
      </c>
      <c r="AQ163" s="93">
        <f t="shared" si="315"/>
        <v>0</v>
      </c>
      <c r="AR163" s="93">
        <f t="shared" si="315"/>
        <v>0</v>
      </c>
      <c r="AS163" s="93">
        <f t="shared" si="315"/>
        <v>0</v>
      </c>
      <c r="AT163" s="93">
        <f t="shared" si="315"/>
        <v>0</v>
      </c>
      <c r="AU163" s="93">
        <f t="shared" si="315"/>
        <v>0</v>
      </c>
      <c r="AV163" s="93">
        <f t="shared" si="315"/>
        <v>0</v>
      </c>
      <c r="AW163" s="93">
        <f t="shared" ca="1" si="315"/>
        <v>0</v>
      </c>
      <c r="BB163" s="94" t="e">
        <v>#REF!</v>
      </c>
    </row>
    <row r="164" spans="1:54" s="20" customFormat="1" ht="18" customHeight="1">
      <c r="A164" s="643"/>
      <c r="B164" s="95"/>
      <c r="C164" s="652"/>
      <c r="D164" s="96" t="s">
        <v>4848</v>
      </c>
      <c r="E164" s="97" t="str">
        <f t="shared" ref="E164:F164" si="322">E163</f>
        <v>RFQ-052</v>
      </c>
      <c r="F164" s="98" t="str">
        <f t="shared" si="322"/>
        <v>N</v>
      </c>
      <c r="G164" s="655"/>
      <c r="H164" s="98" t="str">
        <f t="shared" ref="H164:I164" si="323">H163</f>
        <v>CHECK VALVE (WELDED END)</v>
      </c>
      <c r="I164" s="97" t="str">
        <f t="shared" si="323"/>
        <v>LC</v>
      </c>
      <c r="J164" s="98"/>
      <c r="K164" s="100"/>
      <c r="L164" s="100">
        <f>M165</f>
        <v>1E-3</v>
      </c>
      <c r="M164" s="100"/>
      <c r="N164" s="97"/>
      <c r="O164" s="97"/>
      <c r="P164" s="97"/>
      <c r="Q164" s="101" t="s">
        <v>4841</v>
      </c>
      <c r="R164" s="101"/>
      <c r="S164" s="102" t="e">
        <f>S163</f>
        <v>#REF!</v>
      </c>
      <c r="T164" s="103" t="e">
        <f>T163</f>
        <v>#REF!</v>
      </c>
      <c r="U164" s="103" t="e">
        <f t="shared" ref="U164:Z164" si="324">WORKDAY(IF(T165="",T164,T165),INDEX(U$2:U$5,MATCH($I163,$I$2:$I$5,0)),$BB$10:$BB$141)</f>
        <v>#REF!</v>
      </c>
      <c r="V164" s="103" t="e">
        <f t="shared" si="324"/>
        <v>#REF!</v>
      </c>
      <c r="W164" s="103" t="e">
        <f t="shared" si="324"/>
        <v>#REF!</v>
      </c>
      <c r="X164" s="103" t="e">
        <f t="shared" si="324"/>
        <v>#REF!</v>
      </c>
      <c r="Y164" s="103" t="e">
        <f t="shared" si="324"/>
        <v>#REF!</v>
      </c>
      <c r="Z164" s="103" t="e">
        <f t="shared" si="324"/>
        <v>#REF!</v>
      </c>
      <c r="AA164" s="103" t="e">
        <f>WORKDAY(IF(Z165="",X164,Z165),INDEX(AA$2:AA$5,MATCH($I163,$I$2:$I$5,0)),$BB$10:$BB$141)</f>
        <v>#REF!</v>
      </c>
      <c r="AB164" s="104" t="e">
        <f>WORKDAY(AE163+#REF!,0,'[35]Equipment List and MR List (3)'!$A$2:$A$80)</f>
        <v>#REF!</v>
      </c>
      <c r="AC164" s="658"/>
      <c r="AD164" s="105"/>
      <c r="AE164" s="662"/>
      <c r="AF164" s="667"/>
      <c r="AG164" s="670"/>
      <c r="AH164" s="106"/>
      <c r="AI164" s="107"/>
      <c r="AJ164" s="673"/>
      <c r="AK164" s="108"/>
      <c r="AL164" s="109"/>
      <c r="AM164" s="92">
        <f t="shared" si="315"/>
        <v>0</v>
      </c>
      <c r="AN164" s="93">
        <f t="shared" si="315"/>
        <v>0</v>
      </c>
      <c r="AO164" s="93">
        <f t="shared" si="315"/>
        <v>0</v>
      </c>
      <c r="AP164" s="93">
        <f t="shared" si="315"/>
        <v>0</v>
      </c>
      <c r="AQ164" s="93">
        <f t="shared" si="315"/>
        <v>0</v>
      </c>
      <c r="AR164" s="93">
        <f t="shared" si="315"/>
        <v>0</v>
      </c>
      <c r="AS164" s="93">
        <f t="shared" si="315"/>
        <v>0</v>
      </c>
      <c r="AT164" s="93">
        <f t="shared" si="315"/>
        <v>0</v>
      </c>
      <c r="AU164" s="93">
        <f t="shared" si="315"/>
        <v>0</v>
      </c>
      <c r="AV164" s="93">
        <f t="shared" si="315"/>
        <v>0</v>
      </c>
      <c r="AW164" s="93">
        <f t="shared" ca="1" si="315"/>
        <v>0</v>
      </c>
      <c r="BB164" s="94" t="e">
        <v>#REF!</v>
      </c>
    </row>
    <row r="165" spans="1:54" s="20" customFormat="1" ht="18" customHeight="1">
      <c r="A165" s="644"/>
      <c r="B165" s="110"/>
      <c r="C165" s="653"/>
      <c r="D165" s="111" t="str">
        <f>D163</f>
        <v>INS</v>
      </c>
      <c r="E165" s="112" t="str">
        <f>E163</f>
        <v>RFQ-052</v>
      </c>
      <c r="F165" s="113" t="str">
        <f t="shared" ref="F165" si="325">F163</f>
        <v>N</v>
      </c>
      <c r="G165" s="656"/>
      <c r="H165" s="113" t="str">
        <f t="shared" ref="H165:I165" si="326">H163</f>
        <v>CHECK VALVE (WELDED END)</v>
      </c>
      <c r="I165" s="112" t="str">
        <f t="shared" si="326"/>
        <v>LC</v>
      </c>
      <c r="J165" s="113"/>
      <c r="K165" s="114"/>
      <c r="L165" s="114"/>
      <c r="M165" s="114">
        <v>1E-3</v>
      </c>
      <c r="N165" s="112"/>
      <c r="O165" s="112"/>
      <c r="P165" s="112"/>
      <c r="Q165" s="115" t="s">
        <v>4842</v>
      </c>
      <c r="R165" s="115"/>
      <c r="S165" s="126"/>
      <c r="T165" s="126"/>
      <c r="U165" s="126"/>
      <c r="V165" s="126"/>
      <c r="W165" s="126"/>
      <c r="X165" s="126"/>
      <c r="Y165" s="126"/>
      <c r="Z165" s="126"/>
      <c r="AA165" s="126"/>
      <c r="AB165" s="126"/>
      <c r="AC165" s="659"/>
      <c r="AD165" s="116"/>
      <c r="AE165" s="662"/>
      <c r="AF165" s="668"/>
      <c r="AG165" s="671"/>
      <c r="AH165" s="117"/>
      <c r="AI165" s="118"/>
      <c r="AJ165" s="674"/>
      <c r="AK165" s="119"/>
      <c r="AL165" s="120"/>
      <c r="AM165" s="121">
        <f t="shared" si="315"/>
        <v>0</v>
      </c>
      <c r="AN165" s="122">
        <f t="shared" si="315"/>
        <v>0</v>
      </c>
      <c r="AO165" s="122">
        <f t="shared" si="315"/>
        <v>0</v>
      </c>
      <c r="AP165" s="122">
        <f t="shared" si="315"/>
        <v>0</v>
      </c>
      <c r="AQ165" s="122">
        <f t="shared" si="315"/>
        <v>0</v>
      </c>
      <c r="AR165" s="122">
        <f t="shared" si="315"/>
        <v>0</v>
      </c>
      <c r="AS165" s="122">
        <f t="shared" si="315"/>
        <v>0</v>
      </c>
      <c r="AT165" s="122">
        <f t="shared" si="315"/>
        <v>0</v>
      </c>
      <c r="AU165" s="122">
        <f t="shared" si="315"/>
        <v>0</v>
      </c>
      <c r="AV165" s="122">
        <f t="shared" si="315"/>
        <v>0</v>
      </c>
      <c r="AW165" s="122">
        <f t="shared" ca="1" si="315"/>
        <v>0</v>
      </c>
      <c r="BB165" s="94" t="e">
        <v>#REF!</v>
      </c>
    </row>
    <row r="166" spans="1:54" s="20" customFormat="1" ht="18" customHeight="1">
      <c r="A166" s="642">
        <f t="shared" ref="A166" si="327">A163+1</f>
        <v>53</v>
      </c>
      <c r="B166" s="79"/>
      <c r="C166" s="651" t="s">
        <v>4836</v>
      </c>
      <c r="D166" s="80" t="s">
        <v>4848</v>
      </c>
      <c r="E166" s="81" t="s">
        <v>4791</v>
      </c>
      <c r="F166" s="82" t="s">
        <v>71</v>
      </c>
      <c r="G166" s="654" t="s">
        <v>4895</v>
      </c>
      <c r="H166" s="82" t="s">
        <v>228</v>
      </c>
      <c r="I166" s="81" t="s">
        <v>7</v>
      </c>
      <c r="J166" s="82"/>
      <c r="K166" s="84">
        <f>M168</f>
        <v>1E-3</v>
      </c>
      <c r="L166" s="84"/>
      <c r="M166" s="84"/>
      <c r="N166" s="81"/>
      <c r="O166" s="81"/>
      <c r="P166" s="81"/>
      <c r="Q166" s="85" t="s">
        <v>4839</v>
      </c>
      <c r="R166" s="86">
        <f>'Before Award'!U173+5</f>
        <v>46242</v>
      </c>
      <c r="S166" s="86" t="e">
        <f>WORKDAY(R166,INDEX(S$2:S$5,MATCH($I166,$I$2:$I$5,0)),$BB$10:$BB$141)</f>
        <v>#REF!</v>
      </c>
      <c r="T166" s="86" t="e">
        <f>WORKDAY(S166,INDEX(T$2:T$5,MATCH($I166,$I$2:$I$5,0)),$BB$10:$BB$141)</f>
        <v>#REF!</v>
      </c>
      <c r="U166" s="86" t="e">
        <f>T166+30</f>
        <v>#REF!</v>
      </c>
      <c r="V166" s="86"/>
      <c r="W166" s="86">
        <f>AB166-35</f>
        <v>46412</v>
      </c>
      <c r="X166" s="86"/>
      <c r="Y166" s="86"/>
      <c r="Z166" s="86"/>
      <c r="AA166" s="86"/>
      <c r="AB166" s="86">
        <f>'Before Award'!X173</f>
        <v>46447</v>
      </c>
      <c r="AC166" s="657" t="s">
        <v>4840</v>
      </c>
      <c r="AD166" s="87">
        <v>7</v>
      </c>
      <c r="AE166" s="662">
        <v>183</v>
      </c>
      <c r="AF166" s="666" t="e">
        <f>AB167</f>
        <v>#REF!</v>
      </c>
      <c r="AG166" s="669">
        <f>WORKDAY(AH166+1,-1,$BA$10:$BA$141)</f>
        <v>46538</v>
      </c>
      <c r="AH166" s="88">
        <v>46538</v>
      </c>
      <c r="AI166" s="89"/>
      <c r="AJ166" s="672" t="e">
        <f>AG166-AF166</f>
        <v>#REF!</v>
      </c>
      <c r="AK166" s="90"/>
      <c r="AL166" s="91"/>
      <c r="AM166" s="92">
        <f t="shared" si="315"/>
        <v>0</v>
      </c>
      <c r="AN166" s="93">
        <f t="shared" si="315"/>
        <v>0</v>
      </c>
      <c r="AO166" s="93">
        <f t="shared" si="315"/>
        <v>0</v>
      </c>
      <c r="AP166" s="93">
        <f t="shared" si="315"/>
        <v>0</v>
      </c>
      <c r="AQ166" s="93">
        <f t="shared" si="315"/>
        <v>0</v>
      </c>
      <c r="AR166" s="93">
        <f t="shared" si="315"/>
        <v>0</v>
      </c>
      <c r="AS166" s="93">
        <f t="shared" si="315"/>
        <v>0</v>
      </c>
      <c r="AT166" s="93">
        <f t="shared" si="315"/>
        <v>0</v>
      </c>
      <c r="AU166" s="93">
        <f t="shared" si="315"/>
        <v>0</v>
      </c>
      <c r="AV166" s="93">
        <f t="shared" si="315"/>
        <v>0</v>
      </c>
      <c r="AW166" s="93">
        <f t="shared" ca="1" si="315"/>
        <v>0</v>
      </c>
      <c r="BB166" s="94" t="e">
        <v>#REF!</v>
      </c>
    </row>
    <row r="167" spans="1:54" s="20" customFormat="1" ht="18" customHeight="1">
      <c r="A167" s="643"/>
      <c r="B167" s="95"/>
      <c r="C167" s="652"/>
      <c r="D167" s="96" t="str">
        <f>D166</f>
        <v>PIP</v>
      </c>
      <c r="E167" s="97" t="str">
        <f t="shared" ref="E167:F167" si="328">E166</f>
        <v>RFQ-053</v>
      </c>
      <c r="F167" s="98" t="str">
        <f t="shared" si="328"/>
        <v>N</v>
      </c>
      <c r="G167" s="655"/>
      <c r="H167" s="98" t="str">
        <f t="shared" ref="H167:I167" si="329">H166</f>
        <v>COMPACT CHECK VALVE (WELDED END)</v>
      </c>
      <c r="I167" s="97" t="str">
        <f t="shared" si="329"/>
        <v>LB</v>
      </c>
      <c r="J167" s="98"/>
      <c r="K167" s="100"/>
      <c r="L167" s="100">
        <f>M168</f>
        <v>1E-3</v>
      </c>
      <c r="M167" s="100"/>
      <c r="N167" s="97"/>
      <c r="O167" s="97"/>
      <c r="P167" s="97"/>
      <c r="Q167" s="101" t="s">
        <v>4841</v>
      </c>
      <c r="R167" s="101"/>
      <c r="S167" s="102" t="e">
        <f>S166</f>
        <v>#REF!</v>
      </c>
      <c r="T167" s="103" t="e">
        <f>T166</f>
        <v>#REF!</v>
      </c>
      <c r="U167" s="103" t="e">
        <f t="shared" ref="U167:Z167" si="330">WORKDAY(IF(T168="",T167,T168),INDEX(U$2:U$5,MATCH($I166,$I$2:$I$5,0)),$BB$10:$BB$141)</f>
        <v>#REF!</v>
      </c>
      <c r="V167" s="103" t="e">
        <f t="shared" si="330"/>
        <v>#REF!</v>
      </c>
      <c r="W167" s="103" t="e">
        <f t="shared" si="330"/>
        <v>#REF!</v>
      </c>
      <c r="X167" s="103" t="e">
        <f t="shared" si="330"/>
        <v>#REF!</v>
      </c>
      <c r="Y167" s="103" t="e">
        <f t="shared" si="330"/>
        <v>#REF!</v>
      </c>
      <c r="Z167" s="103" t="e">
        <f t="shared" si="330"/>
        <v>#REF!</v>
      </c>
      <c r="AA167" s="103" t="e">
        <f>WORKDAY(IF(Z168="",X167,Z168),INDEX(AA$2:AA$5,MATCH($I166,$I$2:$I$5,0)),$BB$10:$BB$141)</f>
        <v>#REF!</v>
      </c>
      <c r="AB167" s="104" t="e">
        <f>WORKDAY(AE166+#REF!,0,'[35]Equipment List and MR List (3)'!$A$2:$A$80)</f>
        <v>#REF!</v>
      </c>
      <c r="AC167" s="658"/>
      <c r="AD167" s="105"/>
      <c r="AE167" s="662"/>
      <c r="AF167" s="667"/>
      <c r="AG167" s="670"/>
      <c r="AH167" s="106"/>
      <c r="AI167" s="107"/>
      <c r="AJ167" s="673"/>
      <c r="AK167" s="108"/>
      <c r="AL167" s="109"/>
      <c r="AM167" s="92">
        <f t="shared" si="315"/>
        <v>0</v>
      </c>
      <c r="AN167" s="93">
        <f t="shared" si="315"/>
        <v>0</v>
      </c>
      <c r="AO167" s="93">
        <f t="shared" si="315"/>
        <v>0</v>
      </c>
      <c r="AP167" s="93">
        <f t="shared" si="315"/>
        <v>0</v>
      </c>
      <c r="AQ167" s="93">
        <f t="shared" si="315"/>
        <v>0</v>
      </c>
      <c r="AR167" s="93">
        <f t="shared" si="315"/>
        <v>0</v>
      </c>
      <c r="AS167" s="93">
        <f t="shared" si="315"/>
        <v>0</v>
      </c>
      <c r="AT167" s="93">
        <f t="shared" si="315"/>
        <v>0</v>
      </c>
      <c r="AU167" s="93">
        <f t="shared" si="315"/>
        <v>0</v>
      </c>
      <c r="AV167" s="93">
        <f t="shared" si="315"/>
        <v>0</v>
      </c>
      <c r="AW167" s="93">
        <f t="shared" ca="1" si="315"/>
        <v>0</v>
      </c>
      <c r="BB167" s="94" t="e">
        <v>#REF!</v>
      </c>
    </row>
    <row r="168" spans="1:54" s="20" customFormat="1" ht="18" customHeight="1">
      <c r="A168" s="644"/>
      <c r="B168" s="110"/>
      <c r="C168" s="653"/>
      <c r="D168" s="111" t="str">
        <f>D166</f>
        <v>PIP</v>
      </c>
      <c r="E168" s="112" t="str">
        <f>E166</f>
        <v>RFQ-053</v>
      </c>
      <c r="F168" s="113" t="str">
        <f t="shared" ref="F168" si="331">F166</f>
        <v>N</v>
      </c>
      <c r="G168" s="656"/>
      <c r="H168" s="113" t="str">
        <f t="shared" ref="H168:I168" si="332">H166</f>
        <v>COMPACT CHECK VALVE (WELDED END)</v>
      </c>
      <c r="I168" s="112" t="str">
        <f t="shared" si="332"/>
        <v>LB</v>
      </c>
      <c r="J168" s="113"/>
      <c r="K168" s="114"/>
      <c r="L168" s="114"/>
      <c r="M168" s="114">
        <v>1E-3</v>
      </c>
      <c r="N168" s="112"/>
      <c r="O168" s="112"/>
      <c r="P168" s="112"/>
      <c r="Q168" s="115" t="s">
        <v>4842</v>
      </c>
      <c r="R168" s="115"/>
      <c r="S168" s="126"/>
      <c r="T168" s="126"/>
      <c r="U168" s="126"/>
      <c r="V168" s="126"/>
      <c r="W168" s="126"/>
      <c r="X168" s="126"/>
      <c r="Y168" s="126"/>
      <c r="Z168" s="126"/>
      <c r="AA168" s="126"/>
      <c r="AB168" s="126"/>
      <c r="AC168" s="659"/>
      <c r="AD168" s="116"/>
      <c r="AE168" s="662"/>
      <c r="AF168" s="668"/>
      <c r="AG168" s="671"/>
      <c r="AH168" s="117"/>
      <c r="AI168" s="118"/>
      <c r="AJ168" s="674"/>
      <c r="AK168" s="119"/>
      <c r="AL168" s="120"/>
      <c r="AM168" s="121">
        <f t="shared" si="315"/>
        <v>0</v>
      </c>
      <c r="AN168" s="122">
        <f t="shared" si="315"/>
        <v>0</v>
      </c>
      <c r="AO168" s="122">
        <f t="shared" si="315"/>
        <v>0</v>
      </c>
      <c r="AP168" s="122">
        <f t="shared" si="315"/>
        <v>0</v>
      </c>
      <c r="AQ168" s="122">
        <f t="shared" si="315"/>
        <v>0</v>
      </c>
      <c r="AR168" s="122">
        <f t="shared" si="315"/>
        <v>0</v>
      </c>
      <c r="AS168" s="122">
        <f t="shared" si="315"/>
        <v>0</v>
      </c>
      <c r="AT168" s="122">
        <f t="shared" si="315"/>
        <v>0</v>
      </c>
      <c r="AU168" s="122">
        <f t="shared" si="315"/>
        <v>0</v>
      </c>
      <c r="AV168" s="122">
        <f t="shared" si="315"/>
        <v>0</v>
      </c>
      <c r="AW168" s="122">
        <f t="shared" ca="1" si="315"/>
        <v>0</v>
      </c>
      <c r="BB168" s="94"/>
    </row>
    <row r="169" spans="1:54" s="20" customFormat="1" ht="18" customHeight="1">
      <c r="A169" s="642">
        <f t="shared" ref="A169" si="333">A166+1</f>
        <v>54</v>
      </c>
      <c r="B169" s="648" t="s">
        <v>4896</v>
      </c>
      <c r="C169" s="651" t="s">
        <v>4836</v>
      </c>
      <c r="D169" s="80" t="s">
        <v>4897</v>
      </c>
      <c r="E169" s="81" t="s">
        <v>4898</v>
      </c>
      <c r="F169" s="82" t="str">
        <f>IF(_xlfn.XLOOKUP(E169,'[35]Before Award'!D:D,'[35]Before Award'!AV:AV,"N/A")="N/A","N","Y")</f>
        <v>N</v>
      </c>
      <c r="G169" s="654"/>
      <c r="H169" s="123" t="s">
        <v>4792</v>
      </c>
      <c r="I169" s="81" t="s">
        <v>6</v>
      </c>
      <c r="J169" s="82"/>
      <c r="K169" s="84">
        <f>M171</f>
        <v>1E-3</v>
      </c>
      <c r="L169" s="84"/>
      <c r="M169" s="84"/>
      <c r="N169" s="81"/>
      <c r="O169" s="81"/>
      <c r="P169" s="81"/>
      <c r="Q169" s="85" t="s">
        <v>4839</v>
      </c>
      <c r="R169" s="86">
        <f>'Before Award'!U176+5</f>
        <v>46129</v>
      </c>
      <c r="S169" s="86" t="e">
        <f>WORKDAY(R169,INDEX(S$2:S$5,MATCH($I169,$I$2:$I$5,0)),$BB$10:$BB$141)</f>
        <v>#REF!</v>
      </c>
      <c r="T169" s="86" t="e">
        <f>WORKDAY(S169,INDEX(T$2:T$5,MATCH($I169,$I$2:$I$5,0)),$BB$10:$BB$141)</f>
        <v>#REF!</v>
      </c>
      <c r="U169" s="86" t="e">
        <f>T169+10</f>
        <v>#REF!</v>
      </c>
      <c r="V169" s="86"/>
      <c r="W169" s="86">
        <f>AB169-35</f>
        <v>46209</v>
      </c>
      <c r="X169" s="86"/>
      <c r="Y169" s="86"/>
      <c r="Z169" s="86"/>
      <c r="AA169" s="86"/>
      <c r="AB169" s="86">
        <f>'Before Award'!X176</f>
        <v>46244</v>
      </c>
      <c r="AC169" s="657" t="s">
        <v>4840</v>
      </c>
      <c r="AD169" s="87">
        <v>7</v>
      </c>
      <c r="AE169" s="660">
        <v>84</v>
      </c>
      <c r="AF169" s="666" t="e">
        <f>AB170</f>
        <v>#REF!</v>
      </c>
      <c r="AG169" s="669">
        <f>WORKDAY(AH169+1,-1,$BA$10:$BA$141)</f>
        <v>46244</v>
      </c>
      <c r="AH169" s="88">
        <v>46244</v>
      </c>
      <c r="AI169" s="89"/>
      <c r="AJ169" s="672" t="e">
        <f>AG169-AF169</f>
        <v>#REF!</v>
      </c>
      <c r="AK169" s="90"/>
      <c r="AL169" s="91"/>
      <c r="AM169" s="92">
        <f t="shared" si="315"/>
        <v>0</v>
      </c>
      <c r="AN169" s="93">
        <f t="shared" si="315"/>
        <v>0</v>
      </c>
      <c r="AO169" s="93">
        <f t="shared" si="315"/>
        <v>0</v>
      </c>
      <c r="AP169" s="93">
        <f t="shared" si="315"/>
        <v>0</v>
      </c>
      <c r="AQ169" s="93">
        <f t="shared" si="315"/>
        <v>0</v>
      </c>
      <c r="AR169" s="93">
        <f t="shared" si="315"/>
        <v>0</v>
      </c>
      <c r="AS169" s="93">
        <f t="shared" si="315"/>
        <v>0</v>
      </c>
      <c r="AT169" s="93">
        <f t="shared" si="315"/>
        <v>0</v>
      </c>
      <c r="AU169" s="93">
        <f t="shared" si="315"/>
        <v>0</v>
      </c>
      <c r="AV169" s="93">
        <f t="shared" si="315"/>
        <v>0</v>
      </c>
      <c r="AW169" s="93">
        <f t="shared" ca="1" si="315"/>
        <v>0</v>
      </c>
      <c r="BB169" s="94"/>
    </row>
    <row r="170" spans="1:54" s="20" customFormat="1" ht="18" customHeight="1">
      <c r="A170" s="643"/>
      <c r="B170" s="649"/>
      <c r="C170" s="652"/>
      <c r="D170" s="96" t="str">
        <f>D169</f>
        <v>STR</v>
      </c>
      <c r="E170" s="97" t="str">
        <f t="shared" ref="E170:F170" si="334">E169</f>
        <v>RFQ-054</v>
      </c>
      <c r="F170" s="98" t="str">
        <f t="shared" si="334"/>
        <v>N</v>
      </c>
      <c r="G170" s="655"/>
      <c r="H170" s="124" t="str">
        <f t="shared" ref="H170:I170" si="335">H169</f>
        <v>Primary Steel - Plate</v>
      </c>
      <c r="I170" s="97" t="str">
        <f t="shared" si="335"/>
        <v>LA</v>
      </c>
      <c r="J170" s="98"/>
      <c r="K170" s="100"/>
      <c r="L170" s="100">
        <f>M171</f>
        <v>1E-3</v>
      </c>
      <c r="M170" s="100"/>
      <c r="N170" s="97"/>
      <c r="O170" s="97"/>
      <c r="P170" s="97"/>
      <c r="Q170" s="101" t="s">
        <v>4841</v>
      </c>
      <c r="R170" s="101"/>
      <c r="S170" s="102" t="e">
        <f>S169</f>
        <v>#REF!</v>
      </c>
      <c r="T170" s="103" t="e">
        <f>T169</f>
        <v>#REF!</v>
      </c>
      <c r="U170" s="103" t="e">
        <f t="shared" ref="U170:Z170" si="336">WORKDAY(IF(T171="",T170,T171),INDEX(U$2:U$5,MATCH($I169,$I$2:$I$5,0)),$BB$10:$BB$141)</f>
        <v>#REF!</v>
      </c>
      <c r="V170" s="103" t="e">
        <f t="shared" si="336"/>
        <v>#REF!</v>
      </c>
      <c r="W170" s="103" t="e">
        <f t="shared" si="336"/>
        <v>#REF!</v>
      </c>
      <c r="X170" s="103" t="e">
        <f t="shared" si="336"/>
        <v>#REF!</v>
      </c>
      <c r="Y170" s="103" t="e">
        <f t="shared" si="336"/>
        <v>#REF!</v>
      </c>
      <c r="Z170" s="103" t="e">
        <f t="shared" si="336"/>
        <v>#REF!</v>
      </c>
      <c r="AA170" s="103" t="e">
        <f>WORKDAY(IF(Z171="",X170,Z171),INDEX(AA$2:AA$5,MATCH($I169,$I$2:$I$5,0)),$BB$10:$BB$141)</f>
        <v>#REF!</v>
      </c>
      <c r="AB170" s="104" t="e">
        <f>WORKDAY(AE169+#REF!,0,'[35]Equipment List and MR List (3)'!$A$2:$A$80)</f>
        <v>#REF!</v>
      </c>
      <c r="AC170" s="658"/>
      <c r="AD170" s="105"/>
      <c r="AE170" s="660"/>
      <c r="AF170" s="667"/>
      <c r="AG170" s="670"/>
      <c r="AH170" s="106"/>
      <c r="AI170" s="107"/>
      <c r="AJ170" s="673"/>
      <c r="AK170" s="108"/>
      <c r="AL170" s="109"/>
      <c r="AM170" s="92">
        <f t="shared" ref="AM170:AW179" si="337">IF(ISERROR(LOOKUP(AM$6,$S170:$AB170,$S$9:$AB$9)),0,(LOOKUP(AM$6,$S170:$AB170,$S$9:$AB$9)))</f>
        <v>0</v>
      </c>
      <c r="AN170" s="93">
        <f t="shared" si="337"/>
        <v>0</v>
      </c>
      <c r="AO170" s="93">
        <f t="shared" si="337"/>
        <v>0</v>
      </c>
      <c r="AP170" s="93">
        <f t="shared" si="337"/>
        <v>0</v>
      </c>
      <c r="AQ170" s="93">
        <f t="shared" si="337"/>
        <v>0</v>
      </c>
      <c r="AR170" s="93">
        <f t="shared" si="337"/>
        <v>0</v>
      </c>
      <c r="AS170" s="93">
        <f t="shared" si="337"/>
        <v>0</v>
      </c>
      <c r="AT170" s="93">
        <f t="shared" si="337"/>
        <v>0</v>
      </c>
      <c r="AU170" s="93">
        <f t="shared" si="337"/>
        <v>0</v>
      </c>
      <c r="AV170" s="93">
        <f t="shared" si="337"/>
        <v>0</v>
      </c>
      <c r="AW170" s="93">
        <f t="shared" ca="1" si="337"/>
        <v>0</v>
      </c>
      <c r="BB170" s="94"/>
    </row>
    <row r="171" spans="1:54" s="20" customFormat="1" ht="18" customHeight="1">
      <c r="A171" s="644"/>
      <c r="B171" s="650"/>
      <c r="C171" s="653"/>
      <c r="D171" s="111" t="str">
        <f>D169</f>
        <v>STR</v>
      </c>
      <c r="E171" s="112" t="str">
        <f>E169</f>
        <v>RFQ-054</v>
      </c>
      <c r="F171" s="113" t="str">
        <f t="shared" ref="F171" si="338">F169</f>
        <v>N</v>
      </c>
      <c r="G171" s="656"/>
      <c r="H171" s="124" t="str">
        <f t="shared" ref="H171:I171" si="339">H169</f>
        <v>Primary Steel - Plate</v>
      </c>
      <c r="I171" s="112" t="str">
        <f t="shared" si="339"/>
        <v>LA</v>
      </c>
      <c r="J171" s="113"/>
      <c r="K171" s="114"/>
      <c r="L171" s="114"/>
      <c r="M171" s="114">
        <v>1E-3</v>
      </c>
      <c r="N171" s="112"/>
      <c r="O171" s="112"/>
      <c r="P171" s="112"/>
      <c r="Q171" s="115" t="s">
        <v>4842</v>
      </c>
      <c r="R171" s="115"/>
      <c r="S171" s="126"/>
      <c r="T171" s="126"/>
      <c r="U171" s="126"/>
      <c r="V171" s="126"/>
      <c r="W171" s="126"/>
      <c r="X171" s="126"/>
      <c r="Y171" s="126"/>
      <c r="Z171" s="126"/>
      <c r="AA171" s="126"/>
      <c r="AB171" s="126"/>
      <c r="AC171" s="659"/>
      <c r="AD171" s="116"/>
      <c r="AE171" s="660"/>
      <c r="AF171" s="668"/>
      <c r="AG171" s="671"/>
      <c r="AH171" s="117"/>
      <c r="AI171" s="118"/>
      <c r="AJ171" s="674"/>
      <c r="AK171" s="119"/>
      <c r="AL171" s="120"/>
      <c r="AM171" s="121">
        <f t="shared" si="337"/>
        <v>0</v>
      </c>
      <c r="AN171" s="122">
        <f t="shared" si="337"/>
        <v>0</v>
      </c>
      <c r="AO171" s="122">
        <f t="shared" si="337"/>
        <v>0</v>
      </c>
      <c r="AP171" s="122">
        <f t="shared" si="337"/>
        <v>0</v>
      </c>
      <c r="AQ171" s="122">
        <f t="shared" si="337"/>
        <v>0</v>
      </c>
      <c r="AR171" s="122">
        <f t="shared" si="337"/>
        <v>0</v>
      </c>
      <c r="AS171" s="122">
        <f t="shared" si="337"/>
        <v>0</v>
      </c>
      <c r="AT171" s="122">
        <f t="shared" si="337"/>
        <v>0</v>
      </c>
      <c r="AU171" s="122">
        <f t="shared" si="337"/>
        <v>0</v>
      </c>
      <c r="AV171" s="122">
        <f t="shared" si="337"/>
        <v>0</v>
      </c>
      <c r="AW171" s="122">
        <f t="shared" ca="1" si="337"/>
        <v>0</v>
      </c>
      <c r="BB171" s="94"/>
    </row>
    <row r="172" spans="1:54" s="20" customFormat="1" ht="18" customHeight="1">
      <c r="A172" s="642">
        <f t="shared" ref="A172" si="340">A169+1</f>
        <v>55</v>
      </c>
      <c r="B172" s="648" t="s">
        <v>4896</v>
      </c>
      <c r="C172" s="651" t="s">
        <v>4836</v>
      </c>
      <c r="D172" s="80" t="s">
        <v>4897</v>
      </c>
      <c r="E172" s="81" t="s">
        <v>4898</v>
      </c>
      <c r="F172" s="82" t="str">
        <f>IF(_xlfn.XLOOKUP(E172,'[35]Before Award'!D:D,'[35]Before Award'!AV:AV,"N/A")="N/A","N","Y")</f>
        <v>N</v>
      </c>
      <c r="G172" s="654"/>
      <c r="H172" s="123" t="s">
        <v>4795</v>
      </c>
      <c r="I172" s="81" t="s">
        <v>6</v>
      </c>
      <c r="J172" s="82"/>
      <c r="K172" s="84">
        <f>M174</f>
        <v>1E-3</v>
      </c>
      <c r="L172" s="84"/>
      <c r="M172" s="84"/>
      <c r="N172" s="81"/>
      <c r="O172" s="81"/>
      <c r="P172" s="81"/>
      <c r="Q172" s="85" t="s">
        <v>4839</v>
      </c>
      <c r="R172" s="86">
        <f>'Before Award'!U179+5</f>
        <v>46129</v>
      </c>
      <c r="S172" s="86" t="e">
        <f>WORKDAY(R172,INDEX(S$2:S$5,MATCH($I172,$I$2:$I$5,0)),$BB$10:$BB$141)</f>
        <v>#REF!</v>
      </c>
      <c r="T172" s="86" t="e">
        <f>WORKDAY(S172,INDEX(T$2:T$5,MATCH($I172,$I$2:$I$5,0)),$BB$10:$BB$141)</f>
        <v>#REF!</v>
      </c>
      <c r="U172" s="86" t="e">
        <f>T172+10</f>
        <v>#REF!</v>
      </c>
      <c r="V172" s="86"/>
      <c r="W172" s="86">
        <f>AB172-35</f>
        <v>46209</v>
      </c>
      <c r="X172" s="86"/>
      <c r="Y172" s="86"/>
      <c r="Z172" s="86"/>
      <c r="AA172" s="86"/>
      <c r="AB172" s="86">
        <f>'Before Award'!X179</f>
        <v>46244</v>
      </c>
      <c r="AC172" s="657" t="s">
        <v>4840</v>
      </c>
      <c r="AD172" s="87">
        <v>7</v>
      </c>
      <c r="AE172" s="660">
        <f>19*7</f>
        <v>133</v>
      </c>
      <c r="AF172" s="666" t="e">
        <f>AB173</f>
        <v>#REF!</v>
      </c>
      <c r="AG172" s="669">
        <f>WORKDAY(AH172+1,-1,$BA$10:$BA$141)</f>
        <v>46244</v>
      </c>
      <c r="AH172" s="88">
        <v>46244</v>
      </c>
      <c r="AI172" s="89"/>
      <c r="AJ172" s="672" t="e">
        <f>AG172-AF172</f>
        <v>#REF!</v>
      </c>
      <c r="AK172" s="90"/>
      <c r="AL172" s="91"/>
      <c r="AM172" s="92">
        <f t="shared" si="337"/>
        <v>0</v>
      </c>
      <c r="AN172" s="93">
        <f t="shared" si="337"/>
        <v>0</v>
      </c>
      <c r="AO172" s="93">
        <f t="shared" si="337"/>
        <v>0</v>
      </c>
      <c r="AP172" s="93">
        <f t="shared" si="337"/>
        <v>0</v>
      </c>
      <c r="AQ172" s="93">
        <f t="shared" si="337"/>
        <v>0</v>
      </c>
      <c r="AR172" s="93">
        <f t="shared" si="337"/>
        <v>0</v>
      </c>
      <c r="AS172" s="93">
        <f t="shared" si="337"/>
        <v>0</v>
      </c>
      <c r="AT172" s="93">
        <f t="shared" si="337"/>
        <v>0</v>
      </c>
      <c r="AU172" s="93">
        <f t="shared" si="337"/>
        <v>0</v>
      </c>
      <c r="AV172" s="93">
        <f t="shared" si="337"/>
        <v>0</v>
      </c>
      <c r="AW172" s="93">
        <f t="shared" ca="1" si="337"/>
        <v>0</v>
      </c>
      <c r="BB172" s="94"/>
    </row>
    <row r="173" spans="1:54" s="20" customFormat="1" ht="18" customHeight="1">
      <c r="A173" s="643"/>
      <c r="B173" s="649"/>
      <c r="C173" s="652"/>
      <c r="D173" s="96" t="str">
        <f>D172</f>
        <v>STR</v>
      </c>
      <c r="E173" s="97" t="str">
        <f t="shared" ref="E173:F173" si="341">E172</f>
        <v>RFQ-054</v>
      </c>
      <c r="F173" s="98" t="str">
        <f t="shared" si="341"/>
        <v>N</v>
      </c>
      <c r="G173" s="655"/>
      <c r="H173" s="124" t="str">
        <f t="shared" ref="H173:I173" si="342">H172</f>
        <v>Primary Steel - Beam</v>
      </c>
      <c r="I173" s="97" t="str">
        <f t="shared" si="342"/>
        <v>LA</v>
      </c>
      <c r="J173" s="98"/>
      <c r="K173" s="100"/>
      <c r="L173" s="100">
        <f>M174</f>
        <v>1E-3</v>
      </c>
      <c r="M173" s="100"/>
      <c r="N173" s="97"/>
      <c r="O173" s="97"/>
      <c r="P173" s="97"/>
      <c r="Q173" s="101" t="s">
        <v>4841</v>
      </c>
      <c r="R173" s="101"/>
      <c r="S173" s="102" t="e">
        <f>S172</f>
        <v>#REF!</v>
      </c>
      <c r="T173" s="103" t="e">
        <f>T172</f>
        <v>#REF!</v>
      </c>
      <c r="U173" s="103" t="e">
        <f t="shared" ref="U173:Z173" si="343">WORKDAY(IF(T174="",T173,T174),INDEX(U$2:U$5,MATCH($I172,$I$2:$I$5,0)),$BB$10:$BB$141)</f>
        <v>#REF!</v>
      </c>
      <c r="V173" s="103" t="e">
        <f t="shared" si="343"/>
        <v>#REF!</v>
      </c>
      <c r="W173" s="103" t="e">
        <f t="shared" si="343"/>
        <v>#REF!</v>
      </c>
      <c r="X173" s="103" t="e">
        <f t="shared" si="343"/>
        <v>#REF!</v>
      </c>
      <c r="Y173" s="103" t="e">
        <f t="shared" si="343"/>
        <v>#REF!</v>
      </c>
      <c r="Z173" s="103" t="e">
        <f t="shared" si="343"/>
        <v>#REF!</v>
      </c>
      <c r="AA173" s="103" t="e">
        <f>WORKDAY(IF(Z174="",X173,Z174),INDEX(AA$2:AA$5,MATCH($I172,$I$2:$I$5,0)),$BB$10:$BB$141)</f>
        <v>#REF!</v>
      </c>
      <c r="AB173" s="104" t="e">
        <f>WORKDAY(AE172+#REF!,0,'[35]Equipment List and MR List (3)'!$A$2:$A$80)</f>
        <v>#REF!</v>
      </c>
      <c r="AC173" s="658"/>
      <c r="AD173" s="105"/>
      <c r="AE173" s="660"/>
      <c r="AF173" s="667"/>
      <c r="AG173" s="670"/>
      <c r="AH173" s="106"/>
      <c r="AI173" s="107"/>
      <c r="AJ173" s="673"/>
      <c r="AK173" s="108"/>
      <c r="AL173" s="109"/>
      <c r="AM173" s="92">
        <f t="shared" si="337"/>
        <v>0</v>
      </c>
      <c r="AN173" s="93">
        <f t="shared" si="337"/>
        <v>0</v>
      </c>
      <c r="AO173" s="93">
        <f t="shared" si="337"/>
        <v>0</v>
      </c>
      <c r="AP173" s="93">
        <f t="shared" si="337"/>
        <v>0</v>
      </c>
      <c r="AQ173" s="93">
        <f t="shared" si="337"/>
        <v>0</v>
      </c>
      <c r="AR173" s="93">
        <f t="shared" si="337"/>
        <v>0</v>
      </c>
      <c r="AS173" s="93">
        <f t="shared" si="337"/>
        <v>0</v>
      </c>
      <c r="AT173" s="93">
        <f t="shared" si="337"/>
        <v>0</v>
      </c>
      <c r="AU173" s="93">
        <f t="shared" si="337"/>
        <v>0</v>
      </c>
      <c r="AV173" s="93">
        <f t="shared" si="337"/>
        <v>0</v>
      </c>
      <c r="AW173" s="93">
        <f t="shared" ca="1" si="337"/>
        <v>0</v>
      </c>
      <c r="BB173" s="94"/>
    </row>
    <row r="174" spans="1:54" s="20" customFormat="1" ht="18" customHeight="1">
      <c r="A174" s="644"/>
      <c r="B174" s="650"/>
      <c r="C174" s="653"/>
      <c r="D174" s="111" t="str">
        <f>D172</f>
        <v>STR</v>
      </c>
      <c r="E174" s="112" t="str">
        <f>E172</f>
        <v>RFQ-054</v>
      </c>
      <c r="F174" s="113" t="str">
        <f t="shared" ref="F174" si="344">F172</f>
        <v>N</v>
      </c>
      <c r="G174" s="656"/>
      <c r="H174" s="124" t="str">
        <f t="shared" ref="H174:I174" si="345">H172</f>
        <v>Primary Steel - Beam</v>
      </c>
      <c r="I174" s="112" t="str">
        <f t="shared" si="345"/>
        <v>LA</v>
      </c>
      <c r="J174" s="113"/>
      <c r="K174" s="114"/>
      <c r="L174" s="114"/>
      <c r="M174" s="114">
        <v>1E-3</v>
      </c>
      <c r="N174" s="112"/>
      <c r="O174" s="112"/>
      <c r="P174" s="112"/>
      <c r="Q174" s="115" t="s">
        <v>4842</v>
      </c>
      <c r="R174" s="115"/>
      <c r="S174" s="126"/>
      <c r="T174" s="126"/>
      <c r="U174" s="126"/>
      <c r="V174" s="126"/>
      <c r="W174" s="126"/>
      <c r="X174" s="126"/>
      <c r="Y174" s="126"/>
      <c r="Z174" s="126"/>
      <c r="AA174" s="126"/>
      <c r="AB174" s="126"/>
      <c r="AC174" s="659"/>
      <c r="AD174" s="116"/>
      <c r="AE174" s="660"/>
      <c r="AF174" s="668"/>
      <c r="AG174" s="671"/>
      <c r="AH174" s="117"/>
      <c r="AI174" s="118"/>
      <c r="AJ174" s="674"/>
      <c r="AK174" s="119"/>
      <c r="AL174" s="120"/>
      <c r="AM174" s="121">
        <f t="shared" si="337"/>
        <v>0</v>
      </c>
      <c r="AN174" s="122">
        <f t="shared" si="337"/>
        <v>0</v>
      </c>
      <c r="AO174" s="122">
        <f t="shared" si="337"/>
        <v>0</v>
      </c>
      <c r="AP174" s="122">
        <f t="shared" si="337"/>
        <v>0</v>
      </c>
      <c r="AQ174" s="122">
        <f t="shared" si="337"/>
        <v>0</v>
      </c>
      <c r="AR174" s="122">
        <f t="shared" si="337"/>
        <v>0</v>
      </c>
      <c r="AS174" s="122">
        <f t="shared" si="337"/>
        <v>0</v>
      </c>
      <c r="AT174" s="122">
        <f t="shared" si="337"/>
        <v>0</v>
      </c>
      <c r="AU174" s="122">
        <f t="shared" si="337"/>
        <v>0</v>
      </c>
      <c r="AV174" s="122">
        <f t="shared" si="337"/>
        <v>0</v>
      </c>
      <c r="AW174" s="122">
        <f t="shared" ca="1" si="337"/>
        <v>0</v>
      </c>
      <c r="BB174" s="94"/>
    </row>
    <row r="175" spans="1:54" s="20" customFormat="1" ht="18" customHeight="1">
      <c r="A175" s="642">
        <f t="shared" ref="A175" si="346">A172+1</f>
        <v>56</v>
      </c>
      <c r="B175" s="648" t="s">
        <v>4896</v>
      </c>
      <c r="C175" s="651" t="s">
        <v>4836</v>
      </c>
      <c r="D175" s="80" t="s">
        <v>4897</v>
      </c>
      <c r="E175" s="81" t="s">
        <v>4898</v>
      </c>
      <c r="F175" s="82" t="str">
        <f>IF(_xlfn.XLOOKUP(E175,'[35]Before Award'!D:D,'[35]Before Award'!AV:AV,"N/A")="N/A","N","Y")</f>
        <v>N</v>
      </c>
      <c r="G175" s="654"/>
      <c r="H175" s="123" t="s">
        <v>4899</v>
      </c>
      <c r="I175" s="81" t="s">
        <v>6</v>
      </c>
      <c r="J175" s="82"/>
      <c r="K175" s="84">
        <f>M177</f>
        <v>1E-3</v>
      </c>
      <c r="L175" s="84"/>
      <c r="M175" s="84"/>
      <c r="N175" s="81"/>
      <c r="O175" s="81"/>
      <c r="P175" s="81"/>
      <c r="Q175" s="85" t="s">
        <v>4839</v>
      </c>
      <c r="R175" s="86">
        <f>'Before Award'!U182+5</f>
        <v>46147</v>
      </c>
      <c r="S175" s="86" t="e">
        <f>WORKDAY(R175,INDEX(S$2:S$5,MATCH($I175,$I$2:$I$5,0)),$BB$10:$BB$141)</f>
        <v>#REF!</v>
      </c>
      <c r="T175" s="86" t="e">
        <f>WORKDAY(S175,INDEX(T$2:T$5,MATCH($I175,$I$2:$I$5,0)),$BB$10:$BB$141)</f>
        <v>#REF!</v>
      </c>
      <c r="U175" s="86" t="e">
        <f>T175+10</f>
        <v>#REF!</v>
      </c>
      <c r="V175" s="86"/>
      <c r="W175" s="86">
        <f>AB175-35</f>
        <v>46240</v>
      </c>
      <c r="X175" s="86"/>
      <c r="Y175" s="86"/>
      <c r="Z175" s="86"/>
      <c r="AA175" s="86"/>
      <c r="AB175" s="86">
        <f>'Before Award'!X182</f>
        <v>46275</v>
      </c>
      <c r="AC175" s="657" t="s">
        <v>4840</v>
      </c>
      <c r="AD175" s="87">
        <v>7</v>
      </c>
      <c r="AE175" s="660">
        <f>24*8</f>
        <v>192</v>
      </c>
      <c r="AF175" s="666" t="e">
        <f>AB176</f>
        <v>#REF!</v>
      </c>
      <c r="AG175" s="669">
        <f>WORKDAY(AH175+1,-1,$BA$10:$BA$141)</f>
        <v>46244</v>
      </c>
      <c r="AH175" s="88">
        <v>46244</v>
      </c>
      <c r="AI175" s="89"/>
      <c r="AJ175" s="672" t="e">
        <f>AG175-AF175</f>
        <v>#REF!</v>
      </c>
      <c r="AK175" s="90"/>
      <c r="AL175" s="91"/>
      <c r="AM175" s="92">
        <f t="shared" si="337"/>
        <v>0</v>
      </c>
      <c r="AN175" s="93">
        <f t="shared" si="337"/>
        <v>0</v>
      </c>
      <c r="AO175" s="93">
        <f t="shared" si="337"/>
        <v>0</v>
      </c>
      <c r="AP175" s="93">
        <f t="shared" si="337"/>
        <v>0</v>
      </c>
      <c r="AQ175" s="93">
        <f t="shared" si="337"/>
        <v>0</v>
      </c>
      <c r="AR175" s="93">
        <f t="shared" si="337"/>
        <v>0</v>
      </c>
      <c r="AS175" s="93">
        <f t="shared" si="337"/>
        <v>0</v>
      </c>
      <c r="AT175" s="93">
        <f t="shared" si="337"/>
        <v>0</v>
      </c>
      <c r="AU175" s="93">
        <f t="shared" si="337"/>
        <v>0</v>
      </c>
      <c r="AV175" s="93">
        <f t="shared" si="337"/>
        <v>0</v>
      </c>
      <c r="AW175" s="93">
        <f t="shared" ca="1" si="337"/>
        <v>0</v>
      </c>
      <c r="BB175" s="94"/>
    </row>
    <row r="176" spans="1:54" s="20" customFormat="1" ht="18" customHeight="1">
      <c r="A176" s="643"/>
      <c r="B176" s="649"/>
      <c r="C176" s="652"/>
      <c r="D176" s="96" t="str">
        <f>D175</f>
        <v>STR</v>
      </c>
      <c r="E176" s="97" t="str">
        <f t="shared" ref="E176:F176" si="347">E175</f>
        <v>RFQ-054</v>
      </c>
      <c r="F176" s="98" t="str">
        <f t="shared" si="347"/>
        <v>N</v>
      </c>
      <c r="G176" s="655"/>
      <c r="H176" s="124" t="str">
        <f t="shared" ref="H176:I176" si="348">H175</f>
        <v>Primary Steel - Seamless</v>
      </c>
      <c r="I176" s="97" t="str">
        <f t="shared" si="348"/>
        <v>LA</v>
      </c>
      <c r="J176" s="98"/>
      <c r="K176" s="100"/>
      <c r="L176" s="100">
        <f>M177</f>
        <v>1E-3</v>
      </c>
      <c r="M176" s="100"/>
      <c r="N176" s="97"/>
      <c r="O176" s="97"/>
      <c r="P176" s="97"/>
      <c r="Q176" s="101" t="s">
        <v>4841</v>
      </c>
      <c r="R176" s="101"/>
      <c r="S176" s="102" t="e">
        <f>S175</f>
        <v>#REF!</v>
      </c>
      <c r="T176" s="103" t="e">
        <f>T175</f>
        <v>#REF!</v>
      </c>
      <c r="U176" s="103" t="e">
        <f t="shared" ref="U176:Z176" si="349">WORKDAY(IF(T177="",T176,T177),INDEX(U$2:U$5,MATCH($I175,$I$2:$I$5,0)),$BB$10:$BB$141)</f>
        <v>#REF!</v>
      </c>
      <c r="V176" s="103" t="e">
        <f t="shared" si="349"/>
        <v>#REF!</v>
      </c>
      <c r="W176" s="103" t="e">
        <f t="shared" si="349"/>
        <v>#REF!</v>
      </c>
      <c r="X176" s="103" t="e">
        <f t="shared" si="349"/>
        <v>#REF!</v>
      </c>
      <c r="Y176" s="103" t="e">
        <f t="shared" si="349"/>
        <v>#REF!</v>
      </c>
      <c r="Z176" s="103" t="e">
        <f t="shared" si="349"/>
        <v>#REF!</v>
      </c>
      <c r="AA176" s="103" t="e">
        <f>WORKDAY(IF(Z177="",X176,Z177),INDEX(AA$2:AA$5,MATCH($I175,$I$2:$I$5,0)),$BB$10:$BB$141)</f>
        <v>#REF!</v>
      </c>
      <c r="AB176" s="104" t="e">
        <f>WORKDAY(AE175+#REF!,0,'[35]Equipment List and MR List (3)'!$A$2:$A$80)</f>
        <v>#REF!</v>
      </c>
      <c r="AC176" s="658"/>
      <c r="AD176" s="105"/>
      <c r="AE176" s="660"/>
      <c r="AF176" s="667"/>
      <c r="AG176" s="670"/>
      <c r="AH176" s="106"/>
      <c r="AI176" s="107"/>
      <c r="AJ176" s="673"/>
      <c r="AK176" s="108"/>
      <c r="AL176" s="109"/>
      <c r="AM176" s="92">
        <f t="shared" si="337"/>
        <v>0</v>
      </c>
      <c r="AN176" s="93">
        <f t="shared" si="337"/>
        <v>0</v>
      </c>
      <c r="AO176" s="93">
        <f t="shared" si="337"/>
        <v>0</v>
      </c>
      <c r="AP176" s="93">
        <f t="shared" si="337"/>
        <v>0</v>
      </c>
      <c r="AQ176" s="93">
        <f t="shared" si="337"/>
        <v>0</v>
      </c>
      <c r="AR176" s="93">
        <f t="shared" si="337"/>
        <v>0</v>
      </c>
      <c r="AS176" s="93">
        <f t="shared" si="337"/>
        <v>0</v>
      </c>
      <c r="AT176" s="93">
        <f t="shared" si="337"/>
        <v>0</v>
      </c>
      <c r="AU176" s="93">
        <f t="shared" si="337"/>
        <v>0</v>
      </c>
      <c r="AV176" s="93">
        <f t="shared" si="337"/>
        <v>0</v>
      </c>
      <c r="AW176" s="93">
        <f t="shared" ca="1" si="337"/>
        <v>0</v>
      </c>
      <c r="BB176" s="94"/>
    </row>
    <row r="177" spans="1:54" s="20" customFormat="1" ht="18" customHeight="1">
      <c r="A177" s="644"/>
      <c r="B177" s="650"/>
      <c r="C177" s="653"/>
      <c r="D177" s="111" t="str">
        <f>D175</f>
        <v>STR</v>
      </c>
      <c r="E177" s="112" t="str">
        <f>E175</f>
        <v>RFQ-054</v>
      </c>
      <c r="F177" s="113" t="str">
        <f t="shared" ref="F177" si="350">F175</f>
        <v>N</v>
      </c>
      <c r="G177" s="656"/>
      <c r="H177" s="124" t="str">
        <f t="shared" ref="H177:I177" si="351">H175</f>
        <v>Primary Steel - Seamless</v>
      </c>
      <c r="I177" s="112" t="str">
        <f t="shared" si="351"/>
        <v>LA</v>
      </c>
      <c r="J177" s="113"/>
      <c r="K177" s="114"/>
      <c r="L177" s="114"/>
      <c r="M177" s="114">
        <v>1E-3</v>
      </c>
      <c r="N177" s="112"/>
      <c r="O177" s="112"/>
      <c r="P177" s="112"/>
      <c r="Q177" s="115" t="s">
        <v>4842</v>
      </c>
      <c r="R177" s="115"/>
      <c r="S177" s="126"/>
      <c r="T177" s="126"/>
      <c r="U177" s="126"/>
      <c r="V177" s="126"/>
      <c r="W177" s="126"/>
      <c r="X177" s="126"/>
      <c r="Y177" s="126"/>
      <c r="Z177" s="126"/>
      <c r="AA177" s="126"/>
      <c r="AB177" s="126"/>
      <c r="AC177" s="659"/>
      <c r="AD177" s="116"/>
      <c r="AE177" s="660"/>
      <c r="AF177" s="668"/>
      <c r="AG177" s="671"/>
      <c r="AH177" s="117"/>
      <c r="AI177" s="118"/>
      <c r="AJ177" s="674"/>
      <c r="AK177" s="119"/>
      <c r="AL177" s="120"/>
      <c r="AM177" s="121">
        <f t="shared" si="337"/>
        <v>0</v>
      </c>
      <c r="AN177" s="122">
        <f t="shared" si="337"/>
        <v>0</v>
      </c>
      <c r="AO177" s="122">
        <f t="shared" si="337"/>
        <v>0</v>
      </c>
      <c r="AP177" s="122">
        <f t="shared" si="337"/>
        <v>0</v>
      </c>
      <c r="AQ177" s="122">
        <f t="shared" si="337"/>
        <v>0</v>
      </c>
      <c r="AR177" s="122">
        <f t="shared" si="337"/>
        <v>0</v>
      </c>
      <c r="AS177" s="122">
        <f t="shared" si="337"/>
        <v>0</v>
      </c>
      <c r="AT177" s="122">
        <f t="shared" si="337"/>
        <v>0</v>
      </c>
      <c r="AU177" s="122">
        <f t="shared" si="337"/>
        <v>0</v>
      </c>
      <c r="AV177" s="122">
        <f t="shared" si="337"/>
        <v>0</v>
      </c>
      <c r="AW177" s="122">
        <f t="shared" ca="1" si="337"/>
        <v>0</v>
      </c>
      <c r="BB177" s="94"/>
    </row>
    <row r="178" spans="1:54" s="21" customFormat="1" ht="18" customHeight="1">
      <c r="A178" s="642">
        <f t="shared" ref="A178" si="352">A175+1</f>
        <v>57</v>
      </c>
      <c r="B178" s="648" t="s">
        <v>4896</v>
      </c>
      <c r="C178" s="651" t="s">
        <v>4836</v>
      </c>
      <c r="D178" s="80" t="s">
        <v>4863</v>
      </c>
      <c r="E178" s="127" t="s">
        <v>4898</v>
      </c>
      <c r="F178" s="128" t="s">
        <v>71</v>
      </c>
      <c r="G178" s="654"/>
      <c r="H178" s="123" t="s">
        <v>4900</v>
      </c>
      <c r="I178" s="81" t="s">
        <v>6</v>
      </c>
      <c r="J178" s="128"/>
      <c r="K178" s="129">
        <f>M180</f>
        <v>1E-3</v>
      </c>
      <c r="L178" s="129"/>
      <c r="M178" s="129"/>
      <c r="N178" s="127"/>
      <c r="O178" s="127"/>
      <c r="P178" s="127"/>
      <c r="Q178" s="130" t="s">
        <v>4839</v>
      </c>
      <c r="R178" s="86" t="e">
        <f>'Before Award'!#REF!+5</f>
        <v>#REF!</v>
      </c>
      <c r="S178" s="86" t="e">
        <f>WORKDAY(R178,INDEX(S$2:S$5,MATCH($I178,$I$2:$I$5,0)),$BB$10:$BB$141)</f>
        <v>#REF!</v>
      </c>
      <c r="T178" s="86" t="e">
        <f>WORKDAY(S178,INDEX(T$2:T$5,MATCH($I178,$I$2:$I$5,0)),$BB$10:$BB$141)</f>
        <v>#REF!</v>
      </c>
      <c r="U178" s="86" t="e">
        <f>T178+10</f>
        <v>#REF!</v>
      </c>
      <c r="V178" s="86"/>
      <c r="W178" s="86" t="e">
        <f>AB178-35</f>
        <v>#REF!</v>
      </c>
      <c r="X178" s="86"/>
      <c r="Y178" s="86"/>
      <c r="Z178" s="86"/>
      <c r="AA178" s="86"/>
      <c r="AB178" s="86" t="e">
        <f>'Before Award'!#REF!</f>
        <v>#REF!</v>
      </c>
      <c r="AC178" s="657" t="s">
        <v>4840</v>
      </c>
      <c r="AD178" s="87">
        <v>7</v>
      </c>
      <c r="AE178" s="660">
        <v>141</v>
      </c>
      <c r="AF178" s="666" t="e">
        <f>AB179</f>
        <v>#REF!</v>
      </c>
      <c r="AG178" s="669"/>
      <c r="AH178" s="88"/>
      <c r="AI178" s="89"/>
      <c r="AJ178" s="672" t="e">
        <f>AG178-AF178</f>
        <v>#REF!</v>
      </c>
      <c r="AK178" s="131"/>
      <c r="AL178" s="132"/>
      <c r="AM178" s="133">
        <f t="shared" si="337"/>
        <v>0</v>
      </c>
      <c r="AN178" s="134">
        <f t="shared" si="337"/>
        <v>0</v>
      </c>
      <c r="AO178" s="134">
        <f t="shared" si="337"/>
        <v>0</v>
      </c>
      <c r="AP178" s="134">
        <f t="shared" si="337"/>
        <v>0</v>
      </c>
      <c r="AQ178" s="134">
        <f t="shared" si="337"/>
        <v>0</v>
      </c>
      <c r="AR178" s="134">
        <f t="shared" si="337"/>
        <v>0</v>
      </c>
      <c r="AS178" s="134">
        <f t="shared" si="337"/>
        <v>0</v>
      </c>
      <c r="AT178" s="134">
        <f t="shared" si="337"/>
        <v>0</v>
      </c>
      <c r="AU178" s="134">
        <f t="shared" si="337"/>
        <v>0</v>
      </c>
      <c r="AV178" s="134">
        <f t="shared" si="337"/>
        <v>0</v>
      </c>
      <c r="AW178" s="134">
        <f t="shared" ca="1" si="337"/>
        <v>0</v>
      </c>
      <c r="BB178" s="135"/>
    </row>
    <row r="179" spans="1:54" s="21" customFormat="1" ht="18" customHeight="1">
      <c r="A179" s="643"/>
      <c r="B179" s="649"/>
      <c r="C179" s="652"/>
      <c r="D179" s="96" t="str">
        <f>D178</f>
        <v>ELE</v>
      </c>
      <c r="E179" s="136" t="str">
        <f t="shared" ref="E179:F179" si="353">E178</f>
        <v>RFQ-054</v>
      </c>
      <c r="F179" s="137" t="str">
        <f t="shared" si="353"/>
        <v>N</v>
      </c>
      <c r="G179" s="655"/>
      <c r="H179" s="124" t="str">
        <f t="shared" ref="H179" si="354">H178</f>
        <v>Primary Steel - Welding</v>
      </c>
      <c r="I179" s="97" t="str">
        <f t="shared" ref="I179" si="355">I178</f>
        <v>LA</v>
      </c>
      <c r="J179" s="137"/>
      <c r="K179" s="138"/>
      <c r="L179" s="138">
        <f>M180</f>
        <v>1E-3</v>
      </c>
      <c r="M179" s="138"/>
      <c r="N179" s="136"/>
      <c r="O179" s="136"/>
      <c r="P179" s="136"/>
      <c r="Q179" s="139" t="s">
        <v>4841</v>
      </c>
      <c r="R179" s="139"/>
      <c r="S179" s="140" t="e">
        <f>S178</f>
        <v>#REF!</v>
      </c>
      <c r="T179" s="141" t="e">
        <f>T178</f>
        <v>#REF!</v>
      </c>
      <c r="U179" s="141" t="e">
        <f>WORKDAY(IF(T180="",T179,T180),INDEX(U$2:U$5,MATCH($I178,$I$2:$I$5,0)),$BB$10:$BB$141)</f>
        <v>#REF!</v>
      </c>
      <c r="V179" s="141" t="e">
        <f>WORKDAY(IF(U180="",U179,U180),INDEX(V$2:V$5,MATCH($I178,$I$2:$I$5,0)),$BB$10:$BB$141)</f>
        <v>#REF!</v>
      </c>
      <c r="W179" s="141" t="e">
        <f>WORKDAY(IF(V180="",V179,V180),INDEX(W$2:W$5,MATCH($I178,$I$2:$I$5,0)),$BB$10:$BB$141)</f>
        <v>#REF!</v>
      </c>
      <c r="X179" s="141" t="e">
        <f>WORKDAY(IF(#REF!="",#REF!,#REF!),INDEX(X$2:X$5,MATCH($I178,$I$2:$I$5,0)),$BB$10:$BB$141)</f>
        <v>#REF!</v>
      </c>
      <c r="Y179" s="141" t="e">
        <f>WORKDAY(IF(X180="",X179,X180),INDEX(Y$2:Y$5,MATCH($I178,$I$2:$I$5,0)),$BB$10:$BB$141)</f>
        <v>#REF!</v>
      </c>
      <c r="Z179" s="141" t="e">
        <f>WORKDAY(IF(Y180="",Y179,Y180),INDEX(Z$2:Z$5,MATCH($I178,$I$2:$I$5,0)),$BB$10:$BB$141)</f>
        <v>#REF!</v>
      </c>
      <c r="AA179" s="141" t="e">
        <f>WORKDAY(IF(Z180="",Z179,Z180),INDEX(AA$2:AA$5,MATCH($I178,$I$2:$I$5,0)),$BB$10:$BB$141)</f>
        <v>#REF!</v>
      </c>
      <c r="AB179" s="142" t="e">
        <f>AE178+#REF!</f>
        <v>#REF!</v>
      </c>
      <c r="AC179" s="658"/>
      <c r="AD179" s="105"/>
      <c r="AE179" s="660"/>
      <c r="AF179" s="667"/>
      <c r="AG179" s="670"/>
      <c r="AH179" s="106"/>
      <c r="AI179" s="107"/>
      <c r="AJ179" s="673"/>
      <c r="AK179" s="143"/>
      <c r="AL179" s="144"/>
      <c r="AM179" s="133">
        <f t="shared" si="337"/>
        <v>0</v>
      </c>
      <c r="AN179" s="134">
        <f t="shared" si="337"/>
        <v>0</v>
      </c>
      <c r="AO179" s="134">
        <f t="shared" si="337"/>
        <v>0</v>
      </c>
      <c r="AP179" s="134">
        <f t="shared" si="337"/>
        <v>0</v>
      </c>
      <c r="AQ179" s="134">
        <f t="shared" si="337"/>
        <v>0</v>
      </c>
      <c r="AR179" s="134">
        <f t="shared" si="337"/>
        <v>0</v>
      </c>
      <c r="AS179" s="134">
        <f t="shared" si="337"/>
        <v>0</v>
      </c>
      <c r="AT179" s="134">
        <f t="shared" si="337"/>
        <v>0</v>
      </c>
      <c r="AU179" s="134">
        <f t="shared" si="337"/>
        <v>0</v>
      </c>
      <c r="AV179" s="134">
        <f t="shared" si="337"/>
        <v>0</v>
      </c>
      <c r="AW179" s="134">
        <f t="shared" ca="1" si="337"/>
        <v>0</v>
      </c>
      <c r="BB179" s="135"/>
    </row>
    <row r="180" spans="1:54" s="21" customFormat="1" ht="18" customHeight="1">
      <c r="A180" s="644"/>
      <c r="B180" s="650"/>
      <c r="C180" s="653"/>
      <c r="D180" s="111" t="str">
        <f>D178</f>
        <v>ELE</v>
      </c>
      <c r="E180" s="145" t="str">
        <f>E178</f>
        <v>RFQ-054</v>
      </c>
      <c r="F180" s="146" t="str">
        <f t="shared" ref="F180" si="356">F178</f>
        <v>N</v>
      </c>
      <c r="G180" s="656"/>
      <c r="H180" s="124" t="str">
        <f t="shared" ref="H180" si="357">H178</f>
        <v>Primary Steel - Welding</v>
      </c>
      <c r="I180" s="112" t="str">
        <f t="shared" ref="I180" si="358">I178</f>
        <v>LA</v>
      </c>
      <c r="J180" s="146"/>
      <c r="K180" s="147"/>
      <c r="L180" s="147"/>
      <c r="M180" s="147">
        <v>1E-3</v>
      </c>
      <c r="N180" s="145"/>
      <c r="O180" s="145"/>
      <c r="P180" s="145"/>
      <c r="Q180" s="148" t="s">
        <v>4842</v>
      </c>
      <c r="R180" s="148"/>
      <c r="S180" s="149"/>
      <c r="T180" s="149"/>
      <c r="U180" s="149"/>
      <c r="V180" s="149"/>
      <c r="W180" s="149"/>
      <c r="X180" s="149"/>
      <c r="Y180" s="149"/>
      <c r="Z180" s="149"/>
      <c r="AA180" s="149"/>
      <c r="AB180" s="149"/>
      <c r="AC180" s="659"/>
      <c r="AD180" s="116"/>
      <c r="AE180" s="660"/>
      <c r="AF180" s="668"/>
      <c r="AG180" s="671"/>
      <c r="AH180" s="117"/>
      <c r="AI180" s="118"/>
      <c r="AJ180" s="674"/>
      <c r="AK180" s="150"/>
      <c r="AL180" s="151"/>
      <c r="AM180" s="152">
        <f t="shared" ref="AM180:AW189" si="359">IF(ISERROR(LOOKUP(AM$6,$S180:$AB180,$S$9:$AB$9)),0,(LOOKUP(AM$6,$S180:$AB180,$S$9:$AB$9)))</f>
        <v>0</v>
      </c>
      <c r="AN180" s="153">
        <f t="shared" si="359"/>
        <v>0</v>
      </c>
      <c r="AO180" s="153">
        <f t="shared" si="359"/>
        <v>0</v>
      </c>
      <c r="AP180" s="153">
        <f t="shared" si="359"/>
        <v>0</v>
      </c>
      <c r="AQ180" s="153">
        <f t="shared" si="359"/>
        <v>0</v>
      </c>
      <c r="AR180" s="153">
        <f t="shared" si="359"/>
        <v>0</v>
      </c>
      <c r="AS180" s="153">
        <f t="shared" si="359"/>
        <v>0</v>
      </c>
      <c r="AT180" s="153">
        <f t="shared" si="359"/>
        <v>0</v>
      </c>
      <c r="AU180" s="153">
        <f t="shared" si="359"/>
        <v>0</v>
      </c>
      <c r="AV180" s="153">
        <f t="shared" si="359"/>
        <v>0</v>
      </c>
      <c r="AW180" s="153">
        <f t="shared" ca="1" si="359"/>
        <v>0</v>
      </c>
      <c r="BB180" s="135"/>
    </row>
    <row r="181" spans="1:54" s="21" customFormat="1" ht="18" customHeight="1">
      <c r="A181" s="642">
        <f t="shared" ref="A181" si="360">A178+1</f>
        <v>58</v>
      </c>
      <c r="B181" s="154" t="s">
        <v>4901</v>
      </c>
      <c r="C181" s="651" t="s">
        <v>4836</v>
      </c>
      <c r="D181" s="80" t="s">
        <v>4863</v>
      </c>
      <c r="E181" s="127" t="s">
        <v>4898</v>
      </c>
      <c r="F181" s="128" t="s">
        <v>71</v>
      </c>
      <c r="G181" s="654"/>
      <c r="H181" s="82" t="s">
        <v>4902</v>
      </c>
      <c r="I181" s="127" t="s">
        <v>9</v>
      </c>
      <c r="J181" s="128"/>
      <c r="K181" s="129">
        <f>M183</f>
        <v>1E-3</v>
      </c>
      <c r="L181" s="129"/>
      <c r="M181" s="129"/>
      <c r="N181" s="127"/>
      <c r="O181" s="127"/>
      <c r="P181" s="127"/>
      <c r="Q181" s="130" t="s">
        <v>4839</v>
      </c>
      <c r="R181" s="130"/>
      <c r="S181" s="155" t="e">
        <f>WORKDAY(T181,-INDEX(T$2:T$5,MATCH($I181,$I$2:$I$5,0)),'[35]Equipment List and MR List (3)'!$A$2:$A$80)</f>
        <v>#REF!</v>
      </c>
      <c r="T181" s="155" t="e">
        <f>WORKDAY(U181,-INDEX(U$2:U$5,MATCH($I181,$I$2:$I$5,0)),$BB$10:$BB$141)</f>
        <v>#REF!</v>
      </c>
      <c r="U181" s="155" t="e">
        <f>WORKDAY(V181,-INDEX(V$2:V$5,MATCH($I181,$I$2:$I$5,0)),$BB$10:$BB$141)</f>
        <v>#REF!</v>
      </c>
      <c r="V181" s="155" t="e">
        <f>WORKDAY(W181,-INDEX(W$2:W$5,MATCH($I181,$I$2:$I$5,0)),$BB$10:$BB$141)</f>
        <v>#REF!</v>
      </c>
      <c r="W181" s="155" t="e">
        <f>WORKDAY(#REF!,-INDEX(#REF!,MATCH($I181,$I$2:$I$5,0)),$BB$10:$BB$141)</f>
        <v>#REF!</v>
      </c>
      <c r="X181" s="155" t="e">
        <f>WORKDAY(Y181,-INDEX(Y$2:Y$5,MATCH($I181,$I$2:$I$5,0)),$BB$10:$BB$141)</f>
        <v>#REF!</v>
      </c>
      <c r="Y181" s="155" t="e">
        <f>WORKDAY(Z181,-INDEX(Z$2:Z$5,MATCH($I181,$I$2:$I$5,0)),$BB$10:$BB$141)</f>
        <v>#REF!</v>
      </c>
      <c r="Z181" s="155" t="e">
        <f>WORKDAY(AA181,-INDEX(AA$2:AA$5,MATCH($I181,$I$2:$I$5,0)),$BB$10:$BB$141)</f>
        <v>#REF!</v>
      </c>
      <c r="AA181" s="155" t="e">
        <f>WORKDAY(#REF!,-INDEX(#REF!,MATCH($I181,$I$2:$I$5,0)),$BB$10:$BB$141)</f>
        <v>#REF!</v>
      </c>
      <c r="AB181" s="155">
        <f>WORKDAY(AG181,0,'[35]Equipment List and MR List (3)'!$A$2:$A$80)</f>
        <v>0</v>
      </c>
      <c r="AC181" s="657" t="s">
        <v>4840</v>
      </c>
      <c r="AD181" s="87">
        <v>7</v>
      </c>
      <c r="AE181" s="663">
        <v>175</v>
      </c>
      <c r="AF181" s="666" t="e">
        <f>AB182</f>
        <v>#REF!</v>
      </c>
      <c r="AG181" s="669"/>
      <c r="AH181" s="88"/>
      <c r="AI181" s="89"/>
      <c r="AJ181" s="672" t="e">
        <f>AG181-AF181</f>
        <v>#REF!</v>
      </c>
      <c r="AK181" s="131"/>
      <c r="AL181" s="132"/>
      <c r="AM181" s="133">
        <f t="shared" si="359"/>
        <v>0.95</v>
      </c>
      <c r="AN181" s="134">
        <f t="shared" si="359"/>
        <v>0.95</v>
      </c>
      <c r="AO181" s="134">
        <f t="shared" si="359"/>
        <v>0.95</v>
      </c>
      <c r="AP181" s="134">
        <f t="shared" si="359"/>
        <v>0.95</v>
      </c>
      <c r="AQ181" s="134">
        <f t="shared" si="359"/>
        <v>0.95</v>
      </c>
      <c r="AR181" s="134">
        <f t="shared" si="359"/>
        <v>0.95</v>
      </c>
      <c r="AS181" s="134">
        <f t="shared" si="359"/>
        <v>0.95</v>
      </c>
      <c r="AT181" s="134">
        <f t="shared" si="359"/>
        <v>0.95</v>
      </c>
      <c r="AU181" s="134">
        <f t="shared" si="359"/>
        <v>0.95</v>
      </c>
      <c r="AV181" s="134">
        <f t="shared" si="359"/>
        <v>0.95</v>
      </c>
      <c r="AW181" s="134">
        <f t="shared" ca="1" si="359"/>
        <v>0.95</v>
      </c>
      <c r="BB181" s="135"/>
    </row>
    <row r="182" spans="1:54" s="21" customFormat="1" ht="18" customHeight="1">
      <c r="A182" s="643"/>
      <c r="B182" s="156"/>
      <c r="C182" s="652"/>
      <c r="D182" s="96" t="str">
        <f>D181</f>
        <v>ELE</v>
      </c>
      <c r="E182" s="136" t="str">
        <f t="shared" ref="E182:F182" si="361">E181</f>
        <v>RFQ-054</v>
      </c>
      <c r="F182" s="137" t="str">
        <f t="shared" si="361"/>
        <v>N</v>
      </c>
      <c r="G182" s="655"/>
      <c r="H182" s="98" t="str">
        <f>H181</f>
        <v>JUNCTION BOX AND RECEPTACLES</v>
      </c>
      <c r="I182" s="136" t="str">
        <f t="shared" ref="I182" si="362">I181</f>
        <v>LD</v>
      </c>
      <c r="J182" s="137"/>
      <c r="K182" s="138"/>
      <c r="L182" s="138">
        <f>M183</f>
        <v>1E-3</v>
      </c>
      <c r="M182" s="138"/>
      <c r="N182" s="136"/>
      <c r="O182" s="136"/>
      <c r="P182" s="136"/>
      <c r="Q182" s="139" t="s">
        <v>4841</v>
      </c>
      <c r="R182" s="139"/>
      <c r="S182" s="140" t="e">
        <f>S181</f>
        <v>#REF!</v>
      </c>
      <c r="T182" s="141" t="e">
        <f>T181</f>
        <v>#REF!</v>
      </c>
      <c r="U182" s="141" t="e">
        <f>WORKDAY(IF(T183="",T182,T183),INDEX(U$2:U$5,MATCH($I181,$I$2:$I$5,0)),$BB$10:$BB$141)</f>
        <v>#REF!</v>
      </c>
      <c r="V182" s="141" t="e">
        <f>WORKDAY(IF(U183="",U182,U183),INDEX(V$2:V$5,MATCH($I181,$I$2:$I$5,0)),$BB$10:$BB$141)</f>
        <v>#REF!</v>
      </c>
      <c r="W182" s="141" t="e">
        <f>WORKDAY(IF(V183="",V182,V183),INDEX(W$2:W$5,MATCH($I181,$I$2:$I$5,0)),$BB$10:$BB$141)</f>
        <v>#REF!</v>
      </c>
      <c r="X182" s="141" t="e">
        <f>WORKDAY(IF(#REF!="",#REF!,#REF!),INDEX(X$2:X$5,MATCH($I181,$I$2:$I$5,0)),$BB$10:$BB$141)</f>
        <v>#REF!</v>
      </c>
      <c r="Y182" s="141" t="e">
        <f>WORKDAY(IF(X183="",X182,X183),INDEX(Y$2:Y$5,MATCH($I181,$I$2:$I$5,0)),$BB$10:$BB$141)</f>
        <v>#REF!</v>
      </c>
      <c r="Z182" s="141" t="e">
        <f>WORKDAY(IF(Y183="",Y182,Y183),INDEX(Z$2:Z$5,MATCH($I181,$I$2:$I$5,0)),$BB$10:$BB$141)</f>
        <v>#REF!</v>
      </c>
      <c r="AA182" s="141" t="e">
        <f>WORKDAY(IF(Z183="",Z182,Z183),INDEX(AA$2:AA$5,MATCH($I181,$I$2:$I$5,0)),$BB$10:$BB$141)</f>
        <v>#REF!</v>
      </c>
      <c r="AB182" s="142" t="e">
        <f>AE181+#REF!</f>
        <v>#REF!</v>
      </c>
      <c r="AC182" s="658"/>
      <c r="AD182" s="105"/>
      <c r="AE182" s="664"/>
      <c r="AF182" s="667"/>
      <c r="AG182" s="670"/>
      <c r="AH182" s="106"/>
      <c r="AI182" s="107"/>
      <c r="AJ182" s="673"/>
      <c r="AK182" s="143"/>
      <c r="AL182" s="144"/>
      <c r="AM182" s="133">
        <f t="shared" si="359"/>
        <v>0</v>
      </c>
      <c r="AN182" s="134">
        <f t="shared" si="359"/>
        <v>0</v>
      </c>
      <c r="AO182" s="134">
        <f t="shared" si="359"/>
        <v>0</v>
      </c>
      <c r="AP182" s="134">
        <f t="shared" si="359"/>
        <v>0</v>
      </c>
      <c r="AQ182" s="134">
        <f t="shared" si="359"/>
        <v>0</v>
      </c>
      <c r="AR182" s="134">
        <f t="shared" si="359"/>
        <v>0</v>
      </c>
      <c r="AS182" s="134">
        <f t="shared" si="359"/>
        <v>0</v>
      </c>
      <c r="AT182" s="134">
        <f t="shared" si="359"/>
        <v>0</v>
      </c>
      <c r="AU182" s="134">
        <f t="shared" si="359"/>
        <v>0</v>
      </c>
      <c r="AV182" s="134">
        <f t="shared" si="359"/>
        <v>0</v>
      </c>
      <c r="AW182" s="134">
        <f t="shared" ca="1" si="359"/>
        <v>0</v>
      </c>
      <c r="BB182" s="135"/>
    </row>
    <row r="183" spans="1:54" s="21" customFormat="1" ht="18" customHeight="1">
      <c r="A183" s="644"/>
      <c r="B183" s="157"/>
      <c r="C183" s="653"/>
      <c r="D183" s="111" t="str">
        <f>D181</f>
        <v>ELE</v>
      </c>
      <c r="E183" s="145" t="str">
        <f>E181</f>
        <v>RFQ-054</v>
      </c>
      <c r="F183" s="146" t="str">
        <f t="shared" ref="F183" si="363">F181</f>
        <v>N</v>
      </c>
      <c r="G183" s="656"/>
      <c r="H183" s="113" t="str">
        <f>H181</f>
        <v>JUNCTION BOX AND RECEPTACLES</v>
      </c>
      <c r="I183" s="145" t="str">
        <f t="shared" ref="I183" si="364">I181</f>
        <v>LD</v>
      </c>
      <c r="J183" s="146"/>
      <c r="K183" s="147"/>
      <c r="L183" s="147"/>
      <c r="M183" s="147">
        <v>1E-3</v>
      </c>
      <c r="N183" s="145"/>
      <c r="O183" s="145"/>
      <c r="P183" s="145"/>
      <c r="Q183" s="148" t="s">
        <v>4842</v>
      </c>
      <c r="R183" s="148"/>
      <c r="S183" s="149"/>
      <c r="T183" s="149"/>
      <c r="U183" s="149"/>
      <c r="V183" s="149"/>
      <c r="W183" s="149"/>
      <c r="X183" s="149"/>
      <c r="Y183" s="149"/>
      <c r="Z183" s="149"/>
      <c r="AA183" s="149"/>
      <c r="AB183" s="149"/>
      <c r="AC183" s="659"/>
      <c r="AD183" s="116"/>
      <c r="AE183" s="665"/>
      <c r="AF183" s="668"/>
      <c r="AG183" s="671"/>
      <c r="AH183" s="117"/>
      <c r="AI183" s="118"/>
      <c r="AJ183" s="674"/>
      <c r="AK183" s="150"/>
      <c r="AL183" s="151"/>
      <c r="AM183" s="152">
        <f t="shared" si="359"/>
        <v>0</v>
      </c>
      <c r="AN183" s="153">
        <f t="shared" si="359"/>
        <v>0</v>
      </c>
      <c r="AO183" s="153">
        <f t="shared" si="359"/>
        <v>0</v>
      </c>
      <c r="AP183" s="153">
        <f t="shared" si="359"/>
        <v>0</v>
      </c>
      <c r="AQ183" s="153">
        <f t="shared" si="359"/>
        <v>0</v>
      </c>
      <c r="AR183" s="153">
        <f t="shared" si="359"/>
        <v>0</v>
      </c>
      <c r="AS183" s="153">
        <f t="shared" si="359"/>
        <v>0</v>
      </c>
      <c r="AT183" s="153">
        <f t="shared" si="359"/>
        <v>0</v>
      </c>
      <c r="AU183" s="153">
        <f t="shared" si="359"/>
        <v>0</v>
      </c>
      <c r="AV183" s="153">
        <f t="shared" si="359"/>
        <v>0</v>
      </c>
      <c r="AW183" s="153">
        <f t="shared" ca="1" si="359"/>
        <v>0</v>
      </c>
      <c r="BB183" s="135"/>
    </row>
    <row r="184" spans="1:54" s="21" customFormat="1" ht="18" customHeight="1">
      <c r="A184" s="642">
        <f t="shared" ref="A184" si="365">A181+1</f>
        <v>59</v>
      </c>
      <c r="B184" s="154" t="s">
        <v>4901</v>
      </c>
      <c r="C184" s="651" t="s">
        <v>4836</v>
      </c>
      <c r="D184" s="80" t="s">
        <v>4863</v>
      </c>
      <c r="E184" s="127" t="s">
        <v>4898</v>
      </c>
      <c r="F184" s="128" t="s">
        <v>71</v>
      </c>
      <c r="G184" s="654"/>
      <c r="H184" s="82" t="s">
        <v>4903</v>
      </c>
      <c r="I184" s="127" t="s">
        <v>9</v>
      </c>
      <c r="J184" s="128"/>
      <c r="K184" s="129">
        <f>M186</f>
        <v>1E-3</v>
      </c>
      <c r="L184" s="129"/>
      <c r="M184" s="129"/>
      <c r="N184" s="127"/>
      <c r="O184" s="127"/>
      <c r="P184" s="127"/>
      <c r="Q184" s="130" t="s">
        <v>4839</v>
      </c>
      <c r="R184" s="130"/>
      <c r="S184" s="155" t="e">
        <f>WORKDAY(T184,-INDEX(T$2:T$5,MATCH($I184,$I$2:$I$5,0)),'[35]Equipment List and MR List (3)'!$A$2:$A$80)</f>
        <v>#REF!</v>
      </c>
      <c r="T184" s="155" t="e">
        <f>WORKDAY(U184,-INDEX(U$2:U$5,MATCH($I184,$I$2:$I$5,0)),$BB$10:$BB$141)</f>
        <v>#REF!</v>
      </c>
      <c r="U184" s="155" t="e">
        <f>WORKDAY(V184,-INDEX(V$2:V$5,MATCH($I184,$I$2:$I$5,0)),$BB$10:$BB$141)</f>
        <v>#REF!</v>
      </c>
      <c r="V184" s="155" t="e">
        <f>WORKDAY(W184,-INDEX(W$2:W$5,MATCH($I184,$I$2:$I$5,0)),$BB$10:$BB$141)</f>
        <v>#REF!</v>
      </c>
      <c r="W184" s="155" t="e">
        <f>WORKDAY(#REF!,-INDEX(#REF!,MATCH($I184,$I$2:$I$5,0)),$BB$10:$BB$141)</f>
        <v>#REF!</v>
      </c>
      <c r="X184" s="155" t="e">
        <f>WORKDAY(Y184,-INDEX(Y$2:Y$5,MATCH($I184,$I$2:$I$5,0)),$BB$10:$BB$141)</f>
        <v>#REF!</v>
      </c>
      <c r="Y184" s="155" t="e">
        <f>WORKDAY(Z184,-INDEX(Z$2:Z$5,MATCH($I184,$I$2:$I$5,0)),$BB$10:$BB$141)</f>
        <v>#REF!</v>
      </c>
      <c r="Z184" s="155" t="e">
        <f>WORKDAY(AA184,-INDEX(AA$2:AA$5,MATCH($I184,$I$2:$I$5,0)),$BB$10:$BB$141)</f>
        <v>#REF!</v>
      </c>
      <c r="AA184" s="155" t="e">
        <f>WORKDAY(#REF!,-INDEX(#REF!,MATCH($I184,$I$2:$I$5,0)),$BB$10:$BB$141)</f>
        <v>#REF!</v>
      </c>
      <c r="AB184" s="155">
        <f>WORKDAY(AG184,0,'[35]Equipment List and MR List (3)'!$A$2:$A$80)</f>
        <v>0</v>
      </c>
      <c r="AC184" s="657" t="s">
        <v>4840</v>
      </c>
      <c r="AD184" s="87">
        <v>7</v>
      </c>
      <c r="AE184" s="663">
        <v>123</v>
      </c>
      <c r="AF184" s="666" t="e">
        <f>AB185</f>
        <v>#REF!</v>
      </c>
      <c r="AG184" s="669"/>
      <c r="AH184" s="88"/>
      <c r="AI184" s="89"/>
      <c r="AJ184" s="672" t="e">
        <f>AG184-AF184</f>
        <v>#REF!</v>
      </c>
      <c r="AK184" s="131"/>
      <c r="AL184" s="132"/>
      <c r="AM184" s="133">
        <f t="shared" si="359"/>
        <v>0.95</v>
      </c>
      <c r="AN184" s="134">
        <f t="shared" si="359"/>
        <v>0.95</v>
      </c>
      <c r="AO184" s="134">
        <f t="shared" si="359"/>
        <v>0.95</v>
      </c>
      <c r="AP184" s="134">
        <f t="shared" si="359"/>
        <v>0.95</v>
      </c>
      <c r="AQ184" s="134">
        <f t="shared" si="359"/>
        <v>0.95</v>
      </c>
      <c r="AR184" s="134">
        <f t="shared" si="359"/>
        <v>0.95</v>
      </c>
      <c r="AS184" s="134">
        <f t="shared" si="359"/>
        <v>0.95</v>
      </c>
      <c r="AT184" s="134">
        <f t="shared" si="359"/>
        <v>0.95</v>
      </c>
      <c r="AU184" s="134">
        <f t="shared" si="359"/>
        <v>0.95</v>
      </c>
      <c r="AV184" s="134">
        <f t="shared" si="359"/>
        <v>0.95</v>
      </c>
      <c r="AW184" s="134">
        <f t="shared" ca="1" si="359"/>
        <v>0.95</v>
      </c>
      <c r="BB184" s="135"/>
    </row>
    <row r="185" spans="1:54" s="21" customFormat="1" ht="18" customHeight="1">
      <c r="A185" s="643"/>
      <c r="B185" s="156"/>
      <c r="C185" s="652"/>
      <c r="D185" s="96" t="str">
        <f>D184</f>
        <v>ELE</v>
      </c>
      <c r="E185" s="136" t="str">
        <f t="shared" ref="E185:F185" si="366">E184</f>
        <v>RFQ-054</v>
      </c>
      <c r="F185" s="137" t="str">
        <f t="shared" si="366"/>
        <v>N</v>
      </c>
      <c r="G185" s="655"/>
      <c r="H185" s="98" t="str">
        <f>H184</f>
        <v>CABLE GLAND</v>
      </c>
      <c r="I185" s="136" t="str">
        <f t="shared" ref="I185" si="367">I184</f>
        <v>LD</v>
      </c>
      <c r="J185" s="137"/>
      <c r="K185" s="138"/>
      <c r="L185" s="138">
        <f>M186</f>
        <v>1E-3</v>
      </c>
      <c r="M185" s="138"/>
      <c r="N185" s="136"/>
      <c r="O185" s="136"/>
      <c r="P185" s="136"/>
      <c r="Q185" s="139" t="s">
        <v>4841</v>
      </c>
      <c r="R185" s="139"/>
      <c r="S185" s="140" t="e">
        <f>S184</f>
        <v>#REF!</v>
      </c>
      <c r="T185" s="141" t="e">
        <f>T184</f>
        <v>#REF!</v>
      </c>
      <c r="U185" s="141" t="e">
        <f>WORKDAY(IF(T186="",T185,T186),INDEX(U$2:U$5,MATCH($I184,$I$2:$I$5,0)),$BB$10:$BB$141)</f>
        <v>#REF!</v>
      </c>
      <c r="V185" s="141" t="e">
        <f>WORKDAY(IF(U186="",U185,U186),INDEX(V$2:V$5,MATCH($I184,$I$2:$I$5,0)),$BB$10:$BB$141)</f>
        <v>#REF!</v>
      </c>
      <c r="W185" s="141" t="e">
        <f>WORKDAY(IF(V186="",V185,V186),INDEX(W$2:W$5,MATCH($I184,$I$2:$I$5,0)),$BB$10:$BB$141)</f>
        <v>#REF!</v>
      </c>
      <c r="X185" s="141" t="e">
        <f>WORKDAY(IF(#REF!="",#REF!,#REF!),INDEX(X$2:X$5,MATCH($I184,$I$2:$I$5,0)),$BB$10:$BB$141)</f>
        <v>#REF!</v>
      </c>
      <c r="Y185" s="141" t="e">
        <f>WORKDAY(IF(X186="",X185,X186),INDEX(Y$2:Y$5,MATCH($I184,$I$2:$I$5,0)),$BB$10:$BB$141)</f>
        <v>#REF!</v>
      </c>
      <c r="Z185" s="141" t="e">
        <f>WORKDAY(IF(Y186="",Y185,Y186),INDEX(Z$2:Z$5,MATCH($I184,$I$2:$I$5,0)),$BB$10:$BB$141)</f>
        <v>#REF!</v>
      </c>
      <c r="AA185" s="141" t="e">
        <f>WORKDAY(IF(Z186="",Z185,Z186),INDEX(AA$2:AA$5,MATCH($I184,$I$2:$I$5,0)),$BB$10:$BB$141)</f>
        <v>#REF!</v>
      </c>
      <c r="AB185" s="142" t="e">
        <f>AE184+#REF!</f>
        <v>#REF!</v>
      </c>
      <c r="AC185" s="658"/>
      <c r="AD185" s="105"/>
      <c r="AE185" s="664"/>
      <c r="AF185" s="667"/>
      <c r="AG185" s="670"/>
      <c r="AH185" s="106"/>
      <c r="AI185" s="107"/>
      <c r="AJ185" s="673"/>
      <c r="AK185" s="143"/>
      <c r="AL185" s="144"/>
      <c r="AM185" s="133">
        <f t="shared" si="359"/>
        <v>0</v>
      </c>
      <c r="AN185" s="134">
        <f t="shared" si="359"/>
        <v>0</v>
      </c>
      <c r="AO185" s="134">
        <f t="shared" si="359"/>
        <v>0</v>
      </c>
      <c r="AP185" s="134">
        <f t="shared" si="359"/>
        <v>0</v>
      </c>
      <c r="AQ185" s="134">
        <f t="shared" si="359"/>
        <v>0</v>
      </c>
      <c r="AR185" s="134">
        <f t="shared" si="359"/>
        <v>0</v>
      </c>
      <c r="AS185" s="134">
        <f t="shared" si="359"/>
        <v>0</v>
      </c>
      <c r="AT185" s="134">
        <f t="shared" si="359"/>
        <v>0</v>
      </c>
      <c r="AU185" s="134">
        <f t="shared" si="359"/>
        <v>0</v>
      </c>
      <c r="AV185" s="134">
        <f t="shared" si="359"/>
        <v>0</v>
      </c>
      <c r="AW185" s="134">
        <f t="shared" ca="1" si="359"/>
        <v>0</v>
      </c>
      <c r="BB185" s="135"/>
    </row>
    <row r="186" spans="1:54" s="21" customFormat="1" ht="18" customHeight="1">
      <c r="A186" s="644"/>
      <c r="B186" s="157"/>
      <c r="C186" s="653"/>
      <c r="D186" s="111" t="str">
        <f>D184</f>
        <v>ELE</v>
      </c>
      <c r="E186" s="145" t="str">
        <f>E184</f>
        <v>RFQ-054</v>
      </c>
      <c r="F186" s="146" t="str">
        <f t="shared" ref="F186" si="368">F184</f>
        <v>N</v>
      </c>
      <c r="G186" s="656"/>
      <c r="H186" s="113" t="str">
        <f>H184</f>
        <v>CABLE GLAND</v>
      </c>
      <c r="I186" s="145" t="str">
        <f t="shared" ref="I186" si="369">I184</f>
        <v>LD</v>
      </c>
      <c r="J186" s="146"/>
      <c r="K186" s="147"/>
      <c r="L186" s="147"/>
      <c r="M186" s="147">
        <v>1E-3</v>
      </c>
      <c r="N186" s="145"/>
      <c r="O186" s="145"/>
      <c r="P186" s="145"/>
      <c r="Q186" s="148" t="s">
        <v>4842</v>
      </c>
      <c r="R186" s="148"/>
      <c r="S186" s="149"/>
      <c r="T186" s="149"/>
      <c r="U186" s="149"/>
      <c r="V186" s="149"/>
      <c r="W186" s="149"/>
      <c r="X186" s="149"/>
      <c r="Y186" s="149"/>
      <c r="Z186" s="149"/>
      <c r="AA186" s="149"/>
      <c r="AB186" s="149"/>
      <c r="AC186" s="659"/>
      <c r="AD186" s="116"/>
      <c r="AE186" s="665"/>
      <c r="AF186" s="668"/>
      <c r="AG186" s="671"/>
      <c r="AH186" s="117"/>
      <c r="AI186" s="118"/>
      <c r="AJ186" s="674"/>
      <c r="AK186" s="150"/>
      <c r="AL186" s="151"/>
      <c r="AM186" s="152">
        <f t="shared" si="359"/>
        <v>0</v>
      </c>
      <c r="AN186" s="153">
        <f t="shared" si="359"/>
        <v>0</v>
      </c>
      <c r="AO186" s="153">
        <f t="shared" si="359"/>
        <v>0</v>
      </c>
      <c r="AP186" s="153">
        <f t="shared" si="359"/>
        <v>0</v>
      </c>
      <c r="AQ186" s="153">
        <f t="shared" si="359"/>
        <v>0</v>
      </c>
      <c r="AR186" s="153">
        <f t="shared" si="359"/>
        <v>0</v>
      </c>
      <c r="AS186" s="153">
        <f t="shared" si="359"/>
        <v>0</v>
      </c>
      <c r="AT186" s="153">
        <f t="shared" si="359"/>
        <v>0</v>
      </c>
      <c r="AU186" s="153">
        <f t="shared" si="359"/>
        <v>0</v>
      </c>
      <c r="AV186" s="153">
        <f t="shared" si="359"/>
        <v>0</v>
      </c>
      <c r="AW186" s="153">
        <f t="shared" ca="1" si="359"/>
        <v>0</v>
      </c>
      <c r="BB186" s="135"/>
    </row>
    <row r="187" spans="1:54" s="21" customFormat="1" ht="18" customHeight="1">
      <c r="A187" s="642">
        <f t="shared" ref="A187" si="370">A184+1</f>
        <v>60</v>
      </c>
      <c r="B187" s="154" t="s">
        <v>4901</v>
      </c>
      <c r="C187" s="651" t="s">
        <v>4836</v>
      </c>
      <c r="D187" s="80" t="s">
        <v>4863</v>
      </c>
      <c r="E187" s="127" t="s">
        <v>4898</v>
      </c>
      <c r="F187" s="128" t="s">
        <v>71</v>
      </c>
      <c r="G187" s="654"/>
      <c r="H187" s="82" t="s">
        <v>4904</v>
      </c>
      <c r="I187" s="127" t="s">
        <v>9</v>
      </c>
      <c r="J187" s="128"/>
      <c r="K187" s="129">
        <f>M189</f>
        <v>1E-3</v>
      </c>
      <c r="L187" s="129"/>
      <c r="M187" s="129"/>
      <c r="N187" s="127"/>
      <c r="O187" s="127"/>
      <c r="P187" s="127"/>
      <c r="Q187" s="130" t="s">
        <v>4839</v>
      </c>
      <c r="R187" s="130"/>
      <c r="S187" s="155" t="e">
        <f>WORKDAY(T187,-INDEX(T$2:T$5,MATCH($I187,$I$2:$I$5,0)),'[35]Equipment List and MR List (3)'!$A$2:$A$80)</f>
        <v>#REF!</v>
      </c>
      <c r="T187" s="155" t="e">
        <f>WORKDAY(U187,-INDEX(U$2:U$5,MATCH($I187,$I$2:$I$5,0)),$BB$10:$BB$141)</f>
        <v>#REF!</v>
      </c>
      <c r="U187" s="155" t="e">
        <f>WORKDAY(V187,-INDEX(V$2:V$5,MATCH($I187,$I$2:$I$5,0)),$BB$10:$BB$141)</f>
        <v>#REF!</v>
      </c>
      <c r="V187" s="155" t="e">
        <f>WORKDAY(W187,-INDEX(W$2:W$5,MATCH($I187,$I$2:$I$5,0)),$BB$10:$BB$141)</f>
        <v>#REF!</v>
      </c>
      <c r="W187" s="155" t="e">
        <f>WORKDAY(#REF!,-INDEX(#REF!,MATCH($I187,$I$2:$I$5,0)),$BB$10:$BB$141)</f>
        <v>#REF!</v>
      </c>
      <c r="X187" s="155" t="e">
        <f>WORKDAY(Y187,-INDEX(Y$2:Y$5,MATCH($I187,$I$2:$I$5,0)),$BB$10:$BB$141)</f>
        <v>#REF!</v>
      </c>
      <c r="Y187" s="155" t="e">
        <f>WORKDAY(Z187,-INDEX(Z$2:Z$5,MATCH($I187,$I$2:$I$5,0)),$BB$10:$BB$141)</f>
        <v>#REF!</v>
      </c>
      <c r="Z187" s="155" t="e">
        <f>WORKDAY(AA187,-INDEX(AA$2:AA$5,MATCH($I187,$I$2:$I$5,0)),$BB$10:$BB$141)</f>
        <v>#REF!</v>
      </c>
      <c r="AA187" s="155" t="e">
        <f>WORKDAY(#REF!,-INDEX(#REF!,MATCH($I187,$I$2:$I$5,0)),$BB$10:$BB$141)</f>
        <v>#REF!</v>
      </c>
      <c r="AB187" s="155">
        <f>WORKDAY(AG187,0,'[35]Equipment List and MR List (3)'!$A$2:$A$80)</f>
        <v>0</v>
      </c>
      <c r="AC187" s="657" t="s">
        <v>4840</v>
      </c>
      <c r="AD187" s="87">
        <v>7</v>
      </c>
      <c r="AE187" s="663">
        <v>175</v>
      </c>
      <c r="AF187" s="666" t="e">
        <f>AB188</f>
        <v>#REF!</v>
      </c>
      <c r="AG187" s="669"/>
      <c r="AH187" s="88"/>
      <c r="AI187" s="89"/>
      <c r="AJ187" s="672" t="e">
        <f>AG187-AF187</f>
        <v>#REF!</v>
      </c>
      <c r="AK187" s="131"/>
      <c r="AL187" s="132"/>
      <c r="AM187" s="133">
        <f t="shared" si="359"/>
        <v>0.95</v>
      </c>
      <c r="AN187" s="134">
        <f t="shared" si="359"/>
        <v>0.95</v>
      </c>
      <c r="AO187" s="134">
        <f t="shared" si="359"/>
        <v>0.95</v>
      </c>
      <c r="AP187" s="134">
        <f t="shared" si="359"/>
        <v>0.95</v>
      </c>
      <c r="AQ187" s="134">
        <f t="shared" si="359"/>
        <v>0.95</v>
      </c>
      <c r="AR187" s="134">
        <f t="shared" si="359"/>
        <v>0.95</v>
      </c>
      <c r="AS187" s="134">
        <f t="shared" si="359"/>
        <v>0.95</v>
      </c>
      <c r="AT187" s="134">
        <f t="shared" si="359"/>
        <v>0.95</v>
      </c>
      <c r="AU187" s="134">
        <f t="shared" si="359"/>
        <v>0.95</v>
      </c>
      <c r="AV187" s="134">
        <f t="shared" si="359"/>
        <v>0.95</v>
      </c>
      <c r="AW187" s="134">
        <f t="shared" ca="1" si="359"/>
        <v>0.95</v>
      </c>
      <c r="BB187" s="135"/>
    </row>
    <row r="188" spans="1:54" s="21" customFormat="1" ht="18" customHeight="1">
      <c r="A188" s="643"/>
      <c r="B188" s="156"/>
      <c r="C188" s="652"/>
      <c r="D188" s="96" t="str">
        <f>D187</f>
        <v>ELE</v>
      </c>
      <c r="E188" s="136" t="str">
        <f t="shared" ref="E188:F188" si="371">E187</f>
        <v>RFQ-054</v>
      </c>
      <c r="F188" s="137" t="str">
        <f t="shared" si="371"/>
        <v>N</v>
      </c>
      <c r="G188" s="655"/>
      <c r="H188" s="98" t="str">
        <f>H187</f>
        <v>ELECTRICAL CABLE LADDER / TRAY</v>
      </c>
      <c r="I188" s="136" t="str">
        <f t="shared" ref="I188" si="372">I187</f>
        <v>LD</v>
      </c>
      <c r="J188" s="137"/>
      <c r="K188" s="138"/>
      <c r="L188" s="138">
        <f>M189</f>
        <v>1E-3</v>
      </c>
      <c r="M188" s="138"/>
      <c r="N188" s="136"/>
      <c r="O188" s="136"/>
      <c r="P188" s="136"/>
      <c r="Q188" s="139" t="s">
        <v>4841</v>
      </c>
      <c r="R188" s="139"/>
      <c r="S188" s="140" t="e">
        <f>S187</f>
        <v>#REF!</v>
      </c>
      <c r="T188" s="141" t="e">
        <f>T187</f>
        <v>#REF!</v>
      </c>
      <c r="U188" s="141" t="e">
        <f>WORKDAY(IF(T189="",T188,T189),INDEX(U$2:U$5,MATCH($I187,$I$2:$I$5,0)),$BB$10:$BB$141)</f>
        <v>#REF!</v>
      </c>
      <c r="V188" s="141" t="e">
        <f>WORKDAY(IF(U189="",U188,U189),INDEX(V$2:V$5,MATCH($I187,$I$2:$I$5,0)),$BB$10:$BB$141)</f>
        <v>#REF!</v>
      </c>
      <c r="W188" s="141" t="e">
        <f>WORKDAY(IF(V189="",V188,V189),INDEX(W$2:W$5,MATCH($I187,$I$2:$I$5,0)),$BB$10:$BB$141)</f>
        <v>#REF!</v>
      </c>
      <c r="X188" s="141" t="e">
        <f>WORKDAY(IF(#REF!="",#REF!,#REF!),INDEX(X$2:X$5,MATCH($I187,$I$2:$I$5,0)),$BB$10:$BB$141)</f>
        <v>#REF!</v>
      </c>
      <c r="Y188" s="141" t="e">
        <f>WORKDAY(IF(X189="",X188,X189),INDEX(Y$2:Y$5,MATCH($I187,$I$2:$I$5,0)),$BB$10:$BB$141)</f>
        <v>#REF!</v>
      </c>
      <c r="Z188" s="141" t="e">
        <f>WORKDAY(IF(Y189="",Y188,Y189),INDEX(Z$2:Z$5,MATCH($I187,$I$2:$I$5,0)),$BB$10:$BB$141)</f>
        <v>#REF!</v>
      </c>
      <c r="AA188" s="141" t="e">
        <f>WORKDAY(IF(Z189="",Z188,Z189),INDEX(AA$2:AA$5,MATCH($I187,$I$2:$I$5,0)),$BB$10:$BB$141)</f>
        <v>#REF!</v>
      </c>
      <c r="AB188" s="142" t="e">
        <f>AE187+#REF!</f>
        <v>#REF!</v>
      </c>
      <c r="AC188" s="658"/>
      <c r="AD188" s="105"/>
      <c r="AE188" s="664"/>
      <c r="AF188" s="667"/>
      <c r="AG188" s="670"/>
      <c r="AH188" s="106"/>
      <c r="AI188" s="107"/>
      <c r="AJ188" s="673"/>
      <c r="AK188" s="143"/>
      <c r="AL188" s="144"/>
      <c r="AM188" s="133">
        <f t="shared" si="359"/>
        <v>0</v>
      </c>
      <c r="AN188" s="134">
        <f t="shared" si="359"/>
        <v>0</v>
      </c>
      <c r="AO188" s="134">
        <f t="shared" si="359"/>
        <v>0</v>
      </c>
      <c r="AP188" s="134">
        <f t="shared" si="359"/>
        <v>0</v>
      </c>
      <c r="AQ188" s="134">
        <f t="shared" si="359"/>
        <v>0</v>
      </c>
      <c r="AR188" s="134">
        <f t="shared" si="359"/>
        <v>0</v>
      </c>
      <c r="AS188" s="134">
        <f t="shared" si="359"/>
        <v>0</v>
      </c>
      <c r="AT188" s="134">
        <f t="shared" si="359"/>
        <v>0</v>
      </c>
      <c r="AU188" s="134">
        <f t="shared" si="359"/>
        <v>0</v>
      </c>
      <c r="AV188" s="134">
        <f t="shared" si="359"/>
        <v>0</v>
      </c>
      <c r="AW188" s="134">
        <f t="shared" ca="1" si="359"/>
        <v>0</v>
      </c>
      <c r="BB188" s="135"/>
    </row>
    <row r="189" spans="1:54" s="21" customFormat="1" ht="18" customHeight="1">
      <c r="A189" s="644"/>
      <c r="B189" s="157"/>
      <c r="C189" s="653"/>
      <c r="D189" s="111" t="str">
        <f>D187</f>
        <v>ELE</v>
      </c>
      <c r="E189" s="145" t="str">
        <f>E187</f>
        <v>RFQ-054</v>
      </c>
      <c r="F189" s="146" t="str">
        <f t="shared" ref="F189" si="373">F187</f>
        <v>N</v>
      </c>
      <c r="G189" s="656"/>
      <c r="H189" s="113" t="str">
        <f>H187</f>
        <v>ELECTRICAL CABLE LADDER / TRAY</v>
      </c>
      <c r="I189" s="145" t="str">
        <f t="shared" ref="I189" si="374">I187</f>
        <v>LD</v>
      </c>
      <c r="J189" s="146"/>
      <c r="K189" s="147"/>
      <c r="L189" s="147"/>
      <c r="M189" s="147">
        <v>1E-3</v>
      </c>
      <c r="N189" s="145"/>
      <c r="O189" s="145"/>
      <c r="P189" s="145"/>
      <c r="Q189" s="148" t="s">
        <v>4842</v>
      </c>
      <c r="R189" s="148"/>
      <c r="S189" s="149"/>
      <c r="T189" s="149"/>
      <c r="U189" s="149"/>
      <c r="V189" s="149"/>
      <c r="W189" s="149"/>
      <c r="X189" s="149"/>
      <c r="Y189" s="149"/>
      <c r="Z189" s="149"/>
      <c r="AA189" s="149"/>
      <c r="AB189" s="149"/>
      <c r="AC189" s="659"/>
      <c r="AD189" s="116"/>
      <c r="AE189" s="665"/>
      <c r="AF189" s="668"/>
      <c r="AG189" s="671"/>
      <c r="AH189" s="117"/>
      <c r="AI189" s="118"/>
      <c r="AJ189" s="674"/>
      <c r="AK189" s="150"/>
      <c r="AL189" s="151"/>
      <c r="AM189" s="152">
        <f t="shared" si="359"/>
        <v>0</v>
      </c>
      <c r="AN189" s="153">
        <f t="shared" si="359"/>
        <v>0</v>
      </c>
      <c r="AO189" s="153">
        <f t="shared" si="359"/>
        <v>0</v>
      </c>
      <c r="AP189" s="153">
        <f t="shared" si="359"/>
        <v>0</v>
      </c>
      <c r="AQ189" s="153">
        <f t="shared" si="359"/>
        <v>0</v>
      </c>
      <c r="AR189" s="153">
        <f t="shared" si="359"/>
        <v>0</v>
      </c>
      <c r="AS189" s="153">
        <f t="shared" si="359"/>
        <v>0</v>
      </c>
      <c r="AT189" s="153">
        <f t="shared" si="359"/>
        <v>0</v>
      </c>
      <c r="AU189" s="153">
        <f t="shared" si="359"/>
        <v>0</v>
      </c>
      <c r="AV189" s="153">
        <f t="shared" si="359"/>
        <v>0</v>
      </c>
      <c r="AW189" s="153">
        <f t="shared" ca="1" si="359"/>
        <v>0</v>
      </c>
      <c r="BB189" s="135"/>
    </row>
    <row r="190" spans="1:54" s="21" customFormat="1" ht="18" customHeight="1">
      <c r="A190" s="642">
        <f t="shared" ref="A190" si="375">A187+1</f>
        <v>61</v>
      </c>
      <c r="B190" s="154" t="s">
        <v>4901</v>
      </c>
      <c r="C190" s="651" t="s">
        <v>4836</v>
      </c>
      <c r="D190" s="80" t="s">
        <v>4863</v>
      </c>
      <c r="E190" s="127" t="s">
        <v>4898</v>
      </c>
      <c r="F190" s="128" t="s">
        <v>71</v>
      </c>
      <c r="G190" s="654"/>
      <c r="H190" s="82" t="s">
        <v>4905</v>
      </c>
      <c r="I190" s="127" t="s">
        <v>9</v>
      </c>
      <c r="J190" s="128"/>
      <c r="K190" s="129">
        <f>M192</f>
        <v>1E-3</v>
      </c>
      <c r="L190" s="129"/>
      <c r="M190" s="129"/>
      <c r="N190" s="127"/>
      <c r="O190" s="127"/>
      <c r="P190" s="127"/>
      <c r="Q190" s="130" t="s">
        <v>4839</v>
      </c>
      <c r="R190" s="130"/>
      <c r="S190" s="155" t="e">
        <f>WORKDAY(T190,-INDEX(T$2:T$5,MATCH($I190,$I$2:$I$5,0)),'[35]Equipment List and MR List (3)'!$A$2:$A$80)</f>
        <v>#REF!</v>
      </c>
      <c r="T190" s="155" t="e">
        <f>WORKDAY(U190,-INDEX(U$2:U$5,MATCH($I190,$I$2:$I$5,0)),$BB$10:$BB$141)</f>
        <v>#REF!</v>
      </c>
      <c r="U190" s="155" t="e">
        <f>WORKDAY(V190,-INDEX(V$2:V$5,MATCH($I190,$I$2:$I$5,0)),$BB$10:$BB$141)</f>
        <v>#REF!</v>
      </c>
      <c r="V190" s="155" t="e">
        <f>WORKDAY(W190,-INDEX(W$2:W$5,MATCH($I190,$I$2:$I$5,0)),$BB$10:$BB$141)</f>
        <v>#REF!</v>
      </c>
      <c r="W190" s="155" t="e">
        <f>WORKDAY(#REF!,-INDEX(#REF!,MATCH($I190,$I$2:$I$5,0)),$BB$10:$BB$141)</f>
        <v>#REF!</v>
      </c>
      <c r="X190" s="155" t="e">
        <f>WORKDAY(Y190,-INDEX(Y$2:Y$5,MATCH($I190,$I$2:$I$5,0)),$BB$10:$BB$141)</f>
        <v>#REF!</v>
      </c>
      <c r="Y190" s="155" t="e">
        <f>WORKDAY(Z190,-INDEX(Z$2:Z$5,MATCH($I190,$I$2:$I$5,0)),$BB$10:$BB$141)</f>
        <v>#REF!</v>
      </c>
      <c r="Z190" s="155" t="e">
        <f>WORKDAY(AA190,-INDEX(AA$2:AA$5,MATCH($I190,$I$2:$I$5,0)),$BB$10:$BB$141)</f>
        <v>#REF!</v>
      </c>
      <c r="AA190" s="155" t="e">
        <f>WORKDAY(#REF!,-INDEX(#REF!,MATCH($I190,$I$2:$I$5,0)),$BB$10:$BB$141)</f>
        <v>#REF!</v>
      </c>
      <c r="AB190" s="155">
        <f>WORKDAY(AG190,0,'[35]Equipment List and MR List (3)'!$A$2:$A$80)</f>
        <v>0</v>
      </c>
      <c r="AC190" s="657" t="s">
        <v>4840</v>
      </c>
      <c r="AD190" s="87">
        <v>7</v>
      </c>
      <c r="AE190" s="663"/>
      <c r="AF190" s="666" t="e">
        <f>AB191</f>
        <v>#REF!</v>
      </c>
      <c r="AG190" s="669"/>
      <c r="AH190" s="88"/>
      <c r="AI190" s="89"/>
      <c r="AJ190" s="672" t="e">
        <f>AG190-AF190</f>
        <v>#REF!</v>
      </c>
      <c r="AK190" s="131"/>
      <c r="AL190" s="132"/>
      <c r="AM190" s="133">
        <f t="shared" ref="AM190:AW199" si="376">IF(ISERROR(LOOKUP(AM$6,$S190:$AB190,$S$9:$AB$9)),0,(LOOKUP(AM$6,$S190:$AB190,$S$9:$AB$9)))</f>
        <v>0.95</v>
      </c>
      <c r="AN190" s="134">
        <f t="shared" si="376"/>
        <v>0.95</v>
      </c>
      <c r="AO190" s="134">
        <f t="shared" si="376"/>
        <v>0.95</v>
      </c>
      <c r="AP190" s="134">
        <f t="shared" si="376"/>
        <v>0.95</v>
      </c>
      <c r="AQ190" s="134">
        <f t="shared" si="376"/>
        <v>0.95</v>
      </c>
      <c r="AR190" s="134">
        <f t="shared" si="376"/>
        <v>0.95</v>
      </c>
      <c r="AS190" s="134">
        <f t="shared" si="376"/>
        <v>0.95</v>
      </c>
      <c r="AT190" s="134">
        <f t="shared" si="376"/>
        <v>0.95</v>
      </c>
      <c r="AU190" s="134">
        <f t="shared" si="376"/>
        <v>0.95</v>
      </c>
      <c r="AV190" s="134">
        <f t="shared" si="376"/>
        <v>0.95</v>
      </c>
      <c r="AW190" s="134">
        <f t="shared" ca="1" si="376"/>
        <v>0.95</v>
      </c>
      <c r="BB190" s="135"/>
    </row>
    <row r="191" spans="1:54" s="21" customFormat="1" ht="18" customHeight="1">
      <c r="A191" s="643"/>
      <c r="B191" s="156"/>
      <c r="C191" s="652"/>
      <c r="D191" s="96" t="str">
        <f>D190</f>
        <v>ELE</v>
      </c>
      <c r="E191" s="136" t="str">
        <f t="shared" ref="E191:F191" si="377">E190</f>
        <v>RFQ-054</v>
      </c>
      <c r="F191" s="137" t="str">
        <f t="shared" si="377"/>
        <v>N</v>
      </c>
      <c r="G191" s="655"/>
      <c r="H191" s="98" t="str">
        <f>H190</f>
        <v>EARTHING SYSTEM</v>
      </c>
      <c r="I191" s="136" t="str">
        <f t="shared" ref="I191" si="378">I190</f>
        <v>LD</v>
      </c>
      <c r="J191" s="137"/>
      <c r="K191" s="138"/>
      <c r="L191" s="138">
        <f>M192</f>
        <v>1E-3</v>
      </c>
      <c r="M191" s="138"/>
      <c r="N191" s="136"/>
      <c r="O191" s="136"/>
      <c r="P191" s="136"/>
      <c r="Q191" s="139" t="s">
        <v>4841</v>
      </c>
      <c r="R191" s="139"/>
      <c r="S191" s="140" t="e">
        <f>S190</f>
        <v>#REF!</v>
      </c>
      <c r="T191" s="141" t="e">
        <f>T190</f>
        <v>#REF!</v>
      </c>
      <c r="U191" s="141" t="e">
        <f>WORKDAY(IF(T192="",T191,T192),INDEX(U$2:U$5,MATCH($I190,$I$2:$I$5,0)),$BB$10:$BB$141)</f>
        <v>#REF!</v>
      </c>
      <c r="V191" s="141" t="e">
        <f>WORKDAY(IF(U192="",U191,U192),INDEX(V$2:V$5,MATCH($I190,$I$2:$I$5,0)),$BB$10:$BB$141)</f>
        <v>#REF!</v>
      </c>
      <c r="W191" s="141" t="e">
        <f>WORKDAY(IF(V192="",V191,V192),INDEX(W$2:W$5,MATCH($I190,$I$2:$I$5,0)),$BB$10:$BB$141)</f>
        <v>#REF!</v>
      </c>
      <c r="X191" s="141" t="e">
        <f>WORKDAY(IF(#REF!="",#REF!,#REF!),INDEX(X$2:X$5,MATCH($I190,$I$2:$I$5,0)),$BB$10:$BB$141)</f>
        <v>#REF!</v>
      </c>
      <c r="Y191" s="141" t="e">
        <f>WORKDAY(IF(X192="",X191,X192),INDEX(Y$2:Y$5,MATCH($I190,$I$2:$I$5,0)),$BB$10:$BB$141)</f>
        <v>#REF!</v>
      </c>
      <c r="Z191" s="141" t="e">
        <f>WORKDAY(IF(Y192="",Y191,Y192),INDEX(Z$2:Z$5,MATCH($I190,$I$2:$I$5,0)),$BB$10:$BB$141)</f>
        <v>#REF!</v>
      </c>
      <c r="AA191" s="141" t="e">
        <f>WORKDAY(IF(Z192="",Z191,Z192),INDEX(AA$2:AA$5,MATCH($I190,$I$2:$I$5,0)),$BB$10:$BB$141)</f>
        <v>#REF!</v>
      </c>
      <c r="AB191" s="142" t="e">
        <f>AE190+#REF!</f>
        <v>#REF!</v>
      </c>
      <c r="AC191" s="658"/>
      <c r="AD191" s="105"/>
      <c r="AE191" s="664"/>
      <c r="AF191" s="667"/>
      <c r="AG191" s="670"/>
      <c r="AH191" s="106"/>
      <c r="AI191" s="107"/>
      <c r="AJ191" s="673"/>
      <c r="AK191" s="143"/>
      <c r="AL191" s="144"/>
      <c r="AM191" s="133">
        <f t="shared" si="376"/>
        <v>0</v>
      </c>
      <c r="AN191" s="134">
        <f t="shared" si="376"/>
        <v>0</v>
      </c>
      <c r="AO191" s="134">
        <f t="shared" si="376"/>
        <v>0</v>
      </c>
      <c r="AP191" s="134">
        <f t="shared" si="376"/>
        <v>0</v>
      </c>
      <c r="AQ191" s="134">
        <f t="shared" si="376"/>
        <v>0</v>
      </c>
      <c r="AR191" s="134">
        <f t="shared" si="376"/>
        <v>0</v>
      </c>
      <c r="AS191" s="134">
        <f t="shared" si="376"/>
        <v>0</v>
      </c>
      <c r="AT191" s="134">
        <f t="shared" si="376"/>
        <v>0</v>
      </c>
      <c r="AU191" s="134">
        <f t="shared" si="376"/>
        <v>0</v>
      </c>
      <c r="AV191" s="134">
        <f t="shared" si="376"/>
        <v>0</v>
      </c>
      <c r="AW191" s="134">
        <f t="shared" ca="1" si="376"/>
        <v>0</v>
      </c>
      <c r="BB191" s="135"/>
    </row>
    <row r="192" spans="1:54" s="21" customFormat="1" ht="18" customHeight="1">
      <c r="A192" s="644"/>
      <c r="B192" s="157"/>
      <c r="C192" s="653"/>
      <c r="D192" s="111" t="str">
        <f>D190</f>
        <v>ELE</v>
      </c>
      <c r="E192" s="145" t="str">
        <f>E190</f>
        <v>RFQ-054</v>
      </c>
      <c r="F192" s="146" t="str">
        <f t="shared" ref="F192" si="379">F190</f>
        <v>N</v>
      </c>
      <c r="G192" s="656"/>
      <c r="H192" s="113" t="str">
        <f>H190</f>
        <v>EARTHING SYSTEM</v>
      </c>
      <c r="I192" s="145" t="str">
        <f t="shared" ref="I192" si="380">I190</f>
        <v>LD</v>
      </c>
      <c r="J192" s="146"/>
      <c r="K192" s="147"/>
      <c r="L192" s="147"/>
      <c r="M192" s="147">
        <v>1E-3</v>
      </c>
      <c r="N192" s="145"/>
      <c r="O192" s="145"/>
      <c r="P192" s="145"/>
      <c r="Q192" s="148" t="s">
        <v>4842</v>
      </c>
      <c r="R192" s="148"/>
      <c r="S192" s="149"/>
      <c r="T192" s="149"/>
      <c r="U192" s="149"/>
      <c r="V192" s="149"/>
      <c r="W192" s="149"/>
      <c r="X192" s="149"/>
      <c r="Y192" s="149"/>
      <c r="Z192" s="149"/>
      <c r="AA192" s="149"/>
      <c r="AB192" s="149"/>
      <c r="AC192" s="659"/>
      <c r="AD192" s="116"/>
      <c r="AE192" s="665"/>
      <c r="AF192" s="668"/>
      <c r="AG192" s="671"/>
      <c r="AH192" s="117"/>
      <c r="AI192" s="118"/>
      <c r="AJ192" s="674"/>
      <c r="AK192" s="150"/>
      <c r="AL192" s="151"/>
      <c r="AM192" s="152">
        <f t="shared" si="376"/>
        <v>0</v>
      </c>
      <c r="AN192" s="153">
        <f t="shared" si="376"/>
        <v>0</v>
      </c>
      <c r="AO192" s="153">
        <f t="shared" si="376"/>
        <v>0</v>
      </c>
      <c r="AP192" s="153">
        <f t="shared" si="376"/>
        <v>0</v>
      </c>
      <c r="AQ192" s="153">
        <f t="shared" si="376"/>
        <v>0</v>
      </c>
      <c r="AR192" s="153">
        <f t="shared" si="376"/>
        <v>0</v>
      </c>
      <c r="AS192" s="153">
        <f t="shared" si="376"/>
        <v>0</v>
      </c>
      <c r="AT192" s="153">
        <f t="shared" si="376"/>
        <v>0</v>
      </c>
      <c r="AU192" s="153">
        <f t="shared" si="376"/>
        <v>0</v>
      </c>
      <c r="AV192" s="153">
        <f t="shared" si="376"/>
        <v>0</v>
      </c>
      <c r="AW192" s="153">
        <f t="shared" ca="1" si="376"/>
        <v>0</v>
      </c>
      <c r="BB192" s="135"/>
    </row>
    <row r="193" spans="1:54" s="21" customFormat="1" ht="18" customHeight="1">
      <c r="A193" s="642">
        <f t="shared" ref="A193" si="381">A190+1</f>
        <v>62</v>
      </c>
      <c r="B193" s="154" t="s">
        <v>4901</v>
      </c>
      <c r="C193" s="651" t="s">
        <v>4836</v>
      </c>
      <c r="D193" s="80" t="s">
        <v>4863</v>
      </c>
      <c r="E193" s="127" t="s">
        <v>4898</v>
      </c>
      <c r="F193" s="128" t="s">
        <v>71</v>
      </c>
      <c r="G193" s="654"/>
      <c r="H193" s="82" t="s">
        <v>4906</v>
      </c>
      <c r="I193" s="127" t="s">
        <v>9</v>
      </c>
      <c r="J193" s="128"/>
      <c r="K193" s="129">
        <f>M195</f>
        <v>1E-3</v>
      </c>
      <c r="L193" s="129"/>
      <c r="M193" s="129"/>
      <c r="N193" s="127"/>
      <c r="O193" s="127"/>
      <c r="P193" s="127"/>
      <c r="Q193" s="130" t="s">
        <v>4839</v>
      </c>
      <c r="R193" s="130"/>
      <c r="S193" s="155" t="e">
        <f>WORKDAY(T193,-INDEX(T$2:T$5,MATCH($I193,$I$2:$I$5,0)),'[35]Equipment List and MR List (3)'!$A$2:$A$80)</f>
        <v>#REF!</v>
      </c>
      <c r="T193" s="155" t="e">
        <f>WORKDAY(U193,-INDEX(U$2:U$5,MATCH($I193,$I$2:$I$5,0)),$BB$10:$BB$141)</f>
        <v>#REF!</v>
      </c>
      <c r="U193" s="155" t="e">
        <f>WORKDAY(V193,-INDEX(V$2:V$5,MATCH($I193,$I$2:$I$5,0)),$BB$10:$BB$141)</f>
        <v>#REF!</v>
      </c>
      <c r="V193" s="155" t="e">
        <f>WORKDAY(W193,-INDEX(W$2:W$5,MATCH($I193,$I$2:$I$5,0)),$BB$10:$BB$141)</f>
        <v>#REF!</v>
      </c>
      <c r="W193" s="155" t="e">
        <f>WORKDAY(#REF!,-INDEX(#REF!,MATCH($I193,$I$2:$I$5,0)),$BB$10:$BB$141)</f>
        <v>#REF!</v>
      </c>
      <c r="X193" s="155" t="e">
        <f>WORKDAY(Y193,-INDEX(Y$2:Y$5,MATCH($I193,$I$2:$I$5,0)),$BB$10:$BB$141)</f>
        <v>#REF!</v>
      </c>
      <c r="Y193" s="155" t="e">
        <f>WORKDAY(Z193,-INDEX(Z$2:Z$5,MATCH($I193,$I$2:$I$5,0)),$BB$10:$BB$141)</f>
        <v>#REF!</v>
      </c>
      <c r="Z193" s="155" t="e">
        <f>WORKDAY(AA193,-INDEX(AA$2:AA$5,MATCH($I193,$I$2:$I$5,0)),$BB$10:$BB$141)</f>
        <v>#REF!</v>
      </c>
      <c r="AA193" s="155" t="e">
        <f>WORKDAY(#REF!,-INDEX(#REF!,MATCH($I193,$I$2:$I$5,0)),$BB$10:$BB$141)</f>
        <v>#REF!</v>
      </c>
      <c r="AB193" s="155">
        <f>WORKDAY(AG193,0,'[35]Equipment List and MR List (3)'!$A$2:$A$80)</f>
        <v>0</v>
      </c>
      <c r="AC193" s="657" t="s">
        <v>4840</v>
      </c>
      <c r="AD193" s="87">
        <v>7</v>
      </c>
      <c r="AE193" s="663">
        <v>123</v>
      </c>
      <c r="AF193" s="666" t="e">
        <f>AB194</f>
        <v>#REF!</v>
      </c>
      <c r="AG193" s="669"/>
      <c r="AH193" s="88"/>
      <c r="AI193" s="89"/>
      <c r="AJ193" s="672" t="e">
        <f>AG193-AF193</f>
        <v>#REF!</v>
      </c>
      <c r="AK193" s="131"/>
      <c r="AL193" s="132"/>
      <c r="AM193" s="133">
        <f t="shared" si="376"/>
        <v>0.95</v>
      </c>
      <c r="AN193" s="134">
        <f t="shared" si="376"/>
        <v>0.95</v>
      </c>
      <c r="AO193" s="134">
        <f t="shared" si="376"/>
        <v>0.95</v>
      </c>
      <c r="AP193" s="134">
        <f t="shared" si="376"/>
        <v>0.95</v>
      </c>
      <c r="AQ193" s="134">
        <f t="shared" si="376"/>
        <v>0.95</v>
      </c>
      <c r="AR193" s="134">
        <f t="shared" si="376"/>
        <v>0.95</v>
      </c>
      <c r="AS193" s="134">
        <f t="shared" si="376"/>
        <v>0.95</v>
      </c>
      <c r="AT193" s="134">
        <f t="shared" si="376"/>
        <v>0.95</v>
      </c>
      <c r="AU193" s="134">
        <f t="shared" si="376"/>
        <v>0.95</v>
      </c>
      <c r="AV193" s="134">
        <f t="shared" si="376"/>
        <v>0.95</v>
      </c>
      <c r="AW193" s="134">
        <f t="shared" ca="1" si="376"/>
        <v>0.95</v>
      </c>
      <c r="BB193" s="135"/>
    </row>
    <row r="194" spans="1:54" s="21" customFormat="1" ht="18" customHeight="1">
      <c r="A194" s="643"/>
      <c r="B194" s="156"/>
      <c r="C194" s="652"/>
      <c r="D194" s="96" t="str">
        <f>D193</f>
        <v>ELE</v>
      </c>
      <c r="E194" s="136" t="str">
        <f t="shared" ref="E194:F194" si="382">E193</f>
        <v>RFQ-054</v>
      </c>
      <c r="F194" s="137" t="str">
        <f t="shared" si="382"/>
        <v>N</v>
      </c>
      <c r="G194" s="655"/>
      <c r="H194" s="98" t="str">
        <f>H193</f>
        <v>MULTI-CABLE TRANSIT (MCT)</v>
      </c>
      <c r="I194" s="136" t="str">
        <f t="shared" ref="I194" si="383">I193</f>
        <v>LD</v>
      </c>
      <c r="J194" s="137"/>
      <c r="K194" s="138"/>
      <c r="L194" s="138">
        <f>M195</f>
        <v>1E-3</v>
      </c>
      <c r="M194" s="138"/>
      <c r="N194" s="136"/>
      <c r="O194" s="136"/>
      <c r="P194" s="136"/>
      <c r="Q194" s="139" t="s">
        <v>4841</v>
      </c>
      <c r="R194" s="139"/>
      <c r="S194" s="140" t="e">
        <f>S193</f>
        <v>#REF!</v>
      </c>
      <c r="T194" s="141" t="e">
        <f>T193</f>
        <v>#REF!</v>
      </c>
      <c r="U194" s="141" t="e">
        <f>WORKDAY(IF(T195="",T194,T195),INDEX(U$2:U$5,MATCH($I193,$I$2:$I$5,0)),$BB$10:$BB$141)</f>
        <v>#REF!</v>
      </c>
      <c r="V194" s="141" t="e">
        <f>WORKDAY(IF(U195="",U194,U195),INDEX(V$2:V$5,MATCH($I193,$I$2:$I$5,0)),$BB$10:$BB$141)</f>
        <v>#REF!</v>
      </c>
      <c r="W194" s="141" t="e">
        <f>WORKDAY(IF(V195="",V194,V195),INDEX(W$2:W$5,MATCH($I193,$I$2:$I$5,0)),$BB$10:$BB$141)</f>
        <v>#REF!</v>
      </c>
      <c r="X194" s="141" t="e">
        <f>WORKDAY(IF(#REF!="",#REF!,#REF!),INDEX(X$2:X$5,MATCH($I193,$I$2:$I$5,0)),$BB$10:$BB$141)</f>
        <v>#REF!</v>
      </c>
      <c r="Y194" s="141" t="e">
        <f>WORKDAY(IF(X195="",X194,X195),INDEX(Y$2:Y$5,MATCH($I193,$I$2:$I$5,0)),$BB$10:$BB$141)</f>
        <v>#REF!</v>
      </c>
      <c r="Z194" s="141" t="e">
        <f>WORKDAY(IF(Y195="",Y194,Y195),INDEX(Z$2:Z$5,MATCH($I193,$I$2:$I$5,0)),$BB$10:$BB$141)</f>
        <v>#REF!</v>
      </c>
      <c r="AA194" s="141" t="e">
        <f>WORKDAY(IF(Z195="",Z194,Z195),INDEX(AA$2:AA$5,MATCH($I193,$I$2:$I$5,0)),$BB$10:$BB$141)</f>
        <v>#REF!</v>
      </c>
      <c r="AB194" s="142" t="e">
        <f>AE193+#REF!</f>
        <v>#REF!</v>
      </c>
      <c r="AC194" s="658"/>
      <c r="AD194" s="105"/>
      <c r="AE194" s="664"/>
      <c r="AF194" s="667"/>
      <c r="AG194" s="670"/>
      <c r="AH194" s="106"/>
      <c r="AI194" s="107"/>
      <c r="AJ194" s="673"/>
      <c r="AK194" s="143"/>
      <c r="AL194" s="144"/>
      <c r="AM194" s="133">
        <f t="shared" si="376"/>
        <v>0</v>
      </c>
      <c r="AN194" s="134">
        <f t="shared" si="376"/>
        <v>0</v>
      </c>
      <c r="AO194" s="134">
        <f t="shared" si="376"/>
        <v>0</v>
      </c>
      <c r="AP194" s="134">
        <f t="shared" si="376"/>
        <v>0</v>
      </c>
      <c r="AQ194" s="134">
        <f t="shared" si="376"/>
        <v>0</v>
      </c>
      <c r="AR194" s="134">
        <f t="shared" si="376"/>
        <v>0</v>
      </c>
      <c r="AS194" s="134">
        <f t="shared" si="376"/>
        <v>0</v>
      </c>
      <c r="AT194" s="134">
        <f t="shared" si="376"/>
        <v>0</v>
      </c>
      <c r="AU194" s="134">
        <f t="shared" si="376"/>
        <v>0</v>
      </c>
      <c r="AV194" s="134">
        <f t="shared" si="376"/>
        <v>0</v>
      </c>
      <c r="AW194" s="134">
        <f t="shared" ca="1" si="376"/>
        <v>0</v>
      </c>
      <c r="BB194" s="135"/>
    </row>
    <row r="195" spans="1:54" s="21" customFormat="1" ht="18" customHeight="1">
      <c r="A195" s="644"/>
      <c r="B195" s="157"/>
      <c r="C195" s="653"/>
      <c r="D195" s="111" t="str">
        <f>D193</f>
        <v>ELE</v>
      </c>
      <c r="E195" s="145" t="str">
        <f>E193</f>
        <v>RFQ-054</v>
      </c>
      <c r="F195" s="146" t="str">
        <f t="shared" ref="F195" si="384">F193</f>
        <v>N</v>
      </c>
      <c r="G195" s="656"/>
      <c r="H195" s="113" t="str">
        <f>H193</f>
        <v>MULTI-CABLE TRANSIT (MCT)</v>
      </c>
      <c r="I195" s="145" t="str">
        <f t="shared" ref="I195" si="385">I193</f>
        <v>LD</v>
      </c>
      <c r="J195" s="146"/>
      <c r="K195" s="147"/>
      <c r="L195" s="147"/>
      <c r="M195" s="147">
        <v>1E-3</v>
      </c>
      <c r="N195" s="145"/>
      <c r="O195" s="145"/>
      <c r="P195" s="145"/>
      <c r="Q195" s="148" t="s">
        <v>4842</v>
      </c>
      <c r="R195" s="148"/>
      <c r="S195" s="149"/>
      <c r="T195" s="149"/>
      <c r="U195" s="149"/>
      <c r="V195" s="149"/>
      <c r="W195" s="149"/>
      <c r="X195" s="149"/>
      <c r="Y195" s="149"/>
      <c r="Z195" s="149"/>
      <c r="AA195" s="149"/>
      <c r="AB195" s="149"/>
      <c r="AC195" s="659"/>
      <c r="AD195" s="116"/>
      <c r="AE195" s="665"/>
      <c r="AF195" s="668"/>
      <c r="AG195" s="671"/>
      <c r="AH195" s="117"/>
      <c r="AI195" s="118"/>
      <c r="AJ195" s="674"/>
      <c r="AK195" s="150"/>
      <c r="AL195" s="151"/>
      <c r="AM195" s="152">
        <f t="shared" si="376"/>
        <v>0</v>
      </c>
      <c r="AN195" s="153">
        <f t="shared" si="376"/>
        <v>0</v>
      </c>
      <c r="AO195" s="153">
        <f t="shared" si="376"/>
        <v>0</v>
      </c>
      <c r="AP195" s="153">
        <f t="shared" si="376"/>
        <v>0</v>
      </c>
      <c r="AQ195" s="153">
        <f t="shared" si="376"/>
        <v>0</v>
      </c>
      <c r="AR195" s="153">
        <f t="shared" si="376"/>
        <v>0</v>
      </c>
      <c r="AS195" s="153">
        <f t="shared" si="376"/>
        <v>0</v>
      </c>
      <c r="AT195" s="153">
        <f t="shared" si="376"/>
        <v>0</v>
      </c>
      <c r="AU195" s="153">
        <f t="shared" si="376"/>
        <v>0</v>
      </c>
      <c r="AV195" s="153">
        <f t="shared" si="376"/>
        <v>0</v>
      </c>
      <c r="AW195" s="153">
        <f t="shared" ca="1" si="376"/>
        <v>0</v>
      </c>
      <c r="BB195" s="135"/>
    </row>
    <row r="196" spans="1:54" s="21" customFormat="1" ht="18" customHeight="1">
      <c r="A196" s="642">
        <f t="shared" ref="A196" si="386">A193+1</f>
        <v>63</v>
      </c>
      <c r="B196" s="154" t="s">
        <v>4901</v>
      </c>
      <c r="C196" s="651" t="s">
        <v>4836</v>
      </c>
      <c r="D196" s="80" t="s">
        <v>4863</v>
      </c>
      <c r="E196" s="127" t="s">
        <v>4898</v>
      </c>
      <c r="F196" s="128" t="s">
        <v>71</v>
      </c>
      <c r="G196" s="654"/>
      <c r="H196" s="82" t="s">
        <v>4907</v>
      </c>
      <c r="I196" s="127" t="s">
        <v>9</v>
      </c>
      <c r="J196" s="128"/>
      <c r="K196" s="129">
        <f>M198</f>
        <v>1E-3</v>
      </c>
      <c r="L196" s="129"/>
      <c r="M196" s="129"/>
      <c r="N196" s="127"/>
      <c r="O196" s="127"/>
      <c r="P196" s="127"/>
      <c r="Q196" s="130" t="s">
        <v>4839</v>
      </c>
      <c r="R196" s="130"/>
      <c r="S196" s="155" t="e">
        <f>WORKDAY(T196,-INDEX(T$2:T$5,MATCH($I196,$I$2:$I$5,0)),'[35]Equipment List and MR List (3)'!$A$2:$A$80)</f>
        <v>#REF!</v>
      </c>
      <c r="T196" s="155" t="e">
        <f>WORKDAY(U196,-INDEX(U$2:U$5,MATCH($I196,$I$2:$I$5,0)),$BB$10:$BB$141)</f>
        <v>#REF!</v>
      </c>
      <c r="U196" s="155" t="e">
        <f>WORKDAY(V196,-INDEX(V$2:V$5,MATCH($I196,$I$2:$I$5,0)),$BB$10:$BB$141)</f>
        <v>#REF!</v>
      </c>
      <c r="V196" s="155" t="e">
        <f>WORKDAY(W196,-INDEX(W$2:W$5,MATCH($I196,$I$2:$I$5,0)),$BB$10:$BB$141)</f>
        <v>#REF!</v>
      </c>
      <c r="W196" s="155" t="e">
        <f>WORKDAY(#REF!,-INDEX(#REF!,MATCH($I196,$I$2:$I$5,0)),$BB$10:$BB$141)</f>
        <v>#REF!</v>
      </c>
      <c r="X196" s="155" t="e">
        <f>WORKDAY(Y196,-INDEX(Y$2:Y$5,MATCH($I196,$I$2:$I$5,0)),$BB$10:$BB$141)</f>
        <v>#REF!</v>
      </c>
      <c r="Y196" s="155" t="e">
        <f>WORKDAY(Z196,-INDEX(Z$2:Z$5,MATCH($I196,$I$2:$I$5,0)),$BB$10:$BB$141)</f>
        <v>#REF!</v>
      </c>
      <c r="Z196" s="155" t="e">
        <f>WORKDAY(AA196,-INDEX(AA$2:AA$5,MATCH($I196,$I$2:$I$5,0)),$BB$10:$BB$141)</f>
        <v>#REF!</v>
      </c>
      <c r="AA196" s="155" t="e">
        <f>WORKDAY(#REF!,-INDEX(#REF!,MATCH($I196,$I$2:$I$5,0)),$BB$10:$BB$141)</f>
        <v>#REF!</v>
      </c>
      <c r="AB196" s="155">
        <f>WORKDAY(AG196,0,'[35]Equipment List and MR List (3)'!$A$2:$A$80)</f>
        <v>0</v>
      </c>
      <c r="AC196" s="657" t="s">
        <v>4840</v>
      </c>
      <c r="AD196" s="87">
        <v>7</v>
      </c>
      <c r="AE196" s="663">
        <v>104</v>
      </c>
      <c r="AF196" s="666" t="e">
        <f>AB197</f>
        <v>#REF!</v>
      </c>
      <c r="AG196" s="669"/>
      <c r="AH196" s="88"/>
      <c r="AI196" s="89"/>
      <c r="AJ196" s="672" t="e">
        <f>AG196-AF196</f>
        <v>#REF!</v>
      </c>
      <c r="AK196" s="131"/>
      <c r="AL196" s="132"/>
      <c r="AM196" s="133">
        <f t="shared" si="376"/>
        <v>0.95</v>
      </c>
      <c r="AN196" s="134">
        <f t="shared" si="376"/>
        <v>0.95</v>
      </c>
      <c r="AO196" s="134">
        <f t="shared" si="376"/>
        <v>0.95</v>
      </c>
      <c r="AP196" s="134">
        <f t="shared" si="376"/>
        <v>0.95</v>
      </c>
      <c r="AQ196" s="134">
        <f t="shared" si="376"/>
        <v>0.95</v>
      </c>
      <c r="AR196" s="134">
        <f t="shared" si="376"/>
        <v>0.95</v>
      </c>
      <c r="AS196" s="134">
        <f t="shared" si="376"/>
        <v>0.95</v>
      </c>
      <c r="AT196" s="134">
        <f t="shared" si="376"/>
        <v>0.95</v>
      </c>
      <c r="AU196" s="134">
        <f t="shared" si="376"/>
        <v>0.95</v>
      </c>
      <c r="AV196" s="134">
        <f t="shared" si="376"/>
        <v>0.95</v>
      </c>
      <c r="AW196" s="134">
        <f t="shared" ca="1" si="376"/>
        <v>0.95</v>
      </c>
      <c r="BB196" s="135"/>
    </row>
    <row r="197" spans="1:54" s="21" customFormat="1" ht="18" customHeight="1">
      <c r="A197" s="643"/>
      <c r="B197" s="156"/>
      <c r="C197" s="652"/>
      <c r="D197" s="96" t="str">
        <f>D196</f>
        <v>ELE</v>
      </c>
      <c r="E197" s="136" t="str">
        <f t="shared" ref="E197:F197" si="387">E196</f>
        <v>RFQ-054</v>
      </c>
      <c r="F197" s="137" t="str">
        <f t="shared" si="387"/>
        <v>N</v>
      </c>
      <c r="G197" s="655"/>
      <c r="H197" s="98" t="str">
        <f>H196</f>
        <v>ELECTRICAL CABLE</v>
      </c>
      <c r="I197" s="136" t="str">
        <f t="shared" ref="I197" si="388">I196</f>
        <v>LD</v>
      </c>
      <c r="J197" s="137"/>
      <c r="K197" s="138"/>
      <c r="L197" s="138">
        <f>M198</f>
        <v>1E-3</v>
      </c>
      <c r="M197" s="138"/>
      <c r="N197" s="136"/>
      <c r="O197" s="136"/>
      <c r="P197" s="136"/>
      <c r="Q197" s="139" t="s">
        <v>4841</v>
      </c>
      <c r="R197" s="139"/>
      <c r="S197" s="140" t="e">
        <f>S196</f>
        <v>#REF!</v>
      </c>
      <c r="T197" s="141" t="e">
        <f>T196</f>
        <v>#REF!</v>
      </c>
      <c r="U197" s="141" t="e">
        <f>WORKDAY(IF(T198="",T197,T198),INDEX(U$2:U$5,MATCH($I196,$I$2:$I$5,0)),$BB$10:$BB$141)</f>
        <v>#REF!</v>
      </c>
      <c r="V197" s="141" t="e">
        <f>WORKDAY(IF(U198="",U197,U198),INDEX(V$2:V$5,MATCH($I196,$I$2:$I$5,0)),$BB$10:$BB$141)</f>
        <v>#REF!</v>
      </c>
      <c r="W197" s="141" t="e">
        <f>WORKDAY(IF(V198="",V197,V198),INDEX(W$2:W$5,MATCH($I196,$I$2:$I$5,0)),$BB$10:$BB$141)</f>
        <v>#REF!</v>
      </c>
      <c r="X197" s="141" t="e">
        <f>WORKDAY(IF(#REF!="",#REF!,#REF!),INDEX(X$2:X$5,MATCH($I196,$I$2:$I$5,0)),$BB$10:$BB$141)</f>
        <v>#REF!</v>
      </c>
      <c r="Y197" s="141" t="e">
        <f>WORKDAY(IF(X198="",X197,X198),INDEX(Y$2:Y$5,MATCH($I196,$I$2:$I$5,0)),$BB$10:$BB$141)</f>
        <v>#REF!</v>
      </c>
      <c r="Z197" s="141" t="e">
        <f>WORKDAY(IF(Y198="",Y197,Y198),INDEX(Z$2:Z$5,MATCH($I196,$I$2:$I$5,0)),$BB$10:$BB$141)</f>
        <v>#REF!</v>
      </c>
      <c r="AA197" s="141" t="e">
        <f>WORKDAY(IF(Z198="",Z197,Z198),INDEX(AA$2:AA$5,MATCH($I196,$I$2:$I$5,0)),$BB$10:$BB$141)</f>
        <v>#REF!</v>
      </c>
      <c r="AB197" s="142" t="e">
        <f>AE196+#REF!</f>
        <v>#REF!</v>
      </c>
      <c r="AC197" s="658"/>
      <c r="AD197" s="105"/>
      <c r="AE197" s="664"/>
      <c r="AF197" s="667"/>
      <c r="AG197" s="670"/>
      <c r="AH197" s="106"/>
      <c r="AI197" s="107"/>
      <c r="AJ197" s="673"/>
      <c r="AK197" s="143"/>
      <c r="AL197" s="144"/>
      <c r="AM197" s="133">
        <f t="shared" si="376"/>
        <v>0</v>
      </c>
      <c r="AN197" s="134">
        <f t="shared" si="376"/>
        <v>0</v>
      </c>
      <c r="AO197" s="134">
        <f t="shared" si="376"/>
        <v>0</v>
      </c>
      <c r="AP197" s="134">
        <f t="shared" si="376"/>
        <v>0</v>
      </c>
      <c r="AQ197" s="134">
        <f t="shared" si="376"/>
        <v>0</v>
      </c>
      <c r="AR197" s="134">
        <f t="shared" si="376"/>
        <v>0</v>
      </c>
      <c r="AS197" s="134">
        <f t="shared" si="376"/>
        <v>0</v>
      </c>
      <c r="AT197" s="134">
        <f t="shared" si="376"/>
        <v>0</v>
      </c>
      <c r="AU197" s="134">
        <f t="shared" si="376"/>
        <v>0</v>
      </c>
      <c r="AV197" s="134">
        <f t="shared" si="376"/>
        <v>0</v>
      </c>
      <c r="AW197" s="134">
        <f t="shared" ca="1" si="376"/>
        <v>0</v>
      </c>
      <c r="BB197" s="135"/>
    </row>
    <row r="198" spans="1:54" s="21" customFormat="1" ht="18" customHeight="1">
      <c r="A198" s="644"/>
      <c r="B198" s="157"/>
      <c r="C198" s="653"/>
      <c r="D198" s="111" t="str">
        <f>D196</f>
        <v>ELE</v>
      </c>
      <c r="E198" s="145" t="str">
        <f>E196</f>
        <v>RFQ-054</v>
      </c>
      <c r="F198" s="146" t="str">
        <f t="shared" ref="F198" si="389">F196</f>
        <v>N</v>
      </c>
      <c r="G198" s="656"/>
      <c r="H198" s="113" t="str">
        <f>H196</f>
        <v>ELECTRICAL CABLE</v>
      </c>
      <c r="I198" s="145" t="str">
        <f t="shared" ref="I198" si="390">I196</f>
        <v>LD</v>
      </c>
      <c r="J198" s="146"/>
      <c r="K198" s="147"/>
      <c r="L198" s="147"/>
      <c r="M198" s="147">
        <v>1E-3</v>
      </c>
      <c r="N198" s="145"/>
      <c r="O198" s="145"/>
      <c r="P198" s="145"/>
      <c r="Q198" s="148" t="s">
        <v>4842</v>
      </c>
      <c r="R198" s="148"/>
      <c r="S198" s="149"/>
      <c r="T198" s="149"/>
      <c r="U198" s="149"/>
      <c r="V198" s="149"/>
      <c r="W198" s="149"/>
      <c r="X198" s="149"/>
      <c r="Y198" s="149"/>
      <c r="Z198" s="149"/>
      <c r="AA198" s="149"/>
      <c r="AB198" s="149"/>
      <c r="AC198" s="659"/>
      <c r="AD198" s="116"/>
      <c r="AE198" s="665"/>
      <c r="AF198" s="668"/>
      <c r="AG198" s="671"/>
      <c r="AH198" s="117"/>
      <c r="AI198" s="118"/>
      <c r="AJ198" s="674"/>
      <c r="AK198" s="150"/>
      <c r="AL198" s="151"/>
      <c r="AM198" s="152">
        <f t="shared" si="376"/>
        <v>0</v>
      </c>
      <c r="AN198" s="153">
        <f t="shared" si="376"/>
        <v>0</v>
      </c>
      <c r="AO198" s="153">
        <f t="shared" si="376"/>
        <v>0</v>
      </c>
      <c r="AP198" s="153">
        <f t="shared" si="376"/>
        <v>0</v>
      </c>
      <c r="AQ198" s="153">
        <f t="shared" si="376"/>
        <v>0</v>
      </c>
      <c r="AR198" s="153">
        <f t="shared" si="376"/>
        <v>0</v>
      </c>
      <c r="AS198" s="153">
        <f t="shared" si="376"/>
        <v>0</v>
      </c>
      <c r="AT198" s="153">
        <f t="shared" si="376"/>
        <v>0</v>
      </c>
      <c r="AU198" s="153">
        <f t="shared" si="376"/>
        <v>0</v>
      </c>
      <c r="AV198" s="153">
        <f t="shared" si="376"/>
        <v>0</v>
      </c>
      <c r="AW198" s="153">
        <f t="shared" ca="1" si="376"/>
        <v>0</v>
      </c>
      <c r="BB198" s="135"/>
    </row>
    <row r="199" spans="1:54" s="21" customFormat="1" ht="18" customHeight="1">
      <c r="A199" s="642">
        <f t="shared" ref="A199" si="391">A196+1</f>
        <v>64</v>
      </c>
      <c r="B199" s="154" t="s">
        <v>4901</v>
      </c>
      <c r="C199" s="651" t="s">
        <v>4836</v>
      </c>
      <c r="D199" s="80" t="s">
        <v>4863</v>
      </c>
      <c r="E199" s="127" t="s">
        <v>4898</v>
      </c>
      <c r="F199" s="128" t="s">
        <v>71</v>
      </c>
      <c r="G199" s="654"/>
      <c r="H199" s="82" t="s">
        <v>4908</v>
      </c>
      <c r="I199" s="127" t="s">
        <v>9</v>
      </c>
      <c r="J199" s="128"/>
      <c r="K199" s="129">
        <f>M201</f>
        <v>1E-3</v>
      </c>
      <c r="L199" s="129"/>
      <c r="M199" s="129"/>
      <c r="N199" s="127"/>
      <c r="O199" s="127"/>
      <c r="P199" s="127"/>
      <c r="Q199" s="130" t="s">
        <v>4839</v>
      </c>
      <c r="R199" s="130"/>
      <c r="S199" s="155" t="e">
        <f>WORKDAY(T199,-INDEX(T$2:T$5,MATCH($I199,$I$2:$I$5,0)),'[35]Equipment List and MR List (3)'!$A$2:$A$80)</f>
        <v>#REF!</v>
      </c>
      <c r="T199" s="155" t="e">
        <f>WORKDAY(U199,-INDEX(U$2:U$5,MATCH($I199,$I$2:$I$5,0)),$BB$10:$BB$141)</f>
        <v>#REF!</v>
      </c>
      <c r="U199" s="155" t="e">
        <f>WORKDAY(V199,-INDEX(V$2:V$5,MATCH($I199,$I$2:$I$5,0)),$BB$10:$BB$141)</f>
        <v>#REF!</v>
      </c>
      <c r="V199" s="155" t="e">
        <f>WORKDAY(W199,-INDEX(W$2:W$5,MATCH($I199,$I$2:$I$5,0)),$BB$10:$BB$141)</f>
        <v>#REF!</v>
      </c>
      <c r="W199" s="155" t="e">
        <f>WORKDAY(#REF!,-INDEX(#REF!,MATCH($I199,$I$2:$I$5,0)),$BB$10:$BB$141)</f>
        <v>#REF!</v>
      </c>
      <c r="X199" s="155" t="e">
        <f>WORKDAY(Y199,-INDEX(Y$2:Y$5,MATCH($I199,$I$2:$I$5,0)),$BB$10:$BB$141)</f>
        <v>#REF!</v>
      </c>
      <c r="Y199" s="155" t="e">
        <f>WORKDAY(Z199,-INDEX(Z$2:Z$5,MATCH($I199,$I$2:$I$5,0)),$BB$10:$BB$141)</f>
        <v>#REF!</v>
      </c>
      <c r="Z199" s="155" t="e">
        <f>WORKDAY(AA199,-INDEX(AA$2:AA$5,MATCH($I199,$I$2:$I$5,0)),$BB$10:$BB$141)</f>
        <v>#REF!</v>
      </c>
      <c r="AA199" s="155" t="e">
        <f>WORKDAY(#REF!,-INDEX(#REF!,MATCH($I199,$I$2:$I$5,0)),$BB$10:$BB$141)</f>
        <v>#REF!</v>
      </c>
      <c r="AB199" s="155">
        <f>WORKDAY(AG199,0,'[35]Equipment List and MR List (3)'!$A$2:$A$80)</f>
        <v>0</v>
      </c>
      <c r="AC199" s="657" t="s">
        <v>4840</v>
      </c>
      <c r="AD199" s="87">
        <v>7</v>
      </c>
      <c r="AE199" s="663"/>
      <c r="AF199" s="666" t="e">
        <f>AB200</f>
        <v>#REF!</v>
      </c>
      <c r="AG199" s="669"/>
      <c r="AH199" s="88"/>
      <c r="AI199" s="89"/>
      <c r="AJ199" s="672" t="e">
        <f>AG199-AF199</f>
        <v>#REF!</v>
      </c>
      <c r="AK199" s="131"/>
      <c r="AL199" s="132"/>
      <c r="AM199" s="133">
        <f t="shared" si="376"/>
        <v>0.95</v>
      </c>
      <c r="AN199" s="134">
        <f t="shared" si="376"/>
        <v>0.95</v>
      </c>
      <c r="AO199" s="134">
        <f t="shared" si="376"/>
        <v>0.95</v>
      </c>
      <c r="AP199" s="134">
        <f t="shared" si="376"/>
        <v>0.95</v>
      </c>
      <c r="AQ199" s="134">
        <f t="shared" si="376"/>
        <v>0.95</v>
      </c>
      <c r="AR199" s="134">
        <f t="shared" si="376"/>
        <v>0.95</v>
      </c>
      <c r="AS199" s="134">
        <f t="shared" si="376"/>
        <v>0.95</v>
      </c>
      <c r="AT199" s="134">
        <f t="shared" si="376"/>
        <v>0.95</v>
      </c>
      <c r="AU199" s="134">
        <f t="shared" si="376"/>
        <v>0.95</v>
      </c>
      <c r="AV199" s="134">
        <f t="shared" si="376"/>
        <v>0.95</v>
      </c>
      <c r="AW199" s="134">
        <f t="shared" ca="1" si="376"/>
        <v>0.95</v>
      </c>
      <c r="BB199" s="135"/>
    </row>
    <row r="200" spans="1:54" s="21" customFormat="1" ht="18" customHeight="1">
      <c r="A200" s="643"/>
      <c r="B200" s="156"/>
      <c r="C200" s="652"/>
      <c r="D200" s="96" t="str">
        <f>D199</f>
        <v>ELE</v>
      </c>
      <c r="E200" s="136" t="str">
        <f t="shared" ref="E200:F200" si="392">E199</f>
        <v>RFQ-054</v>
      </c>
      <c r="F200" s="137" t="str">
        <f t="shared" si="392"/>
        <v>N</v>
      </c>
      <c r="G200" s="655"/>
      <c r="H200" s="98" t="str">
        <f>H199</f>
        <v>NAVIGATIONAL AIDS LANTERN AND FOG HORN</v>
      </c>
      <c r="I200" s="136" t="str">
        <f t="shared" ref="I200" si="393">I199</f>
        <v>LD</v>
      </c>
      <c r="J200" s="137"/>
      <c r="K200" s="138"/>
      <c r="L200" s="138">
        <f>M201</f>
        <v>1E-3</v>
      </c>
      <c r="M200" s="138"/>
      <c r="N200" s="136"/>
      <c r="O200" s="136"/>
      <c r="P200" s="136"/>
      <c r="Q200" s="139" t="s">
        <v>4841</v>
      </c>
      <c r="R200" s="139"/>
      <c r="S200" s="140" t="e">
        <f>S199</f>
        <v>#REF!</v>
      </c>
      <c r="T200" s="141" t="e">
        <f>T199</f>
        <v>#REF!</v>
      </c>
      <c r="U200" s="141" t="e">
        <f>WORKDAY(IF(T201="",T200,T201),INDEX(U$2:U$5,MATCH($I199,$I$2:$I$5,0)),$BB$10:$BB$141)</f>
        <v>#REF!</v>
      </c>
      <c r="V200" s="141" t="e">
        <f>WORKDAY(IF(U201="",U200,U201),INDEX(V$2:V$5,MATCH($I199,$I$2:$I$5,0)),$BB$10:$BB$141)</f>
        <v>#REF!</v>
      </c>
      <c r="W200" s="141" t="e">
        <f>WORKDAY(IF(V201="",V200,V201),INDEX(W$2:W$5,MATCH($I199,$I$2:$I$5,0)),$BB$10:$BB$141)</f>
        <v>#REF!</v>
      </c>
      <c r="X200" s="141" t="e">
        <f>WORKDAY(IF(#REF!="",#REF!,#REF!),INDEX(X$2:X$5,MATCH($I199,$I$2:$I$5,0)),$BB$10:$BB$141)</f>
        <v>#REF!</v>
      </c>
      <c r="Y200" s="141" t="e">
        <f>WORKDAY(IF(X201="",X200,X201),INDEX(Y$2:Y$5,MATCH($I199,$I$2:$I$5,0)),$BB$10:$BB$141)</f>
        <v>#REF!</v>
      </c>
      <c r="Z200" s="141" t="e">
        <f>WORKDAY(IF(Y201="",Y200,Y201),INDEX(Z$2:Z$5,MATCH($I199,$I$2:$I$5,0)),$BB$10:$BB$141)</f>
        <v>#REF!</v>
      </c>
      <c r="AA200" s="141" t="e">
        <f>WORKDAY(IF(Z201="",Z200,Z201),INDEX(AA$2:AA$5,MATCH($I199,$I$2:$I$5,0)),$BB$10:$BB$141)</f>
        <v>#REF!</v>
      </c>
      <c r="AB200" s="142" t="e">
        <f>AE199+#REF!</f>
        <v>#REF!</v>
      </c>
      <c r="AC200" s="658"/>
      <c r="AD200" s="105"/>
      <c r="AE200" s="664"/>
      <c r="AF200" s="667"/>
      <c r="AG200" s="670"/>
      <c r="AH200" s="106"/>
      <c r="AI200" s="107"/>
      <c r="AJ200" s="673"/>
      <c r="AK200" s="143"/>
      <c r="AL200" s="144"/>
      <c r="AM200" s="133">
        <f t="shared" ref="AM200:AW209" si="394">IF(ISERROR(LOOKUP(AM$6,$S200:$AB200,$S$9:$AB$9)),0,(LOOKUP(AM$6,$S200:$AB200,$S$9:$AB$9)))</f>
        <v>0</v>
      </c>
      <c r="AN200" s="134">
        <f t="shared" si="394"/>
        <v>0</v>
      </c>
      <c r="AO200" s="134">
        <f t="shared" si="394"/>
        <v>0</v>
      </c>
      <c r="AP200" s="134">
        <f t="shared" si="394"/>
        <v>0</v>
      </c>
      <c r="AQ200" s="134">
        <f t="shared" si="394"/>
        <v>0</v>
      </c>
      <c r="AR200" s="134">
        <f t="shared" si="394"/>
        <v>0</v>
      </c>
      <c r="AS200" s="134">
        <f t="shared" si="394"/>
        <v>0</v>
      </c>
      <c r="AT200" s="134">
        <f t="shared" si="394"/>
        <v>0</v>
      </c>
      <c r="AU200" s="134">
        <f t="shared" si="394"/>
        <v>0</v>
      </c>
      <c r="AV200" s="134">
        <f t="shared" si="394"/>
        <v>0</v>
      </c>
      <c r="AW200" s="134">
        <f t="shared" ca="1" si="394"/>
        <v>0</v>
      </c>
      <c r="BB200" s="135"/>
    </row>
    <row r="201" spans="1:54" s="21" customFormat="1" ht="18" customHeight="1">
      <c r="A201" s="644"/>
      <c r="B201" s="157"/>
      <c r="C201" s="653"/>
      <c r="D201" s="111" t="str">
        <f>D199</f>
        <v>ELE</v>
      </c>
      <c r="E201" s="145" t="str">
        <f>E199</f>
        <v>RFQ-054</v>
      </c>
      <c r="F201" s="146" t="str">
        <f t="shared" ref="F201" si="395">F199</f>
        <v>N</v>
      </c>
      <c r="G201" s="656"/>
      <c r="H201" s="113" t="str">
        <f>H199</f>
        <v>NAVIGATIONAL AIDS LANTERN AND FOG HORN</v>
      </c>
      <c r="I201" s="145" t="str">
        <f t="shared" ref="I201" si="396">I199</f>
        <v>LD</v>
      </c>
      <c r="J201" s="146"/>
      <c r="K201" s="147"/>
      <c r="L201" s="147"/>
      <c r="M201" s="147">
        <v>1E-3</v>
      </c>
      <c r="N201" s="145"/>
      <c r="O201" s="145"/>
      <c r="P201" s="145"/>
      <c r="Q201" s="148" t="s">
        <v>4842</v>
      </c>
      <c r="R201" s="148"/>
      <c r="S201" s="149"/>
      <c r="T201" s="149"/>
      <c r="U201" s="149"/>
      <c r="V201" s="149"/>
      <c r="W201" s="149"/>
      <c r="X201" s="149"/>
      <c r="Y201" s="149"/>
      <c r="Z201" s="149"/>
      <c r="AA201" s="149"/>
      <c r="AB201" s="149"/>
      <c r="AC201" s="659"/>
      <c r="AD201" s="116"/>
      <c r="AE201" s="665"/>
      <c r="AF201" s="668"/>
      <c r="AG201" s="671"/>
      <c r="AH201" s="117"/>
      <c r="AI201" s="118"/>
      <c r="AJ201" s="674"/>
      <c r="AK201" s="150"/>
      <c r="AL201" s="151"/>
      <c r="AM201" s="152">
        <f t="shared" si="394"/>
        <v>0</v>
      </c>
      <c r="AN201" s="153">
        <f t="shared" si="394"/>
        <v>0</v>
      </c>
      <c r="AO201" s="153">
        <f t="shared" si="394"/>
        <v>0</v>
      </c>
      <c r="AP201" s="153">
        <f t="shared" si="394"/>
        <v>0</v>
      </c>
      <c r="AQ201" s="153">
        <f t="shared" si="394"/>
        <v>0</v>
      </c>
      <c r="AR201" s="153">
        <f t="shared" si="394"/>
        <v>0</v>
      </c>
      <c r="AS201" s="153">
        <f t="shared" si="394"/>
        <v>0</v>
      </c>
      <c r="AT201" s="153">
        <f t="shared" si="394"/>
        <v>0</v>
      </c>
      <c r="AU201" s="153">
        <f t="shared" si="394"/>
        <v>0</v>
      </c>
      <c r="AV201" s="153">
        <f t="shared" si="394"/>
        <v>0</v>
      </c>
      <c r="AW201" s="153">
        <f t="shared" ca="1" si="394"/>
        <v>0</v>
      </c>
      <c r="BB201" s="135"/>
    </row>
    <row r="202" spans="1:54" s="21" customFormat="1" ht="18" customHeight="1">
      <c r="A202" s="642">
        <f t="shared" ref="A202" si="397">A199+1</f>
        <v>65</v>
      </c>
      <c r="B202" s="154" t="s">
        <v>4901</v>
      </c>
      <c r="C202" s="651" t="s">
        <v>4836</v>
      </c>
      <c r="D202" s="80" t="s">
        <v>4863</v>
      </c>
      <c r="E202" s="127" t="s">
        <v>4898</v>
      </c>
      <c r="F202" s="128" t="s">
        <v>71</v>
      </c>
      <c r="G202" s="654"/>
      <c r="H202" s="82" t="s">
        <v>4909</v>
      </c>
      <c r="I202" s="127" t="s">
        <v>9</v>
      </c>
      <c r="J202" s="128"/>
      <c r="K202" s="129">
        <f>M204</f>
        <v>1E-3</v>
      </c>
      <c r="L202" s="129"/>
      <c r="M202" s="129"/>
      <c r="N202" s="127"/>
      <c r="O202" s="127"/>
      <c r="P202" s="127"/>
      <c r="Q202" s="130" t="s">
        <v>4839</v>
      </c>
      <c r="R202" s="130"/>
      <c r="S202" s="155" t="e">
        <f>WORKDAY(T202,-INDEX(T$2:T$5,MATCH($I202,$I$2:$I$5,0)),'[35]Equipment List and MR List (3)'!$A$2:$A$80)</f>
        <v>#REF!</v>
      </c>
      <c r="T202" s="155" t="e">
        <f>WORKDAY(U202,-INDEX(U$2:U$5,MATCH($I202,$I$2:$I$5,0)),$BB$10:$BB$141)</f>
        <v>#REF!</v>
      </c>
      <c r="U202" s="155" t="e">
        <f>WORKDAY(V202,-INDEX(V$2:V$5,MATCH($I202,$I$2:$I$5,0)),$BB$10:$BB$141)</f>
        <v>#REF!</v>
      </c>
      <c r="V202" s="155" t="e">
        <f>WORKDAY(W202,-INDEX(W$2:W$5,MATCH($I202,$I$2:$I$5,0)),$BB$10:$BB$141)</f>
        <v>#REF!</v>
      </c>
      <c r="W202" s="155" t="e">
        <f>WORKDAY(#REF!,-INDEX(#REF!,MATCH($I202,$I$2:$I$5,0)),$BB$10:$BB$141)</f>
        <v>#REF!</v>
      </c>
      <c r="X202" s="155" t="e">
        <f>WORKDAY(Y202,-INDEX(Y$2:Y$5,MATCH($I202,$I$2:$I$5,0)),$BB$10:$BB$141)</f>
        <v>#REF!</v>
      </c>
      <c r="Y202" s="155" t="e">
        <f>WORKDAY(Z202,-INDEX(Z$2:Z$5,MATCH($I202,$I$2:$I$5,0)),$BB$10:$BB$141)</f>
        <v>#REF!</v>
      </c>
      <c r="Z202" s="155" t="e">
        <f>WORKDAY(AA202,-INDEX(AA$2:AA$5,MATCH($I202,$I$2:$I$5,0)),$BB$10:$BB$141)</f>
        <v>#REF!</v>
      </c>
      <c r="AA202" s="155" t="e">
        <f>WORKDAY(#REF!,-INDEX(#REF!,MATCH($I202,$I$2:$I$5,0)),$BB$10:$BB$141)</f>
        <v>#REF!</v>
      </c>
      <c r="AB202" s="155">
        <f>WORKDAY(AG202,0,'[35]Equipment List and MR List (3)'!$A$2:$A$80)</f>
        <v>0</v>
      </c>
      <c r="AC202" s="657" t="s">
        <v>4840</v>
      </c>
      <c r="AD202" s="87">
        <v>7</v>
      </c>
      <c r="AE202" s="663"/>
      <c r="AF202" s="666" t="e">
        <f>AB203</f>
        <v>#REF!</v>
      </c>
      <c r="AG202" s="669"/>
      <c r="AH202" s="88"/>
      <c r="AI202" s="89"/>
      <c r="AJ202" s="672" t="e">
        <f>AG202-AF202</f>
        <v>#REF!</v>
      </c>
      <c r="AK202" s="131"/>
      <c r="AL202" s="132"/>
      <c r="AM202" s="133">
        <f t="shared" si="394"/>
        <v>0.95</v>
      </c>
      <c r="AN202" s="134">
        <f t="shared" si="394"/>
        <v>0.95</v>
      </c>
      <c r="AO202" s="134">
        <f t="shared" si="394"/>
        <v>0.95</v>
      </c>
      <c r="AP202" s="134">
        <f t="shared" si="394"/>
        <v>0.95</v>
      </c>
      <c r="AQ202" s="134">
        <f t="shared" si="394"/>
        <v>0.95</v>
      </c>
      <c r="AR202" s="134">
        <f t="shared" si="394"/>
        <v>0.95</v>
      </c>
      <c r="AS202" s="134">
        <f t="shared" si="394"/>
        <v>0.95</v>
      </c>
      <c r="AT202" s="134">
        <f t="shared" si="394"/>
        <v>0.95</v>
      </c>
      <c r="AU202" s="134">
        <f t="shared" si="394"/>
        <v>0.95</v>
      </c>
      <c r="AV202" s="134">
        <f t="shared" si="394"/>
        <v>0.95</v>
      </c>
      <c r="AW202" s="134">
        <f t="shared" ca="1" si="394"/>
        <v>0.95</v>
      </c>
      <c r="BB202" s="135"/>
    </row>
    <row r="203" spans="1:54" s="21" customFormat="1" ht="18" customHeight="1">
      <c r="A203" s="643"/>
      <c r="B203" s="156"/>
      <c r="C203" s="652"/>
      <c r="D203" s="96" t="str">
        <f>D202</f>
        <v>ELE</v>
      </c>
      <c r="E203" s="136" t="str">
        <f t="shared" ref="E203:F203" si="398">E202</f>
        <v>RFQ-054</v>
      </c>
      <c r="F203" s="137" t="str">
        <f t="shared" si="398"/>
        <v>N</v>
      </c>
      <c r="G203" s="655"/>
      <c r="H203" s="98" t="str">
        <f>H202</f>
        <v>FLASHING BEACON AND WARNING SIREN</v>
      </c>
      <c r="I203" s="136" t="str">
        <f t="shared" ref="I203" si="399">I202</f>
        <v>LD</v>
      </c>
      <c r="J203" s="137"/>
      <c r="K203" s="138"/>
      <c r="L203" s="138">
        <f>M204</f>
        <v>1E-3</v>
      </c>
      <c r="M203" s="138"/>
      <c r="N203" s="136"/>
      <c r="O203" s="136"/>
      <c r="P203" s="136"/>
      <c r="Q203" s="139" t="s">
        <v>4841</v>
      </c>
      <c r="R203" s="139"/>
      <c r="S203" s="140" t="e">
        <f>S202</f>
        <v>#REF!</v>
      </c>
      <c r="T203" s="141" t="e">
        <f>T202</f>
        <v>#REF!</v>
      </c>
      <c r="U203" s="141" t="e">
        <f>WORKDAY(IF(T204="",T203,T204),INDEX(U$2:U$5,MATCH($I202,$I$2:$I$5,0)),$BB$10:$BB$141)</f>
        <v>#REF!</v>
      </c>
      <c r="V203" s="141" t="e">
        <f>WORKDAY(IF(U204="",U203,U204),INDEX(V$2:V$5,MATCH($I202,$I$2:$I$5,0)),$BB$10:$BB$141)</f>
        <v>#REF!</v>
      </c>
      <c r="W203" s="141" t="e">
        <f>WORKDAY(IF(V204="",V203,V204),INDEX(W$2:W$5,MATCH($I202,$I$2:$I$5,0)),$BB$10:$BB$141)</f>
        <v>#REF!</v>
      </c>
      <c r="X203" s="141" t="e">
        <f>WORKDAY(IF(#REF!="",#REF!,#REF!),INDEX(X$2:X$5,MATCH($I202,$I$2:$I$5,0)),$BB$10:$BB$141)</f>
        <v>#REF!</v>
      </c>
      <c r="Y203" s="141" t="e">
        <f>WORKDAY(IF(X204="",X203,X204),INDEX(Y$2:Y$5,MATCH($I202,$I$2:$I$5,0)),$BB$10:$BB$141)</f>
        <v>#REF!</v>
      </c>
      <c r="Z203" s="141" t="e">
        <f>WORKDAY(IF(Y204="",Y203,Y204),INDEX(Z$2:Z$5,MATCH($I202,$I$2:$I$5,0)),$BB$10:$BB$141)</f>
        <v>#REF!</v>
      </c>
      <c r="AA203" s="141" t="e">
        <f>WORKDAY(IF(Z204="",Z203,Z204),INDEX(AA$2:AA$5,MATCH($I202,$I$2:$I$5,0)),$BB$10:$BB$141)</f>
        <v>#REF!</v>
      </c>
      <c r="AB203" s="142" t="e">
        <f>AE202+#REF!</f>
        <v>#REF!</v>
      </c>
      <c r="AC203" s="658"/>
      <c r="AD203" s="105"/>
      <c r="AE203" s="664"/>
      <c r="AF203" s="667"/>
      <c r="AG203" s="670"/>
      <c r="AH203" s="106"/>
      <c r="AI203" s="107"/>
      <c r="AJ203" s="673"/>
      <c r="AK203" s="143"/>
      <c r="AL203" s="144"/>
      <c r="AM203" s="133">
        <f t="shared" si="394"/>
        <v>0</v>
      </c>
      <c r="AN203" s="134">
        <f t="shared" si="394"/>
        <v>0</v>
      </c>
      <c r="AO203" s="134">
        <f t="shared" si="394"/>
        <v>0</v>
      </c>
      <c r="AP203" s="134">
        <f t="shared" si="394"/>
        <v>0</v>
      </c>
      <c r="AQ203" s="134">
        <f t="shared" si="394"/>
        <v>0</v>
      </c>
      <c r="AR203" s="134">
        <f t="shared" si="394"/>
        <v>0</v>
      </c>
      <c r="AS203" s="134">
        <f t="shared" si="394"/>
        <v>0</v>
      </c>
      <c r="AT203" s="134">
        <f t="shared" si="394"/>
        <v>0</v>
      </c>
      <c r="AU203" s="134">
        <f t="shared" si="394"/>
        <v>0</v>
      </c>
      <c r="AV203" s="134">
        <f t="shared" si="394"/>
        <v>0</v>
      </c>
      <c r="AW203" s="134">
        <f t="shared" ca="1" si="394"/>
        <v>0</v>
      </c>
      <c r="BB203" s="135"/>
    </row>
    <row r="204" spans="1:54" s="21" customFormat="1" ht="18" customHeight="1">
      <c r="A204" s="644"/>
      <c r="B204" s="157"/>
      <c r="C204" s="653"/>
      <c r="D204" s="111" t="str">
        <f>D202</f>
        <v>ELE</v>
      </c>
      <c r="E204" s="145" t="str">
        <f>E202</f>
        <v>RFQ-054</v>
      </c>
      <c r="F204" s="146" t="str">
        <f t="shared" ref="F204" si="400">F202</f>
        <v>N</v>
      </c>
      <c r="G204" s="656"/>
      <c r="H204" s="113" t="str">
        <f>H202</f>
        <v>FLASHING BEACON AND WARNING SIREN</v>
      </c>
      <c r="I204" s="145" t="str">
        <f t="shared" ref="I204" si="401">I202</f>
        <v>LD</v>
      </c>
      <c r="J204" s="146"/>
      <c r="K204" s="147"/>
      <c r="L204" s="147"/>
      <c r="M204" s="147">
        <v>1E-3</v>
      </c>
      <c r="N204" s="145"/>
      <c r="O204" s="145"/>
      <c r="P204" s="145"/>
      <c r="Q204" s="148" t="s">
        <v>4842</v>
      </c>
      <c r="R204" s="148"/>
      <c r="S204" s="149"/>
      <c r="T204" s="149"/>
      <c r="U204" s="149"/>
      <c r="V204" s="149"/>
      <c r="W204" s="149"/>
      <c r="X204" s="149"/>
      <c r="Y204" s="149"/>
      <c r="Z204" s="149"/>
      <c r="AA204" s="149"/>
      <c r="AB204" s="149"/>
      <c r="AC204" s="659"/>
      <c r="AD204" s="116"/>
      <c r="AE204" s="665"/>
      <c r="AF204" s="668"/>
      <c r="AG204" s="671"/>
      <c r="AH204" s="117"/>
      <c r="AI204" s="118"/>
      <c r="AJ204" s="674"/>
      <c r="AK204" s="150"/>
      <c r="AL204" s="151"/>
      <c r="AM204" s="152">
        <f t="shared" si="394"/>
        <v>0</v>
      </c>
      <c r="AN204" s="153">
        <f t="shared" si="394"/>
        <v>0</v>
      </c>
      <c r="AO204" s="153">
        <f t="shared" si="394"/>
        <v>0</v>
      </c>
      <c r="AP204" s="153">
        <f t="shared" si="394"/>
        <v>0</v>
      </c>
      <c r="AQ204" s="153">
        <f t="shared" si="394"/>
        <v>0</v>
      </c>
      <c r="AR204" s="153">
        <f t="shared" si="394"/>
        <v>0</v>
      </c>
      <c r="AS204" s="153">
        <f t="shared" si="394"/>
        <v>0</v>
      </c>
      <c r="AT204" s="153">
        <f t="shared" si="394"/>
        <v>0</v>
      </c>
      <c r="AU204" s="153">
        <f t="shared" si="394"/>
        <v>0</v>
      </c>
      <c r="AV204" s="153">
        <f t="shared" si="394"/>
        <v>0</v>
      </c>
      <c r="AW204" s="153">
        <f t="shared" ca="1" si="394"/>
        <v>0</v>
      </c>
      <c r="BB204" s="135"/>
    </row>
    <row r="205" spans="1:54" s="21" customFormat="1" ht="18" customHeight="1">
      <c r="A205" s="642">
        <f t="shared" ref="A205" si="402">A202+1</f>
        <v>66</v>
      </c>
      <c r="B205" s="154" t="s">
        <v>4901</v>
      </c>
      <c r="C205" s="651" t="s">
        <v>4836</v>
      </c>
      <c r="D205" s="80" t="s">
        <v>4863</v>
      </c>
      <c r="E205" s="127" t="s">
        <v>4898</v>
      </c>
      <c r="F205" s="128" t="s">
        <v>71</v>
      </c>
      <c r="G205" s="654"/>
      <c r="H205" s="82" t="s">
        <v>4910</v>
      </c>
      <c r="I205" s="127" t="s">
        <v>9</v>
      </c>
      <c r="J205" s="128"/>
      <c r="K205" s="129">
        <f>M207</f>
        <v>1E-3</v>
      </c>
      <c r="L205" s="129"/>
      <c r="M205" s="129"/>
      <c r="N205" s="127"/>
      <c r="O205" s="127"/>
      <c r="P205" s="127"/>
      <c r="Q205" s="130" t="s">
        <v>4839</v>
      </c>
      <c r="R205" s="130"/>
      <c r="S205" s="155" t="e">
        <f>WORKDAY(T205,-INDEX(T$2:T$5,MATCH($I205,$I$2:$I$5,0)),'[35]Equipment List and MR List (3)'!$A$2:$A$80)</f>
        <v>#REF!</v>
      </c>
      <c r="T205" s="155" t="e">
        <f>WORKDAY(U205,-INDEX(U$2:U$5,MATCH($I205,$I$2:$I$5,0)),$BB$10:$BB$141)</f>
        <v>#REF!</v>
      </c>
      <c r="U205" s="155" t="e">
        <f>WORKDAY(V205,-INDEX(V$2:V$5,MATCH($I205,$I$2:$I$5,0)),$BB$10:$BB$141)</f>
        <v>#REF!</v>
      </c>
      <c r="V205" s="155" t="e">
        <f>WORKDAY(W205,-INDEX(W$2:W$5,MATCH($I205,$I$2:$I$5,0)),$BB$10:$BB$141)</f>
        <v>#REF!</v>
      </c>
      <c r="W205" s="155" t="e">
        <f>WORKDAY(#REF!,-INDEX(#REF!,MATCH($I205,$I$2:$I$5,0)),$BB$10:$BB$141)</f>
        <v>#REF!</v>
      </c>
      <c r="X205" s="155" t="e">
        <f>WORKDAY(Y205,-INDEX(Y$2:Y$5,MATCH($I205,$I$2:$I$5,0)),$BB$10:$BB$141)</f>
        <v>#REF!</v>
      </c>
      <c r="Y205" s="155" t="e">
        <f>WORKDAY(Z205,-INDEX(Z$2:Z$5,MATCH($I205,$I$2:$I$5,0)),$BB$10:$BB$141)</f>
        <v>#REF!</v>
      </c>
      <c r="Z205" s="155" t="e">
        <f>WORKDAY(AA205,-INDEX(AA$2:AA$5,MATCH($I205,$I$2:$I$5,0)),$BB$10:$BB$141)</f>
        <v>#REF!</v>
      </c>
      <c r="AA205" s="155" t="e">
        <f>WORKDAY(#REF!,-INDEX(#REF!,MATCH($I205,$I$2:$I$5,0)),$BB$10:$BB$141)</f>
        <v>#REF!</v>
      </c>
      <c r="AB205" s="155">
        <f>WORKDAY(AG205,0,'[35]Equipment List and MR List (3)'!$A$2:$A$80)</f>
        <v>0</v>
      </c>
      <c r="AC205" s="657" t="s">
        <v>4840</v>
      </c>
      <c r="AD205" s="87">
        <v>7</v>
      </c>
      <c r="AE205" s="663"/>
      <c r="AF205" s="666" t="e">
        <f>AB206</f>
        <v>#REF!</v>
      </c>
      <c r="AG205" s="669"/>
      <c r="AH205" s="88"/>
      <c r="AI205" s="89"/>
      <c r="AJ205" s="672" t="e">
        <f>AG205-AF205</f>
        <v>#REF!</v>
      </c>
      <c r="AK205" s="131"/>
      <c r="AL205" s="132"/>
      <c r="AM205" s="133">
        <f t="shared" si="394"/>
        <v>0.95</v>
      </c>
      <c r="AN205" s="134">
        <f t="shared" si="394"/>
        <v>0.95</v>
      </c>
      <c r="AO205" s="134">
        <f t="shared" si="394"/>
        <v>0.95</v>
      </c>
      <c r="AP205" s="134">
        <f t="shared" si="394"/>
        <v>0.95</v>
      </c>
      <c r="AQ205" s="134">
        <f t="shared" si="394"/>
        <v>0.95</v>
      </c>
      <c r="AR205" s="134">
        <f t="shared" si="394"/>
        <v>0.95</v>
      </c>
      <c r="AS205" s="134">
        <f t="shared" si="394"/>
        <v>0.95</v>
      </c>
      <c r="AT205" s="134">
        <f t="shared" si="394"/>
        <v>0.95</v>
      </c>
      <c r="AU205" s="134">
        <f t="shared" si="394"/>
        <v>0.95</v>
      </c>
      <c r="AV205" s="134">
        <f t="shared" si="394"/>
        <v>0.95</v>
      </c>
      <c r="AW205" s="134">
        <f t="shared" ca="1" si="394"/>
        <v>0.95</v>
      </c>
      <c r="BB205" s="135"/>
    </row>
    <row r="206" spans="1:54" s="21" customFormat="1" ht="18" customHeight="1">
      <c r="A206" s="643"/>
      <c r="B206" s="156"/>
      <c r="C206" s="652"/>
      <c r="D206" s="96" t="str">
        <f>D205</f>
        <v>ELE</v>
      </c>
      <c r="E206" s="136" t="str">
        <f t="shared" ref="E206:F206" si="403">E205</f>
        <v>RFQ-054</v>
      </c>
      <c r="F206" s="137" t="str">
        <f t="shared" si="403"/>
        <v>N</v>
      </c>
      <c r="G206" s="655"/>
      <c r="H206" s="98" t="str">
        <f>H205</f>
        <v>PRESERVATION AND SEA-FASTENING MATERIAL</v>
      </c>
      <c r="I206" s="136" t="str">
        <f t="shared" ref="I206" si="404">I205</f>
        <v>LD</v>
      </c>
      <c r="J206" s="137"/>
      <c r="K206" s="138"/>
      <c r="L206" s="138">
        <f>M207</f>
        <v>1E-3</v>
      </c>
      <c r="M206" s="138"/>
      <c r="N206" s="136"/>
      <c r="O206" s="136"/>
      <c r="P206" s="136"/>
      <c r="Q206" s="139" t="s">
        <v>4841</v>
      </c>
      <c r="R206" s="139"/>
      <c r="S206" s="140" t="e">
        <f>S205</f>
        <v>#REF!</v>
      </c>
      <c r="T206" s="141" t="e">
        <f>T205</f>
        <v>#REF!</v>
      </c>
      <c r="U206" s="141" t="e">
        <f>WORKDAY(IF(T207="",T206,T207),INDEX(U$2:U$5,MATCH($I205,$I$2:$I$5,0)),$BB$10:$BB$141)</f>
        <v>#REF!</v>
      </c>
      <c r="V206" s="141" t="e">
        <f>WORKDAY(IF(U207="",U206,U207),INDEX(V$2:V$5,MATCH($I205,$I$2:$I$5,0)),$BB$10:$BB$141)</f>
        <v>#REF!</v>
      </c>
      <c r="W206" s="141" t="e">
        <f>WORKDAY(IF(V207="",V206,V207),INDEX(W$2:W$5,MATCH($I205,$I$2:$I$5,0)),$BB$10:$BB$141)</f>
        <v>#REF!</v>
      </c>
      <c r="X206" s="141" t="e">
        <f>WORKDAY(IF(#REF!="",#REF!,#REF!),INDEX(X$2:X$5,MATCH($I205,$I$2:$I$5,0)),$BB$10:$BB$141)</f>
        <v>#REF!</v>
      </c>
      <c r="Y206" s="141" t="e">
        <f>WORKDAY(IF(X207="",X206,X207),INDEX(Y$2:Y$5,MATCH($I205,$I$2:$I$5,0)),$BB$10:$BB$141)</f>
        <v>#REF!</v>
      </c>
      <c r="Z206" s="141" t="e">
        <f>WORKDAY(IF(Y207="",Y206,Y207),INDEX(Z$2:Z$5,MATCH($I205,$I$2:$I$5,0)),$BB$10:$BB$141)</f>
        <v>#REF!</v>
      </c>
      <c r="AA206" s="141" t="e">
        <f>WORKDAY(IF(Z207="",Z206,Z207),INDEX(AA$2:AA$5,MATCH($I205,$I$2:$I$5,0)),$BB$10:$BB$141)</f>
        <v>#REF!</v>
      </c>
      <c r="AB206" s="142" t="e">
        <f>AE205+#REF!</f>
        <v>#REF!</v>
      </c>
      <c r="AC206" s="658"/>
      <c r="AD206" s="105"/>
      <c r="AE206" s="664"/>
      <c r="AF206" s="667"/>
      <c r="AG206" s="670"/>
      <c r="AH206" s="106"/>
      <c r="AI206" s="107"/>
      <c r="AJ206" s="673"/>
      <c r="AK206" s="143"/>
      <c r="AL206" s="144"/>
      <c r="AM206" s="133">
        <f t="shared" si="394"/>
        <v>0</v>
      </c>
      <c r="AN206" s="134">
        <f t="shared" si="394"/>
        <v>0</v>
      </c>
      <c r="AO206" s="134">
        <f t="shared" si="394"/>
        <v>0</v>
      </c>
      <c r="AP206" s="134">
        <f t="shared" si="394"/>
        <v>0</v>
      </c>
      <c r="AQ206" s="134">
        <f t="shared" si="394"/>
        <v>0</v>
      </c>
      <c r="AR206" s="134">
        <f t="shared" si="394"/>
        <v>0</v>
      </c>
      <c r="AS206" s="134">
        <f t="shared" si="394"/>
        <v>0</v>
      </c>
      <c r="AT206" s="134">
        <f t="shared" si="394"/>
        <v>0</v>
      </c>
      <c r="AU206" s="134">
        <f t="shared" si="394"/>
        <v>0</v>
      </c>
      <c r="AV206" s="134">
        <f t="shared" si="394"/>
        <v>0</v>
      </c>
      <c r="AW206" s="134">
        <f t="shared" ca="1" si="394"/>
        <v>0</v>
      </c>
      <c r="BB206" s="135"/>
    </row>
    <row r="207" spans="1:54" s="21" customFormat="1" ht="18" customHeight="1">
      <c r="A207" s="644"/>
      <c r="B207" s="157"/>
      <c r="C207" s="653"/>
      <c r="D207" s="111" t="str">
        <f>D205</f>
        <v>ELE</v>
      </c>
      <c r="E207" s="145" t="str">
        <f>E205</f>
        <v>RFQ-054</v>
      </c>
      <c r="F207" s="146" t="str">
        <f t="shared" ref="F207" si="405">F205</f>
        <v>N</v>
      </c>
      <c r="G207" s="656"/>
      <c r="H207" s="113" t="str">
        <f>H205</f>
        <v>PRESERVATION AND SEA-FASTENING MATERIAL</v>
      </c>
      <c r="I207" s="145" t="str">
        <f t="shared" ref="I207" si="406">I205</f>
        <v>LD</v>
      </c>
      <c r="J207" s="146"/>
      <c r="K207" s="147"/>
      <c r="L207" s="147"/>
      <c r="M207" s="147">
        <v>1E-3</v>
      </c>
      <c r="N207" s="145"/>
      <c r="O207" s="145"/>
      <c r="P207" s="145"/>
      <c r="Q207" s="148" t="s">
        <v>4842</v>
      </c>
      <c r="R207" s="148"/>
      <c r="S207" s="149"/>
      <c r="T207" s="149"/>
      <c r="U207" s="149"/>
      <c r="V207" s="149"/>
      <c r="W207" s="149"/>
      <c r="X207" s="149"/>
      <c r="Y207" s="149"/>
      <c r="Z207" s="149"/>
      <c r="AA207" s="149"/>
      <c r="AB207" s="149"/>
      <c r="AC207" s="659"/>
      <c r="AD207" s="116"/>
      <c r="AE207" s="665"/>
      <c r="AF207" s="668"/>
      <c r="AG207" s="671"/>
      <c r="AH207" s="117"/>
      <c r="AI207" s="118"/>
      <c r="AJ207" s="674"/>
      <c r="AK207" s="150"/>
      <c r="AL207" s="151"/>
      <c r="AM207" s="152">
        <f t="shared" si="394"/>
        <v>0</v>
      </c>
      <c r="AN207" s="153">
        <f t="shared" si="394"/>
        <v>0</v>
      </c>
      <c r="AO207" s="153">
        <f t="shared" si="394"/>
        <v>0</v>
      </c>
      <c r="AP207" s="153">
        <f t="shared" si="394"/>
        <v>0</v>
      </c>
      <c r="AQ207" s="153">
        <f t="shared" si="394"/>
        <v>0</v>
      </c>
      <c r="AR207" s="153">
        <f t="shared" si="394"/>
        <v>0</v>
      </c>
      <c r="AS207" s="153">
        <f t="shared" si="394"/>
        <v>0</v>
      </c>
      <c r="AT207" s="153">
        <f t="shared" si="394"/>
        <v>0</v>
      </c>
      <c r="AU207" s="153">
        <f t="shared" si="394"/>
        <v>0</v>
      </c>
      <c r="AV207" s="153">
        <f t="shared" si="394"/>
        <v>0</v>
      </c>
      <c r="AW207" s="153">
        <f t="shared" ca="1" si="394"/>
        <v>0</v>
      </c>
      <c r="BB207" s="135"/>
    </row>
    <row r="208" spans="1:54" s="21" customFormat="1" ht="18" customHeight="1">
      <c r="A208" s="642">
        <f t="shared" ref="A208" si="407">A205+1</f>
        <v>67</v>
      </c>
      <c r="B208" s="154" t="s">
        <v>4901</v>
      </c>
      <c r="C208" s="651" t="s">
        <v>4836</v>
      </c>
      <c r="D208" s="80" t="s">
        <v>4848</v>
      </c>
      <c r="E208" s="127" t="s">
        <v>4898</v>
      </c>
      <c r="F208" s="128" t="s">
        <v>71</v>
      </c>
      <c r="G208" s="158"/>
      <c r="H208" s="98" t="s">
        <v>4911</v>
      </c>
      <c r="I208" s="127" t="s">
        <v>9</v>
      </c>
      <c r="J208" s="128"/>
      <c r="K208" s="129">
        <f>M210</f>
        <v>1E-3</v>
      </c>
      <c r="L208" s="129"/>
      <c r="M208" s="129"/>
      <c r="N208" s="127"/>
      <c r="O208" s="127"/>
      <c r="P208" s="127"/>
      <c r="Q208" s="130" t="s">
        <v>4839</v>
      </c>
      <c r="R208" s="130"/>
      <c r="S208" s="155" t="e">
        <f>WORKDAY(T208,-INDEX(T$2:T$5,MATCH($I208,$I$2:$I$5,0)),'[35]Equipment List and MR List (3)'!$A$2:$A$80)</f>
        <v>#REF!</v>
      </c>
      <c r="T208" s="155" t="e">
        <f>WORKDAY(U208,-INDEX(U$2:U$5,MATCH($I208,$I$2:$I$5,0)),$BB$10:$BB$141)</f>
        <v>#REF!</v>
      </c>
      <c r="U208" s="155" t="e">
        <f>WORKDAY(V208,-INDEX(V$2:V$5,MATCH($I208,$I$2:$I$5,0)),$BB$10:$BB$141)</f>
        <v>#REF!</v>
      </c>
      <c r="V208" s="155" t="e">
        <f>WORKDAY(W208,-INDEX(W$2:W$5,MATCH($I208,$I$2:$I$5,0)),$BB$10:$BB$141)</f>
        <v>#REF!</v>
      </c>
      <c r="W208" s="155" t="e">
        <f>WORKDAY(#REF!,-INDEX(#REF!,MATCH($I208,$I$2:$I$5,0)),$BB$10:$BB$141)</f>
        <v>#REF!</v>
      </c>
      <c r="X208" s="155" t="e">
        <f>WORKDAY(Y208,-INDEX(Y$2:Y$5,MATCH($I208,$I$2:$I$5,0)),$BB$10:$BB$141)</f>
        <v>#REF!</v>
      </c>
      <c r="Y208" s="155" t="e">
        <f>WORKDAY(Z208,-INDEX(Z$2:Z$5,MATCH($I208,$I$2:$I$5,0)),$BB$10:$BB$141)</f>
        <v>#REF!</v>
      </c>
      <c r="Z208" s="155" t="e">
        <f>WORKDAY(AA208,-INDEX(AA$2:AA$5,MATCH($I208,$I$2:$I$5,0)),$BB$10:$BB$141)</f>
        <v>#REF!</v>
      </c>
      <c r="AA208" s="155" t="e">
        <f>WORKDAY(#REF!,-INDEX(#REF!,MATCH($I208,$I$2:$I$5,0)),$BB$10:$BB$141)</f>
        <v>#REF!</v>
      </c>
      <c r="AB208" s="155">
        <f>WORKDAY(AG208,0,'[35]Equipment List and MR List (3)'!$A$2:$A$80)</f>
        <v>0</v>
      </c>
      <c r="AC208" s="657" t="s">
        <v>4840</v>
      </c>
      <c r="AD208" s="87">
        <v>7</v>
      </c>
      <c r="AE208" s="663">
        <v>69</v>
      </c>
      <c r="AF208" s="666" t="e">
        <f>AB209</f>
        <v>#REF!</v>
      </c>
      <c r="AG208" s="669"/>
      <c r="AH208" s="88"/>
      <c r="AI208" s="89"/>
      <c r="AJ208" s="672" t="e">
        <f>AG208-AF208</f>
        <v>#REF!</v>
      </c>
      <c r="AK208" s="131"/>
      <c r="AL208" s="132"/>
      <c r="AM208" s="133">
        <f t="shared" si="394"/>
        <v>0.95</v>
      </c>
      <c r="AN208" s="134">
        <f t="shared" si="394"/>
        <v>0.95</v>
      </c>
      <c r="AO208" s="134">
        <f t="shared" si="394"/>
        <v>0.95</v>
      </c>
      <c r="AP208" s="134">
        <f t="shared" si="394"/>
        <v>0.95</v>
      </c>
      <c r="AQ208" s="134">
        <f t="shared" si="394"/>
        <v>0.95</v>
      </c>
      <c r="AR208" s="134">
        <f t="shared" si="394"/>
        <v>0.95</v>
      </c>
      <c r="AS208" s="134">
        <f t="shared" si="394"/>
        <v>0.95</v>
      </c>
      <c r="AT208" s="134">
        <f t="shared" si="394"/>
        <v>0.95</v>
      </c>
      <c r="AU208" s="134">
        <f t="shared" si="394"/>
        <v>0.95</v>
      </c>
      <c r="AV208" s="134">
        <f t="shared" si="394"/>
        <v>0.95</v>
      </c>
      <c r="AW208" s="134">
        <f t="shared" ca="1" si="394"/>
        <v>0.95</v>
      </c>
      <c r="BB208" s="135"/>
    </row>
    <row r="209" spans="1:54" s="21" customFormat="1" ht="18" customHeight="1">
      <c r="A209" s="643"/>
      <c r="B209" s="156"/>
      <c r="C209" s="652"/>
      <c r="D209" s="96" t="str">
        <f>D208</f>
        <v>PIP</v>
      </c>
      <c r="E209" s="136" t="str">
        <f t="shared" ref="E209:F209" si="408">E208</f>
        <v>RFQ-054</v>
      </c>
      <c r="F209" s="137" t="str">
        <f t="shared" si="408"/>
        <v>N</v>
      </c>
      <c r="G209" s="159"/>
      <c r="H209" s="98" t="str">
        <f t="shared" ref="H209:I209" si="409">H208</f>
        <v>PIPING SURPPORT</v>
      </c>
      <c r="I209" s="136" t="str">
        <f t="shared" si="409"/>
        <v>LD</v>
      </c>
      <c r="J209" s="137"/>
      <c r="K209" s="138"/>
      <c r="L209" s="138">
        <f>M210</f>
        <v>1E-3</v>
      </c>
      <c r="M209" s="138"/>
      <c r="N209" s="136"/>
      <c r="O209" s="136"/>
      <c r="P209" s="136"/>
      <c r="Q209" s="139" t="s">
        <v>4841</v>
      </c>
      <c r="R209" s="139"/>
      <c r="S209" s="140" t="e">
        <f>S208</f>
        <v>#REF!</v>
      </c>
      <c r="T209" s="141" t="e">
        <f>T208</f>
        <v>#REF!</v>
      </c>
      <c r="U209" s="141" t="e">
        <f>WORKDAY(IF(T210="",T209,T210),INDEX(U$2:U$5,MATCH($I208,$I$2:$I$5,0)),$BB$10:$BB$141)</f>
        <v>#REF!</v>
      </c>
      <c r="V209" s="141" t="e">
        <f>WORKDAY(IF(U210="",U209,U210),INDEX(V$2:V$5,MATCH($I208,$I$2:$I$5,0)),$BB$10:$BB$141)</f>
        <v>#REF!</v>
      </c>
      <c r="W209" s="141" t="e">
        <f>WORKDAY(IF(V210="",V209,V210),INDEX(W$2:W$5,MATCH($I208,$I$2:$I$5,0)),$BB$10:$BB$141)</f>
        <v>#REF!</v>
      </c>
      <c r="X209" s="141" t="e">
        <f>WORKDAY(IF(#REF!="",#REF!,#REF!),INDEX(X$2:X$5,MATCH($I208,$I$2:$I$5,0)),$BB$10:$BB$141)</f>
        <v>#REF!</v>
      </c>
      <c r="Y209" s="141" t="e">
        <f>WORKDAY(IF(X210="",X209,X210),INDEX(Y$2:Y$5,MATCH($I208,$I$2:$I$5,0)),$BB$10:$BB$141)</f>
        <v>#REF!</v>
      </c>
      <c r="Z209" s="141" t="e">
        <f>WORKDAY(IF(Y210="",Y209,Y210),INDEX(Z$2:Z$5,MATCH($I208,$I$2:$I$5,0)),$BB$10:$BB$141)</f>
        <v>#REF!</v>
      </c>
      <c r="AA209" s="141" t="e">
        <f>WORKDAY(IF(Z210="",Z209,Z210),INDEX(AA$2:AA$5,MATCH($I208,$I$2:$I$5,0)),$BB$10:$BB$141)</f>
        <v>#REF!</v>
      </c>
      <c r="AB209" s="142" t="e">
        <f>AE208+#REF!</f>
        <v>#REF!</v>
      </c>
      <c r="AC209" s="658"/>
      <c r="AD209" s="105"/>
      <c r="AE209" s="664"/>
      <c r="AF209" s="667"/>
      <c r="AG209" s="670"/>
      <c r="AH209" s="106"/>
      <c r="AI209" s="107"/>
      <c r="AJ209" s="673"/>
      <c r="AK209" s="143"/>
      <c r="AL209" s="144"/>
      <c r="AM209" s="133">
        <f t="shared" si="394"/>
        <v>0</v>
      </c>
      <c r="AN209" s="134">
        <f t="shared" si="394"/>
        <v>0</v>
      </c>
      <c r="AO209" s="134">
        <f t="shared" si="394"/>
        <v>0</v>
      </c>
      <c r="AP209" s="134">
        <f t="shared" si="394"/>
        <v>0</v>
      </c>
      <c r="AQ209" s="134">
        <f t="shared" si="394"/>
        <v>0</v>
      </c>
      <c r="AR209" s="134">
        <f t="shared" si="394"/>
        <v>0</v>
      </c>
      <c r="AS209" s="134">
        <f t="shared" si="394"/>
        <v>0</v>
      </c>
      <c r="AT209" s="134">
        <f t="shared" si="394"/>
        <v>0</v>
      </c>
      <c r="AU209" s="134">
        <f t="shared" si="394"/>
        <v>0</v>
      </c>
      <c r="AV209" s="134">
        <f t="shared" si="394"/>
        <v>0</v>
      </c>
      <c r="AW209" s="134">
        <f t="shared" ca="1" si="394"/>
        <v>0</v>
      </c>
      <c r="BB209" s="135"/>
    </row>
    <row r="210" spans="1:54" s="21" customFormat="1" ht="18" customHeight="1">
      <c r="A210" s="644"/>
      <c r="B210" s="157"/>
      <c r="C210" s="653"/>
      <c r="D210" s="111" t="str">
        <f>D208</f>
        <v>PIP</v>
      </c>
      <c r="E210" s="145" t="str">
        <f>E208</f>
        <v>RFQ-054</v>
      </c>
      <c r="F210" s="146" t="str">
        <f t="shared" ref="F210" si="410">F208</f>
        <v>N</v>
      </c>
      <c r="G210" s="160"/>
      <c r="H210" s="98" t="str">
        <f t="shared" ref="H210:I210" si="411">H208</f>
        <v>PIPING SURPPORT</v>
      </c>
      <c r="I210" s="145" t="str">
        <f t="shared" si="411"/>
        <v>LD</v>
      </c>
      <c r="J210" s="146"/>
      <c r="K210" s="147"/>
      <c r="L210" s="147"/>
      <c r="M210" s="147">
        <v>1E-3</v>
      </c>
      <c r="N210" s="145"/>
      <c r="O210" s="145"/>
      <c r="P210" s="145"/>
      <c r="Q210" s="148" t="s">
        <v>4842</v>
      </c>
      <c r="R210" s="148"/>
      <c r="S210" s="149"/>
      <c r="T210" s="149"/>
      <c r="U210" s="149"/>
      <c r="V210" s="149"/>
      <c r="W210" s="149"/>
      <c r="X210" s="149"/>
      <c r="Y210" s="149"/>
      <c r="Z210" s="149"/>
      <c r="AA210" s="149"/>
      <c r="AB210" s="149"/>
      <c r="AC210" s="659"/>
      <c r="AD210" s="116"/>
      <c r="AE210" s="665"/>
      <c r="AF210" s="668"/>
      <c r="AG210" s="671"/>
      <c r="AH210" s="117"/>
      <c r="AI210" s="118"/>
      <c r="AJ210" s="674"/>
      <c r="AK210" s="150"/>
      <c r="AL210" s="151"/>
      <c r="AM210" s="152">
        <f t="shared" ref="AM210:AW219" si="412">IF(ISERROR(LOOKUP(AM$6,$S210:$AB210,$S$9:$AB$9)),0,(LOOKUP(AM$6,$S210:$AB210,$S$9:$AB$9)))</f>
        <v>0</v>
      </c>
      <c r="AN210" s="153">
        <f t="shared" si="412"/>
        <v>0</v>
      </c>
      <c r="AO210" s="153">
        <f t="shared" si="412"/>
        <v>0</v>
      </c>
      <c r="AP210" s="153">
        <f t="shared" si="412"/>
        <v>0</v>
      </c>
      <c r="AQ210" s="153">
        <f t="shared" si="412"/>
        <v>0</v>
      </c>
      <c r="AR210" s="153">
        <f t="shared" si="412"/>
        <v>0</v>
      </c>
      <c r="AS210" s="153">
        <f t="shared" si="412"/>
        <v>0</v>
      </c>
      <c r="AT210" s="153">
        <f t="shared" si="412"/>
        <v>0</v>
      </c>
      <c r="AU210" s="153">
        <f t="shared" si="412"/>
        <v>0</v>
      </c>
      <c r="AV210" s="153">
        <f t="shared" si="412"/>
        <v>0</v>
      </c>
      <c r="AW210" s="153">
        <f t="shared" ca="1" si="412"/>
        <v>0</v>
      </c>
      <c r="BB210" s="135"/>
    </row>
    <row r="211" spans="1:54" s="21" customFormat="1" ht="18" customHeight="1">
      <c r="A211" s="642">
        <f t="shared" ref="A211" si="413">A208+1</f>
        <v>68</v>
      </c>
      <c r="B211" s="154" t="s">
        <v>4901</v>
      </c>
      <c r="C211" s="651" t="s">
        <v>4836</v>
      </c>
      <c r="D211" s="80" t="s">
        <v>4848</v>
      </c>
      <c r="E211" s="127" t="s">
        <v>4898</v>
      </c>
      <c r="F211" s="128" t="s">
        <v>71</v>
      </c>
      <c r="G211" s="158"/>
      <c r="H211" s="161" t="s">
        <v>4912</v>
      </c>
      <c r="I211" s="127" t="s">
        <v>9</v>
      </c>
      <c r="J211" s="128"/>
      <c r="K211" s="129">
        <f>M213</f>
        <v>1E-3</v>
      </c>
      <c r="L211" s="129"/>
      <c r="M211" s="129"/>
      <c r="N211" s="127"/>
      <c r="O211" s="127"/>
      <c r="P211" s="127"/>
      <c r="Q211" s="130" t="s">
        <v>4839</v>
      </c>
      <c r="R211" s="130"/>
      <c r="S211" s="155" t="e">
        <f>WORKDAY(T211,-INDEX(T$2:T$5,MATCH($I211,$I$2:$I$5,0)),'[35]Equipment List and MR List (3)'!$A$2:$A$80)</f>
        <v>#REF!</v>
      </c>
      <c r="T211" s="155" t="e">
        <f>WORKDAY(U211,-INDEX(U$2:U$5,MATCH($I211,$I$2:$I$5,0)),$BB$10:$BB$141)</f>
        <v>#REF!</v>
      </c>
      <c r="U211" s="155" t="e">
        <f>WORKDAY(V211,-INDEX(V$2:V$5,MATCH($I211,$I$2:$I$5,0)),$BB$10:$BB$141)</f>
        <v>#REF!</v>
      </c>
      <c r="V211" s="155" t="e">
        <f>WORKDAY(W211,-INDEX(W$2:W$5,MATCH($I211,$I$2:$I$5,0)),$BB$10:$BB$141)</f>
        <v>#REF!</v>
      </c>
      <c r="W211" s="155" t="e">
        <f>WORKDAY(#REF!,-INDEX(#REF!,MATCH($I211,$I$2:$I$5,0)),$BB$10:$BB$141)</f>
        <v>#REF!</v>
      </c>
      <c r="X211" s="155" t="e">
        <f>WORKDAY(Y211,-INDEX(Y$2:Y$5,MATCH($I211,$I$2:$I$5,0)),$BB$10:$BB$141)</f>
        <v>#REF!</v>
      </c>
      <c r="Y211" s="155" t="e">
        <f>WORKDAY(Z211,-INDEX(Z$2:Z$5,MATCH($I211,$I$2:$I$5,0)),$BB$10:$BB$141)</f>
        <v>#REF!</v>
      </c>
      <c r="Z211" s="155" t="e">
        <f>WORKDAY(AA211,-INDEX(AA$2:AA$5,MATCH($I211,$I$2:$I$5,0)),$BB$10:$BB$141)</f>
        <v>#REF!</v>
      </c>
      <c r="AA211" s="155" t="e">
        <f>WORKDAY(#REF!,-INDEX(#REF!,MATCH($I211,$I$2:$I$5,0)),$BB$10:$BB$141)</f>
        <v>#REF!</v>
      </c>
      <c r="AB211" s="155">
        <f>WORKDAY(AG211,0,'[35]Equipment List and MR List (3)'!$A$2:$A$80)</f>
        <v>0</v>
      </c>
      <c r="AC211" s="657" t="s">
        <v>4840</v>
      </c>
      <c r="AD211" s="87">
        <v>7</v>
      </c>
      <c r="AE211" s="663">
        <v>151</v>
      </c>
      <c r="AF211" s="666" t="e">
        <f>AB212</f>
        <v>#REF!</v>
      </c>
      <c r="AG211" s="669"/>
      <c r="AH211" s="88"/>
      <c r="AI211" s="89"/>
      <c r="AJ211" s="672" t="e">
        <f>AG211-AF211</f>
        <v>#REF!</v>
      </c>
      <c r="AK211" s="131"/>
      <c r="AL211" s="132"/>
      <c r="AM211" s="133">
        <f t="shared" si="412"/>
        <v>0.95</v>
      </c>
      <c r="AN211" s="134">
        <f t="shared" si="412"/>
        <v>0.95</v>
      </c>
      <c r="AO211" s="134">
        <f t="shared" si="412"/>
        <v>0.95</v>
      </c>
      <c r="AP211" s="134">
        <f t="shared" si="412"/>
        <v>0.95</v>
      </c>
      <c r="AQ211" s="134">
        <f t="shared" si="412"/>
        <v>0.95</v>
      </c>
      <c r="AR211" s="134">
        <f t="shared" si="412"/>
        <v>0.95</v>
      </c>
      <c r="AS211" s="134">
        <f t="shared" si="412"/>
        <v>0.95</v>
      </c>
      <c r="AT211" s="134">
        <f t="shared" si="412"/>
        <v>0.95</v>
      </c>
      <c r="AU211" s="134">
        <f t="shared" si="412"/>
        <v>0.95</v>
      </c>
      <c r="AV211" s="134">
        <f t="shared" si="412"/>
        <v>0.95</v>
      </c>
      <c r="AW211" s="134">
        <f t="shared" ca="1" si="412"/>
        <v>0.95</v>
      </c>
      <c r="BB211" s="135"/>
    </row>
    <row r="212" spans="1:54" s="21" customFormat="1" ht="18" customHeight="1">
      <c r="A212" s="643"/>
      <c r="B212" s="156"/>
      <c r="C212" s="652"/>
      <c r="D212" s="96" t="str">
        <f>D211</f>
        <v>PIP</v>
      </c>
      <c r="E212" s="136" t="str">
        <f t="shared" ref="E212:F212" si="414">E211</f>
        <v>RFQ-054</v>
      </c>
      <c r="F212" s="137" t="str">
        <f t="shared" si="414"/>
        <v>N</v>
      </c>
      <c r="G212" s="159"/>
      <c r="H212" s="162" t="str">
        <f t="shared" ref="H212:I212" si="415">H211</f>
        <v>Strainer</v>
      </c>
      <c r="I212" s="136" t="str">
        <f t="shared" si="415"/>
        <v>LD</v>
      </c>
      <c r="J212" s="137"/>
      <c r="K212" s="138"/>
      <c r="L212" s="138">
        <f>M213</f>
        <v>1E-3</v>
      </c>
      <c r="M212" s="138"/>
      <c r="N212" s="136"/>
      <c r="O212" s="136"/>
      <c r="P212" s="136"/>
      <c r="Q212" s="139" t="s">
        <v>4841</v>
      </c>
      <c r="R212" s="139"/>
      <c r="S212" s="140" t="e">
        <f>S211</f>
        <v>#REF!</v>
      </c>
      <c r="T212" s="141" t="e">
        <f>T211</f>
        <v>#REF!</v>
      </c>
      <c r="U212" s="141" t="e">
        <f>WORKDAY(IF(T213="",T212,T213),INDEX(U$2:U$5,MATCH($I211,$I$2:$I$5,0)),$BB$10:$BB$141)</f>
        <v>#REF!</v>
      </c>
      <c r="V212" s="141" t="e">
        <f>WORKDAY(IF(U213="",U212,U213),INDEX(V$2:V$5,MATCH($I211,$I$2:$I$5,0)),$BB$10:$BB$141)</f>
        <v>#REF!</v>
      </c>
      <c r="W212" s="141" t="e">
        <f>WORKDAY(IF(V213="",V212,V213),INDEX(W$2:W$5,MATCH($I211,$I$2:$I$5,0)),$BB$10:$BB$141)</f>
        <v>#REF!</v>
      </c>
      <c r="X212" s="141" t="e">
        <f>WORKDAY(IF(#REF!="",#REF!,#REF!),INDEX(X$2:X$5,MATCH($I211,$I$2:$I$5,0)),$BB$10:$BB$141)</f>
        <v>#REF!</v>
      </c>
      <c r="Y212" s="141" t="e">
        <f>WORKDAY(IF(X213="",X212,X213),INDEX(Y$2:Y$5,MATCH($I211,$I$2:$I$5,0)),$BB$10:$BB$141)</f>
        <v>#REF!</v>
      </c>
      <c r="Z212" s="141" t="e">
        <f>WORKDAY(IF(Y213="",Y212,Y213),INDEX(Z$2:Z$5,MATCH($I211,$I$2:$I$5,0)),$BB$10:$BB$141)</f>
        <v>#REF!</v>
      </c>
      <c r="AA212" s="141" t="e">
        <f>WORKDAY(IF(Z213="",Z212,Z213),INDEX(AA$2:AA$5,MATCH($I211,$I$2:$I$5,0)),$BB$10:$BB$141)</f>
        <v>#REF!</v>
      </c>
      <c r="AB212" s="142" t="e">
        <f>AE211+#REF!</f>
        <v>#REF!</v>
      </c>
      <c r="AC212" s="658"/>
      <c r="AD212" s="105"/>
      <c r="AE212" s="664"/>
      <c r="AF212" s="667"/>
      <c r="AG212" s="670"/>
      <c r="AH212" s="106"/>
      <c r="AI212" s="107"/>
      <c r="AJ212" s="673"/>
      <c r="AK212" s="143"/>
      <c r="AL212" s="144"/>
      <c r="AM212" s="133">
        <f t="shared" si="412"/>
        <v>0</v>
      </c>
      <c r="AN212" s="134">
        <f t="shared" si="412"/>
        <v>0</v>
      </c>
      <c r="AO212" s="134">
        <f t="shared" si="412"/>
        <v>0</v>
      </c>
      <c r="AP212" s="134">
        <f t="shared" si="412"/>
        <v>0</v>
      </c>
      <c r="AQ212" s="134">
        <f t="shared" si="412"/>
        <v>0</v>
      </c>
      <c r="AR212" s="134">
        <f t="shared" si="412"/>
        <v>0</v>
      </c>
      <c r="AS212" s="134">
        <f t="shared" si="412"/>
        <v>0</v>
      </c>
      <c r="AT212" s="134">
        <f t="shared" si="412"/>
        <v>0</v>
      </c>
      <c r="AU212" s="134">
        <f t="shared" si="412"/>
        <v>0</v>
      </c>
      <c r="AV212" s="134">
        <f t="shared" si="412"/>
        <v>0</v>
      </c>
      <c r="AW212" s="134">
        <f t="shared" ca="1" si="412"/>
        <v>0</v>
      </c>
      <c r="BB212" s="135"/>
    </row>
    <row r="213" spans="1:54" s="21" customFormat="1" ht="18" customHeight="1">
      <c r="A213" s="644"/>
      <c r="B213" s="157"/>
      <c r="C213" s="653"/>
      <c r="D213" s="111" t="str">
        <f>D211</f>
        <v>PIP</v>
      </c>
      <c r="E213" s="145" t="str">
        <f>E211</f>
        <v>RFQ-054</v>
      </c>
      <c r="F213" s="146" t="str">
        <f t="shared" ref="F213" si="416">F211</f>
        <v>N</v>
      </c>
      <c r="G213" s="160"/>
      <c r="H213" s="163" t="str">
        <f t="shared" ref="H213:I213" si="417">H211</f>
        <v>Strainer</v>
      </c>
      <c r="I213" s="145" t="str">
        <f t="shared" si="417"/>
        <v>LD</v>
      </c>
      <c r="J213" s="146"/>
      <c r="K213" s="147"/>
      <c r="L213" s="147"/>
      <c r="M213" s="147">
        <v>1E-3</v>
      </c>
      <c r="N213" s="145"/>
      <c r="O213" s="145"/>
      <c r="P213" s="145"/>
      <c r="Q213" s="148" t="s">
        <v>4842</v>
      </c>
      <c r="R213" s="148"/>
      <c r="S213" s="149"/>
      <c r="T213" s="149"/>
      <c r="U213" s="149"/>
      <c r="V213" s="149"/>
      <c r="W213" s="149"/>
      <c r="X213" s="149"/>
      <c r="Y213" s="149"/>
      <c r="Z213" s="149"/>
      <c r="AA213" s="149"/>
      <c r="AB213" s="149"/>
      <c r="AC213" s="659"/>
      <c r="AD213" s="116"/>
      <c r="AE213" s="665"/>
      <c r="AF213" s="668"/>
      <c r="AG213" s="671"/>
      <c r="AH213" s="117"/>
      <c r="AI213" s="118"/>
      <c r="AJ213" s="674"/>
      <c r="AK213" s="150"/>
      <c r="AL213" s="151"/>
      <c r="AM213" s="152">
        <f t="shared" si="412"/>
        <v>0</v>
      </c>
      <c r="AN213" s="153">
        <f t="shared" si="412"/>
        <v>0</v>
      </c>
      <c r="AO213" s="153">
        <f t="shared" si="412"/>
        <v>0</v>
      </c>
      <c r="AP213" s="153">
        <f t="shared" si="412"/>
        <v>0</v>
      </c>
      <c r="AQ213" s="153">
        <f t="shared" si="412"/>
        <v>0</v>
      </c>
      <c r="AR213" s="153">
        <f t="shared" si="412"/>
        <v>0</v>
      </c>
      <c r="AS213" s="153">
        <f t="shared" si="412"/>
        <v>0</v>
      </c>
      <c r="AT213" s="153">
        <f t="shared" si="412"/>
        <v>0</v>
      </c>
      <c r="AU213" s="153">
        <f t="shared" si="412"/>
        <v>0</v>
      </c>
      <c r="AV213" s="153">
        <f t="shared" si="412"/>
        <v>0</v>
      </c>
      <c r="AW213" s="153">
        <f t="shared" ca="1" si="412"/>
        <v>0</v>
      </c>
      <c r="BB213" s="135"/>
    </row>
    <row r="214" spans="1:54" s="21" customFormat="1" ht="18" customHeight="1">
      <c r="A214" s="642">
        <f t="shared" ref="A214" si="418">A211+1</f>
        <v>69</v>
      </c>
      <c r="B214" s="154" t="s">
        <v>4901</v>
      </c>
      <c r="C214" s="651" t="s">
        <v>4836</v>
      </c>
      <c r="D214" s="80" t="s">
        <v>4848</v>
      </c>
      <c r="E214" s="127" t="s">
        <v>4898</v>
      </c>
      <c r="F214" s="128" t="s">
        <v>71</v>
      </c>
      <c r="G214" s="158"/>
      <c r="H214" s="161" t="s">
        <v>4913</v>
      </c>
      <c r="I214" s="127" t="s">
        <v>9</v>
      </c>
      <c r="J214" s="128"/>
      <c r="K214" s="129">
        <f>M216</f>
        <v>1E-3</v>
      </c>
      <c r="L214" s="129"/>
      <c r="M214" s="129"/>
      <c r="N214" s="127"/>
      <c r="O214" s="127"/>
      <c r="P214" s="127"/>
      <c r="Q214" s="130" t="s">
        <v>4839</v>
      </c>
      <c r="R214" s="130"/>
      <c r="S214" s="155" t="e">
        <f>WORKDAY(T214,-INDEX(T$2:T$5,MATCH($I214,$I$2:$I$5,0)),'[35]Equipment List and MR List (3)'!$A$2:$A$80)</f>
        <v>#REF!</v>
      </c>
      <c r="T214" s="155" t="e">
        <f>WORKDAY(U214,-INDEX(U$2:U$5,MATCH($I214,$I$2:$I$5,0)),$BB$10:$BB$141)</f>
        <v>#REF!</v>
      </c>
      <c r="U214" s="155" t="e">
        <f>WORKDAY(V214,-INDEX(V$2:V$5,MATCH($I214,$I$2:$I$5,0)),$BB$10:$BB$141)</f>
        <v>#REF!</v>
      </c>
      <c r="V214" s="155" t="e">
        <f>WORKDAY(W214,-INDEX(W$2:W$5,MATCH($I214,$I$2:$I$5,0)),$BB$10:$BB$141)</f>
        <v>#REF!</v>
      </c>
      <c r="W214" s="155" t="e">
        <f>WORKDAY(#REF!,-INDEX(#REF!,MATCH($I214,$I$2:$I$5,0)),$BB$10:$BB$141)</f>
        <v>#REF!</v>
      </c>
      <c r="X214" s="155" t="e">
        <f>WORKDAY(Y214,-INDEX(Y$2:Y$5,MATCH($I214,$I$2:$I$5,0)),$BB$10:$BB$141)</f>
        <v>#REF!</v>
      </c>
      <c r="Y214" s="155" t="e">
        <f>WORKDAY(Z214,-INDEX(Z$2:Z$5,MATCH($I214,$I$2:$I$5,0)),$BB$10:$BB$141)</f>
        <v>#REF!</v>
      </c>
      <c r="Z214" s="155" t="e">
        <f>WORKDAY(AA214,-INDEX(AA$2:AA$5,MATCH($I214,$I$2:$I$5,0)),$BB$10:$BB$141)</f>
        <v>#REF!</v>
      </c>
      <c r="AA214" s="155" t="e">
        <f>WORKDAY(#REF!,-INDEX(#REF!,MATCH($I214,$I$2:$I$5,0)),$BB$10:$BB$141)</f>
        <v>#REF!</v>
      </c>
      <c r="AB214" s="155">
        <f>WORKDAY(AG214,0,'[35]Equipment List and MR List (3)'!$A$2:$A$80)</f>
        <v>0</v>
      </c>
      <c r="AC214" s="657" t="s">
        <v>4840</v>
      </c>
      <c r="AD214" s="87">
        <v>7</v>
      </c>
      <c r="AE214" s="663">
        <v>100</v>
      </c>
      <c r="AF214" s="666" t="e">
        <f>AB215</f>
        <v>#REF!</v>
      </c>
      <c r="AG214" s="669"/>
      <c r="AH214" s="88"/>
      <c r="AI214" s="89"/>
      <c r="AJ214" s="672" t="e">
        <f>AG214-AF214</f>
        <v>#REF!</v>
      </c>
      <c r="AK214" s="131"/>
      <c r="AL214" s="132"/>
      <c r="AM214" s="133">
        <f t="shared" si="412"/>
        <v>0.95</v>
      </c>
      <c r="AN214" s="134">
        <f t="shared" si="412"/>
        <v>0.95</v>
      </c>
      <c r="AO214" s="134">
        <f t="shared" si="412"/>
        <v>0.95</v>
      </c>
      <c r="AP214" s="134">
        <f t="shared" si="412"/>
        <v>0.95</v>
      </c>
      <c r="AQ214" s="134">
        <f t="shared" si="412"/>
        <v>0.95</v>
      </c>
      <c r="AR214" s="134">
        <f t="shared" si="412"/>
        <v>0.95</v>
      </c>
      <c r="AS214" s="134">
        <f t="shared" si="412"/>
        <v>0.95</v>
      </c>
      <c r="AT214" s="134">
        <f t="shared" si="412"/>
        <v>0.95</v>
      </c>
      <c r="AU214" s="134">
        <f t="shared" si="412"/>
        <v>0.95</v>
      </c>
      <c r="AV214" s="134">
        <f t="shared" si="412"/>
        <v>0.95</v>
      </c>
      <c r="AW214" s="134">
        <f t="shared" ca="1" si="412"/>
        <v>0.95</v>
      </c>
      <c r="BB214" s="135"/>
    </row>
    <row r="215" spans="1:54" s="21" customFormat="1" ht="18" customHeight="1">
      <c r="A215" s="643"/>
      <c r="B215" s="156"/>
      <c r="C215" s="652"/>
      <c r="D215" s="96" t="str">
        <f>D214</f>
        <v>PIP</v>
      </c>
      <c r="E215" s="136" t="str">
        <f t="shared" ref="E215:F215" si="419">E214</f>
        <v>RFQ-054</v>
      </c>
      <c r="F215" s="137" t="str">
        <f t="shared" si="419"/>
        <v>N</v>
      </c>
      <c r="G215" s="159"/>
      <c r="H215" s="162" t="str">
        <f t="shared" ref="H215:I215" si="420">H214</f>
        <v>BOLT &amp; NUTS</v>
      </c>
      <c r="I215" s="136" t="str">
        <f t="shared" si="420"/>
        <v>LD</v>
      </c>
      <c r="J215" s="137"/>
      <c r="K215" s="138"/>
      <c r="L215" s="138">
        <f>M216</f>
        <v>1E-3</v>
      </c>
      <c r="M215" s="138"/>
      <c r="N215" s="136"/>
      <c r="O215" s="136"/>
      <c r="P215" s="136"/>
      <c r="Q215" s="139" t="s">
        <v>4841</v>
      </c>
      <c r="R215" s="139"/>
      <c r="S215" s="140" t="e">
        <f>S214</f>
        <v>#REF!</v>
      </c>
      <c r="T215" s="141" t="e">
        <f>T214</f>
        <v>#REF!</v>
      </c>
      <c r="U215" s="141" t="e">
        <f>WORKDAY(IF(T216="",T215,T216),INDEX(U$2:U$5,MATCH($I214,$I$2:$I$5,0)),$BB$10:$BB$141)</f>
        <v>#REF!</v>
      </c>
      <c r="V215" s="141" t="e">
        <f>WORKDAY(IF(U216="",U215,U216),INDEX(V$2:V$5,MATCH($I214,$I$2:$I$5,0)),$BB$10:$BB$141)</f>
        <v>#REF!</v>
      </c>
      <c r="W215" s="141" t="e">
        <f>WORKDAY(IF(V216="",V215,V216),INDEX(W$2:W$5,MATCH($I214,$I$2:$I$5,0)),$BB$10:$BB$141)</f>
        <v>#REF!</v>
      </c>
      <c r="X215" s="141" t="e">
        <f>WORKDAY(IF(#REF!="",#REF!,#REF!),INDEX(X$2:X$5,MATCH($I214,$I$2:$I$5,0)),$BB$10:$BB$141)</f>
        <v>#REF!</v>
      </c>
      <c r="Y215" s="141" t="e">
        <f>WORKDAY(IF(X216="",X215,X216),INDEX(Y$2:Y$5,MATCH($I214,$I$2:$I$5,0)),$BB$10:$BB$141)</f>
        <v>#REF!</v>
      </c>
      <c r="Z215" s="141" t="e">
        <f>WORKDAY(IF(Y216="",Y215,Y216),INDEX(Z$2:Z$5,MATCH($I214,$I$2:$I$5,0)),$BB$10:$BB$141)</f>
        <v>#REF!</v>
      </c>
      <c r="AA215" s="141" t="e">
        <f>WORKDAY(IF(Z216="",Z215,Z216),INDEX(AA$2:AA$5,MATCH($I214,$I$2:$I$5,0)),$BB$10:$BB$141)</f>
        <v>#REF!</v>
      </c>
      <c r="AB215" s="142" t="e">
        <f>AE214+#REF!</f>
        <v>#REF!</v>
      </c>
      <c r="AC215" s="658"/>
      <c r="AD215" s="105"/>
      <c r="AE215" s="664"/>
      <c r="AF215" s="667"/>
      <c r="AG215" s="670"/>
      <c r="AH215" s="106"/>
      <c r="AI215" s="107"/>
      <c r="AJ215" s="673"/>
      <c r="AK215" s="143"/>
      <c r="AL215" s="144"/>
      <c r="AM215" s="133">
        <f t="shared" si="412"/>
        <v>0</v>
      </c>
      <c r="AN215" s="134">
        <f t="shared" si="412"/>
        <v>0</v>
      </c>
      <c r="AO215" s="134">
        <f t="shared" si="412"/>
        <v>0</v>
      </c>
      <c r="AP215" s="134">
        <f t="shared" si="412"/>
        <v>0</v>
      </c>
      <c r="AQ215" s="134">
        <f t="shared" si="412"/>
        <v>0</v>
      </c>
      <c r="AR215" s="134">
        <f t="shared" si="412"/>
        <v>0</v>
      </c>
      <c r="AS215" s="134">
        <f t="shared" si="412"/>
        <v>0</v>
      </c>
      <c r="AT215" s="134">
        <f t="shared" si="412"/>
        <v>0</v>
      </c>
      <c r="AU215" s="134">
        <f t="shared" si="412"/>
        <v>0</v>
      </c>
      <c r="AV215" s="134">
        <f t="shared" si="412"/>
        <v>0</v>
      </c>
      <c r="AW215" s="134">
        <f t="shared" ca="1" si="412"/>
        <v>0</v>
      </c>
      <c r="BB215" s="135"/>
    </row>
    <row r="216" spans="1:54" s="21" customFormat="1" ht="18" customHeight="1">
      <c r="A216" s="644"/>
      <c r="B216" s="157"/>
      <c r="C216" s="653"/>
      <c r="D216" s="111" t="str">
        <f>D214</f>
        <v>PIP</v>
      </c>
      <c r="E216" s="145" t="str">
        <f>E214</f>
        <v>RFQ-054</v>
      </c>
      <c r="F216" s="146" t="str">
        <f t="shared" ref="F216" si="421">F214</f>
        <v>N</v>
      </c>
      <c r="G216" s="160"/>
      <c r="H216" s="163" t="str">
        <f t="shared" ref="H216:I216" si="422">H214</f>
        <v>BOLT &amp; NUTS</v>
      </c>
      <c r="I216" s="145" t="str">
        <f t="shared" si="422"/>
        <v>LD</v>
      </c>
      <c r="J216" s="146"/>
      <c r="K216" s="147"/>
      <c r="L216" s="147"/>
      <c r="M216" s="147">
        <v>1E-3</v>
      </c>
      <c r="N216" s="145"/>
      <c r="O216" s="145"/>
      <c r="P216" s="145"/>
      <c r="Q216" s="148" t="s">
        <v>4842</v>
      </c>
      <c r="R216" s="148"/>
      <c r="S216" s="149"/>
      <c r="T216" s="149"/>
      <c r="U216" s="149"/>
      <c r="V216" s="149"/>
      <c r="W216" s="149"/>
      <c r="X216" s="149"/>
      <c r="Y216" s="149"/>
      <c r="Z216" s="149"/>
      <c r="AA216" s="149"/>
      <c r="AB216" s="149"/>
      <c r="AC216" s="659"/>
      <c r="AD216" s="116"/>
      <c r="AE216" s="665"/>
      <c r="AF216" s="668"/>
      <c r="AG216" s="671"/>
      <c r="AH216" s="117"/>
      <c r="AI216" s="118"/>
      <c r="AJ216" s="674"/>
      <c r="AK216" s="150"/>
      <c r="AL216" s="151"/>
      <c r="AM216" s="152">
        <f t="shared" si="412"/>
        <v>0</v>
      </c>
      <c r="AN216" s="153">
        <f t="shared" si="412"/>
        <v>0</v>
      </c>
      <c r="AO216" s="153">
        <f t="shared" si="412"/>
        <v>0</v>
      </c>
      <c r="AP216" s="153">
        <f t="shared" si="412"/>
        <v>0</v>
      </c>
      <c r="AQ216" s="153">
        <f t="shared" si="412"/>
        <v>0</v>
      </c>
      <c r="AR216" s="153">
        <f t="shared" si="412"/>
        <v>0</v>
      </c>
      <c r="AS216" s="153">
        <f t="shared" si="412"/>
        <v>0</v>
      </c>
      <c r="AT216" s="153">
        <f t="shared" si="412"/>
        <v>0</v>
      </c>
      <c r="AU216" s="153">
        <f t="shared" si="412"/>
        <v>0</v>
      </c>
      <c r="AV216" s="153">
        <f t="shared" si="412"/>
        <v>0</v>
      </c>
      <c r="AW216" s="153">
        <f t="shared" ca="1" si="412"/>
        <v>0</v>
      </c>
      <c r="BB216" s="135"/>
    </row>
    <row r="217" spans="1:54" s="21" customFormat="1" ht="18" customHeight="1">
      <c r="A217" s="642">
        <f t="shared" ref="A217" si="423">A214+1</f>
        <v>70</v>
      </c>
      <c r="B217" s="154" t="s">
        <v>4901</v>
      </c>
      <c r="C217" s="651" t="s">
        <v>4836</v>
      </c>
      <c r="D217" s="80" t="s">
        <v>4848</v>
      </c>
      <c r="E217" s="127" t="s">
        <v>4898</v>
      </c>
      <c r="F217" s="128" t="s">
        <v>71</v>
      </c>
      <c r="G217" s="158"/>
      <c r="H217" s="161" t="s">
        <v>4914</v>
      </c>
      <c r="I217" s="127" t="s">
        <v>9</v>
      </c>
      <c r="J217" s="128"/>
      <c r="K217" s="129">
        <f>M219</f>
        <v>1E-3</v>
      </c>
      <c r="L217" s="129"/>
      <c r="M217" s="129"/>
      <c r="N217" s="127"/>
      <c r="O217" s="127"/>
      <c r="P217" s="127"/>
      <c r="Q217" s="130" t="s">
        <v>4839</v>
      </c>
      <c r="R217" s="130"/>
      <c r="S217" s="155" t="e">
        <f>WORKDAY(T217,-INDEX(T$2:T$5,MATCH($I217,$I$2:$I$5,0)),'[35]Equipment List and MR List (3)'!$A$2:$A$80)</f>
        <v>#REF!</v>
      </c>
      <c r="T217" s="155" t="e">
        <f>WORKDAY(U217,-INDEX(U$2:U$5,MATCH($I217,$I$2:$I$5,0)),$BB$10:$BB$141)</f>
        <v>#REF!</v>
      </c>
      <c r="U217" s="155" t="e">
        <f>WORKDAY(V217,-INDEX(V$2:V$5,MATCH($I217,$I$2:$I$5,0)),$BB$10:$BB$141)</f>
        <v>#REF!</v>
      </c>
      <c r="V217" s="155" t="e">
        <f>WORKDAY(W217,-INDEX(W$2:W$5,MATCH($I217,$I$2:$I$5,0)),$BB$10:$BB$141)</f>
        <v>#REF!</v>
      </c>
      <c r="W217" s="155" t="e">
        <f>WORKDAY(#REF!,-INDEX(#REF!,MATCH($I217,$I$2:$I$5,0)),$BB$10:$BB$141)</f>
        <v>#REF!</v>
      </c>
      <c r="X217" s="155" t="e">
        <f>WORKDAY(Y217,-INDEX(Y$2:Y$5,MATCH($I217,$I$2:$I$5,0)),$BB$10:$BB$141)</f>
        <v>#REF!</v>
      </c>
      <c r="Y217" s="155" t="e">
        <f>WORKDAY(Z217,-INDEX(Z$2:Z$5,MATCH($I217,$I$2:$I$5,0)),$BB$10:$BB$141)</f>
        <v>#REF!</v>
      </c>
      <c r="Z217" s="155" t="e">
        <f>WORKDAY(AA217,-INDEX(AA$2:AA$5,MATCH($I217,$I$2:$I$5,0)),$BB$10:$BB$141)</f>
        <v>#REF!</v>
      </c>
      <c r="AA217" s="155" t="e">
        <f>WORKDAY(#REF!,-INDEX(#REF!,MATCH($I217,$I$2:$I$5,0)),$BB$10:$BB$141)</f>
        <v>#REF!</v>
      </c>
      <c r="AB217" s="155">
        <f>WORKDAY(AG217,0,'[35]Equipment List and MR List (3)'!$A$2:$A$80)</f>
        <v>0</v>
      </c>
      <c r="AC217" s="657" t="s">
        <v>4840</v>
      </c>
      <c r="AD217" s="87">
        <v>7</v>
      </c>
      <c r="AE217" s="663">
        <v>100</v>
      </c>
      <c r="AF217" s="666" t="e">
        <f>AB218</f>
        <v>#REF!</v>
      </c>
      <c r="AG217" s="669"/>
      <c r="AH217" s="88"/>
      <c r="AI217" s="89"/>
      <c r="AJ217" s="672" t="e">
        <f>AG217-AF217</f>
        <v>#REF!</v>
      </c>
      <c r="AK217" s="131"/>
      <c r="AL217" s="132"/>
      <c r="AM217" s="133">
        <f t="shared" si="412"/>
        <v>0.95</v>
      </c>
      <c r="AN217" s="134">
        <f t="shared" si="412"/>
        <v>0.95</v>
      </c>
      <c r="AO217" s="134">
        <f t="shared" si="412"/>
        <v>0.95</v>
      </c>
      <c r="AP217" s="134">
        <f t="shared" si="412"/>
        <v>0.95</v>
      </c>
      <c r="AQ217" s="134">
        <f t="shared" si="412"/>
        <v>0.95</v>
      </c>
      <c r="AR217" s="134">
        <f t="shared" si="412"/>
        <v>0.95</v>
      </c>
      <c r="AS217" s="134">
        <f t="shared" si="412"/>
        <v>0.95</v>
      </c>
      <c r="AT217" s="134">
        <f t="shared" si="412"/>
        <v>0.95</v>
      </c>
      <c r="AU217" s="134">
        <f t="shared" si="412"/>
        <v>0.95</v>
      </c>
      <c r="AV217" s="134">
        <f t="shared" si="412"/>
        <v>0.95</v>
      </c>
      <c r="AW217" s="134">
        <f t="shared" ca="1" si="412"/>
        <v>0.95</v>
      </c>
      <c r="BB217" s="135"/>
    </row>
    <row r="218" spans="1:54" s="21" customFormat="1" ht="18" customHeight="1">
      <c r="A218" s="643"/>
      <c r="B218" s="156"/>
      <c r="C218" s="652"/>
      <c r="D218" s="96" t="str">
        <f>D217</f>
        <v>PIP</v>
      </c>
      <c r="E218" s="136" t="str">
        <f>E217</f>
        <v>RFQ-054</v>
      </c>
      <c r="F218" s="137" t="str">
        <f>F217</f>
        <v>N</v>
      </c>
      <c r="G218" s="159"/>
      <c r="H218" s="162" t="str">
        <f>H217</f>
        <v>CS FITTING</v>
      </c>
      <c r="I218" s="136" t="str">
        <f>I217</f>
        <v>LD</v>
      </c>
      <c r="J218" s="137"/>
      <c r="K218" s="138"/>
      <c r="L218" s="138">
        <f>M219</f>
        <v>1E-3</v>
      </c>
      <c r="M218" s="138"/>
      <c r="N218" s="136"/>
      <c r="O218" s="136"/>
      <c r="P218" s="136"/>
      <c r="Q218" s="139" t="s">
        <v>4841</v>
      </c>
      <c r="R218" s="139"/>
      <c r="S218" s="140" t="e">
        <f>S217</f>
        <v>#REF!</v>
      </c>
      <c r="T218" s="141" t="e">
        <f>T217</f>
        <v>#REF!</v>
      </c>
      <c r="U218" s="141" t="e">
        <f>WORKDAY(IF(T219="",T218,T219),INDEX(U$2:U$5,MATCH($I217,$I$2:$I$5,0)),$BB$10:$BB$141)</f>
        <v>#REF!</v>
      </c>
      <c r="V218" s="141" t="e">
        <f>WORKDAY(IF(U219="",U218,U219),INDEX(V$2:V$5,MATCH($I217,$I$2:$I$5,0)),$BB$10:$BB$141)</f>
        <v>#REF!</v>
      </c>
      <c r="W218" s="141" t="e">
        <f>WORKDAY(IF(V219="",V218,V219),INDEX(W$2:W$5,MATCH($I217,$I$2:$I$5,0)),$BB$10:$BB$141)</f>
        <v>#REF!</v>
      </c>
      <c r="X218" s="141" t="e">
        <f>WORKDAY(IF(#REF!="",#REF!,#REF!),INDEX(X$2:X$5,MATCH($I217,$I$2:$I$5,0)),$BB$10:$BB$141)</f>
        <v>#REF!</v>
      </c>
      <c r="Y218" s="141" t="e">
        <f>WORKDAY(IF(X219="",X218,X219),INDEX(Y$2:Y$5,MATCH($I217,$I$2:$I$5,0)),$BB$10:$BB$141)</f>
        <v>#REF!</v>
      </c>
      <c r="Z218" s="141" t="e">
        <f>WORKDAY(IF(Y219="",Y218,Y219),INDEX(Z$2:Z$5,MATCH($I217,$I$2:$I$5,0)),$BB$10:$BB$141)</f>
        <v>#REF!</v>
      </c>
      <c r="AA218" s="141" t="e">
        <f>WORKDAY(IF(Z219="",Z218,Z219),INDEX(AA$2:AA$5,MATCH($I217,$I$2:$I$5,0)),$BB$10:$BB$141)</f>
        <v>#REF!</v>
      </c>
      <c r="AB218" s="142" t="e">
        <f>AE217+#REF!</f>
        <v>#REF!</v>
      </c>
      <c r="AC218" s="658"/>
      <c r="AD218" s="105"/>
      <c r="AE218" s="664"/>
      <c r="AF218" s="667"/>
      <c r="AG218" s="670"/>
      <c r="AH218" s="106"/>
      <c r="AI218" s="107"/>
      <c r="AJ218" s="673"/>
      <c r="AK218" s="143"/>
      <c r="AL218" s="144"/>
      <c r="AM218" s="133">
        <f t="shared" si="412"/>
        <v>0</v>
      </c>
      <c r="AN218" s="134">
        <f t="shared" si="412"/>
        <v>0</v>
      </c>
      <c r="AO218" s="134">
        <f t="shared" si="412"/>
        <v>0</v>
      </c>
      <c r="AP218" s="134">
        <f t="shared" si="412"/>
        <v>0</v>
      </c>
      <c r="AQ218" s="134">
        <f t="shared" si="412"/>
        <v>0</v>
      </c>
      <c r="AR218" s="134">
        <f t="shared" si="412"/>
        <v>0</v>
      </c>
      <c r="AS218" s="134">
        <f t="shared" si="412"/>
        <v>0</v>
      </c>
      <c r="AT218" s="134">
        <f t="shared" si="412"/>
        <v>0</v>
      </c>
      <c r="AU218" s="134">
        <f t="shared" si="412"/>
        <v>0</v>
      </c>
      <c r="AV218" s="134">
        <f t="shared" si="412"/>
        <v>0</v>
      </c>
      <c r="AW218" s="134">
        <f t="shared" ca="1" si="412"/>
        <v>0</v>
      </c>
      <c r="BB218" s="135"/>
    </row>
    <row r="219" spans="1:54" s="21" customFormat="1" ht="18" customHeight="1">
      <c r="A219" s="644"/>
      <c r="B219" s="157"/>
      <c r="C219" s="653"/>
      <c r="D219" s="111" t="str">
        <f>D217</f>
        <v>PIP</v>
      </c>
      <c r="E219" s="145" t="str">
        <f>E217</f>
        <v>RFQ-054</v>
      </c>
      <c r="F219" s="146" t="str">
        <f>F217</f>
        <v>N</v>
      </c>
      <c r="G219" s="160"/>
      <c r="H219" s="163" t="str">
        <f>H217</f>
        <v>CS FITTING</v>
      </c>
      <c r="I219" s="145" t="str">
        <f>I217</f>
        <v>LD</v>
      </c>
      <c r="J219" s="146"/>
      <c r="K219" s="147"/>
      <c r="L219" s="147"/>
      <c r="M219" s="147">
        <v>1E-3</v>
      </c>
      <c r="N219" s="145"/>
      <c r="O219" s="145"/>
      <c r="P219" s="145"/>
      <c r="Q219" s="148" t="s">
        <v>4842</v>
      </c>
      <c r="R219" s="148"/>
      <c r="S219" s="149"/>
      <c r="T219" s="149"/>
      <c r="U219" s="149"/>
      <c r="V219" s="149"/>
      <c r="W219" s="149"/>
      <c r="X219" s="149"/>
      <c r="Y219" s="149"/>
      <c r="Z219" s="149"/>
      <c r="AA219" s="149"/>
      <c r="AB219" s="149"/>
      <c r="AC219" s="659"/>
      <c r="AD219" s="116"/>
      <c r="AE219" s="665"/>
      <c r="AF219" s="668"/>
      <c r="AG219" s="671"/>
      <c r="AH219" s="117"/>
      <c r="AI219" s="118"/>
      <c r="AJ219" s="674"/>
      <c r="AK219" s="150"/>
      <c r="AL219" s="151"/>
      <c r="AM219" s="152">
        <f t="shared" si="412"/>
        <v>0</v>
      </c>
      <c r="AN219" s="153">
        <f t="shared" si="412"/>
        <v>0</v>
      </c>
      <c r="AO219" s="153">
        <f t="shared" si="412"/>
        <v>0</v>
      </c>
      <c r="AP219" s="153">
        <f t="shared" si="412"/>
        <v>0</v>
      </c>
      <c r="AQ219" s="153">
        <f t="shared" si="412"/>
        <v>0</v>
      </c>
      <c r="AR219" s="153">
        <f t="shared" si="412"/>
        <v>0</v>
      </c>
      <c r="AS219" s="153">
        <f t="shared" si="412"/>
        <v>0</v>
      </c>
      <c r="AT219" s="153">
        <f t="shared" si="412"/>
        <v>0</v>
      </c>
      <c r="AU219" s="153">
        <f t="shared" si="412"/>
        <v>0</v>
      </c>
      <c r="AV219" s="153">
        <f t="shared" si="412"/>
        <v>0</v>
      </c>
      <c r="AW219" s="153">
        <f t="shared" ca="1" si="412"/>
        <v>0</v>
      </c>
      <c r="BB219" s="135"/>
    </row>
    <row r="220" spans="1:54" s="21" customFormat="1" ht="18" customHeight="1">
      <c r="A220" s="642">
        <f t="shared" ref="A220" si="424">A217+1</f>
        <v>71</v>
      </c>
      <c r="B220" s="154" t="s">
        <v>4901</v>
      </c>
      <c r="C220" s="651" t="s">
        <v>4836</v>
      </c>
      <c r="D220" s="80" t="s">
        <v>4848</v>
      </c>
      <c r="E220" s="127" t="s">
        <v>4898</v>
      </c>
      <c r="F220" s="128" t="s">
        <v>71</v>
      </c>
      <c r="G220" s="158"/>
      <c r="H220" s="161" t="s">
        <v>4915</v>
      </c>
      <c r="I220" s="127" t="s">
        <v>9</v>
      </c>
      <c r="J220" s="128"/>
      <c r="K220" s="129">
        <f>M222</f>
        <v>1E-3</v>
      </c>
      <c r="L220" s="129"/>
      <c r="M220" s="129"/>
      <c r="N220" s="127"/>
      <c r="O220" s="127"/>
      <c r="P220" s="127"/>
      <c r="Q220" s="130" t="s">
        <v>4839</v>
      </c>
      <c r="R220" s="130"/>
      <c r="S220" s="155" t="e">
        <f>WORKDAY(T220,-INDEX(T$2:T$5,MATCH($I220,$I$2:$I$5,0)),'[35]Equipment List and MR List (3)'!$A$2:$A$80)</f>
        <v>#REF!</v>
      </c>
      <c r="T220" s="155" t="e">
        <f>WORKDAY(U220,-INDEX(U$2:U$5,MATCH($I220,$I$2:$I$5,0)),$BB$10:$BB$141)</f>
        <v>#REF!</v>
      </c>
      <c r="U220" s="155" t="e">
        <f>WORKDAY(V220,-INDEX(V$2:V$5,MATCH($I220,$I$2:$I$5,0)),$BB$10:$BB$141)</f>
        <v>#REF!</v>
      </c>
      <c r="V220" s="155" t="e">
        <f>WORKDAY(W220,-INDEX(W$2:W$5,MATCH($I220,$I$2:$I$5,0)),$BB$10:$BB$141)</f>
        <v>#REF!</v>
      </c>
      <c r="W220" s="155" t="e">
        <f>WORKDAY(#REF!,-INDEX(#REF!,MATCH($I220,$I$2:$I$5,0)),$BB$10:$BB$141)</f>
        <v>#REF!</v>
      </c>
      <c r="X220" s="155" t="e">
        <f>WORKDAY(Y220,-INDEX(Y$2:Y$5,MATCH($I220,$I$2:$I$5,0)),$BB$10:$BB$141)</f>
        <v>#REF!</v>
      </c>
      <c r="Y220" s="155" t="e">
        <f>WORKDAY(Z220,-INDEX(Z$2:Z$5,MATCH($I220,$I$2:$I$5,0)),$BB$10:$BB$141)</f>
        <v>#REF!</v>
      </c>
      <c r="Z220" s="155" t="e">
        <f>WORKDAY(AA220,-INDEX(AA$2:AA$5,MATCH($I220,$I$2:$I$5,0)),$BB$10:$BB$141)</f>
        <v>#REF!</v>
      </c>
      <c r="AA220" s="155" t="e">
        <f>WORKDAY(#REF!,-INDEX(#REF!,MATCH($I220,$I$2:$I$5,0)),$BB$10:$BB$141)</f>
        <v>#REF!</v>
      </c>
      <c r="AB220" s="155">
        <f>WORKDAY(AG220,0,'[35]Equipment List and MR List (3)'!$A$2:$A$80)</f>
        <v>0</v>
      </c>
      <c r="AC220" s="657" t="s">
        <v>4840</v>
      </c>
      <c r="AD220" s="87">
        <v>7</v>
      </c>
      <c r="AE220" s="663">
        <v>100</v>
      </c>
      <c r="AF220" s="666" t="e">
        <f>AB221</f>
        <v>#REF!</v>
      </c>
      <c r="AG220" s="669"/>
      <c r="AH220" s="88"/>
      <c r="AI220" s="89"/>
      <c r="AJ220" s="672" t="e">
        <f>AG220-AF220</f>
        <v>#REF!</v>
      </c>
      <c r="AK220" s="131"/>
      <c r="AL220" s="132"/>
      <c r="AM220" s="133">
        <f t="shared" ref="AM220:AW229" si="425">IF(ISERROR(LOOKUP(AM$6,$S220:$AB220,$S$9:$AB$9)),0,(LOOKUP(AM$6,$S220:$AB220,$S$9:$AB$9)))</f>
        <v>0.95</v>
      </c>
      <c r="AN220" s="134">
        <f t="shared" si="425"/>
        <v>0.95</v>
      </c>
      <c r="AO220" s="134">
        <f t="shared" si="425"/>
        <v>0.95</v>
      </c>
      <c r="AP220" s="134">
        <f t="shared" si="425"/>
        <v>0.95</v>
      </c>
      <c r="AQ220" s="134">
        <f t="shared" si="425"/>
        <v>0.95</v>
      </c>
      <c r="AR220" s="134">
        <f t="shared" si="425"/>
        <v>0.95</v>
      </c>
      <c r="AS220" s="134">
        <f t="shared" si="425"/>
        <v>0.95</v>
      </c>
      <c r="AT220" s="134">
        <f t="shared" si="425"/>
        <v>0.95</v>
      </c>
      <c r="AU220" s="134">
        <f t="shared" si="425"/>
        <v>0.95</v>
      </c>
      <c r="AV220" s="134">
        <f t="shared" si="425"/>
        <v>0.95</v>
      </c>
      <c r="AW220" s="134">
        <f t="shared" ca="1" si="425"/>
        <v>0.95</v>
      </c>
      <c r="BB220" s="135"/>
    </row>
    <row r="221" spans="1:54" s="21" customFormat="1" ht="18" customHeight="1">
      <c r="A221" s="643"/>
      <c r="B221" s="156"/>
      <c r="C221" s="652"/>
      <c r="D221" s="96" t="str">
        <f>D220</f>
        <v>PIP</v>
      </c>
      <c r="E221" s="136" t="str">
        <f>E220</f>
        <v>RFQ-054</v>
      </c>
      <c r="F221" s="137" t="str">
        <f>F220</f>
        <v>N</v>
      </c>
      <c r="G221" s="159"/>
      <c r="H221" s="162" t="str">
        <f>H220</f>
        <v>SS &amp; DSS FITTING</v>
      </c>
      <c r="I221" s="136" t="str">
        <f>I220</f>
        <v>LD</v>
      </c>
      <c r="J221" s="137"/>
      <c r="K221" s="138"/>
      <c r="L221" s="138">
        <f>M222</f>
        <v>1E-3</v>
      </c>
      <c r="M221" s="138"/>
      <c r="N221" s="136"/>
      <c r="O221" s="136"/>
      <c r="P221" s="136"/>
      <c r="Q221" s="139" t="s">
        <v>4841</v>
      </c>
      <c r="R221" s="139"/>
      <c r="S221" s="140" t="e">
        <f>S220</f>
        <v>#REF!</v>
      </c>
      <c r="T221" s="141" t="e">
        <f>T220</f>
        <v>#REF!</v>
      </c>
      <c r="U221" s="141" t="e">
        <f>WORKDAY(IF(T222="",T221,T222),INDEX(U$2:U$5,MATCH($I220,$I$2:$I$5,0)),$BB$10:$BB$141)</f>
        <v>#REF!</v>
      </c>
      <c r="V221" s="141" t="e">
        <f>WORKDAY(IF(U222="",U221,U222),INDEX(V$2:V$5,MATCH($I220,$I$2:$I$5,0)),$BB$10:$BB$141)</f>
        <v>#REF!</v>
      </c>
      <c r="W221" s="141" t="e">
        <f>WORKDAY(IF(V222="",V221,V222),INDEX(W$2:W$5,MATCH($I220,$I$2:$I$5,0)),$BB$10:$BB$141)</f>
        <v>#REF!</v>
      </c>
      <c r="X221" s="141" t="e">
        <f>WORKDAY(IF(#REF!="",#REF!,#REF!),INDEX(X$2:X$5,MATCH($I220,$I$2:$I$5,0)),$BB$10:$BB$141)</f>
        <v>#REF!</v>
      </c>
      <c r="Y221" s="141" t="e">
        <f>WORKDAY(IF(X222="",X221,X222),INDEX(Y$2:Y$5,MATCH($I220,$I$2:$I$5,0)),$BB$10:$BB$141)</f>
        <v>#REF!</v>
      </c>
      <c r="Z221" s="141" t="e">
        <f>WORKDAY(IF(Y222="",Y221,Y222),INDEX(Z$2:Z$5,MATCH($I220,$I$2:$I$5,0)),$BB$10:$BB$141)</f>
        <v>#REF!</v>
      </c>
      <c r="AA221" s="141" t="e">
        <f>WORKDAY(IF(Z222="",Z221,Z222),INDEX(AA$2:AA$5,MATCH($I220,$I$2:$I$5,0)),$BB$10:$BB$141)</f>
        <v>#REF!</v>
      </c>
      <c r="AB221" s="142" t="e">
        <f>AE220+#REF!</f>
        <v>#REF!</v>
      </c>
      <c r="AC221" s="658"/>
      <c r="AD221" s="105"/>
      <c r="AE221" s="664"/>
      <c r="AF221" s="667"/>
      <c r="AG221" s="670"/>
      <c r="AH221" s="106"/>
      <c r="AI221" s="107"/>
      <c r="AJ221" s="673"/>
      <c r="AK221" s="143"/>
      <c r="AL221" s="144"/>
      <c r="AM221" s="133">
        <f t="shared" si="425"/>
        <v>0</v>
      </c>
      <c r="AN221" s="134">
        <f t="shared" si="425"/>
        <v>0</v>
      </c>
      <c r="AO221" s="134">
        <f t="shared" si="425"/>
        <v>0</v>
      </c>
      <c r="AP221" s="134">
        <f t="shared" si="425"/>
        <v>0</v>
      </c>
      <c r="AQ221" s="134">
        <f t="shared" si="425"/>
        <v>0</v>
      </c>
      <c r="AR221" s="134">
        <f t="shared" si="425"/>
        <v>0</v>
      </c>
      <c r="AS221" s="134">
        <f t="shared" si="425"/>
        <v>0</v>
      </c>
      <c r="AT221" s="134">
        <f t="shared" si="425"/>
        <v>0</v>
      </c>
      <c r="AU221" s="134">
        <f t="shared" si="425"/>
        <v>0</v>
      </c>
      <c r="AV221" s="134">
        <f t="shared" si="425"/>
        <v>0</v>
      </c>
      <c r="AW221" s="134">
        <f t="shared" ca="1" si="425"/>
        <v>0</v>
      </c>
      <c r="BB221" s="135"/>
    </row>
    <row r="222" spans="1:54" s="21" customFormat="1" ht="18" customHeight="1">
      <c r="A222" s="644"/>
      <c r="B222" s="157"/>
      <c r="C222" s="653"/>
      <c r="D222" s="111" t="str">
        <f>D220</f>
        <v>PIP</v>
      </c>
      <c r="E222" s="145" t="str">
        <f>E220</f>
        <v>RFQ-054</v>
      </c>
      <c r="F222" s="146" t="str">
        <f>F220</f>
        <v>N</v>
      </c>
      <c r="G222" s="160"/>
      <c r="H222" s="163" t="str">
        <f>H220</f>
        <v>SS &amp; DSS FITTING</v>
      </c>
      <c r="I222" s="145" t="str">
        <f>I220</f>
        <v>LD</v>
      </c>
      <c r="J222" s="146"/>
      <c r="K222" s="147"/>
      <c r="L222" s="147"/>
      <c r="M222" s="147">
        <v>1E-3</v>
      </c>
      <c r="N222" s="145"/>
      <c r="O222" s="145"/>
      <c r="P222" s="145"/>
      <c r="Q222" s="148" t="s">
        <v>4842</v>
      </c>
      <c r="R222" s="148"/>
      <c r="S222" s="149"/>
      <c r="T222" s="149"/>
      <c r="U222" s="149"/>
      <c r="V222" s="149"/>
      <c r="W222" s="149"/>
      <c r="X222" s="149"/>
      <c r="Y222" s="149"/>
      <c r="Z222" s="149"/>
      <c r="AA222" s="149"/>
      <c r="AB222" s="149"/>
      <c r="AC222" s="659"/>
      <c r="AD222" s="116"/>
      <c r="AE222" s="665"/>
      <c r="AF222" s="668"/>
      <c r="AG222" s="671"/>
      <c r="AH222" s="117"/>
      <c r="AI222" s="118"/>
      <c r="AJ222" s="674"/>
      <c r="AK222" s="150"/>
      <c r="AL222" s="151"/>
      <c r="AM222" s="152">
        <f t="shared" si="425"/>
        <v>0</v>
      </c>
      <c r="AN222" s="153">
        <f t="shared" si="425"/>
        <v>0</v>
      </c>
      <c r="AO222" s="153">
        <f t="shared" si="425"/>
        <v>0</v>
      </c>
      <c r="AP222" s="153">
        <f t="shared" si="425"/>
        <v>0</v>
      </c>
      <c r="AQ222" s="153">
        <f t="shared" si="425"/>
        <v>0</v>
      </c>
      <c r="AR222" s="153">
        <f t="shared" si="425"/>
        <v>0</v>
      </c>
      <c r="AS222" s="153">
        <f t="shared" si="425"/>
        <v>0</v>
      </c>
      <c r="AT222" s="153">
        <f t="shared" si="425"/>
        <v>0</v>
      </c>
      <c r="AU222" s="153">
        <f t="shared" si="425"/>
        <v>0</v>
      </c>
      <c r="AV222" s="153">
        <f t="shared" si="425"/>
        <v>0</v>
      </c>
      <c r="AW222" s="153">
        <f t="shared" ca="1" si="425"/>
        <v>0</v>
      </c>
      <c r="BB222" s="135"/>
    </row>
    <row r="223" spans="1:54" s="21" customFormat="1" ht="18" customHeight="1">
      <c r="A223" s="642">
        <f t="shared" ref="A223" si="426">A220+1</f>
        <v>72</v>
      </c>
      <c r="B223" s="154" t="s">
        <v>4901</v>
      </c>
      <c r="C223" s="651" t="s">
        <v>4836</v>
      </c>
      <c r="D223" s="80" t="s">
        <v>4863</v>
      </c>
      <c r="E223" s="127" t="s">
        <v>4898</v>
      </c>
      <c r="F223" s="128" t="s">
        <v>71</v>
      </c>
      <c r="G223" s="158"/>
      <c r="H223" s="82" t="s">
        <v>4916</v>
      </c>
      <c r="I223" s="127" t="s">
        <v>9</v>
      </c>
      <c r="J223" s="128"/>
      <c r="K223" s="129">
        <f>M225</f>
        <v>1E-3</v>
      </c>
      <c r="L223" s="129"/>
      <c r="M223" s="129"/>
      <c r="N223" s="127"/>
      <c r="O223" s="127"/>
      <c r="P223" s="127"/>
      <c r="Q223" s="130" t="s">
        <v>4839</v>
      </c>
      <c r="R223" s="130"/>
      <c r="S223" s="155" t="e">
        <f>WORKDAY(T223,-INDEX(T$2:T$5,MATCH($I223,$I$2:$I$5,0)),'[35]Equipment List and MR List (3)'!$A$2:$A$80)</f>
        <v>#REF!</v>
      </c>
      <c r="T223" s="155" t="e">
        <f>WORKDAY(U223,-INDEX(U$2:U$5,MATCH($I223,$I$2:$I$5,0)),$BB$10:$BB$141)</f>
        <v>#REF!</v>
      </c>
      <c r="U223" s="155" t="e">
        <f>WORKDAY(V223,-INDEX(V$2:V$5,MATCH($I223,$I$2:$I$5,0)),$BB$10:$BB$141)</f>
        <v>#REF!</v>
      </c>
      <c r="V223" s="155" t="e">
        <f>WORKDAY(W223,-INDEX(W$2:W$5,MATCH($I223,$I$2:$I$5,0)),$BB$10:$BB$141)</f>
        <v>#REF!</v>
      </c>
      <c r="W223" s="155" t="e">
        <f>WORKDAY(#REF!,-INDEX(#REF!,MATCH($I223,$I$2:$I$5,0)),$BB$10:$BB$141)</f>
        <v>#REF!</v>
      </c>
      <c r="X223" s="155" t="e">
        <f>WORKDAY(Y223,-INDEX(Y$2:Y$5,MATCH($I223,$I$2:$I$5,0)),$BB$10:$BB$141)</f>
        <v>#REF!</v>
      </c>
      <c r="Y223" s="155" t="e">
        <f>WORKDAY(Z223,-INDEX(Z$2:Z$5,MATCH($I223,$I$2:$I$5,0)),$BB$10:$BB$141)</f>
        <v>#REF!</v>
      </c>
      <c r="Z223" s="155" t="e">
        <f>WORKDAY(AA223,-INDEX(AA$2:AA$5,MATCH($I223,$I$2:$I$5,0)),$BB$10:$BB$141)</f>
        <v>#REF!</v>
      </c>
      <c r="AA223" s="155" t="e">
        <f>WORKDAY(#REF!,-INDEX(#REF!,MATCH($I223,$I$2:$I$5,0)),$BB$10:$BB$141)</f>
        <v>#REF!</v>
      </c>
      <c r="AB223" s="155">
        <f>WORKDAY(AG223,0,'[35]Equipment List and MR List (3)'!$A$2:$A$80)</f>
        <v>0</v>
      </c>
      <c r="AC223" s="657" t="s">
        <v>4840</v>
      </c>
      <c r="AD223" s="87">
        <v>7</v>
      </c>
      <c r="AE223" s="663"/>
      <c r="AF223" s="666" t="e">
        <f>AB224</f>
        <v>#REF!</v>
      </c>
      <c r="AG223" s="669"/>
      <c r="AH223" s="88"/>
      <c r="AI223" s="89"/>
      <c r="AJ223" s="672" t="e">
        <f>AG223-AF223</f>
        <v>#REF!</v>
      </c>
      <c r="AK223" s="131"/>
      <c r="AL223" s="132"/>
      <c r="AM223" s="133">
        <f t="shared" si="425"/>
        <v>0.95</v>
      </c>
      <c r="AN223" s="134">
        <f t="shared" si="425"/>
        <v>0.95</v>
      </c>
      <c r="AO223" s="134">
        <f t="shared" si="425"/>
        <v>0.95</v>
      </c>
      <c r="AP223" s="134">
        <f t="shared" si="425"/>
        <v>0.95</v>
      </c>
      <c r="AQ223" s="134">
        <f t="shared" si="425"/>
        <v>0.95</v>
      </c>
      <c r="AR223" s="134">
        <f t="shared" si="425"/>
        <v>0.95</v>
      </c>
      <c r="AS223" s="134">
        <f t="shared" si="425"/>
        <v>0.95</v>
      </c>
      <c r="AT223" s="134">
        <f t="shared" si="425"/>
        <v>0.95</v>
      </c>
      <c r="AU223" s="134">
        <f t="shared" si="425"/>
        <v>0.95</v>
      </c>
      <c r="AV223" s="134">
        <f t="shared" si="425"/>
        <v>0.95</v>
      </c>
      <c r="AW223" s="134">
        <f t="shared" ca="1" si="425"/>
        <v>0.95</v>
      </c>
      <c r="BB223" s="135"/>
    </row>
    <row r="224" spans="1:54" s="21" customFormat="1" ht="18" customHeight="1">
      <c r="A224" s="643"/>
      <c r="B224" s="156"/>
      <c r="C224" s="652"/>
      <c r="D224" s="96" t="str">
        <f>D223</f>
        <v>ELE</v>
      </c>
      <c r="E224" s="136" t="str">
        <f t="shared" ref="E224:F224" si="427">E223</f>
        <v>RFQ-054</v>
      </c>
      <c r="F224" s="137" t="str">
        <f t="shared" si="427"/>
        <v>N</v>
      </c>
      <c r="G224" s="159"/>
      <c r="H224" s="98" t="str">
        <f>H223</f>
        <v>Welding Electrode</v>
      </c>
      <c r="I224" s="136" t="str">
        <f t="shared" ref="I224" si="428">I223</f>
        <v>LD</v>
      </c>
      <c r="J224" s="137"/>
      <c r="K224" s="138"/>
      <c r="L224" s="138">
        <f>M225</f>
        <v>1E-3</v>
      </c>
      <c r="M224" s="138"/>
      <c r="N224" s="136"/>
      <c r="O224" s="136"/>
      <c r="P224" s="136"/>
      <c r="Q224" s="139" t="s">
        <v>4841</v>
      </c>
      <c r="R224" s="139"/>
      <c r="S224" s="140" t="e">
        <f>S223</f>
        <v>#REF!</v>
      </c>
      <c r="T224" s="141" t="e">
        <f>T223</f>
        <v>#REF!</v>
      </c>
      <c r="U224" s="141" t="e">
        <f>WORKDAY(IF(T225="",T224,T225),INDEX(U$2:U$5,MATCH($I223,$I$2:$I$5,0)),$BB$10:$BB$141)</f>
        <v>#REF!</v>
      </c>
      <c r="V224" s="141" t="e">
        <f>WORKDAY(IF(U225="",U224,U225),INDEX(V$2:V$5,MATCH($I223,$I$2:$I$5,0)),$BB$10:$BB$141)</f>
        <v>#REF!</v>
      </c>
      <c r="W224" s="141" t="e">
        <f>WORKDAY(IF(V225="",V224,V225),INDEX(W$2:W$5,MATCH($I223,$I$2:$I$5,0)),$BB$10:$BB$141)</f>
        <v>#REF!</v>
      </c>
      <c r="X224" s="141" t="e">
        <f>WORKDAY(IF(#REF!="",#REF!,#REF!),INDEX(X$2:X$5,MATCH($I223,$I$2:$I$5,0)),$BB$10:$BB$141)</f>
        <v>#REF!</v>
      </c>
      <c r="Y224" s="141" t="e">
        <f>WORKDAY(IF(X225="",X224,X225),INDEX(Y$2:Y$5,MATCH($I223,$I$2:$I$5,0)),$BB$10:$BB$141)</f>
        <v>#REF!</v>
      </c>
      <c r="Z224" s="141" t="e">
        <f>WORKDAY(IF(Y225="",Y224,Y225),INDEX(Z$2:Z$5,MATCH($I223,$I$2:$I$5,0)),$BB$10:$BB$141)</f>
        <v>#REF!</v>
      </c>
      <c r="AA224" s="141" t="e">
        <f>WORKDAY(IF(Z225="",Z224,Z225),INDEX(AA$2:AA$5,MATCH($I223,$I$2:$I$5,0)),$BB$10:$BB$141)</f>
        <v>#REF!</v>
      </c>
      <c r="AB224" s="142" t="e">
        <f>AE223+#REF!</f>
        <v>#REF!</v>
      </c>
      <c r="AC224" s="658"/>
      <c r="AD224" s="105"/>
      <c r="AE224" s="664"/>
      <c r="AF224" s="667"/>
      <c r="AG224" s="670"/>
      <c r="AH224" s="106"/>
      <c r="AI224" s="107"/>
      <c r="AJ224" s="673"/>
      <c r="AK224" s="143"/>
      <c r="AL224" s="144"/>
      <c r="AM224" s="133">
        <f t="shared" si="425"/>
        <v>0</v>
      </c>
      <c r="AN224" s="134">
        <f t="shared" si="425"/>
        <v>0</v>
      </c>
      <c r="AO224" s="134">
        <f t="shared" si="425"/>
        <v>0</v>
      </c>
      <c r="AP224" s="134">
        <f t="shared" si="425"/>
        <v>0</v>
      </c>
      <c r="AQ224" s="134">
        <f t="shared" si="425"/>
        <v>0</v>
      </c>
      <c r="AR224" s="134">
        <f t="shared" si="425"/>
        <v>0</v>
      </c>
      <c r="AS224" s="134">
        <f t="shared" si="425"/>
        <v>0</v>
      </c>
      <c r="AT224" s="134">
        <f t="shared" si="425"/>
        <v>0</v>
      </c>
      <c r="AU224" s="134">
        <f t="shared" si="425"/>
        <v>0</v>
      </c>
      <c r="AV224" s="134">
        <f t="shared" si="425"/>
        <v>0</v>
      </c>
      <c r="AW224" s="134">
        <f t="shared" ca="1" si="425"/>
        <v>0</v>
      </c>
      <c r="BB224" s="135"/>
    </row>
    <row r="225" spans="1:54" s="21" customFormat="1" ht="18" customHeight="1">
      <c r="A225" s="644"/>
      <c r="B225" s="157"/>
      <c r="C225" s="653"/>
      <c r="D225" s="111" t="str">
        <f>D223</f>
        <v>ELE</v>
      </c>
      <c r="E225" s="145" t="str">
        <f>E223</f>
        <v>RFQ-054</v>
      </c>
      <c r="F225" s="146" t="str">
        <f t="shared" ref="F225" si="429">F223</f>
        <v>N</v>
      </c>
      <c r="G225" s="160"/>
      <c r="H225" s="113" t="str">
        <f>H223</f>
        <v>Welding Electrode</v>
      </c>
      <c r="I225" s="145" t="str">
        <f t="shared" ref="I225" si="430">I223</f>
        <v>LD</v>
      </c>
      <c r="J225" s="146"/>
      <c r="K225" s="147"/>
      <c r="L225" s="147"/>
      <c r="M225" s="147">
        <v>1E-3</v>
      </c>
      <c r="N225" s="145"/>
      <c r="O225" s="145"/>
      <c r="P225" s="145"/>
      <c r="Q225" s="148" t="s">
        <v>4842</v>
      </c>
      <c r="R225" s="148"/>
      <c r="S225" s="149"/>
      <c r="T225" s="149"/>
      <c r="U225" s="149"/>
      <c r="V225" s="149"/>
      <c r="W225" s="149"/>
      <c r="X225" s="149"/>
      <c r="Y225" s="149"/>
      <c r="Z225" s="149"/>
      <c r="AA225" s="149"/>
      <c r="AB225" s="149"/>
      <c r="AC225" s="659"/>
      <c r="AD225" s="116"/>
      <c r="AE225" s="665"/>
      <c r="AF225" s="668"/>
      <c r="AG225" s="671"/>
      <c r="AH225" s="117"/>
      <c r="AI225" s="118"/>
      <c r="AJ225" s="674"/>
      <c r="AK225" s="150"/>
      <c r="AL225" s="151"/>
      <c r="AM225" s="152">
        <f t="shared" si="425"/>
        <v>0</v>
      </c>
      <c r="AN225" s="153">
        <f t="shared" si="425"/>
        <v>0</v>
      </c>
      <c r="AO225" s="153">
        <f t="shared" si="425"/>
        <v>0</v>
      </c>
      <c r="AP225" s="153">
        <f t="shared" si="425"/>
        <v>0</v>
      </c>
      <c r="AQ225" s="153">
        <f t="shared" si="425"/>
        <v>0</v>
      </c>
      <c r="AR225" s="153">
        <f t="shared" si="425"/>
        <v>0</v>
      </c>
      <c r="AS225" s="153">
        <f t="shared" si="425"/>
        <v>0</v>
      </c>
      <c r="AT225" s="153">
        <f t="shared" si="425"/>
        <v>0</v>
      </c>
      <c r="AU225" s="153">
        <f t="shared" si="425"/>
        <v>0</v>
      </c>
      <c r="AV225" s="153">
        <f t="shared" si="425"/>
        <v>0</v>
      </c>
      <c r="AW225" s="153">
        <f t="shared" ca="1" si="425"/>
        <v>0</v>
      </c>
      <c r="BB225" s="135"/>
    </row>
    <row r="226" spans="1:54" s="21" customFormat="1" ht="18" customHeight="1">
      <c r="A226" s="642">
        <f t="shared" ref="A226" si="431">A223+1</f>
        <v>73</v>
      </c>
      <c r="B226" s="154" t="s">
        <v>4901</v>
      </c>
      <c r="C226" s="651" t="s">
        <v>4836</v>
      </c>
      <c r="D226" s="80" t="s">
        <v>4863</v>
      </c>
      <c r="E226" s="127" t="s">
        <v>4898</v>
      </c>
      <c r="F226" s="128" t="s">
        <v>71</v>
      </c>
      <c r="G226" s="158"/>
      <c r="H226" s="82" t="s">
        <v>4917</v>
      </c>
      <c r="I226" s="127" t="s">
        <v>9</v>
      </c>
      <c r="J226" s="128"/>
      <c r="K226" s="129">
        <f>M228</f>
        <v>1E-3</v>
      </c>
      <c r="L226" s="129"/>
      <c r="M226" s="129"/>
      <c r="N226" s="127"/>
      <c r="O226" s="127"/>
      <c r="P226" s="127"/>
      <c r="Q226" s="130" t="s">
        <v>4839</v>
      </c>
      <c r="R226" s="130"/>
      <c r="S226" s="155" t="e">
        <f>WORKDAY(T226,-INDEX(T$2:T$5,MATCH($I226,$I$2:$I$5,0)),'[35]Equipment List and MR List (3)'!$A$2:$A$80)</f>
        <v>#REF!</v>
      </c>
      <c r="T226" s="155" t="e">
        <f>WORKDAY(U226,-INDEX(U$2:U$5,MATCH($I226,$I$2:$I$5,0)),$BB$10:$BB$141)</f>
        <v>#REF!</v>
      </c>
      <c r="U226" s="155" t="e">
        <f>WORKDAY(V226,-INDEX(V$2:V$5,MATCH($I226,$I$2:$I$5,0)),$BB$10:$BB$141)</f>
        <v>#REF!</v>
      </c>
      <c r="V226" s="155" t="e">
        <f>WORKDAY(W226,-INDEX(W$2:W$5,MATCH($I226,$I$2:$I$5,0)),$BB$10:$BB$141)</f>
        <v>#REF!</v>
      </c>
      <c r="W226" s="155" t="e">
        <f>WORKDAY(#REF!,-INDEX(#REF!,MATCH($I226,$I$2:$I$5,0)),$BB$10:$BB$141)</f>
        <v>#REF!</v>
      </c>
      <c r="X226" s="155" t="e">
        <f>WORKDAY(Y226,-INDEX(Y$2:Y$5,MATCH($I226,$I$2:$I$5,0)),$BB$10:$BB$141)</f>
        <v>#REF!</v>
      </c>
      <c r="Y226" s="155" t="e">
        <f>WORKDAY(Z226,-INDEX(Z$2:Z$5,MATCH($I226,$I$2:$I$5,0)),$BB$10:$BB$141)</f>
        <v>#REF!</v>
      </c>
      <c r="Z226" s="155" t="e">
        <f>WORKDAY(AA226,-INDEX(AA$2:AA$5,MATCH($I226,$I$2:$I$5,0)),$BB$10:$BB$141)</f>
        <v>#REF!</v>
      </c>
      <c r="AA226" s="155" t="e">
        <f>WORKDAY(#REF!,-INDEX(#REF!,MATCH($I226,$I$2:$I$5,0)),$BB$10:$BB$141)</f>
        <v>#REF!</v>
      </c>
      <c r="AB226" s="155">
        <f>WORKDAY(AG226,0,'[35]Equipment List and MR List (3)'!$A$2:$A$80)</f>
        <v>0</v>
      </c>
      <c r="AC226" s="657" t="s">
        <v>4840</v>
      </c>
      <c r="AD226" s="87">
        <v>7</v>
      </c>
      <c r="AE226" s="663"/>
      <c r="AF226" s="666" t="e">
        <f>AB227</f>
        <v>#REF!</v>
      </c>
      <c r="AG226" s="669"/>
      <c r="AH226" s="88"/>
      <c r="AI226" s="89"/>
      <c r="AJ226" s="672" t="e">
        <f>AG226-AF226</f>
        <v>#REF!</v>
      </c>
      <c r="AK226" s="131"/>
      <c r="AL226" s="132"/>
      <c r="AM226" s="133">
        <f t="shared" si="425"/>
        <v>0.95</v>
      </c>
      <c r="AN226" s="134">
        <f t="shared" si="425"/>
        <v>0.95</v>
      </c>
      <c r="AO226" s="134">
        <f t="shared" si="425"/>
        <v>0.95</v>
      </c>
      <c r="AP226" s="134">
        <f t="shared" si="425"/>
        <v>0.95</v>
      </c>
      <c r="AQ226" s="134">
        <f t="shared" si="425"/>
        <v>0.95</v>
      </c>
      <c r="AR226" s="134">
        <f t="shared" si="425"/>
        <v>0.95</v>
      </c>
      <c r="AS226" s="134">
        <f t="shared" si="425"/>
        <v>0.95</v>
      </c>
      <c r="AT226" s="134">
        <f t="shared" si="425"/>
        <v>0.95</v>
      </c>
      <c r="AU226" s="134">
        <f t="shared" si="425"/>
        <v>0.95</v>
      </c>
      <c r="AV226" s="134">
        <f t="shared" si="425"/>
        <v>0.95</v>
      </c>
      <c r="AW226" s="134">
        <f t="shared" ca="1" si="425"/>
        <v>0.95</v>
      </c>
      <c r="BB226" s="135"/>
    </row>
    <row r="227" spans="1:54" s="21" customFormat="1" ht="18" customHeight="1">
      <c r="A227" s="643"/>
      <c r="B227" s="156"/>
      <c r="C227" s="652"/>
      <c r="D227" s="96" t="str">
        <f>D226</f>
        <v>ELE</v>
      </c>
      <c r="E227" s="136" t="str">
        <f t="shared" ref="E227:F227" si="432">E226</f>
        <v>RFQ-054</v>
      </c>
      <c r="F227" s="137" t="str">
        <f t="shared" si="432"/>
        <v>N</v>
      </c>
      <c r="G227" s="159"/>
      <c r="H227" s="98" t="str">
        <f>H226</f>
        <v>Cable Ladder/Tray-GRP</v>
      </c>
      <c r="I227" s="136" t="str">
        <f t="shared" ref="I227" si="433">I226</f>
        <v>LD</v>
      </c>
      <c r="J227" s="137"/>
      <c r="K227" s="138"/>
      <c r="L227" s="138">
        <f>M228</f>
        <v>1E-3</v>
      </c>
      <c r="M227" s="138"/>
      <c r="N227" s="136"/>
      <c r="O227" s="136"/>
      <c r="P227" s="136"/>
      <c r="Q227" s="139" t="s">
        <v>4841</v>
      </c>
      <c r="R227" s="139"/>
      <c r="S227" s="140" t="e">
        <f>S226</f>
        <v>#REF!</v>
      </c>
      <c r="T227" s="141" t="e">
        <f>T226</f>
        <v>#REF!</v>
      </c>
      <c r="U227" s="141" t="e">
        <f>WORKDAY(IF(T228="",T227,T228),INDEX(U$2:U$5,MATCH($I226,$I$2:$I$5,0)),$BB$10:$BB$141)</f>
        <v>#REF!</v>
      </c>
      <c r="V227" s="141" t="e">
        <f>WORKDAY(IF(U228="",U227,U228),INDEX(V$2:V$5,MATCH($I226,$I$2:$I$5,0)),$BB$10:$BB$141)</f>
        <v>#REF!</v>
      </c>
      <c r="W227" s="141" t="e">
        <f>WORKDAY(IF(V228="",V227,V228),INDEX(W$2:W$5,MATCH($I226,$I$2:$I$5,0)),$BB$10:$BB$141)</f>
        <v>#REF!</v>
      </c>
      <c r="X227" s="141" t="e">
        <f>WORKDAY(IF(#REF!="",#REF!,#REF!),INDEX(X$2:X$5,MATCH($I226,$I$2:$I$5,0)),$BB$10:$BB$141)</f>
        <v>#REF!</v>
      </c>
      <c r="Y227" s="141" t="e">
        <f>WORKDAY(IF(X228="",X227,X228),INDEX(Y$2:Y$5,MATCH($I226,$I$2:$I$5,0)),$BB$10:$BB$141)</f>
        <v>#REF!</v>
      </c>
      <c r="Z227" s="141" t="e">
        <f>WORKDAY(IF(Y228="",Y227,Y228),INDEX(Z$2:Z$5,MATCH($I226,$I$2:$I$5,0)),$BB$10:$BB$141)</f>
        <v>#REF!</v>
      </c>
      <c r="AA227" s="141" t="e">
        <f>WORKDAY(IF(Z228="",Z227,Z228),INDEX(AA$2:AA$5,MATCH($I226,$I$2:$I$5,0)),$BB$10:$BB$141)</f>
        <v>#REF!</v>
      </c>
      <c r="AB227" s="142" t="e">
        <f>AE226+#REF!</f>
        <v>#REF!</v>
      </c>
      <c r="AC227" s="658"/>
      <c r="AD227" s="105"/>
      <c r="AE227" s="664"/>
      <c r="AF227" s="667"/>
      <c r="AG227" s="670"/>
      <c r="AH227" s="106"/>
      <c r="AI227" s="107"/>
      <c r="AJ227" s="673"/>
      <c r="AK227" s="143"/>
      <c r="AL227" s="144"/>
      <c r="AM227" s="133">
        <f t="shared" si="425"/>
        <v>0</v>
      </c>
      <c r="AN227" s="134">
        <f t="shared" si="425"/>
        <v>0</v>
      </c>
      <c r="AO227" s="134">
        <f t="shared" si="425"/>
        <v>0</v>
      </c>
      <c r="AP227" s="134">
        <f t="shared" si="425"/>
        <v>0</v>
      </c>
      <c r="AQ227" s="134">
        <f t="shared" si="425"/>
        <v>0</v>
      </c>
      <c r="AR227" s="134">
        <f t="shared" si="425"/>
        <v>0</v>
      </c>
      <c r="AS227" s="134">
        <f t="shared" si="425"/>
        <v>0</v>
      </c>
      <c r="AT227" s="134">
        <f t="shared" si="425"/>
        <v>0</v>
      </c>
      <c r="AU227" s="134">
        <f t="shared" si="425"/>
        <v>0</v>
      </c>
      <c r="AV227" s="134">
        <f t="shared" si="425"/>
        <v>0</v>
      </c>
      <c r="AW227" s="134">
        <f t="shared" ca="1" si="425"/>
        <v>0</v>
      </c>
      <c r="BB227" s="135"/>
    </row>
    <row r="228" spans="1:54" s="21" customFormat="1" ht="18" customHeight="1">
      <c r="A228" s="644"/>
      <c r="B228" s="157"/>
      <c r="C228" s="653"/>
      <c r="D228" s="111" t="str">
        <f>D226</f>
        <v>ELE</v>
      </c>
      <c r="E228" s="145" t="str">
        <f>E226</f>
        <v>RFQ-054</v>
      </c>
      <c r="F228" s="146" t="str">
        <f t="shared" ref="F228" si="434">F226</f>
        <v>N</v>
      </c>
      <c r="G228" s="160"/>
      <c r="H228" s="113" t="str">
        <f>H226</f>
        <v>Cable Ladder/Tray-GRP</v>
      </c>
      <c r="I228" s="145" t="str">
        <f t="shared" ref="I228" si="435">I226</f>
        <v>LD</v>
      </c>
      <c r="J228" s="146"/>
      <c r="K228" s="147"/>
      <c r="L228" s="147"/>
      <c r="M228" s="147">
        <v>1E-3</v>
      </c>
      <c r="N228" s="145"/>
      <c r="O228" s="145"/>
      <c r="P228" s="145"/>
      <c r="Q228" s="148" t="s">
        <v>4842</v>
      </c>
      <c r="R228" s="148"/>
      <c r="S228" s="149"/>
      <c r="T228" s="149"/>
      <c r="U228" s="149"/>
      <c r="V228" s="149"/>
      <c r="W228" s="149"/>
      <c r="X228" s="149"/>
      <c r="Y228" s="149"/>
      <c r="Z228" s="149"/>
      <c r="AA228" s="149"/>
      <c r="AB228" s="149"/>
      <c r="AC228" s="659"/>
      <c r="AD228" s="116"/>
      <c r="AE228" s="665"/>
      <c r="AF228" s="668"/>
      <c r="AG228" s="671"/>
      <c r="AH228" s="117"/>
      <c r="AI228" s="118"/>
      <c r="AJ228" s="674"/>
      <c r="AK228" s="150"/>
      <c r="AL228" s="151"/>
      <c r="AM228" s="152">
        <f t="shared" si="425"/>
        <v>0</v>
      </c>
      <c r="AN228" s="153">
        <f t="shared" si="425"/>
        <v>0</v>
      </c>
      <c r="AO228" s="153">
        <f t="shared" si="425"/>
        <v>0</v>
      </c>
      <c r="AP228" s="153">
        <f t="shared" si="425"/>
        <v>0</v>
      </c>
      <c r="AQ228" s="153">
        <f t="shared" si="425"/>
        <v>0</v>
      </c>
      <c r="AR228" s="153">
        <f t="shared" si="425"/>
        <v>0</v>
      </c>
      <c r="AS228" s="153">
        <f t="shared" si="425"/>
        <v>0</v>
      </c>
      <c r="AT228" s="153">
        <f t="shared" si="425"/>
        <v>0</v>
      </c>
      <c r="AU228" s="153">
        <f t="shared" si="425"/>
        <v>0</v>
      </c>
      <c r="AV228" s="153">
        <f t="shared" si="425"/>
        <v>0</v>
      </c>
      <c r="AW228" s="153">
        <f t="shared" ca="1" si="425"/>
        <v>0</v>
      </c>
      <c r="BB228" s="135"/>
    </row>
    <row r="229" spans="1:54" s="21" customFormat="1" ht="18" customHeight="1">
      <c r="A229" s="642">
        <f t="shared" ref="A229" si="436">A226+1</f>
        <v>74</v>
      </c>
      <c r="B229" s="154" t="s">
        <v>4901</v>
      </c>
      <c r="C229" s="651" t="s">
        <v>4836</v>
      </c>
      <c r="D229" s="80" t="s">
        <v>4863</v>
      </c>
      <c r="E229" s="127" t="s">
        <v>4898</v>
      </c>
      <c r="F229" s="128" t="s">
        <v>71</v>
      </c>
      <c r="G229" s="158"/>
      <c r="H229" s="82" t="s">
        <v>4918</v>
      </c>
      <c r="I229" s="127" t="s">
        <v>9</v>
      </c>
      <c r="J229" s="128"/>
      <c r="K229" s="129">
        <f>M231</f>
        <v>1E-3</v>
      </c>
      <c r="L229" s="129"/>
      <c r="M229" s="129"/>
      <c r="N229" s="127"/>
      <c r="O229" s="127"/>
      <c r="P229" s="127"/>
      <c r="Q229" s="130" t="s">
        <v>4839</v>
      </c>
      <c r="R229" s="130"/>
      <c r="S229" s="155" t="e">
        <f>WORKDAY(T229,-INDEX(T$2:T$5,MATCH($I229,$I$2:$I$5,0)),'[35]Equipment List and MR List (3)'!$A$2:$A$80)</f>
        <v>#REF!</v>
      </c>
      <c r="T229" s="155" t="e">
        <f>WORKDAY(U229,-INDEX(U$2:U$5,MATCH($I229,$I$2:$I$5,0)),$BB$10:$BB$141)</f>
        <v>#REF!</v>
      </c>
      <c r="U229" s="155" t="e">
        <f>WORKDAY(V229,-INDEX(V$2:V$5,MATCH($I229,$I$2:$I$5,0)),$BB$10:$BB$141)</f>
        <v>#REF!</v>
      </c>
      <c r="V229" s="155" t="e">
        <f>WORKDAY(W229,-INDEX(W$2:W$5,MATCH($I229,$I$2:$I$5,0)),$BB$10:$BB$141)</f>
        <v>#REF!</v>
      </c>
      <c r="W229" s="155" t="e">
        <f>WORKDAY(#REF!,-INDEX(#REF!,MATCH($I229,$I$2:$I$5,0)),$BB$10:$BB$141)</f>
        <v>#REF!</v>
      </c>
      <c r="X229" s="155" t="e">
        <f>WORKDAY(Y229,-INDEX(Y$2:Y$5,MATCH($I229,$I$2:$I$5,0)),$BB$10:$BB$141)</f>
        <v>#REF!</v>
      </c>
      <c r="Y229" s="155" t="e">
        <f>WORKDAY(Z229,-INDEX(Z$2:Z$5,MATCH($I229,$I$2:$I$5,0)),$BB$10:$BB$141)</f>
        <v>#REF!</v>
      </c>
      <c r="Z229" s="155" t="e">
        <f>WORKDAY(AA229,-INDEX(AA$2:AA$5,MATCH($I229,$I$2:$I$5,0)),$BB$10:$BB$141)</f>
        <v>#REF!</v>
      </c>
      <c r="AA229" s="155" t="e">
        <f>WORKDAY(#REF!,-INDEX(#REF!,MATCH($I229,$I$2:$I$5,0)),$BB$10:$BB$141)</f>
        <v>#REF!</v>
      </c>
      <c r="AB229" s="155">
        <f>WORKDAY(AG229,0,'[35]Equipment List and MR List (3)'!$A$2:$A$80)</f>
        <v>0</v>
      </c>
      <c r="AC229" s="657" t="s">
        <v>4840</v>
      </c>
      <c r="AD229" s="87">
        <v>7</v>
      </c>
      <c r="AE229" s="663"/>
      <c r="AF229" s="666" t="e">
        <f>AB230</f>
        <v>#REF!</v>
      </c>
      <c r="AG229" s="669"/>
      <c r="AH229" s="88"/>
      <c r="AI229" s="89"/>
      <c r="AJ229" s="672" t="e">
        <f>AG229-AF229</f>
        <v>#REF!</v>
      </c>
      <c r="AK229" s="131"/>
      <c r="AL229" s="132"/>
      <c r="AM229" s="133">
        <f t="shared" si="425"/>
        <v>0.95</v>
      </c>
      <c r="AN229" s="134">
        <f t="shared" si="425"/>
        <v>0.95</v>
      </c>
      <c r="AO229" s="134">
        <f t="shared" si="425"/>
        <v>0.95</v>
      </c>
      <c r="AP229" s="134">
        <f t="shared" si="425"/>
        <v>0.95</v>
      </c>
      <c r="AQ229" s="134">
        <f t="shared" si="425"/>
        <v>0.95</v>
      </c>
      <c r="AR229" s="134">
        <f t="shared" si="425"/>
        <v>0.95</v>
      </c>
      <c r="AS229" s="134">
        <f t="shared" si="425"/>
        <v>0.95</v>
      </c>
      <c r="AT229" s="134">
        <f t="shared" si="425"/>
        <v>0.95</v>
      </c>
      <c r="AU229" s="134">
        <f t="shared" si="425"/>
        <v>0.95</v>
      </c>
      <c r="AV229" s="134">
        <f t="shared" si="425"/>
        <v>0.95</v>
      </c>
      <c r="AW229" s="134">
        <f t="shared" ca="1" si="425"/>
        <v>0.95</v>
      </c>
      <c r="BB229" s="135"/>
    </row>
    <row r="230" spans="1:54" s="21" customFormat="1" ht="18" customHeight="1">
      <c r="A230" s="643"/>
      <c r="B230" s="156"/>
      <c r="C230" s="652"/>
      <c r="D230" s="96" t="str">
        <f>D229</f>
        <v>ELE</v>
      </c>
      <c r="E230" s="136" t="str">
        <f t="shared" ref="E230:F230" si="437">E229</f>
        <v>RFQ-054</v>
      </c>
      <c r="F230" s="137" t="str">
        <f t="shared" si="437"/>
        <v>N</v>
      </c>
      <c r="G230" s="159"/>
      <c r="H230" s="98" t="str">
        <f>H229</f>
        <v>Flameproof Enclosure (Ex'd)</v>
      </c>
      <c r="I230" s="136" t="str">
        <f t="shared" ref="I230" si="438">I229</f>
        <v>LD</v>
      </c>
      <c r="J230" s="137"/>
      <c r="K230" s="138"/>
      <c r="L230" s="138">
        <f>M231</f>
        <v>1E-3</v>
      </c>
      <c r="M230" s="138"/>
      <c r="N230" s="136"/>
      <c r="O230" s="136"/>
      <c r="P230" s="136"/>
      <c r="Q230" s="139" t="s">
        <v>4841</v>
      </c>
      <c r="R230" s="139"/>
      <c r="S230" s="140" t="e">
        <f>S229</f>
        <v>#REF!</v>
      </c>
      <c r="T230" s="141" t="e">
        <f>T229</f>
        <v>#REF!</v>
      </c>
      <c r="U230" s="141" t="e">
        <f>WORKDAY(IF(T231="",T230,T231),INDEX(U$2:U$5,MATCH($I229,$I$2:$I$5,0)),$BB$10:$BB$141)</f>
        <v>#REF!</v>
      </c>
      <c r="V230" s="141" t="e">
        <f>WORKDAY(IF(U231="",U230,U231),INDEX(V$2:V$5,MATCH($I229,$I$2:$I$5,0)),$BB$10:$BB$141)</f>
        <v>#REF!</v>
      </c>
      <c r="W230" s="141" t="e">
        <f>WORKDAY(IF(V231="",V230,V231),INDEX(W$2:W$5,MATCH($I229,$I$2:$I$5,0)),$BB$10:$BB$141)</f>
        <v>#REF!</v>
      </c>
      <c r="X230" s="141" t="e">
        <f>WORKDAY(IF(#REF!="",#REF!,#REF!),INDEX(X$2:X$5,MATCH($I229,$I$2:$I$5,0)),$BB$10:$BB$141)</f>
        <v>#REF!</v>
      </c>
      <c r="Y230" s="141" t="e">
        <f>WORKDAY(IF(X231="",X230,X231),INDEX(Y$2:Y$5,MATCH($I229,$I$2:$I$5,0)),$BB$10:$BB$141)</f>
        <v>#REF!</v>
      </c>
      <c r="Z230" s="141" t="e">
        <f>WORKDAY(IF(Y231="",Y230,Y231),INDEX(Z$2:Z$5,MATCH($I229,$I$2:$I$5,0)),$BB$10:$BB$141)</f>
        <v>#REF!</v>
      </c>
      <c r="AA230" s="141" t="e">
        <f>WORKDAY(IF(Z231="",Z230,Z231),INDEX(AA$2:AA$5,MATCH($I229,$I$2:$I$5,0)),$BB$10:$BB$141)</f>
        <v>#REF!</v>
      </c>
      <c r="AB230" s="142" t="e">
        <f>AE229+#REF!</f>
        <v>#REF!</v>
      </c>
      <c r="AC230" s="658"/>
      <c r="AD230" s="105"/>
      <c r="AE230" s="664"/>
      <c r="AF230" s="667"/>
      <c r="AG230" s="670"/>
      <c r="AH230" s="106"/>
      <c r="AI230" s="107"/>
      <c r="AJ230" s="673"/>
      <c r="AK230" s="143"/>
      <c r="AL230" s="144"/>
      <c r="AM230" s="133">
        <f t="shared" ref="AM230:AW239" si="439">IF(ISERROR(LOOKUP(AM$6,$S230:$AB230,$S$9:$AB$9)),0,(LOOKUP(AM$6,$S230:$AB230,$S$9:$AB$9)))</f>
        <v>0</v>
      </c>
      <c r="AN230" s="134">
        <f t="shared" si="439"/>
        <v>0</v>
      </c>
      <c r="AO230" s="134">
        <f t="shared" si="439"/>
        <v>0</v>
      </c>
      <c r="AP230" s="134">
        <f t="shared" si="439"/>
        <v>0</v>
      </c>
      <c r="AQ230" s="134">
        <f t="shared" si="439"/>
        <v>0</v>
      </c>
      <c r="AR230" s="134">
        <f t="shared" si="439"/>
        <v>0</v>
      </c>
      <c r="AS230" s="134">
        <f t="shared" si="439"/>
        <v>0</v>
      </c>
      <c r="AT230" s="134">
        <f t="shared" si="439"/>
        <v>0</v>
      </c>
      <c r="AU230" s="134">
        <f t="shared" si="439"/>
        <v>0</v>
      </c>
      <c r="AV230" s="134">
        <f t="shared" si="439"/>
        <v>0</v>
      </c>
      <c r="AW230" s="134">
        <f t="shared" ca="1" si="439"/>
        <v>0</v>
      </c>
      <c r="BB230" s="135"/>
    </row>
    <row r="231" spans="1:54" s="21" customFormat="1" ht="18" customHeight="1">
      <c r="A231" s="644"/>
      <c r="B231" s="157"/>
      <c r="C231" s="653"/>
      <c r="D231" s="111" t="str">
        <f>D229</f>
        <v>ELE</v>
      </c>
      <c r="E231" s="145" t="str">
        <f>E229</f>
        <v>RFQ-054</v>
      </c>
      <c r="F231" s="146" t="str">
        <f t="shared" ref="F231" si="440">F229</f>
        <v>N</v>
      </c>
      <c r="G231" s="160"/>
      <c r="H231" s="113" t="str">
        <f>H229</f>
        <v>Flameproof Enclosure (Ex'd)</v>
      </c>
      <c r="I231" s="145" t="str">
        <f t="shared" ref="I231" si="441">I229</f>
        <v>LD</v>
      </c>
      <c r="J231" s="146"/>
      <c r="K231" s="147"/>
      <c r="L231" s="147"/>
      <c r="M231" s="147">
        <v>1E-3</v>
      </c>
      <c r="N231" s="145"/>
      <c r="O231" s="145"/>
      <c r="P231" s="145"/>
      <c r="Q231" s="148" t="s">
        <v>4842</v>
      </c>
      <c r="R231" s="148"/>
      <c r="S231" s="149"/>
      <c r="T231" s="149"/>
      <c r="U231" s="149"/>
      <c r="V231" s="149"/>
      <c r="W231" s="149"/>
      <c r="X231" s="149"/>
      <c r="Y231" s="149"/>
      <c r="Z231" s="149"/>
      <c r="AA231" s="149"/>
      <c r="AB231" s="149"/>
      <c r="AC231" s="659"/>
      <c r="AD231" s="116"/>
      <c r="AE231" s="665"/>
      <c r="AF231" s="668"/>
      <c r="AG231" s="671"/>
      <c r="AH231" s="117"/>
      <c r="AI231" s="118"/>
      <c r="AJ231" s="674"/>
      <c r="AK231" s="150"/>
      <c r="AL231" s="151"/>
      <c r="AM231" s="152">
        <f t="shared" si="439"/>
        <v>0</v>
      </c>
      <c r="AN231" s="153">
        <f t="shared" si="439"/>
        <v>0</v>
      </c>
      <c r="AO231" s="153">
        <f t="shared" si="439"/>
        <v>0</v>
      </c>
      <c r="AP231" s="153">
        <f t="shared" si="439"/>
        <v>0</v>
      </c>
      <c r="AQ231" s="153">
        <f t="shared" si="439"/>
        <v>0</v>
      </c>
      <c r="AR231" s="153">
        <f t="shared" si="439"/>
        <v>0</v>
      </c>
      <c r="AS231" s="153">
        <f t="shared" si="439"/>
        <v>0</v>
      </c>
      <c r="AT231" s="153">
        <f t="shared" si="439"/>
        <v>0</v>
      </c>
      <c r="AU231" s="153">
        <f t="shared" si="439"/>
        <v>0</v>
      </c>
      <c r="AV231" s="153">
        <f t="shared" si="439"/>
        <v>0</v>
      </c>
      <c r="AW231" s="153">
        <f t="shared" ca="1" si="439"/>
        <v>0</v>
      </c>
      <c r="BB231" s="135"/>
    </row>
    <row r="232" spans="1:54" s="21" customFormat="1" ht="18" customHeight="1">
      <c r="A232" s="642">
        <f t="shared" ref="A232" si="442">A229+1</f>
        <v>75</v>
      </c>
      <c r="B232" s="154" t="s">
        <v>4901</v>
      </c>
      <c r="C232" s="651" t="s">
        <v>4836</v>
      </c>
      <c r="D232" s="80" t="s">
        <v>4863</v>
      </c>
      <c r="E232" s="127" t="s">
        <v>4898</v>
      </c>
      <c r="F232" s="128" t="s">
        <v>71</v>
      </c>
      <c r="G232" s="158"/>
      <c r="H232" s="82" t="s">
        <v>4919</v>
      </c>
      <c r="I232" s="127" t="s">
        <v>9</v>
      </c>
      <c r="J232" s="128"/>
      <c r="K232" s="129">
        <f>M234</f>
        <v>1E-3</v>
      </c>
      <c r="L232" s="129"/>
      <c r="M232" s="129"/>
      <c r="N232" s="127"/>
      <c r="O232" s="127"/>
      <c r="P232" s="127"/>
      <c r="Q232" s="130" t="s">
        <v>4839</v>
      </c>
      <c r="R232" s="130"/>
      <c r="S232" s="155" t="e">
        <f>WORKDAY(T232,-INDEX(T$2:T$5,MATCH($I232,$I$2:$I$5,0)),'[35]Equipment List and MR List (3)'!$A$2:$A$80)</f>
        <v>#REF!</v>
      </c>
      <c r="T232" s="155" t="e">
        <f>WORKDAY(U232,-INDEX(U$2:U$5,MATCH($I232,$I$2:$I$5,0)),$BB$10:$BB$141)</f>
        <v>#REF!</v>
      </c>
      <c r="U232" s="155" t="e">
        <f>WORKDAY(V232,-INDEX(V$2:V$5,MATCH($I232,$I$2:$I$5,0)),$BB$10:$BB$141)</f>
        <v>#REF!</v>
      </c>
      <c r="V232" s="155" t="e">
        <f>WORKDAY(W232,-INDEX(W$2:W$5,MATCH($I232,$I$2:$I$5,0)),$BB$10:$BB$141)</f>
        <v>#REF!</v>
      </c>
      <c r="W232" s="155" t="e">
        <f>WORKDAY(#REF!,-INDEX(#REF!,MATCH($I232,$I$2:$I$5,0)),$BB$10:$BB$141)</f>
        <v>#REF!</v>
      </c>
      <c r="X232" s="155" t="e">
        <f>WORKDAY(Y232,-INDEX(Y$2:Y$5,MATCH($I232,$I$2:$I$5,0)),$BB$10:$BB$141)</f>
        <v>#REF!</v>
      </c>
      <c r="Y232" s="155" t="e">
        <f>WORKDAY(Z232,-INDEX(Z$2:Z$5,MATCH($I232,$I$2:$I$5,0)),$BB$10:$BB$141)</f>
        <v>#REF!</v>
      </c>
      <c r="Z232" s="155" t="e">
        <f>WORKDAY(AA232,-INDEX(AA$2:AA$5,MATCH($I232,$I$2:$I$5,0)),$BB$10:$BB$141)</f>
        <v>#REF!</v>
      </c>
      <c r="AA232" s="155" t="e">
        <f>WORKDAY(#REF!,-INDEX(#REF!,MATCH($I232,$I$2:$I$5,0)),$BB$10:$BB$141)</f>
        <v>#REF!</v>
      </c>
      <c r="AB232" s="155">
        <f>WORKDAY(AG232,0,'[35]Equipment List and MR List (3)'!$A$2:$A$80)</f>
        <v>0</v>
      </c>
      <c r="AC232" s="657" t="s">
        <v>4840</v>
      </c>
      <c r="AD232" s="87">
        <v>7</v>
      </c>
      <c r="AE232" s="663"/>
      <c r="AF232" s="666" t="e">
        <f>AB233</f>
        <v>#REF!</v>
      </c>
      <c r="AG232" s="669"/>
      <c r="AH232" s="88"/>
      <c r="AI232" s="89"/>
      <c r="AJ232" s="672" t="e">
        <f>AG232-AF232</f>
        <v>#REF!</v>
      </c>
      <c r="AK232" s="131"/>
      <c r="AL232" s="132"/>
      <c r="AM232" s="133">
        <f t="shared" si="439"/>
        <v>0.95</v>
      </c>
      <c r="AN232" s="134">
        <f t="shared" si="439"/>
        <v>0.95</v>
      </c>
      <c r="AO232" s="134">
        <f t="shared" si="439"/>
        <v>0.95</v>
      </c>
      <c r="AP232" s="134">
        <f t="shared" si="439"/>
        <v>0.95</v>
      </c>
      <c r="AQ232" s="134">
        <f t="shared" si="439"/>
        <v>0.95</v>
      </c>
      <c r="AR232" s="134">
        <f t="shared" si="439"/>
        <v>0.95</v>
      </c>
      <c r="AS232" s="134">
        <f t="shared" si="439"/>
        <v>0.95</v>
      </c>
      <c r="AT232" s="134">
        <f t="shared" si="439"/>
        <v>0.95</v>
      </c>
      <c r="AU232" s="134">
        <f t="shared" si="439"/>
        <v>0.95</v>
      </c>
      <c r="AV232" s="134">
        <f t="shared" si="439"/>
        <v>0.95</v>
      </c>
      <c r="AW232" s="134">
        <f t="shared" ca="1" si="439"/>
        <v>0.95</v>
      </c>
      <c r="BB232" s="135"/>
    </row>
    <row r="233" spans="1:54" s="21" customFormat="1" ht="18" customHeight="1">
      <c r="A233" s="643"/>
      <c r="B233" s="156"/>
      <c r="C233" s="652"/>
      <c r="D233" s="96" t="str">
        <f>D232</f>
        <v>ELE</v>
      </c>
      <c r="E233" s="136" t="str">
        <f t="shared" ref="E233:F233" si="443">E232</f>
        <v>RFQ-054</v>
      </c>
      <c r="F233" s="137" t="str">
        <f t="shared" si="443"/>
        <v>N</v>
      </c>
      <c r="G233" s="159"/>
      <c r="H233" s="98" t="str">
        <f>H232</f>
        <v>Pushbutton</v>
      </c>
      <c r="I233" s="136" t="str">
        <f t="shared" ref="I233" si="444">I232</f>
        <v>LD</v>
      </c>
      <c r="J233" s="137"/>
      <c r="K233" s="138"/>
      <c r="L233" s="138">
        <f>M234</f>
        <v>1E-3</v>
      </c>
      <c r="M233" s="138"/>
      <c r="N233" s="136"/>
      <c r="O233" s="136"/>
      <c r="P233" s="136"/>
      <c r="Q233" s="139" t="s">
        <v>4841</v>
      </c>
      <c r="R233" s="139"/>
      <c r="S233" s="140" t="e">
        <f>S232</f>
        <v>#REF!</v>
      </c>
      <c r="T233" s="141" t="e">
        <f>T232</f>
        <v>#REF!</v>
      </c>
      <c r="U233" s="141" t="e">
        <f>WORKDAY(IF(T234="",T233,T234),INDEX(U$2:U$5,MATCH($I232,$I$2:$I$5,0)),$BB$10:$BB$141)</f>
        <v>#REF!</v>
      </c>
      <c r="V233" s="141" t="e">
        <f>WORKDAY(IF(U234="",U233,U234),INDEX(V$2:V$5,MATCH($I232,$I$2:$I$5,0)),$BB$10:$BB$141)</f>
        <v>#REF!</v>
      </c>
      <c r="W233" s="141" t="e">
        <f>WORKDAY(IF(V234="",V233,V234),INDEX(W$2:W$5,MATCH($I232,$I$2:$I$5,0)),$BB$10:$BB$141)</f>
        <v>#REF!</v>
      </c>
      <c r="X233" s="141" t="e">
        <f>WORKDAY(IF(#REF!="",#REF!,#REF!),INDEX(X$2:X$5,MATCH($I232,$I$2:$I$5,0)),$BB$10:$BB$141)</f>
        <v>#REF!</v>
      </c>
      <c r="Y233" s="141" t="e">
        <f>WORKDAY(IF(X234="",X233,X234),INDEX(Y$2:Y$5,MATCH($I232,$I$2:$I$5,0)),$BB$10:$BB$141)</f>
        <v>#REF!</v>
      </c>
      <c r="Z233" s="141" t="e">
        <f>WORKDAY(IF(Y234="",Y233,Y234),INDEX(Z$2:Z$5,MATCH($I232,$I$2:$I$5,0)),$BB$10:$BB$141)</f>
        <v>#REF!</v>
      </c>
      <c r="AA233" s="141" t="e">
        <f>WORKDAY(IF(Z234="",Z233,Z234),INDEX(AA$2:AA$5,MATCH($I232,$I$2:$I$5,0)),$BB$10:$BB$141)</f>
        <v>#REF!</v>
      </c>
      <c r="AB233" s="142" t="e">
        <f>AE232+#REF!</f>
        <v>#REF!</v>
      </c>
      <c r="AC233" s="658"/>
      <c r="AD233" s="105"/>
      <c r="AE233" s="664"/>
      <c r="AF233" s="667"/>
      <c r="AG233" s="670"/>
      <c r="AH233" s="106"/>
      <c r="AI233" s="107"/>
      <c r="AJ233" s="673"/>
      <c r="AK233" s="143"/>
      <c r="AL233" s="144"/>
      <c r="AM233" s="133">
        <f t="shared" si="439"/>
        <v>0</v>
      </c>
      <c r="AN233" s="134">
        <f t="shared" si="439"/>
        <v>0</v>
      </c>
      <c r="AO233" s="134">
        <f t="shared" si="439"/>
        <v>0</v>
      </c>
      <c r="AP233" s="134">
        <f t="shared" si="439"/>
        <v>0</v>
      </c>
      <c r="AQ233" s="134">
        <f t="shared" si="439"/>
        <v>0</v>
      </c>
      <c r="AR233" s="134">
        <f t="shared" si="439"/>
        <v>0</v>
      </c>
      <c r="AS233" s="134">
        <f t="shared" si="439"/>
        <v>0</v>
      </c>
      <c r="AT233" s="134">
        <f t="shared" si="439"/>
        <v>0</v>
      </c>
      <c r="AU233" s="134">
        <f t="shared" si="439"/>
        <v>0</v>
      </c>
      <c r="AV233" s="134">
        <f t="shared" si="439"/>
        <v>0</v>
      </c>
      <c r="AW233" s="134">
        <f t="shared" ca="1" si="439"/>
        <v>0</v>
      </c>
      <c r="BB233" s="135"/>
    </row>
    <row r="234" spans="1:54" s="21" customFormat="1" ht="18" customHeight="1">
      <c r="A234" s="644"/>
      <c r="B234" s="157"/>
      <c r="C234" s="653"/>
      <c r="D234" s="111" t="str">
        <f>D232</f>
        <v>ELE</v>
      </c>
      <c r="E234" s="145" t="str">
        <f>E232</f>
        <v>RFQ-054</v>
      </c>
      <c r="F234" s="146" t="str">
        <f t="shared" ref="F234" si="445">F232</f>
        <v>N</v>
      </c>
      <c r="G234" s="160"/>
      <c r="H234" s="113" t="str">
        <f>H232</f>
        <v>Pushbutton</v>
      </c>
      <c r="I234" s="145" t="str">
        <f t="shared" ref="I234" si="446">I232</f>
        <v>LD</v>
      </c>
      <c r="J234" s="146"/>
      <c r="K234" s="147"/>
      <c r="L234" s="147"/>
      <c r="M234" s="147">
        <v>1E-3</v>
      </c>
      <c r="N234" s="145"/>
      <c r="O234" s="145"/>
      <c r="P234" s="145"/>
      <c r="Q234" s="148" t="s">
        <v>4842</v>
      </c>
      <c r="R234" s="148"/>
      <c r="S234" s="149"/>
      <c r="T234" s="149"/>
      <c r="U234" s="149"/>
      <c r="V234" s="149"/>
      <c r="W234" s="149"/>
      <c r="X234" s="149"/>
      <c r="Y234" s="149"/>
      <c r="Z234" s="149"/>
      <c r="AA234" s="149"/>
      <c r="AB234" s="149"/>
      <c r="AC234" s="659"/>
      <c r="AD234" s="116"/>
      <c r="AE234" s="665"/>
      <c r="AF234" s="668"/>
      <c r="AG234" s="671"/>
      <c r="AH234" s="117"/>
      <c r="AI234" s="118"/>
      <c r="AJ234" s="674"/>
      <c r="AK234" s="150"/>
      <c r="AL234" s="151"/>
      <c r="AM234" s="152">
        <f t="shared" si="439"/>
        <v>0</v>
      </c>
      <c r="AN234" s="153">
        <f t="shared" si="439"/>
        <v>0</v>
      </c>
      <c r="AO234" s="153">
        <f t="shared" si="439"/>
        <v>0</v>
      </c>
      <c r="AP234" s="153">
        <f t="shared" si="439"/>
        <v>0</v>
      </c>
      <c r="AQ234" s="153">
        <f t="shared" si="439"/>
        <v>0</v>
      </c>
      <c r="AR234" s="153">
        <f t="shared" si="439"/>
        <v>0</v>
      </c>
      <c r="AS234" s="153">
        <f t="shared" si="439"/>
        <v>0</v>
      </c>
      <c r="AT234" s="153">
        <f t="shared" si="439"/>
        <v>0</v>
      </c>
      <c r="AU234" s="153">
        <f t="shared" si="439"/>
        <v>0</v>
      </c>
      <c r="AV234" s="153">
        <f t="shared" si="439"/>
        <v>0</v>
      </c>
      <c r="AW234" s="153">
        <f t="shared" ca="1" si="439"/>
        <v>0</v>
      </c>
      <c r="BB234" s="135"/>
    </row>
    <row r="235" spans="1:54" s="21" customFormat="1" ht="18" customHeight="1">
      <c r="A235" s="642">
        <f t="shared" ref="A235" si="447">A232+1</f>
        <v>76</v>
      </c>
      <c r="B235" s="154" t="s">
        <v>4901</v>
      </c>
      <c r="C235" s="651" t="s">
        <v>4836</v>
      </c>
      <c r="D235" s="80" t="s">
        <v>4920</v>
      </c>
      <c r="E235" s="127" t="s">
        <v>4898</v>
      </c>
      <c r="F235" s="128" t="s">
        <v>71</v>
      </c>
      <c r="G235" s="158"/>
      <c r="H235" s="82" t="s">
        <v>4921</v>
      </c>
      <c r="I235" s="127" t="s">
        <v>9</v>
      </c>
      <c r="J235" s="128"/>
      <c r="K235" s="129">
        <f>M237</f>
        <v>1E-3</v>
      </c>
      <c r="L235" s="129"/>
      <c r="M235" s="129"/>
      <c r="N235" s="127"/>
      <c r="O235" s="127"/>
      <c r="P235" s="127"/>
      <c r="Q235" s="130" t="s">
        <v>4839</v>
      </c>
      <c r="R235" s="130"/>
      <c r="S235" s="155" t="e">
        <f>WORKDAY(T235,-INDEX(T$2:T$5,MATCH($I235,$I$2:$I$5,0)),'[35]Equipment List and MR List (3)'!$A$2:$A$80)</f>
        <v>#REF!</v>
      </c>
      <c r="T235" s="155" t="e">
        <f>WORKDAY(U235,-INDEX(U$2:U$5,MATCH($I235,$I$2:$I$5,0)),$BB$10:$BB$141)</f>
        <v>#REF!</v>
      </c>
      <c r="U235" s="155" t="e">
        <f>WORKDAY(V235,-INDEX(V$2:V$5,MATCH($I235,$I$2:$I$5,0)),$BB$10:$BB$141)</f>
        <v>#REF!</v>
      </c>
      <c r="V235" s="155" t="e">
        <f>WORKDAY(W235,-INDEX(W$2:W$5,MATCH($I235,$I$2:$I$5,0)),$BB$10:$BB$141)</f>
        <v>#REF!</v>
      </c>
      <c r="W235" s="155" t="e">
        <f>WORKDAY(#REF!,-INDEX(#REF!,MATCH($I235,$I$2:$I$5,0)),$BB$10:$BB$141)</f>
        <v>#REF!</v>
      </c>
      <c r="X235" s="155" t="e">
        <f>WORKDAY(Y235,-INDEX(Y$2:Y$5,MATCH($I235,$I$2:$I$5,0)),$BB$10:$BB$141)</f>
        <v>#REF!</v>
      </c>
      <c r="Y235" s="155" t="e">
        <f>WORKDAY(Z235,-INDEX(Z$2:Z$5,MATCH($I235,$I$2:$I$5,0)),$BB$10:$BB$141)</f>
        <v>#REF!</v>
      </c>
      <c r="Z235" s="155" t="e">
        <f>WORKDAY(AA235,-INDEX(AA$2:AA$5,MATCH($I235,$I$2:$I$5,0)),$BB$10:$BB$141)</f>
        <v>#REF!</v>
      </c>
      <c r="AA235" s="155" t="e">
        <f>WORKDAY(#REF!,-INDEX(#REF!,MATCH($I235,$I$2:$I$5,0)),$BB$10:$BB$141)</f>
        <v>#REF!</v>
      </c>
      <c r="AB235" s="155">
        <f>WORKDAY(AG235,0,'[35]Equipment List and MR List (3)'!$A$2:$A$80)</f>
        <v>0</v>
      </c>
      <c r="AC235" s="657" t="s">
        <v>4840</v>
      </c>
      <c r="AD235" s="87">
        <v>7</v>
      </c>
      <c r="AE235" s="663"/>
      <c r="AF235" s="666" t="e">
        <f>AB236</f>
        <v>#REF!</v>
      </c>
      <c r="AG235" s="669"/>
      <c r="AH235" s="88"/>
      <c r="AI235" s="89"/>
      <c r="AJ235" s="672" t="e">
        <f>AG235-AF235</f>
        <v>#REF!</v>
      </c>
      <c r="AK235" s="131"/>
      <c r="AL235" s="132"/>
      <c r="AM235" s="133">
        <f t="shared" si="439"/>
        <v>0.95</v>
      </c>
      <c r="AN235" s="134">
        <f t="shared" si="439"/>
        <v>0.95</v>
      </c>
      <c r="AO235" s="134">
        <f t="shared" si="439"/>
        <v>0.95</v>
      </c>
      <c r="AP235" s="134">
        <f t="shared" si="439"/>
        <v>0.95</v>
      </c>
      <c r="AQ235" s="134">
        <f t="shared" si="439"/>
        <v>0.95</v>
      </c>
      <c r="AR235" s="134">
        <f t="shared" si="439"/>
        <v>0.95</v>
      </c>
      <c r="AS235" s="134">
        <f t="shared" si="439"/>
        <v>0.95</v>
      </c>
      <c r="AT235" s="134">
        <f t="shared" si="439"/>
        <v>0.95</v>
      </c>
      <c r="AU235" s="134">
        <f t="shared" si="439"/>
        <v>0.95</v>
      </c>
      <c r="AV235" s="134">
        <f t="shared" si="439"/>
        <v>0.95</v>
      </c>
      <c r="AW235" s="134">
        <f t="shared" ca="1" si="439"/>
        <v>0.95</v>
      </c>
      <c r="BB235" s="135"/>
    </row>
    <row r="236" spans="1:54" s="21" customFormat="1" ht="18" customHeight="1">
      <c r="A236" s="643"/>
      <c r="B236" s="156"/>
      <c r="C236" s="652"/>
      <c r="D236" s="96" t="str">
        <f>D235</f>
        <v>INT</v>
      </c>
      <c r="E236" s="136" t="str">
        <f t="shared" ref="E236:F236" si="448">E235</f>
        <v>RFQ-054</v>
      </c>
      <c r="F236" s="137" t="str">
        <f t="shared" si="448"/>
        <v>N</v>
      </c>
      <c r="G236" s="159"/>
      <c r="H236" s="98" t="str">
        <f>H235</f>
        <v>ESD Button / Station</v>
      </c>
      <c r="I236" s="136" t="str">
        <f t="shared" ref="I236" si="449">I235</f>
        <v>LD</v>
      </c>
      <c r="J236" s="137"/>
      <c r="K236" s="138"/>
      <c r="L236" s="138">
        <f>M237</f>
        <v>1E-3</v>
      </c>
      <c r="M236" s="138"/>
      <c r="N236" s="136"/>
      <c r="O236" s="136"/>
      <c r="P236" s="136"/>
      <c r="Q236" s="139" t="s">
        <v>4841</v>
      </c>
      <c r="R236" s="139"/>
      <c r="S236" s="140" t="e">
        <f>S235</f>
        <v>#REF!</v>
      </c>
      <c r="T236" s="141" t="e">
        <f>T235</f>
        <v>#REF!</v>
      </c>
      <c r="U236" s="141" t="e">
        <f>WORKDAY(IF(T237="",T236,T237),INDEX(U$2:U$5,MATCH($I235,$I$2:$I$5,0)),$BB$10:$BB$141)</f>
        <v>#REF!</v>
      </c>
      <c r="V236" s="141" t="e">
        <f>WORKDAY(IF(U237="",U236,U237),INDEX(V$2:V$5,MATCH($I235,$I$2:$I$5,0)),$BB$10:$BB$141)</f>
        <v>#REF!</v>
      </c>
      <c r="W236" s="141" t="e">
        <f>WORKDAY(IF(V237="",V236,V237),INDEX(W$2:W$5,MATCH($I235,$I$2:$I$5,0)),$BB$10:$BB$141)</f>
        <v>#REF!</v>
      </c>
      <c r="X236" s="141" t="e">
        <f>WORKDAY(IF(#REF!="",#REF!,#REF!),INDEX(X$2:X$5,MATCH($I235,$I$2:$I$5,0)),$BB$10:$BB$141)</f>
        <v>#REF!</v>
      </c>
      <c r="Y236" s="141" t="e">
        <f>WORKDAY(IF(X237="",X236,X237),INDEX(Y$2:Y$5,MATCH($I235,$I$2:$I$5,0)),$BB$10:$BB$141)</f>
        <v>#REF!</v>
      </c>
      <c r="Z236" s="141" t="e">
        <f>WORKDAY(IF(Y237="",Y236,Y237),INDEX(Z$2:Z$5,MATCH($I235,$I$2:$I$5,0)),$BB$10:$BB$141)</f>
        <v>#REF!</v>
      </c>
      <c r="AA236" s="141" t="e">
        <f>WORKDAY(IF(Z237="",Z236,Z237),INDEX(AA$2:AA$5,MATCH($I235,$I$2:$I$5,0)),$BB$10:$BB$141)</f>
        <v>#REF!</v>
      </c>
      <c r="AB236" s="142" t="e">
        <f>AE235+#REF!</f>
        <v>#REF!</v>
      </c>
      <c r="AC236" s="658"/>
      <c r="AD236" s="105"/>
      <c r="AE236" s="664"/>
      <c r="AF236" s="667"/>
      <c r="AG236" s="670"/>
      <c r="AH236" s="106"/>
      <c r="AI236" s="107"/>
      <c r="AJ236" s="673"/>
      <c r="AK236" s="143"/>
      <c r="AL236" s="144"/>
      <c r="AM236" s="133">
        <f t="shared" si="439"/>
        <v>0</v>
      </c>
      <c r="AN236" s="134">
        <f t="shared" si="439"/>
        <v>0</v>
      </c>
      <c r="AO236" s="134">
        <f t="shared" si="439"/>
        <v>0</v>
      </c>
      <c r="AP236" s="134">
        <f t="shared" si="439"/>
        <v>0</v>
      </c>
      <c r="AQ236" s="134">
        <f t="shared" si="439"/>
        <v>0</v>
      </c>
      <c r="AR236" s="134">
        <f t="shared" si="439"/>
        <v>0</v>
      </c>
      <c r="AS236" s="134">
        <f t="shared" si="439"/>
        <v>0</v>
      </c>
      <c r="AT236" s="134">
        <f t="shared" si="439"/>
        <v>0</v>
      </c>
      <c r="AU236" s="134">
        <f t="shared" si="439"/>
        <v>0</v>
      </c>
      <c r="AV236" s="134">
        <f t="shared" si="439"/>
        <v>0</v>
      </c>
      <c r="AW236" s="134">
        <f t="shared" ca="1" si="439"/>
        <v>0</v>
      </c>
      <c r="BB236" s="135"/>
    </row>
    <row r="237" spans="1:54" s="21" customFormat="1" ht="18" customHeight="1">
      <c r="A237" s="644"/>
      <c r="B237" s="157"/>
      <c r="C237" s="653"/>
      <c r="D237" s="111" t="str">
        <f>D235</f>
        <v>INT</v>
      </c>
      <c r="E237" s="145" t="str">
        <f>E235</f>
        <v>RFQ-054</v>
      </c>
      <c r="F237" s="146" t="str">
        <f t="shared" ref="F237" si="450">F235</f>
        <v>N</v>
      </c>
      <c r="G237" s="160"/>
      <c r="H237" s="113" t="str">
        <f>H235</f>
        <v>ESD Button / Station</v>
      </c>
      <c r="I237" s="145" t="str">
        <f t="shared" ref="I237" si="451">I235</f>
        <v>LD</v>
      </c>
      <c r="J237" s="146"/>
      <c r="K237" s="147"/>
      <c r="L237" s="147"/>
      <c r="M237" s="147">
        <v>1E-3</v>
      </c>
      <c r="N237" s="145"/>
      <c r="O237" s="145"/>
      <c r="P237" s="145"/>
      <c r="Q237" s="148" t="s">
        <v>4842</v>
      </c>
      <c r="R237" s="148"/>
      <c r="S237" s="149"/>
      <c r="T237" s="149"/>
      <c r="U237" s="149"/>
      <c r="V237" s="149"/>
      <c r="W237" s="149"/>
      <c r="X237" s="149"/>
      <c r="Y237" s="149"/>
      <c r="Z237" s="149"/>
      <c r="AA237" s="149"/>
      <c r="AB237" s="149"/>
      <c r="AC237" s="659"/>
      <c r="AD237" s="116"/>
      <c r="AE237" s="665"/>
      <c r="AF237" s="668"/>
      <c r="AG237" s="671"/>
      <c r="AH237" s="117"/>
      <c r="AI237" s="118"/>
      <c r="AJ237" s="674"/>
      <c r="AK237" s="150"/>
      <c r="AL237" s="151"/>
      <c r="AM237" s="152">
        <f t="shared" si="439"/>
        <v>0</v>
      </c>
      <c r="AN237" s="153">
        <f t="shared" si="439"/>
        <v>0</v>
      </c>
      <c r="AO237" s="153">
        <f t="shared" si="439"/>
        <v>0</v>
      </c>
      <c r="AP237" s="153">
        <f t="shared" si="439"/>
        <v>0</v>
      </c>
      <c r="AQ237" s="153">
        <f t="shared" si="439"/>
        <v>0</v>
      </c>
      <c r="AR237" s="153">
        <f t="shared" si="439"/>
        <v>0</v>
      </c>
      <c r="AS237" s="153">
        <f t="shared" si="439"/>
        <v>0</v>
      </c>
      <c r="AT237" s="153">
        <f t="shared" si="439"/>
        <v>0</v>
      </c>
      <c r="AU237" s="153">
        <f t="shared" si="439"/>
        <v>0</v>
      </c>
      <c r="AV237" s="153">
        <f t="shared" si="439"/>
        <v>0</v>
      </c>
      <c r="AW237" s="153">
        <f t="shared" ca="1" si="439"/>
        <v>0</v>
      </c>
      <c r="BB237" s="135"/>
    </row>
    <row r="238" spans="1:54" s="21" customFormat="1" ht="18" customHeight="1">
      <c r="A238" s="642">
        <f t="shared" ref="A238" si="452">A235+1</f>
        <v>77</v>
      </c>
      <c r="B238" s="154" t="s">
        <v>4901</v>
      </c>
      <c r="C238" s="651" t="s">
        <v>4836</v>
      </c>
      <c r="D238" s="80" t="s">
        <v>4920</v>
      </c>
      <c r="E238" s="127" t="s">
        <v>4898</v>
      </c>
      <c r="F238" s="128" t="s">
        <v>71</v>
      </c>
      <c r="G238" s="158"/>
      <c r="H238" s="82" t="s">
        <v>4922</v>
      </c>
      <c r="I238" s="127" t="s">
        <v>9</v>
      </c>
      <c r="J238" s="128"/>
      <c r="K238" s="129">
        <f>M240</f>
        <v>1E-3</v>
      </c>
      <c r="L238" s="129"/>
      <c r="M238" s="129"/>
      <c r="N238" s="127"/>
      <c r="O238" s="127"/>
      <c r="P238" s="127"/>
      <c r="Q238" s="130" t="s">
        <v>4839</v>
      </c>
      <c r="R238" s="130"/>
      <c r="S238" s="155" t="e">
        <f>WORKDAY(T238,-INDEX(T$2:T$5,MATCH($I238,$I$2:$I$5,0)),'[35]Equipment List and MR List (3)'!$A$2:$A$80)</f>
        <v>#REF!</v>
      </c>
      <c r="T238" s="155" t="e">
        <f>WORKDAY(U238,-INDEX(U$2:U$5,MATCH($I238,$I$2:$I$5,0)),$BB$10:$BB$141)</f>
        <v>#REF!</v>
      </c>
      <c r="U238" s="155" t="e">
        <f>WORKDAY(V238,-INDEX(V$2:V$5,MATCH($I238,$I$2:$I$5,0)),$BB$10:$BB$141)</f>
        <v>#REF!</v>
      </c>
      <c r="V238" s="155" t="e">
        <f>WORKDAY(W238,-INDEX(W$2:W$5,MATCH($I238,$I$2:$I$5,0)),$BB$10:$BB$141)</f>
        <v>#REF!</v>
      </c>
      <c r="W238" s="155" t="e">
        <f>WORKDAY(#REF!,-INDEX(#REF!,MATCH($I238,$I$2:$I$5,0)),$BB$10:$BB$141)</f>
        <v>#REF!</v>
      </c>
      <c r="X238" s="155" t="e">
        <f>WORKDAY(Y238,-INDEX(Y$2:Y$5,MATCH($I238,$I$2:$I$5,0)),$BB$10:$BB$141)</f>
        <v>#REF!</v>
      </c>
      <c r="Y238" s="155" t="e">
        <f>WORKDAY(Z238,-INDEX(Z$2:Z$5,MATCH($I238,$I$2:$I$5,0)),$BB$10:$BB$141)</f>
        <v>#REF!</v>
      </c>
      <c r="Z238" s="155" t="e">
        <f>WORKDAY(AA238,-INDEX(AA$2:AA$5,MATCH($I238,$I$2:$I$5,0)),$BB$10:$BB$141)</f>
        <v>#REF!</v>
      </c>
      <c r="AA238" s="155" t="e">
        <f>WORKDAY(#REF!,-INDEX(#REF!,MATCH($I238,$I$2:$I$5,0)),$BB$10:$BB$141)</f>
        <v>#REF!</v>
      </c>
      <c r="AB238" s="155">
        <f>WORKDAY(AG238,0,'[35]Equipment List and MR List (3)'!$A$2:$A$80)</f>
        <v>0</v>
      </c>
      <c r="AC238" s="657" t="s">
        <v>4840</v>
      </c>
      <c r="AD238" s="87">
        <v>7</v>
      </c>
      <c r="AE238" s="663">
        <v>121</v>
      </c>
      <c r="AF238" s="666" t="e">
        <f>AB239</f>
        <v>#REF!</v>
      </c>
      <c r="AG238" s="669"/>
      <c r="AH238" s="88"/>
      <c r="AI238" s="89"/>
      <c r="AJ238" s="672" t="e">
        <f>AG238-AF238</f>
        <v>#REF!</v>
      </c>
      <c r="AK238" s="131"/>
      <c r="AL238" s="132"/>
      <c r="AM238" s="133">
        <f t="shared" si="439"/>
        <v>0.95</v>
      </c>
      <c r="AN238" s="134">
        <f t="shared" si="439"/>
        <v>0.95</v>
      </c>
      <c r="AO238" s="134">
        <f t="shared" si="439"/>
        <v>0.95</v>
      </c>
      <c r="AP238" s="134">
        <f t="shared" si="439"/>
        <v>0.95</v>
      </c>
      <c r="AQ238" s="134">
        <f t="shared" si="439"/>
        <v>0.95</v>
      </c>
      <c r="AR238" s="134">
        <f t="shared" si="439"/>
        <v>0.95</v>
      </c>
      <c r="AS238" s="134">
        <f t="shared" si="439"/>
        <v>0.95</v>
      </c>
      <c r="AT238" s="134">
        <f t="shared" si="439"/>
        <v>0.95</v>
      </c>
      <c r="AU238" s="134">
        <f t="shared" si="439"/>
        <v>0.95</v>
      </c>
      <c r="AV238" s="134">
        <f t="shared" si="439"/>
        <v>0.95</v>
      </c>
      <c r="AW238" s="134">
        <f t="shared" ca="1" si="439"/>
        <v>0.95</v>
      </c>
      <c r="BB238" s="135"/>
    </row>
    <row r="239" spans="1:54" s="21" customFormat="1" ht="18" customHeight="1">
      <c r="A239" s="643"/>
      <c r="B239" s="156"/>
      <c r="C239" s="652"/>
      <c r="D239" s="96" t="str">
        <f>D238</f>
        <v>INT</v>
      </c>
      <c r="E239" s="136" t="str">
        <f t="shared" ref="E239:F239" si="453">E238</f>
        <v>RFQ-054</v>
      </c>
      <c r="F239" s="137" t="str">
        <f t="shared" si="453"/>
        <v>N</v>
      </c>
      <c r="G239" s="159"/>
      <c r="H239" s="98" t="str">
        <f>H238</f>
        <v>Tube Clamp (Anti Corrosion Type)</v>
      </c>
      <c r="I239" s="136" t="str">
        <f t="shared" ref="I239" si="454">I238</f>
        <v>LD</v>
      </c>
      <c r="J239" s="137"/>
      <c r="K239" s="138"/>
      <c r="L239" s="138">
        <f>M240</f>
        <v>1E-3</v>
      </c>
      <c r="M239" s="138"/>
      <c r="N239" s="136"/>
      <c r="O239" s="136"/>
      <c r="P239" s="136"/>
      <c r="Q239" s="139" t="s">
        <v>4841</v>
      </c>
      <c r="R239" s="139"/>
      <c r="S239" s="140" t="e">
        <f>S238</f>
        <v>#REF!</v>
      </c>
      <c r="T239" s="141" t="e">
        <f>T238</f>
        <v>#REF!</v>
      </c>
      <c r="U239" s="141" t="e">
        <f>WORKDAY(IF(T240="",T239,T240),INDEX(U$2:U$5,MATCH($I238,$I$2:$I$5,0)),$BB$10:$BB$141)</f>
        <v>#REF!</v>
      </c>
      <c r="V239" s="141" t="e">
        <f>WORKDAY(IF(U240="",U239,U240),INDEX(V$2:V$5,MATCH($I238,$I$2:$I$5,0)),$BB$10:$BB$141)</f>
        <v>#REF!</v>
      </c>
      <c r="W239" s="141" t="e">
        <f>WORKDAY(IF(V240="",V239,V240),INDEX(W$2:W$5,MATCH($I238,$I$2:$I$5,0)),$BB$10:$BB$141)</f>
        <v>#REF!</v>
      </c>
      <c r="X239" s="141" t="e">
        <f>WORKDAY(IF(#REF!="",#REF!,#REF!),INDEX(X$2:X$5,MATCH($I238,$I$2:$I$5,0)),$BB$10:$BB$141)</f>
        <v>#REF!</v>
      </c>
      <c r="Y239" s="141" t="e">
        <f>WORKDAY(IF(X240="",X239,X240),INDEX(Y$2:Y$5,MATCH($I238,$I$2:$I$5,0)),$BB$10:$BB$141)</f>
        <v>#REF!</v>
      </c>
      <c r="Z239" s="141" t="e">
        <f>WORKDAY(IF(Y240="",Y239,Y240),INDEX(Z$2:Z$5,MATCH($I238,$I$2:$I$5,0)),$BB$10:$BB$141)</f>
        <v>#REF!</v>
      </c>
      <c r="AA239" s="141" t="e">
        <f>WORKDAY(IF(Z240="",Z239,Z240),INDEX(AA$2:AA$5,MATCH($I238,$I$2:$I$5,0)),$BB$10:$BB$141)</f>
        <v>#REF!</v>
      </c>
      <c r="AB239" s="142" t="e">
        <f>AE238+#REF!</f>
        <v>#REF!</v>
      </c>
      <c r="AC239" s="658"/>
      <c r="AD239" s="105"/>
      <c r="AE239" s="664"/>
      <c r="AF239" s="667"/>
      <c r="AG239" s="670"/>
      <c r="AH239" s="106"/>
      <c r="AI239" s="107"/>
      <c r="AJ239" s="673"/>
      <c r="AK239" s="143"/>
      <c r="AL239" s="144"/>
      <c r="AM239" s="133">
        <f t="shared" si="439"/>
        <v>0</v>
      </c>
      <c r="AN239" s="134">
        <f t="shared" si="439"/>
        <v>0</v>
      </c>
      <c r="AO239" s="134">
        <f t="shared" si="439"/>
        <v>0</v>
      </c>
      <c r="AP239" s="134">
        <f t="shared" si="439"/>
        <v>0</v>
      </c>
      <c r="AQ239" s="134">
        <f t="shared" si="439"/>
        <v>0</v>
      </c>
      <c r="AR239" s="134">
        <f t="shared" si="439"/>
        <v>0</v>
      </c>
      <c r="AS239" s="134">
        <f t="shared" si="439"/>
        <v>0</v>
      </c>
      <c r="AT239" s="134">
        <f t="shared" si="439"/>
        <v>0</v>
      </c>
      <c r="AU239" s="134">
        <f t="shared" si="439"/>
        <v>0</v>
      </c>
      <c r="AV239" s="134">
        <f t="shared" si="439"/>
        <v>0</v>
      </c>
      <c r="AW239" s="134">
        <f t="shared" ca="1" si="439"/>
        <v>0</v>
      </c>
      <c r="BB239" s="135"/>
    </row>
    <row r="240" spans="1:54" s="21" customFormat="1" ht="18" customHeight="1">
      <c r="A240" s="644"/>
      <c r="B240" s="157"/>
      <c r="C240" s="653"/>
      <c r="D240" s="111" t="str">
        <f>D238</f>
        <v>INT</v>
      </c>
      <c r="E240" s="145" t="str">
        <f>E238</f>
        <v>RFQ-054</v>
      </c>
      <c r="F240" s="146" t="str">
        <f t="shared" ref="F240" si="455">F238</f>
        <v>N</v>
      </c>
      <c r="G240" s="160"/>
      <c r="H240" s="113" t="str">
        <f>H238</f>
        <v>Tube Clamp (Anti Corrosion Type)</v>
      </c>
      <c r="I240" s="145" t="str">
        <f t="shared" ref="I240" si="456">I238</f>
        <v>LD</v>
      </c>
      <c r="J240" s="146"/>
      <c r="K240" s="147"/>
      <c r="L240" s="147"/>
      <c r="M240" s="147">
        <v>1E-3</v>
      </c>
      <c r="N240" s="145"/>
      <c r="O240" s="145"/>
      <c r="P240" s="145"/>
      <c r="Q240" s="148" t="s">
        <v>4842</v>
      </c>
      <c r="R240" s="148"/>
      <c r="S240" s="149"/>
      <c r="T240" s="149"/>
      <c r="U240" s="149"/>
      <c r="V240" s="149"/>
      <c r="W240" s="149"/>
      <c r="X240" s="149"/>
      <c r="Y240" s="149"/>
      <c r="Z240" s="149"/>
      <c r="AA240" s="149"/>
      <c r="AB240" s="149"/>
      <c r="AC240" s="659"/>
      <c r="AD240" s="116"/>
      <c r="AE240" s="665"/>
      <c r="AF240" s="668"/>
      <c r="AG240" s="671"/>
      <c r="AH240" s="117"/>
      <c r="AI240" s="118"/>
      <c r="AJ240" s="674"/>
      <c r="AK240" s="150"/>
      <c r="AL240" s="151"/>
      <c r="AM240" s="152">
        <f t="shared" ref="AM240:AW249" si="457">IF(ISERROR(LOOKUP(AM$6,$S240:$AB240,$S$9:$AB$9)),0,(LOOKUP(AM$6,$S240:$AB240,$S$9:$AB$9)))</f>
        <v>0</v>
      </c>
      <c r="AN240" s="153">
        <f t="shared" si="457"/>
        <v>0</v>
      </c>
      <c r="AO240" s="153">
        <f t="shared" si="457"/>
        <v>0</v>
      </c>
      <c r="AP240" s="153">
        <f t="shared" si="457"/>
        <v>0</v>
      </c>
      <c r="AQ240" s="153">
        <f t="shared" si="457"/>
        <v>0</v>
      </c>
      <c r="AR240" s="153">
        <f t="shared" si="457"/>
        <v>0</v>
      </c>
      <c r="AS240" s="153">
        <f t="shared" si="457"/>
        <v>0</v>
      </c>
      <c r="AT240" s="153">
        <f t="shared" si="457"/>
        <v>0</v>
      </c>
      <c r="AU240" s="153">
        <f t="shared" si="457"/>
        <v>0</v>
      </c>
      <c r="AV240" s="153">
        <f t="shared" si="457"/>
        <v>0</v>
      </c>
      <c r="AW240" s="153">
        <f t="shared" ca="1" si="457"/>
        <v>0</v>
      </c>
      <c r="BB240" s="135"/>
    </row>
    <row r="241" spans="1:54" s="21" customFormat="1" ht="18" customHeight="1">
      <c r="A241" s="642">
        <f t="shared" ref="A241" si="458">A238+1</f>
        <v>78</v>
      </c>
      <c r="B241" s="154" t="s">
        <v>4901</v>
      </c>
      <c r="C241" s="651" t="s">
        <v>4836</v>
      </c>
      <c r="D241" s="80" t="s">
        <v>4920</v>
      </c>
      <c r="E241" s="127" t="s">
        <v>4898</v>
      </c>
      <c r="F241" s="128" t="s">
        <v>71</v>
      </c>
      <c r="G241" s="158"/>
      <c r="H241" s="82" t="s">
        <v>4923</v>
      </c>
      <c r="I241" s="127" t="s">
        <v>9</v>
      </c>
      <c r="J241" s="128"/>
      <c r="K241" s="129">
        <f>M243</f>
        <v>1E-3</v>
      </c>
      <c r="L241" s="129"/>
      <c r="M241" s="129"/>
      <c r="N241" s="127"/>
      <c r="O241" s="127"/>
      <c r="P241" s="127"/>
      <c r="Q241" s="130" t="s">
        <v>4839</v>
      </c>
      <c r="R241" s="130"/>
      <c r="S241" s="155" t="e">
        <f>WORKDAY(T241,-INDEX(T$2:T$5,MATCH($I241,$I$2:$I$5,0)),'[35]Equipment List and MR List (3)'!$A$2:$A$80)</f>
        <v>#REF!</v>
      </c>
      <c r="T241" s="155" t="e">
        <f>WORKDAY(U241,-INDEX(U$2:U$5,MATCH($I241,$I$2:$I$5,0)),$BB$10:$BB$141)</f>
        <v>#REF!</v>
      </c>
      <c r="U241" s="155" t="e">
        <f>WORKDAY(V241,-INDEX(V$2:V$5,MATCH($I241,$I$2:$I$5,0)),$BB$10:$BB$141)</f>
        <v>#REF!</v>
      </c>
      <c r="V241" s="155" t="e">
        <f>WORKDAY(W241,-INDEX(W$2:W$5,MATCH($I241,$I$2:$I$5,0)),$BB$10:$BB$141)</f>
        <v>#REF!</v>
      </c>
      <c r="W241" s="155" t="e">
        <f>WORKDAY(#REF!,-INDEX(#REF!,MATCH($I241,$I$2:$I$5,0)),$BB$10:$BB$141)</f>
        <v>#REF!</v>
      </c>
      <c r="X241" s="155" t="e">
        <f>WORKDAY(Y241,-INDEX(Y$2:Y$5,MATCH($I241,$I$2:$I$5,0)),$BB$10:$BB$141)</f>
        <v>#REF!</v>
      </c>
      <c r="Y241" s="155" t="e">
        <f>WORKDAY(Z241,-INDEX(Z$2:Z$5,MATCH($I241,$I$2:$I$5,0)),$BB$10:$BB$141)</f>
        <v>#REF!</v>
      </c>
      <c r="Z241" s="155" t="e">
        <f>WORKDAY(AA241,-INDEX(AA$2:AA$5,MATCH($I241,$I$2:$I$5,0)),$BB$10:$BB$141)</f>
        <v>#REF!</v>
      </c>
      <c r="AA241" s="155" t="e">
        <f>WORKDAY(#REF!,-INDEX(#REF!,MATCH($I241,$I$2:$I$5,0)),$BB$10:$BB$141)</f>
        <v>#REF!</v>
      </c>
      <c r="AB241" s="155">
        <f>WORKDAY(AG241,0,'[35]Equipment List and MR List (3)'!$A$2:$A$80)</f>
        <v>0</v>
      </c>
      <c r="AC241" s="657" t="s">
        <v>4840</v>
      </c>
      <c r="AD241" s="87">
        <v>7</v>
      </c>
      <c r="AE241" s="663">
        <v>121</v>
      </c>
      <c r="AF241" s="666" t="e">
        <f>AB242</f>
        <v>#REF!</v>
      </c>
      <c r="AG241" s="669"/>
      <c r="AH241" s="88"/>
      <c r="AI241" s="89"/>
      <c r="AJ241" s="672" t="e">
        <f>AG241-AF241</f>
        <v>#REF!</v>
      </c>
      <c r="AK241" s="131"/>
      <c r="AL241" s="132"/>
      <c r="AM241" s="133">
        <f t="shared" si="457"/>
        <v>0.95</v>
      </c>
      <c r="AN241" s="134">
        <f t="shared" si="457"/>
        <v>0.95</v>
      </c>
      <c r="AO241" s="134">
        <f t="shared" si="457"/>
        <v>0.95</v>
      </c>
      <c r="AP241" s="134">
        <f t="shared" si="457"/>
        <v>0.95</v>
      </c>
      <c r="AQ241" s="134">
        <f t="shared" si="457"/>
        <v>0.95</v>
      </c>
      <c r="AR241" s="134">
        <f t="shared" si="457"/>
        <v>0.95</v>
      </c>
      <c r="AS241" s="134">
        <f t="shared" si="457"/>
        <v>0.95</v>
      </c>
      <c r="AT241" s="134">
        <f t="shared" si="457"/>
        <v>0.95</v>
      </c>
      <c r="AU241" s="134">
        <f t="shared" si="457"/>
        <v>0.95</v>
      </c>
      <c r="AV241" s="134">
        <f t="shared" si="457"/>
        <v>0.95</v>
      </c>
      <c r="AW241" s="134">
        <f t="shared" ca="1" si="457"/>
        <v>0.95</v>
      </c>
      <c r="BB241" s="135"/>
    </row>
    <row r="242" spans="1:54" s="21" customFormat="1" ht="18" customHeight="1">
      <c r="A242" s="643"/>
      <c r="B242" s="156"/>
      <c r="C242" s="652"/>
      <c r="D242" s="96" t="str">
        <f>D241</f>
        <v>INT</v>
      </c>
      <c r="E242" s="136" t="str">
        <f t="shared" ref="E242:F242" si="459">E241</f>
        <v>RFQ-054</v>
      </c>
      <c r="F242" s="137" t="str">
        <f t="shared" si="459"/>
        <v>N</v>
      </c>
      <c r="G242" s="159"/>
      <c r="H242" s="98" t="str">
        <f>H241</f>
        <v>TUBE</v>
      </c>
      <c r="I242" s="136" t="str">
        <f t="shared" ref="I242" si="460">I241</f>
        <v>LD</v>
      </c>
      <c r="J242" s="137"/>
      <c r="K242" s="138"/>
      <c r="L242" s="138">
        <f>M243</f>
        <v>1E-3</v>
      </c>
      <c r="M242" s="138"/>
      <c r="N242" s="136"/>
      <c r="O242" s="136"/>
      <c r="P242" s="136"/>
      <c r="Q242" s="139" t="s">
        <v>4841</v>
      </c>
      <c r="R242" s="139"/>
      <c r="S242" s="140" t="e">
        <f>S241</f>
        <v>#REF!</v>
      </c>
      <c r="T242" s="141" t="e">
        <f>T241</f>
        <v>#REF!</v>
      </c>
      <c r="U242" s="141" t="e">
        <f>WORKDAY(IF(T243="",T242,T243),INDEX(U$2:U$5,MATCH($I241,$I$2:$I$5,0)),$BB$10:$BB$141)</f>
        <v>#REF!</v>
      </c>
      <c r="V242" s="141" t="e">
        <f>WORKDAY(IF(U243="",U242,U243),INDEX(V$2:V$5,MATCH($I241,$I$2:$I$5,0)),$BB$10:$BB$141)</f>
        <v>#REF!</v>
      </c>
      <c r="W242" s="141" t="e">
        <f>WORKDAY(IF(V243="",V242,V243),INDEX(W$2:W$5,MATCH($I241,$I$2:$I$5,0)),$BB$10:$BB$141)</f>
        <v>#REF!</v>
      </c>
      <c r="X242" s="141" t="e">
        <f>WORKDAY(IF(#REF!="",#REF!,#REF!),INDEX(X$2:X$5,MATCH($I241,$I$2:$I$5,0)),$BB$10:$BB$141)</f>
        <v>#REF!</v>
      </c>
      <c r="Y242" s="141" t="e">
        <f>WORKDAY(IF(X243="",X242,X243),INDEX(Y$2:Y$5,MATCH($I241,$I$2:$I$5,0)),$BB$10:$BB$141)</f>
        <v>#REF!</v>
      </c>
      <c r="Z242" s="141" t="e">
        <f>WORKDAY(IF(Y243="",Y242,Y243),INDEX(Z$2:Z$5,MATCH($I241,$I$2:$I$5,0)),$BB$10:$BB$141)</f>
        <v>#REF!</v>
      </c>
      <c r="AA242" s="141" t="e">
        <f>WORKDAY(IF(Z243="",Z242,Z243),INDEX(AA$2:AA$5,MATCH($I241,$I$2:$I$5,0)),$BB$10:$BB$141)</f>
        <v>#REF!</v>
      </c>
      <c r="AB242" s="142" t="e">
        <f>AE241+#REF!</f>
        <v>#REF!</v>
      </c>
      <c r="AC242" s="658"/>
      <c r="AD242" s="105"/>
      <c r="AE242" s="664"/>
      <c r="AF242" s="667"/>
      <c r="AG242" s="670"/>
      <c r="AH242" s="106"/>
      <c r="AI242" s="107"/>
      <c r="AJ242" s="673"/>
      <c r="AK242" s="143"/>
      <c r="AL242" s="144"/>
      <c r="AM242" s="133">
        <f t="shared" si="457"/>
        <v>0</v>
      </c>
      <c r="AN242" s="134">
        <f t="shared" si="457"/>
        <v>0</v>
      </c>
      <c r="AO242" s="134">
        <f t="shared" si="457"/>
        <v>0</v>
      </c>
      <c r="AP242" s="134">
        <f t="shared" si="457"/>
        <v>0</v>
      </c>
      <c r="AQ242" s="134">
        <f t="shared" si="457"/>
        <v>0</v>
      </c>
      <c r="AR242" s="134">
        <f t="shared" si="457"/>
        <v>0</v>
      </c>
      <c r="AS242" s="134">
        <f t="shared" si="457"/>
        <v>0</v>
      </c>
      <c r="AT242" s="134">
        <f t="shared" si="457"/>
        <v>0</v>
      </c>
      <c r="AU242" s="134">
        <f t="shared" si="457"/>
        <v>0</v>
      </c>
      <c r="AV242" s="134">
        <f t="shared" si="457"/>
        <v>0</v>
      </c>
      <c r="AW242" s="134">
        <f t="shared" ca="1" si="457"/>
        <v>0</v>
      </c>
      <c r="BB242" s="135"/>
    </row>
    <row r="243" spans="1:54" s="21" customFormat="1" ht="18" customHeight="1">
      <c r="A243" s="644"/>
      <c r="B243" s="157"/>
      <c r="C243" s="653"/>
      <c r="D243" s="111" t="str">
        <f>D241</f>
        <v>INT</v>
      </c>
      <c r="E243" s="145" t="str">
        <f>E241</f>
        <v>RFQ-054</v>
      </c>
      <c r="F243" s="146" t="str">
        <f t="shared" ref="F243" si="461">F241</f>
        <v>N</v>
      </c>
      <c r="G243" s="160"/>
      <c r="H243" s="113" t="str">
        <f>H241</f>
        <v>TUBE</v>
      </c>
      <c r="I243" s="145" t="str">
        <f t="shared" ref="I243" si="462">I241</f>
        <v>LD</v>
      </c>
      <c r="J243" s="146"/>
      <c r="K243" s="147"/>
      <c r="L243" s="147"/>
      <c r="M243" s="147">
        <v>1E-3</v>
      </c>
      <c r="N243" s="145"/>
      <c r="O243" s="145"/>
      <c r="P243" s="145"/>
      <c r="Q243" s="148" t="s">
        <v>4842</v>
      </c>
      <c r="R243" s="148"/>
      <c r="S243" s="149"/>
      <c r="T243" s="149"/>
      <c r="U243" s="149"/>
      <c r="V243" s="149"/>
      <c r="W243" s="149"/>
      <c r="X243" s="149"/>
      <c r="Y243" s="149"/>
      <c r="Z243" s="149"/>
      <c r="AA243" s="149"/>
      <c r="AB243" s="149"/>
      <c r="AC243" s="659"/>
      <c r="AD243" s="116"/>
      <c r="AE243" s="665"/>
      <c r="AF243" s="668"/>
      <c r="AG243" s="671"/>
      <c r="AH243" s="117"/>
      <c r="AI243" s="118"/>
      <c r="AJ243" s="674"/>
      <c r="AK243" s="150"/>
      <c r="AL243" s="151"/>
      <c r="AM243" s="152">
        <f t="shared" si="457"/>
        <v>0</v>
      </c>
      <c r="AN243" s="153">
        <f t="shared" si="457"/>
        <v>0</v>
      </c>
      <c r="AO243" s="153">
        <f t="shared" si="457"/>
        <v>0</v>
      </c>
      <c r="AP243" s="153">
        <f t="shared" si="457"/>
        <v>0</v>
      </c>
      <c r="AQ243" s="153">
        <f t="shared" si="457"/>
        <v>0</v>
      </c>
      <c r="AR243" s="153">
        <f t="shared" si="457"/>
        <v>0</v>
      </c>
      <c r="AS243" s="153">
        <f t="shared" si="457"/>
        <v>0</v>
      </c>
      <c r="AT243" s="153">
        <f t="shared" si="457"/>
        <v>0</v>
      </c>
      <c r="AU243" s="153">
        <f t="shared" si="457"/>
        <v>0</v>
      </c>
      <c r="AV243" s="153">
        <f t="shared" si="457"/>
        <v>0</v>
      </c>
      <c r="AW243" s="153">
        <f t="shared" ca="1" si="457"/>
        <v>0</v>
      </c>
      <c r="BB243" s="135"/>
    </row>
    <row r="244" spans="1:54" s="21" customFormat="1" ht="18" customHeight="1">
      <c r="A244" s="642">
        <f t="shared" ref="A244" si="463">A241+1</f>
        <v>79</v>
      </c>
      <c r="B244" s="154" t="s">
        <v>4901</v>
      </c>
      <c r="C244" s="651" t="s">
        <v>4836</v>
      </c>
      <c r="D244" s="80" t="s">
        <v>4920</v>
      </c>
      <c r="E244" s="127" t="s">
        <v>4898</v>
      </c>
      <c r="F244" s="128" t="s">
        <v>71</v>
      </c>
      <c r="G244" s="158"/>
      <c r="H244" s="82" t="s">
        <v>4924</v>
      </c>
      <c r="I244" s="127" t="s">
        <v>9</v>
      </c>
      <c r="J244" s="128"/>
      <c r="K244" s="129">
        <f>M246</f>
        <v>1E-3</v>
      </c>
      <c r="L244" s="129"/>
      <c r="M244" s="129"/>
      <c r="N244" s="127"/>
      <c r="O244" s="127"/>
      <c r="P244" s="127"/>
      <c r="Q244" s="130" t="s">
        <v>4839</v>
      </c>
      <c r="R244" s="130"/>
      <c r="S244" s="155" t="e">
        <f>WORKDAY(T244,-INDEX(T$2:T$5,MATCH($I244,$I$2:$I$5,0)),'[35]Equipment List and MR List (3)'!$A$2:$A$80)</f>
        <v>#REF!</v>
      </c>
      <c r="T244" s="155" t="e">
        <f>WORKDAY(U244,-INDEX(U$2:U$5,MATCH($I244,$I$2:$I$5,0)),$BB$10:$BB$141)</f>
        <v>#REF!</v>
      </c>
      <c r="U244" s="155" t="e">
        <f>WORKDAY(V244,-INDEX(V$2:V$5,MATCH($I244,$I$2:$I$5,0)),$BB$10:$BB$141)</f>
        <v>#REF!</v>
      </c>
      <c r="V244" s="155" t="e">
        <f>WORKDAY(W244,-INDEX(W$2:W$5,MATCH($I244,$I$2:$I$5,0)),$BB$10:$BB$141)</f>
        <v>#REF!</v>
      </c>
      <c r="W244" s="155" t="e">
        <f>WORKDAY(#REF!,-INDEX(#REF!,MATCH($I244,$I$2:$I$5,0)),$BB$10:$BB$141)</f>
        <v>#REF!</v>
      </c>
      <c r="X244" s="155" t="e">
        <f>WORKDAY(Y244,-INDEX(Y$2:Y$5,MATCH($I244,$I$2:$I$5,0)),$BB$10:$BB$141)</f>
        <v>#REF!</v>
      </c>
      <c r="Y244" s="155" t="e">
        <f>WORKDAY(Z244,-INDEX(Z$2:Z$5,MATCH($I244,$I$2:$I$5,0)),$BB$10:$BB$141)</f>
        <v>#REF!</v>
      </c>
      <c r="Z244" s="155" t="e">
        <f>WORKDAY(AA244,-INDEX(AA$2:AA$5,MATCH($I244,$I$2:$I$5,0)),$BB$10:$BB$141)</f>
        <v>#REF!</v>
      </c>
      <c r="AA244" s="155" t="e">
        <f>WORKDAY(#REF!,-INDEX(#REF!,MATCH($I244,$I$2:$I$5,0)),$BB$10:$BB$141)</f>
        <v>#REF!</v>
      </c>
      <c r="AB244" s="155">
        <f>WORKDAY(AG244,0,'[35]Equipment List and MR List (3)'!$A$2:$A$80)</f>
        <v>0</v>
      </c>
      <c r="AC244" s="657" t="s">
        <v>4840</v>
      </c>
      <c r="AD244" s="87">
        <v>7</v>
      </c>
      <c r="AE244" s="663">
        <v>121</v>
      </c>
      <c r="AF244" s="666" t="e">
        <f>AB245</f>
        <v>#REF!</v>
      </c>
      <c r="AG244" s="669"/>
      <c r="AH244" s="88"/>
      <c r="AI244" s="89"/>
      <c r="AJ244" s="672" t="e">
        <f>AG244-AF244</f>
        <v>#REF!</v>
      </c>
      <c r="AK244" s="131"/>
      <c r="AL244" s="132"/>
      <c r="AM244" s="133">
        <f t="shared" si="457"/>
        <v>0.95</v>
      </c>
      <c r="AN244" s="134">
        <f t="shared" si="457"/>
        <v>0.95</v>
      </c>
      <c r="AO244" s="134">
        <f t="shared" si="457"/>
        <v>0.95</v>
      </c>
      <c r="AP244" s="134">
        <f t="shared" si="457"/>
        <v>0.95</v>
      </c>
      <c r="AQ244" s="134">
        <f t="shared" si="457"/>
        <v>0.95</v>
      </c>
      <c r="AR244" s="134">
        <f t="shared" si="457"/>
        <v>0.95</v>
      </c>
      <c r="AS244" s="134">
        <f t="shared" si="457"/>
        <v>0.95</v>
      </c>
      <c r="AT244" s="134">
        <f t="shared" si="457"/>
        <v>0.95</v>
      </c>
      <c r="AU244" s="134">
        <f t="shared" si="457"/>
        <v>0.95</v>
      </c>
      <c r="AV244" s="134">
        <f t="shared" si="457"/>
        <v>0.95</v>
      </c>
      <c r="AW244" s="134">
        <f t="shared" ca="1" si="457"/>
        <v>0.95</v>
      </c>
      <c r="BB244" s="135"/>
    </row>
    <row r="245" spans="1:54" s="21" customFormat="1" ht="18" customHeight="1">
      <c r="A245" s="643"/>
      <c r="B245" s="156"/>
      <c r="C245" s="652"/>
      <c r="D245" s="96" t="str">
        <f>D244</f>
        <v>INT</v>
      </c>
      <c r="E245" s="136" t="str">
        <f t="shared" ref="E245:F245" si="464">E244</f>
        <v>RFQ-054</v>
      </c>
      <c r="F245" s="137" t="str">
        <f t="shared" si="464"/>
        <v>N</v>
      </c>
      <c r="G245" s="159"/>
      <c r="H245" s="98" t="str">
        <f>H244</f>
        <v>Instrument Cable Glands</v>
      </c>
      <c r="I245" s="136" t="str">
        <f t="shared" ref="I245" si="465">I244</f>
        <v>LD</v>
      </c>
      <c r="J245" s="137"/>
      <c r="K245" s="138"/>
      <c r="L245" s="138">
        <f>M246</f>
        <v>1E-3</v>
      </c>
      <c r="M245" s="138"/>
      <c r="N245" s="136"/>
      <c r="O245" s="136"/>
      <c r="P245" s="136"/>
      <c r="Q245" s="139" t="s">
        <v>4841</v>
      </c>
      <c r="R245" s="139"/>
      <c r="S245" s="140" t="e">
        <f>S244</f>
        <v>#REF!</v>
      </c>
      <c r="T245" s="141" t="e">
        <f>T244</f>
        <v>#REF!</v>
      </c>
      <c r="U245" s="141" t="e">
        <f>WORKDAY(IF(T246="",T245,T246),INDEX(U$2:U$5,MATCH($I244,$I$2:$I$5,0)),$BB$10:$BB$141)</f>
        <v>#REF!</v>
      </c>
      <c r="V245" s="141" t="e">
        <f>WORKDAY(IF(U246="",U245,U246),INDEX(V$2:V$5,MATCH($I244,$I$2:$I$5,0)),$BB$10:$BB$141)</f>
        <v>#REF!</v>
      </c>
      <c r="W245" s="141" t="e">
        <f>WORKDAY(IF(V246="",V245,V246),INDEX(W$2:W$5,MATCH($I244,$I$2:$I$5,0)),$BB$10:$BB$141)</f>
        <v>#REF!</v>
      </c>
      <c r="X245" s="141" t="e">
        <f>WORKDAY(IF(#REF!="",#REF!,#REF!),INDEX(X$2:X$5,MATCH($I244,$I$2:$I$5,0)),$BB$10:$BB$141)</f>
        <v>#REF!</v>
      </c>
      <c r="Y245" s="141" t="e">
        <f>WORKDAY(IF(X246="",X245,X246),INDEX(Y$2:Y$5,MATCH($I244,$I$2:$I$5,0)),$BB$10:$BB$141)</f>
        <v>#REF!</v>
      </c>
      <c r="Z245" s="141" t="e">
        <f>WORKDAY(IF(Y246="",Y245,Y246),INDEX(Z$2:Z$5,MATCH($I244,$I$2:$I$5,0)),$BB$10:$BB$141)</f>
        <v>#REF!</v>
      </c>
      <c r="AA245" s="141" t="e">
        <f>WORKDAY(IF(Z246="",Z245,Z246),INDEX(AA$2:AA$5,MATCH($I244,$I$2:$I$5,0)),$BB$10:$BB$141)</f>
        <v>#REF!</v>
      </c>
      <c r="AB245" s="142" t="e">
        <f>AE244+#REF!</f>
        <v>#REF!</v>
      </c>
      <c r="AC245" s="658"/>
      <c r="AD245" s="105"/>
      <c r="AE245" s="664"/>
      <c r="AF245" s="667"/>
      <c r="AG245" s="670"/>
      <c r="AH245" s="106"/>
      <c r="AI245" s="107"/>
      <c r="AJ245" s="673"/>
      <c r="AK245" s="143"/>
      <c r="AL245" s="144"/>
      <c r="AM245" s="133">
        <f t="shared" si="457"/>
        <v>0</v>
      </c>
      <c r="AN245" s="134">
        <f t="shared" si="457"/>
        <v>0</v>
      </c>
      <c r="AO245" s="134">
        <f t="shared" si="457"/>
        <v>0</v>
      </c>
      <c r="AP245" s="134">
        <f t="shared" si="457"/>
        <v>0</v>
      </c>
      <c r="AQ245" s="134">
        <f t="shared" si="457"/>
        <v>0</v>
      </c>
      <c r="AR245" s="134">
        <f t="shared" si="457"/>
        <v>0</v>
      </c>
      <c r="AS245" s="134">
        <f t="shared" si="457"/>
        <v>0</v>
      </c>
      <c r="AT245" s="134">
        <f t="shared" si="457"/>
        <v>0</v>
      </c>
      <c r="AU245" s="134">
        <f t="shared" si="457"/>
        <v>0</v>
      </c>
      <c r="AV245" s="134">
        <f t="shared" si="457"/>
        <v>0</v>
      </c>
      <c r="AW245" s="134">
        <f t="shared" ca="1" si="457"/>
        <v>0</v>
      </c>
      <c r="BB245" s="135"/>
    </row>
    <row r="246" spans="1:54" s="21" customFormat="1" ht="18" customHeight="1">
      <c r="A246" s="644"/>
      <c r="B246" s="157"/>
      <c r="C246" s="653"/>
      <c r="D246" s="111" t="str">
        <f>D244</f>
        <v>INT</v>
      </c>
      <c r="E246" s="145" t="str">
        <f>E244</f>
        <v>RFQ-054</v>
      </c>
      <c r="F246" s="146" t="str">
        <f t="shared" ref="F246" si="466">F244</f>
        <v>N</v>
      </c>
      <c r="G246" s="160"/>
      <c r="H246" s="113" t="str">
        <f>H244</f>
        <v>Instrument Cable Glands</v>
      </c>
      <c r="I246" s="145" t="str">
        <f t="shared" ref="I246" si="467">I244</f>
        <v>LD</v>
      </c>
      <c r="J246" s="146"/>
      <c r="K246" s="147"/>
      <c r="L246" s="147"/>
      <c r="M246" s="147">
        <v>1E-3</v>
      </c>
      <c r="N246" s="145"/>
      <c r="O246" s="145"/>
      <c r="P246" s="145"/>
      <c r="Q246" s="148" t="s">
        <v>4842</v>
      </c>
      <c r="R246" s="148"/>
      <c r="S246" s="149"/>
      <c r="T246" s="149"/>
      <c r="U246" s="149"/>
      <c r="V246" s="149"/>
      <c r="W246" s="149"/>
      <c r="X246" s="149"/>
      <c r="Y246" s="149"/>
      <c r="Z246" s="149"/>
      <c r="AA246" s="149"/>
      <c r="AB246" s="149"/>
      <c r="AC246" s="659"/>
      <c r="AD246" s="116"/>
      <c r="AE246" s="665"/>
      <c r="AF246" s="668"/>
      <c r="AG246" s="671"/>
      <c r="AH246" s="117"/>
      <c r="AI246" s="118"/>
      <c r="AJ246" s="674"/>
      <c r="AK246" s="150"/>
      <c r="AL246" s="151"/>
      <c r="AM246" s="152">
        <f t="shared" si="457"/>
        <v>0</v>
      </c>
      <c r="AN246" s="153">
        <f t="shared" si="457"/>
        <v>0</v>
      </c>
      <c r="AO246" s="153">
        <f t="shared" si="457"/>
        <v>0</v>
      </c>
      <c r="AP246" s="153">
        <f t="shared" si="457"/>
        <v>0</v>
      </c>
      <c r="AQ246" s="153">
        <f t="shared" si="457"/>
        <v>0</v>
      </c>
      <c r="AR246" s="153">
        <f t="shared" si="457"/>
        <v>0</v>
      </c>
      <c r="AS246" s="153">
        <f t="shared" si="457"/>
        <v>0</v>
      </c>
      <c r="AT246" s="153">
        <f t="shared" si="457"/>
        <v>0</v>
      </c>
      <c r="AU246" s="153">
        <f t="shared" si="457"/>
        <v>0</v>
      </c>
      <c r="AV246" s="153">
        <f t="shared" si="457"/>
        <v>0</v>
      </c>
      <c r="AW246" s="153">
        <f t="shared" ca="1" si="457"/>
        <v>0</v>
      </c>
      <c r="BB246" s="135"/>
    </row>
    <row r="247" spans="1:54" s="21" customFormat="1" ht="18" customHeight="1">
      <c r="A247" s="642">
        <f t="shared" ref="A247" si="468">A244+1</f>
        <v>80</v>
      </c>
      <c r="B247" s="154" t="s">
        <v>4901</v>
      </c>
      <c r="C247" s="651" t="s">
        <v>4836</v>
      </c>
      <c r="D247" s="80" t="s">
        <v>4920</v>
      </c>
      <c r="E247" s="127" t="s">
        <v>4898</v>
      </c>
      <c r="F247" s="128" t="s">
        <v>71</v>
      </c>
      <c r="G247" s="158"/>
      <c r="H247" s="82" t="s">
        <v>4925</v>
      </c>
      <c r="I247" s="127" t="s">
        <v>9</v>
      </c>
      <c r="J247" s="128"/>
      <c r="K247" s="129">
        <f>M249</f>
        <v>1E-3</v>
      </c>
      <c r="L247" s="129"/>
      <c r="M247" s="129"/>
      <c r="N247" s="127"/>
      <c r="O247" s="127"/>
      <c r="P247" s="127"/>
      <c r="Q247" s="130" t="s">
        <v>4839</v>
      </c>
      <c r="R247" s="130"/>
      <c r="S247" s="155" t="e">
        <f>WORKDAY(T247,-INDEX(T$2:T$5,MATCH($I247,$I$2:$I$5,0)),'[35]Equipment List and MR List (3)'!$A$2:$A$80)</f>
        <v>#REF!</v>
      </c>
      <c r="T247" s="155" t="e">
        <f>WORKDAY(U247,-INDEX(U$2:U$5,MATCH($I247,$I$2:$I$5,0)),$BB$10:$BB$141)</f>
        <v>#REF!</v>
      </c>
      <c r="U247" s="155" t="e">
        <f>WORKDAY(V247,-INDEX(V$2:V$5,MATCH($I247,$I$2:$I$5,0)),$BB$10:$BB$141)</f>
        <v>#REF!</v>
      </c>
      <c r="V247" s="155" t="e">
        <f>WORKDAY(W247,-INDEX(W$2:W$5,MATCH($I247,$I$2:$I$5,0)),$BB$10:$BB$141)</f>
        <v>#REF!</v>
      </c>
      <c r="W247" s="155" t="e">
        <f>WORKDAY(#REF!,-INDEX(#REF!,MATCH($I247,$I$2:$I$5,0)),$BB$10:$BB$141)</f>
        <v>#REF!</v>
      </c>
      <c r="X247" s="155" t="e">
        <f>WORKDAY(Y247,-INDEX(Y$2:Y$5,MATCH($I247,$I$2:$I$5,0)),$BB$10:$BB$141)</f>
        <v>#REF!</v>
      </c>
      <c r="Y247" s="155" t="e">
        <f>WORKDAY(Z247,-INDEX(Z$2:Z$5,MATCH($I247,$I$2:$I$5,0)),$BB$10:$BB$141)</f>
        <v>#REF!</v>
      </c>
      <c r="Z247" s="155" t="e">
        <f>WORKDAY(AA247,-INDEX(AA$2:AA$5,MATCH($I247,$I$2:$I$5,0)),$BB$10:$BB$141)</f>
        <v>#REF!</v>
      </c>
      <c r="AA247" s="155" t="e">
        <f>WORKDAY(#REF!,-INDEX(#REF!,MATCH($I247,$I$2:$I$5,0)),$BB$10:$BB$141)</f>
        <v>#REF!</v>
      </c>
      <c r="AB247" s="155">
        <f>WORKDAY(AG247,0,'[35]Equipment List and MR List (3)'!$A$2:$A$80)</f>
        <v>0</v>
      </c>
      <c r="AC247" s="657" t="s">
        <v>4840</v>
      </c>
      <c r="AD247" s="87">
        <v>7</v>
      </c>
      <c r="AE247" s="663">
        <v>121</v>
      </c>
      <c r="AF247" s="666" t="e">
        <f>AB248</f>
        <v>#REF!</v>
      </c>
      <c r="AG247" s="669"/>
      <c r="AH247" s="88"/>
      <c r="AI247" s="89"/>
      <c r="AJ247" s="672" t="e">
        <f>AG247-AF247</f>
        <v>#REF!</v>
      </c>
      <c r="AK247" s="131"/>
      <c r="AL247" s="132"/>
      <c r="AM247" s="133">
        <f t="shared" si="457"/>
        <v>0.95</v>
      </c>
      <c r="AN247" s="134">
        <f t="shared" si="457"/>
        <v>0.95</v>
      </c>
      <c r="AO247" s="134">
        <f t="shared" si="457"/>
        <v>0.95</v>
      </c>
      <c r="AP247" s="134">
        <f t="shared" si="457"/>
        <v>0.95</v>
      </c>
      <c r="AQ247" s="134">
        <f t="shared" si="457"/>
        <v>0.95</v>
      </c>
      <c r="AR247" s="134">
        <f t="shared" si="457"/>
        <v>0.95</v>
      </c>
      <c r="AS247" s="134">
        <f t="shared" si="457"/>
        <v>0.95</v>
      </c>
      <c r="AT247" s="134">
        <f t="shared" si="457"/>
        <v>0.95</v>
      </c>
      <c r="AU247" s="134">
        <f t="shared" si="457"/>
        <v>0.95</v>
      </c>
      <c r="AV247" s="134">
        <f t="shared" si="457"/>
        <v>0.95</v>
      </c>
      <c r="AW247" s="134">
        <f t="shared" ca="1" si="457"/>
        <v>0.95</v>
      </c>
      <c r="BB247" s="135"/>
    </row>
    <row r="248" spans="1:54" s="21" customFormat="1" ht="18" customHeight="1">
      <c r="A248" s="643"/>
      <c r="B248" s="156"/>
      <c r="C248" s="652"/>
      <c r="D248" s="96" t="str">
        <f>D247</f>
        <v>INT</v>
      </c>
      <c r="E248" s="136" t="str">
        <f t="shared" ref="E248:F248" si="469">E247</f>
        <v>RFQ-054</v>
      </c>
      <c r="F248" s="137" t="str">
        <f t="shared" si="469"/>
        <v>N</v>
      </c>
      <c r="G248" s="159"/>
      <c r="H248" s="98" t="str">
        <f>H247</f>
        <v>Instrument cables</v>
      </c>
      <c r="I248" s="136" t="str">
        <f t="shared" ref="I248" si="470">I247</f>
        <v>LD</v>
      </c>
      <c r="J248" s="137"/>
      <c r="K248" s="138"/>
      <c r="L248" s="138">
        <f>M249</f>
        <v>1E-3</v>
      </c>
      <c r="M248" s="138"/>
      <c r="N248" s="136"/>
      <c r="O248" s="136"/>
      <c r="P248" s="136"/>
      <c r="Q248" s="139" t="s">
        <v>4841</v>
      </c>
      <c r="R248" s="139"/>
      <c r="S248" s="140" t="e">
        <f>S247</f>
        <v>#REF!</v>
      </c>
      <c r="T248" s="141" t="e">
        <f>T247</f>
        <v>#REF!</v>
      </c>
      <c r="U248" s="141" t="e">
        <f>WORKDAY(IF(T249="",T248,T249),INDEX(U$2:U$5,MATCH($I247,$I$2:$I$5,0)),$BB$10:$BB$141)</f>
        <v>#REF!</v>
      </c>
      <c r="V248" s="141" t="e">
        <f>WORKDAY(IF(U249="",U248,U249),INDEX(V$2:V$5,MATCH($I247,$I$2:$I$5,0)),$BB$10:$BB$141)</f>
        <v>#REF!</v>
      </c>
      <c r="W248" s="141" t="e">
        <f>WORKDAY(IF(V249="",V248,V249),INDEX(W$2:W$5,MATCH($I247,$I$2:$I$5,0)),$BB$10:$BB$141)</f>
        <v>#REF!</v>
      </c>
      <c r="X248" s="141" t="e">
        <f>WORKDAY(IF(#REF!="",#REF!,#REF!),INDEX(X$2:X$5,MATCH($I247,$I$2:$I$5,0)),$BB$10:$BB$141)</f>
        <v>#REF!</v>
      </c>
      <c r="Y248" s="141" t="e">
        <f>WORKDAY(IF(X249="",X248,X249),INDEX(Y$2:Y$5,MATCH($I247,$I$2:$I$5,0)),$BB$10:$BB$141)</f>
        <v>#REF!</v>
      </c>
      <c r="Z248" s="141" t="e">
        <f>WORKDAY(IF(Y249="",Y248,Y249),INDEX(Z$2:Z$5,MATCH($I247,$I$2:$I$5,0)),$BB$10:$BB$141)</f>
        <v>#REF!</v>
      </c>
      <c r="AA248" s="141" t="e">
        <f>WORKDAY(IF(Z249="",Z248,Z249),INDEX(AA$2:AA$5,MATCH($I247,$I$2:$I$5,0)),$BB$10:$BB$141)</f>
        <v>#REF!</v>
      </c>
      <c r="AB248" s="142" t="e">
        <f>AE247+#REF!</f>
        <v>#REF!</v>
      </c>
      <c r="AC248" s="658"/>
      <c r="AD248" s="105"/>
      <c r="AE248" s="664"/>
      <c r="AF248" s="667"/>
      <c r="AG248" s="670"/>
      <c r="AH248" s="106"/>
      <c r="AI248" s="107"/>
      <c r="AJ248" s="673"/>
      <c r="AK248" s="143"/>
      <c r="AL248" s="144"/>
      <c r="AM248" s="133">
        <f t="shared" si="457"/>
        <v>0</v>
      </c>
      <c r="AN248" s="134">
        <f t="shared" si="457"/>
        <v>0</v>
      </c>
      <c r="AO248" s="134">
        <f t="shared" si="457"/>
        <v>0</v>
      </c>
      <c r="AP248" s="134">
        <f t="shared" si="457"/>
        <v>0</v>
      </c>
      <c r="AQ248" s="134">
        <f t="shared" si="457"/>
        <v>0</v>
      </c>
      <c r="AR248" s="134">
        <f t="shared" si="457"/>
        <v>0</v>
      </c>
      <c r="AS248" s="134">
        <f t="shared" si="457"/>
        <v>0</v>
      </c>
      <c r="AT248" s="134">
        <f t="shared" si="457"/>
        <v>0</v>
      </c>
      <c r="AU248" s="134">
        <f t="shared" si="457"/>
        <v>0</v>
      </c>
      <c r="AV248" s="134">
        <f t="shared" si="457"/>
        <v>0</v>
      </c>
      <c r="AW248" s="134">
        <f t="shared" ca="1" si="457"/>
        <v>0</v>
      </c>
      <c r="BB248" s="135"/>
    </row>
    <row r="249" spans="1:54" s="21" customFormat="1" ht="18" customHeight="1">
      <c r="A249" s="644"/>
      <c r="B249" s="157"/>
      <c r="C249" s="653"/>
      <c r="D249" s="111" t="str">
        <f>D247</f>
        <v>INT</v>
      </c>
      <c r="E249" s="145" t="str">
        <f>E247</f>
        <v>RFQ-054</v>
      </c>
      <c r="F249" s="146" t="str">
        <f t="shared" ref="F249" si="471">F247</f>
        <v>N</v>
      </c>
      <c r="G249" s="160"/>
      <c r="H249" s="113" t="str">
        <f>H247</f>
        <v>Instrument cables</v>
      </c>
      <c r="I249" s="145" t="str">
        <f t="shared" ref="I249" si="472">I247</f>
        <v>LD</v>
      </c>
      <c r="J249" s="146"/>
      <c r="K249" s="147"/>
      <c r="L249" s="147"/>
      <c r="M249" s="147">
        <v>1E-3</v>
      </c>
      <c r="N249" s="145"/>
      <c r="O249" s="145"/>
      <c r="P249" s="145"/>
      <c r="Q249" s="148" t="s">
        <v>4842</v>
      </c>
      <c r="R249" s="148"/>
      <c r="S249" s="149"/>
      <c r="T249" s="149"/>
      <c r="U249" s="149"/>
      <c r="V249" s="149"/>
      <c r="W249" s="149"/>
      <c r="X249" s="149"/>
      <c r="Y249" s="149"/>
      <c r="Z249" s="149"/>
      <c r="AA249" s="149"/>
      <c r="AB249" s="149"/>
      <c r="AC249" s="659"/>
      <c r="AD249" s="116"/>
      <c r="AE249" s="665"/>
      <c r="AF249" s="668"/>
      <c r="AG249" s="671"/>
      <c r="AH249" s="117"/>
      <c r="AI249" s="118"/>
      <c r="AJ249" s="674"/>
      <c r="AK249" s="150"/>
      <c r="AL249" s="151"/>
      <c r="AM249" s="152">
        <f t="shared" si="457"/>
        <v>0</v>
      </c>
      <c r="AN249" s="153">
        <f t="shared" si="457"/>
        <v>0</v>
      </c>
      <c r="AO249" s="153">
        <f t="shared" si="457"/>
        <v>0</v>
      </c>
      <c r="AP249" s="153">
        <f t="shared" si="457"/>
        <v>0</v>
      </c>
      <c r="AQ249" s="153">
        <f t="shared" si="457"/>
        <v>0</v>
      </c>
      <c r="AR249" s="153">
        <f t="shared" si="457"/>
        <v>0</v>
      </c>
      <c r="AS249" s="153">
        <f t="shared" si="457"/>
        <v>0</v>
      </c>
      <c r="AT249" s="153">
        <f t="shared" si="457"/>
        <v>0</v>
      </c>
      <c r="AU249" s="153">
        <f t="shared" si="457"/>
        <v>0</v>
      </c>
      <c r="AV249" s="153">
        <f t="shared" si="457"/>
        <v>0</v>
      </c>
      <c r="AW249" s="153">
        <f t="shared" ca="1" si="457"/>
        <v>0</v>
      </c>
      <c r="BB249" s="135"/>
    </row>
    <row r="250" spans="1:54" s="21" customFormat="1" ht="18" customHeight="1">
      <c r="A250" s="642">
        <f t="shared" ref="A250" si="473">A247+1</f>
        <v>81</v>
      </c>
      <c r="B250" s="154" t="s">
        <v>4901</v>
      </c>
      <c r="C250" s="651" t="s">
        <v>4836</v>
      </c>
      <c r="D250" s="80" t="s">
        <v>4863</v>
      </c>
      <c r="E250" s="127" t="s">
        <v>4898</v>
      </c>
      <c r="F250" s="128" t="s">
        <v>71</v>
      </c>
      <c r="G250" s="158"/>
      <c r="H250" s="161" t="s">
        <v>4926</v>
      </c>
      <c r="I250" s="127" t="s">
        <v>9</v>
      </c>
      <c r="J250" s="128"/>
      <c r="K250" s="129">
        <f>M252</f>
        <v>1E-3</v>
      </c>
      <c r="L250" s="129"/>
      <c r="M250" s="129"/>
      <c r="N250" s="127"/>
      <c r="O250" s="127"/>
      <c r="P250" s="127"/>
      <c r="Q250" s="130" t="s">
        <v>4839</v>
      </c>
      <c r="R250" s="130"/>
      <c r="S250" s="155" t="e">
        <f>WORKDAY(T250,-INDEX(T$2:T$5,MATCH($I250,$I$2:$I$5,0)),'[35]Equipment List and MR List (3)'!$A$2:$A$80)</f>
        <v>#REF!</v>
      </c>
      <c r="T250" s="155" t="e">
        <f>WORKDAY(U250,-INDEX(U$2:U$5,MATCH($I250,$I$2:$I$5,0)),$BB$10:$BB$141)</f>
        <v>#REF!</v>
      </c>
      <c r="U250" s="155" t="e">
        <f>WORKDAY(V250,-INDEX(V$2:V$5,MATCH($I250,$I$2:$I$5,0)),$BB$10:$BB$141)</f>
        <v>#REF!</v>
      </c>
      <c r="V250" s="155" t="e">
        <f>WORKDAY(W250,-INDEX(W$2:W$5,MATCH($I250,$I$2:$I$5,0)),$BB$10:$BB$141)</f>
        <v>#REF!</v>
      </c>
      <c r="W250" s="155" t="e">
        <f>WORKDAY(#REF!,-INDEX(#REF!,MATCH($I250,$I$2:$I$5,0)),$BB$10:$BB$141)</f>
        <v>#REF!</v>
      </c>
      <c r="X250" s="155" t="e">
        <f>WORKDAY(Y250,-INDEX(Y$2:Y$5,MATCH($I250,$I$2:$I$5,0)),$BB$10:$BB$141)</f>
        <v>#REF!</v>
      </c>
      <c r="Y250" s="155" t="e">
        <f>WORKDAY(Z250,-INDEX(Z$2:Z$5,MATCH($I250,$I$2:$I$5,0)),$BB$10:$BB$141)</f>
        <v>#REF!</v>
      </c>
      <c r="Z250" s="155" t="e">
        <f>WORKDAY(AA250,-INDEX(AA$2:AA$5,MATCH($I250,$I$2:$I$5,0)),$BB$10:$BB$141)</f>
        <v>#REF!</v>
      </c>
      <c r="AA250" s="155" t="e">
        <f>WORKDAY(#REF!,-INDEX(#REF!,MATCH($I250,$I$2:$I$5,0)),$BB$10:$BB$141)</f>
        <v>#REF!</v>
      </c>
      <c r="AB250" s="155">
        <f>WORKDAY(AG250,0,'[35]Equipment List and MR List (3)'!$A$2:$A$80)</f>
        <v>0</v>
      </c>
      <c r="AC250" s="657" t="s">
        <v>4840</v>
      </c>
      <c r="AD250" s="87">
        <v>7</v>
      </c>
      <c r="AE250" s="663">
        <v>100</v>
      </c>
      <c r="AF250" s="666" t="e">
        <f>AB251</f>
        <v>#REF!</v>
      </c>
      <c r="AG250" s="669"/>
      <c r="AH250" s="88"/>
      <c r="AI250" s="89"/>
      <c r="AJ250" s="672" t="e">
        <f>AG250-AF250</f>
        <v>#REF!</v>
      </c>
      <c r="AK250" s="131"/>
      <c r="AL250" s="132"/>
      <c r="AM250" s="133">
        <f t="shared" ref="AM250:AW259" si="474">IF(ISERROR(LOOKUP(AM$6,$S250:$AB250,$S$9:$AB$9)),0,(LOOKUP(AM$6,$S250:$AB250,$S$9:$AB$9)))</f>
        <v>0.95</v>
      </c>
      <c r="AN250" s="134">
        <f t="shared" si="474"/>
        <v>0.95</v>
      </c>
      <c r="AO250" s="134">
        <f t="shared" si="474"/>
        <v>0.95</v>
      </c>
      <c r="AP250" s="134">
        <f t="shared" si="474"/>
        <v>0.95</v>
      </c>
      <c r="AQ250" s="134">
        <f t="shared" si="474"/>
        <v>0.95</v>
      </c>
      <c r="AR250" s="134">
        <f t="shared" si="474"/>
        <v>0.95</v>
      </c>
      <c r="AS250" s="134">
        <f t="shared" si="474"/>
        <v>0.95</v>
      </c>
      <c r="AT250" s="134">
        <f t="shared" si="474"/>
        <v>0.95</v>
      </c>
      <c r="AU250" s="134">
        <f t="shared" si="474"/>
        <v>0.95</v>
      </c>
      <c r="AV250" s="134">
        <f t="shared" si="474"/>
        <v>0.95</v>
      </c>
      <c r="AW250" s="134">
        <f t="shared" ca="1" si="474"/>
        <v>0.95</v>
      </c>
      <c r="BB250" s="135"/>
    </row>
    <row r="251" spans="1:54" s="21" customFormat="1" ht="18" customHeight="1">
      <c r="A251" s="643"/>
      <c r="B251" s="156"/>
      <c r="C251" s="652"/>
      <c r="D251" s="96" t="str">
        <f>D250</f>
        <v>ELE</v>
      </c>
      <c r="E251" s="136" t="str">
        <f t="shared" ref="E251:F251" si="475">E250</f>
        <v>RFQ-054</v>
      </c>
      <c r="F251" s="137" t="str">
        <f t="shared" si="475"/>
        <v>N</v>
      </c>
      <c r="G251" s="159"/>
      <c r="H251" s="162" t="str">
        <f t="shared" ref="H251:I251" si="476">H250</f>
        <v>AC Distribution Pane</v>
      </c>
      <c r="I251" s="136" t="str">
        <f t="shared" si="476"/>
        <v>LD</v>
      </c>
      <c r="J251" s="137"/>
      <c r="K251" s="138"/>
      <c r="L251" s="138">
        <f>M252</f>
        <v>1E-3</v>
      </c>
      <c r="M251" s="138"/>
      <c r="N251" s="136"/>
      <c r="O251" s="136"/>
      <c r="P251" s="136"/>
      <c r="Q251" s="139" t="s">
        <v>4841</v>
      </c>
      <c r="R251" s="139"/>
      <c r="S251" s="140" t="e">
        <f>S250</f>
        <v>#REF!</v>
      </c>
      <c r="T251" s="141" t="e">
        <f>T250</f>
        <v>#REF!</v>
      </c>
      <c r="U251" s="141" t="e">
        <f>WORKDAY(IF(T252="",T251,T252),INDEX(U$2:U$5,MATCH($I250,$I$2:$I$5,0)),$BB$10:$BB$141)</f>
        <v>#REF!</v>
      </c>
      <c r="V251" s="141" t="e">
        <f>WORKDAY(IF(U252="",U251,U252),INDEX(V$2:V$5,MATCH($I250,$I$2:$I$5,0)),$BB$10:$BB$141)</f>
        <v>#REF!</v>
      </c>
      <c r="W251" s="141" t="e">
        <f>WORKDAY(IF(V252="",V251,V252),INDEX(W$2:W$5,MATCH($I250,$I$2:$I$5,0)),$BB$10:$BB$141)</f>
        <v>#REF!</v>
      </c>
      <c r="X251" s="141" t="e">
        <f>WORKDAY(IF(#REF!="",#REF!,#REF!),INDEX(X$2:X$5,MATCH($I250,$I$2:$I$5,0)),$BB$10:$BB$141)</f>
        <v>#REF!</v>
      </c>
      <c r="Y251" s="141" t="e">
        <f>WORKDAY(IF(X252="",X251,X252),INDEX(Y$2:Y$5,MATCH($I250,$I$2:$I$5,0)),$BB$10:$BB$141)</f>
        <v>#REF!</v>
      </c>
      <c r="Z251" s="141" t="e">
        <f>WORKDAY(IF(Y252="",Y251,Y252),INDEX(Z$2:Z$5,MATCH($I250,$I$2:$I$5,0)),$BB$10:$BB$141)</f>
        <v>#REF!</v>
      </c>
      <c r="AA251" s="141" t="e">
        <f>WORKDAY(IF(Z252="",Z251,Z252),INDEX(AA$2:AA$5,MATCH($I250,$I$2:$I$5,0)),$BB$10:$BB$141)</f>
        <v>#REF!</v>
      </c>
      <c r="AB251" s="142" t="e">
        <f>AE250+#REF!</f>
        <v>#REF!</v>
      </c>
      <c r="AC251" s="658"/>
      <c r="AD251" s="105"/>
      <c r="AE251" s="664"/>
      <c r="AF251" s="667"/>
      <c r="AG251" s="670"/>
      <c r="AH251" s="106"/>
      <c r="AI251" s="107"/>
      <c r="AJ251" s="673"/>
      <c r="AK251" s="143"/>
      <c r="AL251" s="144"/>
      <c r="AM251" s="133">
        <f t="shared" si="474"/>
        <v>0</v>
      </c>
      <c r="AN251" s="134">
        <f t="shared" si="474"/>
        <v>0</v>
      </c>
      <c r="AO251" s="134">
        <f t="shared" si="474"/>
        <v>0</v>
      </c>
      <c r="AP251" s="134">
        <f t="shared" si="474"/>
        <v>0</v>
      </c>
      <c r="AQ251" s="134">
        <f t="shared" si="474"/>
        <v>0</v>
      </c>
      <c r="AR251" s="134">
        <f t="shared" si="474"/>
        <v>0</v>
      </c>
      <c r="AS251" s="134">
        <f t="shared" si="474"/>
        <v>0</v>
      </c>
      <c r="AT251" s="134">
        <f t="shared" si="474"/>
        <v>0</v>
      </c>
      <c r="AU251" s="134">
        <f t="shared" si="474"/>
        <v>0</v>
      </c>
      <c r="AV251" s="134">
        <f t="shared" si="474"/>
        <v>0</v>
      </c>
      <c r="AW251" s="134">
        <f t="shared" ca="1" si="474"/>
        <v>0</v>
      </c>
      <c r="BB251" s="135"/>
    </row>
    <row r="252" spans="1:54" s="21" customFormat="1" ht="18" customHeight="1">
      <c r="A252" s="644"/>
      <c r="B252" s="157"/>
      <c r="C252" s="653"/>
      <c r="D252" s="111" t="str">
        <f>D250</f>
        <v>ELE</v>
      </c>
      <c r="E252" s="145" t="str">
        <f>E250</f>
        <v>RFQ-054</v>
      </c>
      <c r="F252" s="146" t="str">
        <f t="shared" ref="F252" si="477">F250</f>
        <v>N</v>
      </c>
      <c r="G252" s="160"/>
      <c r="H252" s="163" t="str">
        <f t="shared" ref="H252:I252" si="478">H250</f>
        <v>AC Distribution Pane</v>
      </c>
      <c r="I252" s="145" t="str">
        <f t="shared" si="478"/>
        <v>LD</v>
      </c>
      <c r="J252" s="146"/>
      <c r="K252" s="147"/>
      <c r="L252" s="147"/>
      <c r="M252" s="147">
        <v>1E-3</v>
      </c>
      <c r="N252" s="145"/>
      <c r="O252" s="145"/>
      <c r="P252" s="145"/>
      <c r="Q252" s="148" t="s">
        <v>4842</v>
      </c>
      <c r="R252" s="148"/>
      <c r="S252" s="149"/>
      <c r="T252" s="149"/>
      <c r="U252" s="149"/>
      <c r="V252" s="149"/>
      <c r="W252" s="149"/>
      <c r="X252" s="149"/>
      <c r="Y252" s="149"/>
      <c r="Z252" s="149"/>
      <c r="AA252" s="149"/>
      <c r="AB252" s="149"/>
      <c r="AC252" s="659"/>
      <c r="AD252" s="116"/>
      <c r="AE252" s="665"/>
      <c r="AF252" s="668"/>
      <c r="AG252" s="671"/>
      <c r="AH252" s="117"/>
      <c r="AI252" s="118"/>
      <c r="AJ252" s="674"/>
      <c r="AK252" s="150"/>
      <c r="AL252" s="151"/>
      <c r="AM252" s="152">
        <f t="shared" si="474"/>
        <v>0</v>
      </c>
      <c r="AN252" s="153">
        <f t="shared" si="474"/>
        <v>0</v>
      </c>
      <c r="AO252" s="153">
        <f t="shared" si="474"/>
        <v>0</v>
      </c>
      <c r="AP252" s="153">
        <f t="shared" si="474"/>
        <v>0</v>
      </c>
      <c r="AQ252" s="153">
        <f t="shared" si="474"/>
        <v>0</v>
      </c>
      <c r="AR252" s="153">
        <f t="shared" si="474"/>
        <v>0</v>
      </c>
      <c r="AS252" s="153">
        <f t="shared" si="474"/>
        <v>0</v>
      </c>
      <c r="AT252" s="153">
        <f t="shared" si="474"/>
        <v>0</v>
      </c>
      <c r="AU252" s="153">
        <f t="shared" si="474"/>
        <v>0</v>
      </c>
      <c r="AV252" s="153">
        <f t="shared" si="474"/>
        <v>0</v>
      </c>
      <c r="AW252" s="153">
        <f t="shared" ca="1" si="474"/>
        <v>0</v>
      </c>
      <c r="BB252" s="135"/>
    </row>
    <row r="253" spans="1:54" s="21" customFormat="1" ht="18" customHeight="1">
      <c r="A253" s="642">
        <f t="shared" ref="A253" si="479">A250+1</f>
        <v>82</v>
      </c>
      <c r="B253" s="154" t="s">
        <v>4901</v>
      </c>
      <c r="C253" s="651" t="s">
        <v>4836</v>
      </c>
      <c r="D253" s="80" t="s">
        <v>4848</v>
      </c>
      <c r="E253" s="127" t="s">
        <v>4898</v>
      </c>
      <c r="F253" s="128" t="s">
        <v>71</v>
      </c>
      <c r="G253" s="158"/>
      <c r="H253" s="161" t="s">
        <v>4915</v>
      </c>
      <c r="I253" s="127" t="s">
        <v>9</v>
      </c>
      <c r="J253" s="128"/>
      <c r="K253" s="129">
        <f>M255</f>
        <v>1E-3</v>
      </c>
      <c r="L253" s="129"/>
      <c r="M253" s="129"/>
      <c r="N253" s="127"/>
      <c r="O253" s="127"/>
      <c r="P253" s="127"/>
      <c r="Q253" s="130" t="s">
        <v>4839</v>
      </c>
      <c r="R253" s="130"/>
      <c r="S253" s="155" t="e">
        <f>WORKDAY(T253,-INDEX(T$2:T$5,MATCH($I253,$I$2:$I$5,0)),'[35]Equipment List and MR List (3)'!$A$2:$A$80)</f>
        <v>#REF!</v>
      </c>
      <c r="T253" s="155" t="e">
        <f>WORKDAY(U253,-INDEX(U$2:U$5,MATCH($I253,$I$2:$I$5,0)),$BB$10:$BB$141)</f>
        <v>#REF!</v>
      </c>
      <c r="U253" s="155" t="e">
        <f>WORKDAY(V253,-INDEX(V$2:V$5,MATCH($I253,$I$2:$I$5,0)),$BB$10:$BB$141)</f>
        <v>#REF!</v>
      </c>
      <c r="V253" s="155" t="e">
        <f>WORKDAY(W253,-INDEX(W$2:W$5,MATCH($I253,$I$2:$I$5,0)),$BB$10:$BB$141)</f>
        <v>#REF!</v>
      </c>
      <c r="W253" s="155" t="e">
        <f>WORKDAY(#REF!,-INDEX(#REF!,MATCH($I253,$I$2:$I$5,0)),$BB$10:$BB$141)</f>
        <v>#REF!</v>
      </c>
      <c r="X253" s="155" t="e">
        <f>WORKDAY(Y253,-INDEX(Y$2:Y$5,MATCH($I253,$I$2:$I$5,0)),$BB$10:$BB$141)</f>
        <v>#REF!</v>
      </c>
      <c r="Y253" s="155" t="e">
        <f>WORKDAY(Z253,-INDEX(Z$2:Z$5,MATCH($I253,$I$2:$I$5,0)),$BB$10:$BB$141)</f>
        <v>#REF!</v>
      </c>
      <c r="Z253" s="155" t="e">
        <f>WORKDAY(AA253,-INDEX(AA$2:AA$5,MATCH($I253,$I$2:$I$5,0)),$BB$10:$BB$141)</f>
        <v>#REF!</v>
      </c>
      <c r="AA253" s="155" t="e">
        <f>WORKDAY(#REF!,-INDEX(#REF!,MATCH($I253,$I$2:$I$5,0)),$BB$10:$BB$141)</f>
        <v>#REF!</v>
      </c>
      <c r="AB253" s="155">
        <f>WORKDAY(AG253,0,'[35]Equipment List and MR List (3)'!$A$2:$A$80)</f>
        <v>0</v>
      </c>
      <c r="AC253" s="657" t="s">
        <v>4840</v>
      </c>
      <c r="AD253" s="87">
        <v>7</v>
      </c>
      <c r="AE253" s="663">
        <v>100</v>
      </c>
      <c r="AF253" s="666" t="e">
        <f>AB254</f>
        <v>#REF!</v>
      </c>
      <c r="AG253" s="669"/>
      <c r="AH253" s="88"/>
      <c r="AI253" s="89"/>
      <c r="AJ253" s="672" t="e">
        <f>AG253-AF253</f>
        <v>#REF!</v>
      </c>
      <c r="AK253" s="131"/>
      <c r="AL253" s="132"/>
      <c r="AM253" s="133">
        <f t="shared" si="474"/>
        <v>0.95</v>
      </c>
      <c r="AN253" s="134">
        <f t="shared" si="474"/>
        <v>0.95</v>
      </c>
      <c r="AO253" s="134">
        <f t="shared" si="474"/>
        <v>0.95</v>
      </c>
      <c r="AP253" s="134">
        <f t="shared" si="474"/>
        <v>0.95</v>
      </c>
      <c r="AQ253" s="134">
        <f t="shared" si="474"/>
        <v>0.95</v>
      </c>
      <c r="AR253" s="134">
        <f t="shared" si="474"/>
        <v>0.95</v>
      </c>
      <c r="AS253" s="134">
        <f t="shared" si="474"/>
        <v>0.95</v>
      </c>
      <c r="AT253" s="134">
        <f t="shared" si="474"/>
        <v>0.95</v>
      </c>
      <c r="AU253" s="134">
        <f t="shared" si="474"/>
        <v>0.95</v>
      </c>
      <c r="AV253" s="134">
        <f t="shared" si="474"/>
        <v>0.95</v>
      </c>
      <c r="AW253" s="134">
        <f t="shared" ca="1" si="474"/>
        <v>0.95</v>
      </c>
      <c r="BB253" s="135"/>
    </row>
    <row r="254" spans="1:54" s="21" customFormat="1" ht="18" customHeight="1">
      <c r="A254" s="643"/>
      <c r="B254" s="156"/>
      <c r="C254" s="652"/>
      <c r="D254" s="96" t="str">
        <f>D253</f>
        <v>PIP</v>
      </c>
      <c r="E254" s="136" t="str">
        <f t="shared" ref="E254:F254" si="480">E253</f>
        <v>RFQ-054</v>
      </c>
      <c r="F254" s="137" t="str">
        <f t="shared" si="480"/>
        <v>N</v>
      </c>
      <c r="G254" s="159"/>
      <c r="H254" s="162" t="str">
        <f t="shared" ref="H254:I254" si="481">H253</f>
        <v>SS &amp; DSS FITTING</v>
      </c>
      <c r="I254" s="136" t="str">
        <f t="shared" si="481"/>
        <v>LD</v>
      </c>
      <c r="J254" s="137"/>
      <c r="K254" s="138"/>
      <c r="L254" s="138">
        <f>M255</f>
        <v>1E-3</v>
      </c>
      <c r="M254" s="138"/>
      <c r="N254" s="136"/>
      <c r="O254" s="136"/>
      <c r="P254" s="136"/>
      <c r="Q254" s="139" t="s">
        <v>4841</v>
      </c>
      <c r="R254" s="139"/>
      <c r="S254" s="140" t="e">
        <f>S253</f>
        <v>#REF!</v>
      </c>
      <c r="T254" s="141" t="e">
        <f>T253</f>
        <v>#REF!</v>
      </c>
      <c r="U254" s="141" t="e">
        <f>WORKDAY(IF(T255="",T254,T255),INDEX(U$2:U$5,MATCH($I253,$I$2:$I$5,0)),$BB$10:$BB$141)</f>
        <v>#REF!</v>
      </c>
      <c r="V254" s="141" t="e">
        <f>WORKDAY(IF(U255="",U254,U255),INDEX(V$2:V$5,MATCH($I253,$I$2:$I$5,0)),$BB$10:$BB$141)</f>
        <v>#REF!</v>
      </c>
      <c r="W254" s="141" t="e">
        <f>WORKDAY(IF(V255="",V254,V255),INDEX(W$2:W$5,MATCH($I253,$I$2:$I$5,0)),$BB$10:$BB$141)</f>
        <v>#REF!</v>
      </c>
      <c r="X254" s="141" t="e">
        <f>WORKDAY(IF(#REF!="",#REF!,#REF!),INDEX(X$2:X$5,MATCH($I253,$I$2:$I$5,0)),$BB$10:$BB$141)</f>
        <v>#REF!</v>
      </c>
      <c r="Y254" s="141" t="e">
        <f>WORKDAY(IF(X255="",X254,X255),INDEX(Y$2:Y$5,MATCH($I253,$I$2:$I$5,0)),$BB$10:$BB$141)</f>
        <v>#REF!</v>
      </c>
      <c r="Z254" s="141" t="e">
        <f>WORKDAY(IF(Y255="",Y254,Y255),INDEX(Z$2:Z$5,MATCH($I253,$I$2:$I$5,0)),$BB$10:$BB$141)</f>
        <v>#REF!</v>
      </c>
      <c r="AA254" s="141" t="e">
        <f>WORKDAY(IF(Z255="",Z254,Z255),INDEX(AA$2:AA$5,MATCH($I253,$I$2:$I$5,0)),$BB$10:$BB$141)</f>
        <v>#REF!</v>
      </c>
      <c r="AB254" s="142" t="e">
        <f>AE253+#REF!</f>
        <v>#REF!</v>
      </c>
      <c r="AC254" s="658"/>
      <c r="AD254" s="105"/>
      <c r="AE254" s="664"/>
      <c r="AF254" s="667"/>
      <c r="AG254" s="670"/>
      <c r="AH254" s="106"/>
      <c r="AI254" s="107"/>
      <c r="AJ254" s="673"/>
      <c r="AK254" s="143"/>
      <c r="AL254" s="144"/>
      <c r="AM254" s="133">
        <f t="shared" si="474"/>
        <v>0</v>
      </c>
      <c r="AN254" s="134">
        <f t="shared" si="474"/>
        <v>0</v>
      </c>
      <c r="AO254" s="134">
        <f t="shared" si="474"/>
        <v>0</v>
      </c>
      <c r="AP254" s="134">
        <f t="shared" si="474"/>
        <v>0</v>
      </c>
      <c r="AQ254" s="134">
        <f t="shared" si="474"/>
        <v>0</v>
      </c>
      <c r="AR254" s="134">
        <f t="shared" si="474"/>
        <v>0</v>
      </c>
      <c r="AS254" s="134">
        <f t="shared" si="474"/>
        <v>0</v>
      </c>
      <c r="AT254" s="134">
        <f t="shared" si="474"/>
        <v>0</v>
      </c>
      <c r="AU254" s="134">
        <f t="shared" si="474"/>
        <v>0</v>
      </c>
      <c r="AV254" s="134">
        <f t="shared" si="474"/>
        <v>0</v>
      </c>
      <c r="AW254" s="134">
        <f t="shared" ca="1" si="474"/>
        <v>0</v>
      </c>
      <c r="BB254" s="135"/>
    </row>
    <row r="255" spans="1:54" s="21" customFormat="1" ht="18" customHeight="1">
      <c r="A255" s="644"/>
      <c r="B255" s="157"/>
      <c r="C255" s="653"/>
      <c r="D255" s="111" t="str">
        <f>D253</f>
        <v>PIP</v>
      </c>
      <c r="E255" s="145" t="str">
        <f>E253</f>
        <v>RFQ-054</v>
      </c>
      <c r="F255" s="146" t="str">
        <f t="shared" ref="F255" si="482">F253</f>
        <v>N</v>
      </c>
      <c r="G255" s="160"/>
      <c r="H255" s="163" t="str">
        <f t="shared" ref="H255:I255" si="483">H253</f>
        <v>SS &amp; DSS FITTING</v>
      </c>
      <c r="I255" s="145" t="str">
        <f t="shared" si="483"/>
        <v>LD</v>
      </c>
      <c r="J255" s="146"/>
      <c r="K255" s="147"/>
      <c r="L255" s="147"/>
      <c r="M255" s="147">
        <v>1E-3</v>
      </c>
      <c r="N255" s="145"/>
      <c r="O255" s="145"/>
      <c r="P255" s="145"/>
      <c r="Q255" s="148" t="s">
        <v>4842</v>
      </c>
      <c r="R255" s="148"/>
      <c r="S255" s="149"/>
      <c r="T255" s="149"/>
      <c r="U255" s="149"/>
      <c r="V255" s="149"/>
      <c r="W255" s="149"/>
      <c r="X255" s="149"/>
      <c r="Y255" s="149"/>
      <c r="Z255" s="149"/>
      <c r="AA255" s="149"/>
      <c r="AB255" s="149"/>
      <c r="AC255" s="659"/>
      <c r="AD255" s="116"/>
      <c r="AE255" s="665"/>
      <c r="AF255" s="668"/>
      <c r="AG255" s="671"/>
      <c r="AH255" s="117"/>
      <c r="AI255" s="118"/>
      <c r="AJ255" s="674"/>
      <c r="AK255" s="150"/>
      <c r="AL255" s="151"/>
      <c r="AM255" s="152">
        <f t="shared" si="474"/>
        <v>0</v>
      </c>
      <c r="AN255" s="153">
        <f t="shared" si="474"/>
        <v>0</v>
      </c>
      <c r="AO255" s="153">
        <f t="shared" si="474"/>
        <v>0</v>
      </c>
      <c r="AP255" s="153">
        <f t="shared" si="474"/>
        <v>0</v>
      </c>
      <c r="AQ255" s="153">
        <f t="shared" si="474"/>
        <v>0</v>
      </c>
      <c r="AR255" s="153">
        <f t="shared" si="474"/>
        <v>0</v>
      </c>
      <c r="AS255" s="153">
        <f t="shared" si="474"/>
        <v>0</v>
      </c>
      <c r="AT255" s="153">
        <f t="shared" si="474"/>
        <v>0</v>
      </c>
      <c r="AU255" s="153">
        <f t="shared" si="474"/>
        <v>0</v>
      </c>
      <c r="AV255" s="153">
        <f t="shared" si="474"/>
        <v>0</v>
      </c>
      <c r="AW255" s="153">
        <f t="shared" ca="1" si="474"/>
        <v>0</v>
      </c>
      <c r="BB255" s="135"/>
    </row>
    <row r="256" spans="1:54" s="21" customFormat="1" ht="18" customHeight="1">
      <c r="A256" s="642">
        <f t="shared" ref="A256" si="484">A253+1</f>
        <v>83</v>
      </c>
      <c r="B256" s="154" t="s">
        <v>4901</v>
      </c>
      <c r="C256" s="651" t="s">
        <v>4836</v>
      </c>
      <c r="D256" s="80" t="s">
        <v>4848</v>
      </c>
      <c r="E256" s="127" t="s">
        <v>4898</v>
      </c>
      <c r="F256" s="128" t="s">
        <v>71</v>
      </c>
      <c r="G256" s="158"/>
      <c r="H256" s="161" t="s">
        <v>267</v>
      </c>
      <c r="I256" s="127" t="s">
        <v>9</v>
      </c>
      <c r="J256" s="128"/>
      <c r="K256" s="129">
        <f>M258</f>
        <v>1E-3</v>
      </c>
      <c r="L256" s="129"/>
      <c r="M256" s="129"/>
      <c r="N256" s="127"/>
      <c r="O256" s="127"/>
      <c r="P256" s="127"/>
      <c r="Q256" s="130" t="s">
        <v>4839</v>
      </c>
      <c r="R256" s="130"/>
      <c r="S256" s="155" t="e">
        <f>WORKDAY(T256,-INDEX(T$2:T$5,MATCH($I256,$I$2:$I$5,0)),'[35]Equipment List and MR List (3)'!$A$2:$A$80)</f>
        <v>#REF!</v>
      </c>
      <c r="T256" s="155" t="e">
        <f>WORKDAY(U256,-INDEX(U$2:U$5,MATCH($I256,$I$2:$I$5,0)),$BB$10:$BB$141)</f>
        <v>#REF!</v>
      </c>
      <c r="U256" s="155" t="e">
        <f>WORKDAY(V256,-INDEX(V$2:V$5,MATCH($I256,$I$2:$I$5,0)),$BB$10:$BB$141)</f>
        <v>#REF!</v>
      </c>
      <c r="V256" s="155" t="e">
        <f>WORKDAY(W256,-INDEX(W$2:W$5,MATCH($I256,$I$2:$I$5,0)),$BB$10:$BB$141)</f>
        <v>#REF!</v>
      </c>
      <c r="W256" s="155" t="e">
        <f>WORKDAY(#REF!,-INDEX(#REF!,MATCH($I256,$I$2:$I$5,0)),$BB$10:$BB$141)</f>
        <v>#REF!</v>
      </c>
      <c r="X256" s="155" t="e">
        <f>WORKDAY(Y256,-INDEX(Y$2:Y$5,MATCH($I256,$I$2:$I$5,0)),$BB$10:$BB$141)</f>
        <v>#REF!</v>
      </c>
      <c r="Y256" s="155" t="e">
        <f>WORKDAY(Z256,-INDEX(Z$2:Z$5,MATCH($I256,$I$2:$I$5,0)),$BB$10:$BB$141)</f>
        <v>#REF!</v>
      </c>
      <c r="Z256" s="155" t="e">
        <f>WORKDAY(AA256,-INDEX(AA$2:AA$5,MATCH($I256,$I$2:$I$5,0)),$BB$10:$BB$141)</f>
        <v>#REF!</v>
      </c>
      <c r="AA256" s="155" t="e">
        <f>WORKDAY(#REF!,-INDEX(#REF!,MATCH($I256,$I$2:$I$5,0)),$BB$10:$BB$141)</f>
        <v>#REF!</v>
      </c>
      <c r="AB256" s="155">
        <f>WORKDAY(AG256,0,'[35]Equipment List and MR List (3)'!$A$2:$A$80)</f>
        <v>0</v>
      </c>
      <c r="AC256" s="657" t="s">
        <v>4840</v>
      </c>
      <c r="AD256" s="87">
        <v>7</v>
      </c>
      <c r="AE256" s="663">
        <v>100</v>
      </c>
      <c r="AF256" s="666" t="e">
        <f>AB257</f>
        <v>#REF!</v>
      </c>
      <c r="AG256" s="669"/>
      <c r="AH256" s="88"/>
      <c r="AI256" s="89"/>
      <c r="AJ256" s="672" t="e">
        <f>AG256-AF256</f>
        <v>#REF!</v>
      </c>
      <c r="AK256" s="131"/>
      <c r="AL256" s="132"/>
      <c r="AM256" s="133">
        <f t="shared" si="474"/>
        <v>0.95</v>
      </c>
      <c r="AN256" s="134">
        <f t="shared" si="474"/>
        <v>0.95</v>
      </c>
      <c r="AO256" s="134">
        <f t="shared" si="474"/>
        <v>0.95</v>
      </c>
      <c r="AP256" s="134">
        <f t="shared" si="474"/>
        <v>0.95</v>
      </c>
      <c r="AQ256" s="134">
        <f t="shared" si="474"/>
        <v>0.95</v>
      </c>
      <c r="AR256" s="134">
        <f t="shared" si="474"/>
        <v>0.95</v>
      </c>
      <c r="AS256" s="134">
        <f t="shared" si="474"/>
        <v>0.95</v>
      </c>
      <c r="AT256" s="134">
        <f t="shared" si="474"/>
        <v>0.95</v>
      </c>
      <c r="AU256" s="134">
        <f t="shared" si="474"/>
        <v>0.95</v>
      </c>
      <c r="AV256" s="134">
        <f t="shared" si="474"/>
        <v>0.95</v>
      </c>
      <c r="AW256" s="134">
        <f t="shared" ca="1" si="474"/>
        <v>0.95</v>
      </c>
      <c r="BB256" s="135"/>
    </row>
    <row r="257" spans="1:54" s="21" customFormat="1" ht="18" customHeight="1">
      <c r="A257" s="643"/>
      <c r="B257" s="156"/>
      <c r="C257" s="652"/>
      <c r="D257" s="96" t="str">
        <f>D256</f>
        <v>PIP</v>
      </c>
      <c r="E257" s="136" t="str">
        <f>E256</f>
        <v>RFQ-054</v>
      </c>
      <c r="F257" s="137" t="str">
        <f>F256</f>
        <v>N</v>
      </c>
      <c r="G257" s="159"/>
      <c r="H257" s="162" t="str">
        <f>H256</f>
        <v>SS &amp; DSS Fitting</v>
      </c>
      <c r="I257" s="136" t="str">
        <f>I256</f>
        <v>LD</v>
      </c>
      <c r="J257" s="137"/>
      <c r="K257" s="138"/>
      <c r="L257" s="138">
        <f>M258</f>
        <v>1E-3</v>
      </c>
      <c r="M257" s="138"/>
      <c r="N257" s="136"/>
      <c r="O257" s="136"/>
      <c r="P257" s="136"/>
      <c r="Q257" s="139" t="s">
        <v>4841</v>
      </c>
      <c r="R257" s="139"/>
      <c r="S257" s="140" t="e">
        <f>S256</f>
        <v>#REF!</v>
      </c>
      <c r="T257" s="141" t="e">
        <f>T256</f>
        <v>#REF!</v>
      </c>
      <c r="U257" s="141" t="e">
        <f>WORKDAY(IF(T258="",T257,T258),INDEX(U$2:U$5,MATCH($I256,$I$2:$I$5,0)),$BB$10:$BB$141)</f>
        <v>#REF!</v>
      </c>
      <c r="V257" s="141" t="e">
        <f>WORKDAY(IF(U258="",U257,U258),INDEX(V$2:V$5,MATCH($I256,$I$2:$I$5,0)),$BB$10:$BB$141)</f>
        <v>#REF!</v>
      </c>
      <c r="W257" s="141" t="e">
        <f>WORKDAY(IF(V258="",V257,V258),INDEX(W$2:W$5,MATCH($I256,$I$2:$I$5,0)),$BB$10:$BB$141)</f>
        <v>#REF!</v>
      </c>
      <c r="X257" s="141" t="e">
        <f>WORKDAY(IF(#REF!="",#REF!,#REF!),INDEX(X$2:X$5,MATCH($I256,$I$2:$I$5,0)),$BB$10:$BB$141)</f>
        <v>#REF!</v>
      </c>
      <c r="Y257" s="141" t="e">
        <f>WORKDAY(IF(X258="",X257,X258),INDEX(Y$2:Y$5,MATCH($I256,$I$2:$I$5,0)),$BB$10:$BB$141)</f>
        <v>#REF!</v>
      </c>
      <c r="Z257" s="141" t="e">
        <f>WORKDAY(IF(Y258="",Y257,Y258),INDEX(Z$2:Z$5,MATCH($I256,$I$2:$I$5,0)),$BB$10:$BB$141)</f>
        <v>#REF!</v>
      </c>
      <c r="AA257" s="141" t="e">
        <f>WORKDAY(IF(Z258="",Z257,Z258),INDEX(AA$2:AA$5,MATCH($I256,$I$2:$I$5,0)),$BB$10:$BB$141)</f>
        <v>#REF!</v>
      </c>
      <c r="AB257" s="142" t="e">
        <f>AE256+#REF!</f>
        <v>#REF!</v>
      </c>
      <c r="AC257" s="658"/>
      <c r="AD257" s="105"/>
      <c r="AE257" s="664"/>
      <c r="AF257" s="667"/>
      <c r="AG257" s="670"/>
      <c r="AH257" s="106"/>
      <c r="AI257" s="107"/>
      <c r="AJ257" s="673"/>
      <c r="AK257" s="143"/>
      <c r="AL257" s="144"/>
      <c r="AM257" s="133">
        <f t="shared" si="474"/>
        <v>0</v>
      </c>
      <c r="AN257" s="134">
        <f t="shared" si="474"/>
        <v>0</v>
      </c>
      <c r="AO257" s="134">
        <f t="shared" si="474"/>
        <v>0</v>
      </c>
      <c r="AP257" s="134">
        <f t="shared" si="474"/>
        <v>0</v>
      </c>
      <c r="AQ257" s="134">
        <f t="shared" si="474"/>
        <v>0</v>
      </c>
      <c r="AR257" s="134">
        <f t="shared" si="474"/>
        <v>0</v>
      </c>
      <c r="AS257" s="134">
        <f t="shared" si="474"/>
        <v>0</v>
      </c>
      <c r="AT257" s="134">
        <f t="shared" si="474"/>
        <v>0</v>
      </c>
      <c r="AU257" s="134">
        <f t="shared" si="474"/>
        <v>0</v>
      </c>
      <c r="AV257" s="134">
        <f t="shared" si="474"/>
        <v>0</v>
      </c>
      <c r="AW257" s="134">
        <f t="shared" ca="1" si="474"/>
        <v>0</v>
      </c>
      <c r="BB257" s="135"/>
    </row>
    <row r="258" spans="1:54" s="21" customFormat="1" ht="18" customHeight="1">
      <c r="A258" s="644"/>
      <c r="B258" s="157"/>
      <c r="C258" s="653"/>
      <c r="D258" s="111" t="str">
        <f>D256</f>
        <v>PIP</v>
      </c>
      <c r="E258" s="145" t="str">
        <f>E256</f>
        <v>RFQ-054</v>
      </c>
      <c r="F258" s="146" t="str">
        <f>F256</f>
        <v>N</v>
      </c>
      <c r="G258" s="160"/>
      <c r="H258" s="163" t="str">
        <f>H256</f>
        <v>SS &amp; DSS Fitting</v>
      </c>
      <c r="I258" s="145" t="str">
        <f>I256</f>
        <v>LD</v>
      </c>
      <c r="J258" s="146"/>
      <c r="K258" s="147"/>
      <c r="L258" s="147"/>
      <c r="M258" s="147">
        <v>1E-3</v>
      </c>
      <c r="N258" s="145"/>
      <c r="O258" s="145"/>
      <c r="P258" s="145"/>
      <c r="Q258" s="148" t="s">
        <v>4842</v>
      </c>
      <c r="R258" s="148"/>
      <c r="S258" s="149"/>
      <c r="T258" s="149"/>
      <c r="U258" s="149"/>
      <c r="V258" s="149"/>
      <c r="W258" s="149"/>
      <c r="X258" s="149"/>
      <c r="Y258" s="149"/>
      <c r="Z258" s="149"/>
      <c r="AA258" s="149"/>
      <c r="AB258" s="149"/>
      <c r="AC258" s="659"/>
      <c r="AD258" s="116"/>
      <c r="AE258" s="665"/>
      <c r="AF258" s="668"/>
      <c r="AG258" s="671"/>
      <c r="AH258" s="117"/>
      <c r="AI258" s="118"/>
      <c r="AJ258" s="674"/>
      <c r="AK258" s="150"/>
      <c r="AL258" s="151"/>
      <c r="AM258" s="152">
        <f t="shared" si="474"/>
        <v>0</v>
      </c>
      <c r="AN258" s="153">
        <f t="shared" si="474"/>
        <v>0</v>
      </c>
      <c r="AO258" s="153">
        <f t="shared" si="474"/>
        <v>0</v>
      </c>
      <c r="AP258" s="153">
        <f t="shared" si="474"/>
        <v>0</v>
      </c>
      <c r="AQ258" s="153">
        <f t="shared" si="474"/>
        <v>0</v>
      </c>
      <c r="AR258" s="153">
        <f t="shared" si="474"/>
        <v>0</v>
      </c>
      <c r="AS258" s="153">
        <f t="shared" si="474"/>
        <v>0</v>
      </c>
      <c r="AT258" s="153">
        <f t="shared" si="474"/>
        <v>0</v>
      </c>
      <c r="AU258" s="153">
        <f t="shared" si="474"/>
        <v>0</v>
      </c>
      <c r="AV258" s="153">
        <f t="shared" si="474"/>
        <v>0</v>
      </c>
      <c r="AW258" s="153">
        <f t="shared" ca="1" si="474"/>
        <v>0</v>
      </c>
      <c r="BB258" s="135"/>
    </row>
    <row r="259" spans="1:54" s="21" customFormat="1" ht="18" customHeight="1">
      <c r="A259" s="642">
        <f t="shared" ref="A259" si="485">A256+1</f>
        <v>84</v>
      </c>
      <c r="B259" s="154" t="s">
        <v>4901</v>
      </c>
      <c r="C259" s="651" t="s">
        <v>4836</v>
      </c>
      <c r="D259" s="80" t="s">
        <v>4848</v>
      </c>
      <c r="E259" s="127" t="s">
        <v>4898</v>
      </c>
      <c r="F259" s="128" t="s">
        <v>71</v>
      </c>
      <c r="G259" s="158"/>
      <c r="H259" s="161" t="s">
        <v>4927</v>
      </c>
      <c r="I259" s="127" t="s">
        <v>9</v>
      </c>
      <c r="J259" s="128"/>
      <c r="K259" s="129">
        <f>M261</f>
        <v>1E-3</v>
      </c>
      <c r="L259" s="129"/>
      <c r="M259" s="129"/>
      <c r="N259" s="127"/>
      <c r="O259" s="127"/>
      <c r="P259" s="127"/>
      <c r="Q259" s="130" t="s">
        <v>4839</v>
      </c>
      <c r="R259" s="130"/>
      <c r="S259" s="155" t="e">
        <f>WORKDAY(T259,-INDEX(T$2:T$5,MATCH($I259,$I$2:$I$5,0)),'[35]Equipment List and MR List (3)'!$A$2:$A$80)</f>
        <v>#REF!</v>
      </c>
      <c r="T259" s="155" t="e">
        <f>WORKDAY(U259,-INDEX(U$2:U$5,MATCH($I259,$I$2:$I$5,0)),$BB$10:$BB$141)</f>
        <v>#REF!</v>
      </c>
      <c r="U259" s="155" t="e">
        <f>WORKDAY(V259,-INDEX(V$2:V$5,MATCH($I259,$I$2:$I$5,0)),$BB$10:$BB$141)</f>
        <v>#REF!</v>
      </c>
      <c r="V259" s="155" t="e">
        <f>WORKDAY(W259,-INDEX(W$2:W$5,MATCH($I259,$I$2:$I$5,0)),$BB$10:$BB$141)</f>
        <v>#REF!</v>
      </c>
      <c r="W259" s="155" t="e">
        <f>WORKDAY(#REF!,-INDEX(#REF!,MATCH($I259,$I$2:$I$5,0)),$BB$10:$BB$141)</f>
        <v>#REF!</v>
      </c>
      <c r="X259" s="155" t="e">
        <f>WORKDAY(Y259,-INDEX(Y$2:Y$5,MATCH($I259,$I$2:$I$5,0)),$BB$10:$BB$141)</f>
        <v>#REF!</v>
      </c>
      <c r="Y259" s="155" t="e">
        <f>WORKDAY(Z259,-INDEX(Z$2:Z$5,MATCH($I259,$I$2:$I$5,0)),$BB$10:$BB$141)</f>
        <v>#REF!</v>
      </c>
      <c r="Z259" s="155" t="e">
        <f>WORKDAY(AA259,-INDEX(AA$2:AA$5,MATCH($I259,$I$2:$I$5,0)),$BB$10:$BB$141)</f>
        <v>#REF!</v>
      </c>
      <c r="AA259" s="155" t="e">
        <f>WORKDAY(#REF!,-INDEX(#REF!,MATCH($I259,$I$2:$I$5,0)),$BB$10:$BB$141)</f>
        <v>#REF!</v>
      </c>
      <c r="AB259" s="155">
        <f>WORKDAY(AG259,0,'[35]Equipment List and MR List (3)'!$A$2:$A$80)</f>
        <v>0</v>
      </c>
      <c r="AC259" s="657" t="s">
        <v>4840</v>
      </c>
      <c r="AD259" s="87">
        <v>7</v>
      </c>
      <c r="AE259" s="663">
        <v>100</v>
      </c>
      <c r="AF259" s="666" t="e">
        <f>AB260</f>
        <v>#REF!</v>
      </c>
      <c r="AG259" s="669"/>
      <c r="AH259" s="88"/>
      <c r="AI259" s="89"/>
      <c r="AJ259" s="672" t="e">
        <f>AG259-AF259</f>
        <v>#REF!</v>
      </c>
      <c r="AK259" s="131"/>
      <c r="AL259" s="132"/>
      <c r="AM259" s="133">
        <f t="shared" si="474"/>
        <v>0.95</v>
      </c>
      <c r="AN259" s="134">
        <f t="shared" si="474"/>
        <v>0.95</v>
      </c>
      <c r="AO259" s="134">
        <f t="shared" si="474"/>
        <v>0.95</v>
      </c>
      <c r="AP259" s="134">
        <f t="shared" si="474"/>
        <v>0.95</v>
      </c>
      <c r="AQ259" s="134">
        <f t="shared" si="474"/>
        <v>0.95</v>
      </c>
      <c r="AR259" s="134">
        <f t="shared" si="474"/>
        <v>0.95</v>
      </c>
      <c r="AS259" s="134">
        <f t="shared" si="474"/>
        <v>0.95</v>
      </c>
      <c r="AT259" s="134">
        <f t="shared" si="474"/>
        <v>0.95</v>
      </c>
      <c r="AU259" s="134">
        <f t="shared" si="474"/>
        <v>0.95</v>
      </c>
      <c r="AV259" s="134">
        <f t="shared" si="474"/>
        <v>0.95</v>
      </c>
      <c r="AW259" s="134">
        <f t="shared" ca="1" si="474"/>
        <v>0.95</v>
      </c>
      <c r="BB259" s="135"/>
    </row>
    <row r="260" spans="1:54" s="21" customFormat="1" ht="18" customHeight="1">
      <c r="A260" s="643"/>
      <c r="B260" s="156"/>
      <c r="C260" s="652"/>
      <c r="D260" s="96" t="str">
        <f>D259</f>
        <v>PIP</v>
      </c>
      <c r="E260" s="136" t="str">
        <f t="shared" ref="E260:F260" si="486">E259</f>
        <v>RFQ-054</v>
      </c>
      <c r="F260" s="137" t="str">
        <f t="shared" si="486"/>
        <v>N</v>
      </c>
      <c r="G260" s="159"/>
      <c r="H260" s="162" t="str">
        <f t="shared" ref="H260:I260" si="487">H259</f>
        <v>CS FLANGES</v>
      </c>
      <c r="I260" s="136" t="str">
        <f t="shared" si="487"/>
        <v>LD</v>
      </c>
      <c r="J260" s="137"/>
      <c r="K260" s="138"/>
      <c r="L260" s="138">
        <f>M261</f>
        <v>1E-3</v>
      </c>
      <c r="M260" s="138"/>
      <c r="N260" s="136"/>
      <c r="O260" s="136"/>
      <c r="P260" s="136"/>
      <c r="Q260" s="139" t="s">
        <v>4841</v>
      </c>
      <c r="R260" s="139"/>
      <c r="S260" s="140" t="e">
        <f>S259</f>
        <v>#REF!</v>
      </c>
      <c r="T260" s="141" t="e">
        <f>T259</f>
        <v>#REF!</v>
      </c>
      <c r="U260" s="141" t="e">
        <f>WORKDAY(IF(T261="",T260,T261),INDEX(U$2:U$5,MATCH($I259,$I$2:$I$5,0)),$BB$10:$BB$141)</f>
        <v>#REF!</v>
      </c>
      <c r="V260" s="141" t="e">
        <f>WORKDAY(IF(U261="",U260,U261),INDEX(V$2:V$5,MATCH($I259,$I$2:$I$5,0)),$BB$10:$BB$141)</f>
        <v>#REF!</v>
      </c>
      <c r="W260" s="141" t="e">
        <f>WORKDAY(IF(V261="",V260,V261),INDEX(W$2:W$5,MATCH($I259,$I$2:$I$5,0)),$BB$10:$BB$141)</f>
        <v>#REF!</v>
      </c>
      <c r="X260" s="141" t="e">
        <f>WORKDAY(IF(#REF!="",#REF!,#REF!),INDEX(X$2:X$5,MATCH($I259,$I$2:$I$5,0)),$BB$10:$BB$141)</f>
        <v>#REF!</v>
      </c>
      <c r="Y260" s="141" t="e">
        <f>WORKDAY(IF(X261="",X260,X261),INDEX(Y$2:Y$5,MATCH($I259,$I$2:$I$5,0)),$BB$10:$BB$141)</f>
        <v>#REF!</v>
      </c>
      <c r="Z260" s="141" t="e">
        <f>WORKDAY(IF(Y261="",Y260,Y261),INDEX(Z$2:Z$5,MATCH($I259,$I$2:$I$5,0)),$BB$10:$BB$141)</f>
        <v>#REF!</v>
      </c>
      <c r="AA260" s="141" t="e">
        <f>WORKDAY(IF(Z261="",Z260,Z261),INDEX(AA$2:AA$5,MATCH($I259,$I$2:$I$5,0)),$BB$10:$BB$141)</f>
        <v>#REF!</v>
      </c>
      <c r="AB260" s="142" t="e">
        <f>AE259+#REF!</f>
        <v>#REF!</v>
      </c>
      <c r="AC260" s="658"/>
      <c r="AD260" s="105"/>
      <c r="AE260" s="664"/>
      <c r="AF260" s="667"/>
      <c r="AG260" s="670"/>
      <c r="AH260" s="106"/>
      <c r="AI260" s="107"/>
      <c r="AJ260" s="673"/>
      <c r="AK260" s="143"/>
      <c r="AL260" s="144"/>
      <c r="AM260" s="133">
        <f t="shared" ref="AM260:AW269" si="488">IF(ISERROR(LOOKUP(AM$6,$S260:$AB260,$S$9:$AB$9)),0,(LOOKUP(AM$6,$S260:$AB260,$S$9:$AB$9)))</f>
        <v>0</v>
      </c>
      <c r="AN260" s="134">
        <f t="shared" si="488"/>
        <v>0</v>
      </c>
      <c r="AO260" s="134">
        <f t="shared" si="488"/>
        <v>0</v>
      </c>
      <c r="AP260" s="134">
        <f t="shared" si="488"/>
        <v>0</v>
      </c>
      <c r="AQ260" s="134">
        <f t="shared" si="488"/>
        <v>0</v>
      </c>
      <c r="AR260" s="134">
        <f t="shared" si="488"/>
        <v>0</v>
      </c>
      <c r="AS260" s="134">
        <f t="shared" si="488"/>
        <v>0</v>
      </c>
      <c r="AT260" s="134">
        <f t="shared" si="488"/>
        <v>0</v>
      </c>
      <c r="AU260" s="134">
        <f t="shared" si="488"/>
        <v>0</v>
      </c>
      <c r="AV260" s="134">
        <f t="shared" si="488"/>
        <v>0</v>
      </c>
      <c r="AW260" s="134">
        <f t="shared" ca="1" si="488"/>
        <v>0</v>
      </c>
      <c r="BB260" s="135"/>
    </row>
    <row r="261" spans="1:54" s="21" customFormat="1" ht="18" customHeight="1">
      <c r="A261" s="644"/>
      <c r="B261" s="157"/>
      <c r="C261" s="653"/>
      <c r="D261" s="111" t="str">
        <f>D259</f>
        <v>PIP</v>
      </c>
      <c r="E261" s="145" t="str">
        <f>E259</f>
        <v>RFQ-054</v>
      </c>
      <c r="F261" s="146" t="str">
        <f t="shared" ref="F261" si="489">F259</f>
        <v>N</v>
      </c>
      <c r="G261" s="160"/>
      <c r="H261" s="163" t="str">
        <f t="shared" ref="H261:I261" si="490">H259</f>
        <v>CS FLANGES</v>
      </c>
      <c r="I261" s="145" t="str">
        <f t="shared" si="490"/>
        <v>LD</v>
      </c>
      <c r="J261" s="146"/>
      <c r="K261" s="147"/>
      <c r="L261" s="147"/>
      <c r="M261" s="147">
        <v>1E-3</v>
      </c>
      <c r="N261" s="145"/>
      <c r="O261" s="145"/>
      <c r="P261" s="145"/>
      <c r="Q261" s="148" t="s">
        <v>4842</v>
      </c>
      <c r="R261" s="148"/>
      <c r="S261" s="149"/>
      <c r="T261" s="149"/>
      <c r="U261" s="149"/>
      <c r="V261" s="149"/>
      <c r="W261" s="149"/>
      <c r="X261" s="149"/>
      <c r="Y261" s="149"/>
      <c r="Z261" s="149"/>
      <c r="AA261" s="149"/>
      <c r="AB261" s="149"/>
      <c r="AC261" s="659"/>
      <c r="AD261" s="116"/>
      <c r="AE261" s="665"/>
      <c r="AF261" s="668"/>
      <c r="AG261" s="671"/>
      <c r="AH261" s="117"/>
      <c r="AI261" s="118"/>
      <c r="AJ261" s="674"/>
      <c r="AK261" s="150"/>
      <c r="AL261" s="151"/>
      <c r="AM261" s="152">
        <f t="shared" si="488"/>
        <v>0</v>
      </c>
      <c r="AN261" s="153">
        <f t="shared" si="488"/>
        <v>0</v>
      </c>
      <c r="AO261" s="153">
        <f t="shared" si="488"/>
        <v>0</v>
      </c>
      <c r="AP261" s="153">
        <f t="shared" si="488"/>
        <v>0</v>
      </c>
      <c r="AQ261" s="153">
        <f t="shared" si="488"/>
        <v>0</v>
      </c>
      <c r="AR261" s="153">
        <f t="shared" si="488"/>
        <v>0</v>
      </c>
      <c r="AS261" s="153">
        <f t="shared" si="488"/>
        <v>0</v>
      </c>
      <c r="AT261" s="153">
        <f t="shared" si="488"/>
        <v>0</v>
      </c>
      <c r="AU261" s="153">
        <f t="shared" si="488"/>
        <v>0</v>
      </c>
      <c r="AV261" s="153">
        <f t="shared" si="488"/>
        <v>0</v>
      </c>
      <c r="AW261" s="153">
        <f t="shared" ca="1" si="488"/>
        <v>0</v>
      </c>
      <c r="BB261" s="135"/>
    </row>
    <row r="262" spans="1:54" s="21" customFormat="1" ht="18" customHeight="1">
      <c r="A262" s="642">
        <f t="shared" ref="A262" si="491">A259+1</f>
        <v>85</v>
      </c>
      <c r="B262" s="154" t="s">
        <v>4901</v>
      </c>
      <c r="C262" s="651" t="s">
        <v>4836</v>
      </c>
      <c r="D262" s="80" t="s">
        <v>4848</v>
      </c>
      <c r="E262" s="127" t="s">
        <v>4898</v>
      </c>
      <c r="F262" s="128" t="s">
        <v>71</v>
      </c>
      <c r="G262" s="158"/>
      <c r="H262" s="161" t="s">
        <v>4928</v>
      </c>
      <c r="I262" s="127" t="s">
        <v>9</v>
      </c>
      <c r="J262" s="128"/>
      <c r="K262" s="129">
        <f>M264</f>
        <v>1E-3</v>
      </c>
      <c r="L262" s="129"/>
      <c r="M262" s="129"/>
      <c r="N262" s="127"/>
      <c r="O262" s="127"/>
      <c r="P262" s="127"/>
      <c r="Q262" s="130" t="s">
        <v>4839</v>
      </c>
      <c r="R262" s="130"/>
      <c r="S262" s="155" t="e">
        <f>WORKDAY(T262,-INDEX(T$2:T$5,MATCH($I262,$I$2:$I$5,0)),'[35]Equipment List and MR List (3)'!$A$2:$A$80)</f>
        <v>#REF!</v>
      </c>
      <c r="T262" s="155" t="e">
        <f>WORKDAY(U262,-INDEX(U$2:U$5,MATCH($I262,$I$2:$I$5,0)),$BB$10:$BB$141)</f>
        <v>#REF!</v>
      </c>
      <c r="U262" s="155" t="e">
        <f>WORKDAY(V262,-INDEX(V$2:V$5,MATCH($I262,$I$2:$I$5,0)),$BB$10:$BB$141)</f>
        <v>#REF!</v>
      </c>
      <c r="V262" s="155" t="e">
        <f>WORKDAY(W262,-INDEX(W$2:W$5,MATCH($I262,$I$2:$I$5,0)),$BB$10:$BB$141)</f>
        <v>#REF!</v>
      </c>
      <c r="W262" s="155" t="e">
        <f>WORKDAY(#REF!,-INDEX(#REF!,MATCH($I262,$I$2:$I$5,0)),$BB$10:$BB$141)</f>
        <v>#REF!</v>
      </c>
      <c r="X262" s="155" t="e">
        <f>WORKDAY(Y262,-INDEX(Y$2:Y$5,MATCH($I262,$I$2:$I$5,0)),$BB$10:$BB$141)</f>
        <v>#REF!</v>
      </c>
      <c r="Y262" s="155" t="e">
        <f>WORKDAY(Z262,-INDEX(Z$2:Z$5,MATCH($I262,$I$2:$I$5,0)),$BB$10:$BB$141)</f>
        <v>#REF!</v>
      </c>
      <c r="Z262" s="155" t="e">
        <f>WORKDAY(AA262,-INDEX(AA$2:AA$5,MATCH($I262,$I$2:$I$5,0)),$BB$10:$BB$141)</f>
        <v>#REF!</v>
      </c>
      <c r="AA262" s="155" t="e">
        <f>WORKDAY(#REF!,-INDEX(#REF!,MATCH($I262,$I$2:$I$5,0)),$BB$10:$BB$141)</f>
        <v>#REF!</v>
      </c>
      <c r="AB262" s="155">
        <f>WORKDAY(AG262,0,'[35]Equipment List and MR List (3)'!$A$2:$A$80)</f>
        <v>0</v>
      </c>
      <c r="AC262" s="657" t="s">
        <v>4840</v>
      </c>
      <c r="AD262" s="87">
        <v>7</v>
      </c>
      <c r="AE262" s="663">
        <v>100</v>
      </c>
      <c r="AF262" s="666" t="e">
        <f>AB263</f>
        <v>#REF!</v>
      </c>
      <c r="AG262" s="669"/>
      <c r="AH262" s="88"/>
      <c r="AI262" s="89"/>
      <c r="AJ262" s="672" t="e">
        <f>AG262-AF262</f>
        <v>#REF!</v>
      </c>
      <c r="AK262" s="131"/>
      <c r="AL262" s="132"/>
      <c r="AM262" s="133">
        <f t="shared" si="488"/>
        <v>0.95</v>
      </c>
      <c r="AN262" s="134">
        <f t="shared" si="488"/>
        <v>0.95</v>
      </c>
      <c r="AO262" s="134">
        <f t="shared" si="488"/>
        <v>0.95</v>
      </c>
      <c r="AP262" s="134">
        <f t="shared" si="488"/>
        <v>0.95</v>
      </c>
      <c r="AQ262" s="134">
        <f t="shared" si="488"/>
        <v>0.95</v>
      </c>
      <c r="AR262" s="134">
        <f t="shared" si="488"/>
        <v>0.95</v>
      </c>
      <c r="AS262" s="134">
        <f t="shared" si="488"/>
        <v>0.95</v>
      </c>
      <c r="AT262" s="134">
        <f t="shared" si="488"/>
        <v>0.95</v>
      </c>
      <c r="AU262" s="134">
        <f t="shared" si="488"/>
        <v>0.95</v>
      </c>
      <c r="AV262" s="134">
        <f t="shared" si="488"/>
        <v>0.95</v>
      </c>
      <c r="AW262" s="134">
        <f t="shared" ca="1" si="488"/>
        <v>0.95</v>
      </c>
      <c r="BB262" s="135"/>
    </row>
    <row r="263" spans="1:54" s="21" customFormat="1" ht="18" customHeight="1">
      <c r="A263" s="643"/>
      <c r="B263" s="156"/>
      <c r="C263" s="652"/>
      <c r="D263" s="96" t="str">
        <f>D262</f>
        <v>PIP</v>
      </c>
      <c r="E263" s="136" t="str">
        <f t="shared" ref="E263:F263" si="492">E262</f>
        <v>RFQ-054</v>
      </c>
      <c r="F263" s="137" t="str">
        <f t="shared" si="492"/>
        <v>N</v>
      </c>
      <c r="G263" s="159"/>
      <c r="H263" s="162" t="str">
        <f t="shared" ref="H263:I263" si="493">H262</f>
        <v>DSS &amp; SS FLANGES</v>
      </c>
      <c r="I263" s="136" t="str">
        <f t="shared" si="493"/>
        <v>LD</v>
      </c>
      <c r="J263" s="137"/>
      <c r="K263" s="138"/>
      <c r="L263" s="138">
        <f>M264</f>
        <v>1E-3</v>
      </c>
      <c r="M263" s="138"/>
      <c r="N263" s="136"/>
      <c r="O263" s="136"/>
      <c r="P263" s="136"/>
      <c r="Q263" s="139" t="s">
        <v>4841</v>
      </c>
      <c r="R263" s="139"/>
      <c r="S263" s="140" t="e">
        <f>S262</f>
        <v>#REF!</v>
      </c>
      <c r="T263" s="141" t="e">
        <f>T262</f>
        <v>#REF!</v>
      </c>
      <c r="U263" s="141" t="e">
        <f>WORKDAY(IF(T264="",T263,T264),INDEX(U$2:U$5,MATCH($I262,$I$2:$I$5,0)),$BB$10:$BB$141)</f>
        <v>#REF!</v>
      </c>
      <c r="V263" s="141" t="e">
        <f>WORKDAY(IF(U264="",U263,U264),INDEX(V$2:V$5,MATCH($I262,$I$2:$I$5,0)),$BB$10:$BB$141)</f>
        <v>#REF!</v>
      </c>
      <c r="W263" s="141" t="e">
        <f>WORKDAY(IF(V264="",V263,V264),INDEX(W$2:W$5,MATCH($I262,$I$2:$I$5,0)),$BB$10:$BB$141)</f>
        <v>#REF!</v>
      </c>
      <c r="X263" s="141" t="e">
        <f>WORKDAY(IF(#REF!="",#REF!,#REF!),INDEX(X$2:X$5,MATCH($I262,$I$2:$I$5,0)),$BB$10:$BB$141)</f>
        <v>#REF!</v>
      </c>
      <c r="Y263" s="141" t="e">
        <f>WORKDAY(IF(X264="",X263,X264),INDEX(Y$2:Y$5,MATCH($I262,$I$2:$I$5,0)),$BB$10:$BB$141)</f>
        <v>#REF!</v>
      </c>
      <c r="Z263" s="141" t="e">
        <f>WORKDAY(IF(Y264="",Y263,Y264),INDEX(Z$2:Z$5,MATCH($I262,$I$2:$I$5,0)),$BB$10:$BB$141)</f>
        <v>#REF!</v>
      </c>
      <c r="AA263" s="141" t="e">
        <f>WORKDAY(IF(Z264="",Z263,Z264),INDEX(AA$2:AA$5,MATCH($I262,$I$2:$I$5,0)),$BB$10:$BB$141)</f>
        <v>#REF!</v>
      </c>
      <c r="AB263" s="142" t="e">
        <f>AE262+#REF!</f>
        <v>#REF!</v>
      </c>
      <c r="AC263" s="658"/>
      <c r="AD263" s="105"/>
      <c r="AE263" s="664"/>
      <c r="AF263" s="667"/>
      <c r="AG263" s="670"/>
      <c r="AH263" s="106"/>
      <c r="AI263" s="107"/>
      <c r="AJ263" s="673"/>
      <c r="AK263" s="143"/>
      <c r="AL263" s="144"/>
      <c r="AM263" s="133">
        <f t="shared" si="488"/>
        <v>0</v>
      </c>
      <c r="AN263" s="134">
        <f t="shared" si="488"/>
        <v>0</v>
      </c>
      <c r="AO263" s="134">
        <f t="shared" si="488"/>
        <v>0</v>
      </c>
      <c r="AP263" s="134">
        <f t="shared" si="488"/>
        <v>0</v>
      </c>
      <c r="AQ263" s="134">
        <f t="shared" si="488"/>
        <v>0</v>
      </c>
      <c r="AR263" s="134">
        <f t="shared" si="488"/>
        <v>0</v>
      </c>
      <c r="AS263" s="134">
        <f t="shared" si="488"/>
        <v>0</v>
      </c>
      <c r="AT263" s="134">
        <f t="shared" si="488"/>
        <v>0</v>
      </c>
      <c r="AU263" s="134">
        <f t="shared" si="488"/>
        <v>0</v>
      </c>
      <c r="AV263" s="134">
        <f t="shared" si="488"/>
        <v>0</v>
      </c>
      <c r="AW263" s="134">
        <f t="shared" ca="1" si="488"/>
        <v>0</v>
      </c>
      <c r="BB263" s="135"/>
    </row>
    <row r="264" spans="1:54" s="21" customFormat="1" ht="18" customHeight="1">
      <c r="A264" s="644"/>
      <c r="B264" s="157"/>
      <c r="C264" s="653"/>
      <c r="D264" s="111" t="str">
        <f>D262</f>
        <v>PIP</v>
      </c>
      <c r="E264" s="145" t="str">
        <f>E262</f>
        <v>RFQ-054</v>
      </c>
      <c r="F264" s="146" t="str">
        <f t="shared" ref="F264" si="494">F262</f>
        <v>N</v>
      </c>
      <c r="G264" s="160"/>
      <c r="H264" s="163" t="str">
        <f t="shared" ref="H264:I264" si="495">H262</f>
        <v>DSS &amp; SS FLANGES</v>
      </c>
      <c r="I264" s="145" t="str">
        <f t="shared" si="495"/>
        <v>LD</v>
      </c>
      <c r="J264" s="146"/>
      <c r="K264" s="147"/>
      <c r="L264" s="147"/>
      <c r="M264" s="147">
        <v>1E-3</v>
      </c>
      <c r="N264" s="145"/>
      <c r="O264" s="145"/>
      <c r="P264" s="145"/>
      <c r="Q264" s="148" t="s">
        <v>4842</v>
      </c>
      <c r="R264" s="148"/>
      <c r="S264" s="149"/>
      <c r="T264" s="149"/>
      <c r="U264" s="149"/>
      <c r="V264" s="149"/>
      <c r="W264" s="149"/>
      <c r="X264" s="149"/>
      <c r="Y264" s="149"/>
      <c r="Z264" s="149"/>
      <c r="AA264" s="149"/>
      <c r="AB264" s="149"/>
      <c r="AC264" s="659"/>
      <c r="AD264" s="116"/>
      <c r="AE264" s="665"/>
      <c r="AF264" s="668"/>
      <c r="AG264" s="671"/>
      <c r="AH264" s="117"/>
      <c r="AI264" s="118"/>
      <c r="AJ264" s="674"/>
      <c r="AK264" s="150"/>
      <c r="AL264" s="151"/>
      <c r="AM264" s="152">
        <f t="shared" si="488"/>
        <v>0</v>
      </c>
      <c r="AN264" s="153">
        <f t="shared" si="488"/>
        <v>0</v>
      </c>
      <c r="AO264" s="153">
        <f t="shared" si="488"/>
        <v>0</v>
      </c>
      <c r="AP264" s="153">
        <f t="shared" si="488"/>
        <v>0</v>
      </c>
      <c r="AQ264" s="153">
        <f t="shared" si="488"/>
        <v>0</v>
      </c>
      <c r="AR264" s="153">
        <f t="shared" si="488"/>
        <v>0</v>
      </c>
      <c r="AS264" s="153">
        <f t="shared" si="488"/>
        <v>0</v>
      </c>
      <c r="AT264" s="153">
        <f t="shared" si="488"/>
        <v>0</v>
      </c>
      <c r="AU264" s="153">
        <f t="shared" si="488"/>
        <v>0</v>
      </c>
      <c r="AV264" s="153">
        <f t="shared" si="488"/>
        <v>0</v>
      </c>
      <c r="AW264" s="153">
        <f t="shared" ca="1" si="488"/>
        <v>0</v>
      </c>
      <c r="BB264" s="135"/>
    </row>
    <row r="265" spans="1:54" s="21" customFormat="1" ht="18" customHeight="1">
      <c r="A265" s="642">
        <f t="shared" ref="A265" si="496">A262+1</f>
        <v>86</v>
      </c>
      <c r="B265" s="154" t="s">
        <v>4901</v>
      </c>
      <c r="C265" s="651" t="s">
        <v>4836</v>
      </c>
      <c r="D265" s="80" t="s">
        <v>4848</v>
      </c>
      <c r="E265" s="127" t="s">
        <v>4898</v>
      </c>
      <c r="F265" s="128" t="s">
        <v>71</v>
      </c>
      <c r="G265" s="158"/>
      <c r="H265" s="161" t="s">
        <v>4929</v>
      </c>
      <c r="I265" s="127" t="s">
        <v>9</v>
      </c>
      <c r="J265" s="128"/>
      <c r="K265" s="129">
        <f>M267</f>
        <v>1E-3</v>
      </c>
      <c r="L265" s="129"/>
      <c r="M265" s="129"/>
      <c r="N265" s="127"/>
      <c r="O265" s="127"/>
      <c r="P265" s="127"/>
      <c r="Q265" s="130" t="s">
        <v>4839</v>
      </c>
      <c r="R265" s="130"/>
      <c r="S265" s="155" t="e">
        <f>WORKDAY(T265,-INDEX(T$2:T$5,MATCH($I265,$I$2:$I$5,0)),'[35]Equipment List and MR List (3)'!$A$2:$A$80)</f>
        <v>#REF!</v>
      </c>
      <c r="T265" s="155" t="e">
        <f>WORKDAY(U265,-INDEX(U$2:U$5,MATCH($I265,$I$2:$I$5,0)),$BB$10:$BB$141)</f>
        <v>#REF!</v>
      </c>
      <c r="U265" s="155" t="e">
        <f>WORKDAY(V265,-INDEX(V$2:V$5,MATCH($I265,$I$2:$I$5,0)),$BB$10:$BB$141)</f>
        <v>#REF!</v>
      </c>
      <c r="V265" s="155" t="e">
        <f>WORKDAY(W265,-INDEX(W$2:W$5,MATCH($I265,$I$2:$I$5,0)),$BB$10:$BB$141)</f>
        <v>#REF!</v>
      </c>
      <c r="W265" s="155" t="e">
        <f>WORKDAY(#REF!,-INDEX(#REF!,MATCH($I265,$I$2:$I$5,0)),$BB$10:$BB$141)</f>
        <v>#REF!</v>
      </c>
      <c r="X265" s="155" t="e">
        <f>WORKDAY(Y265,-INDEX(Y$2:Y$5,MATCH($I265,$I$2:$I$5,0)),$BB$10:$BB$141)</f>
        <v>#REF!</v>
      </c>
      <c r="Y265" s="155" t="e">
        <f>WORKDAY(Z265,-INDEX(Z$2:Z$5,MATCH($I265,$I$2:$I$5,0)),$BB$10:$BB$141)</f>
        <v>#REF!</v>
      </c>
      <c r="Z265" s="155" t="e">
        <f>WORKDAY(AA265,-INDEX(AA$2:AA$5,MATCH($I265,$I$2:$I$5,0)),$BB$10:$BB$141)</f>
        <v>#REF!</v>
      </c>
      <c r="AA265" s="155" t="e">
        <f>WORKDAY(#REF!,-INDEX(#REF!,MATCH($I265,$I$2:$I$5,0)),$BB$10:$BB$141)</f>
        <v>#REF!</v>
      </c>
      <c r="AB265" s="155">
        <f>WORKDAY(AG265,0,'[35]Equipment List and MR List (3)'!$A$2:$A$80)</f>
        <v>0</v>
      </c>
      <c r="AC265" s="657" t="s">
        <v>4840</v>
      </c>
      <c r="AD265" s="87">
        <v>7</v>
      </c>
      <c r="AE265" s="663">
        <v>100</v>
      </c>
      <c r="AF265" s="666" t="e">
        <f>AB266</f>
        <v>#REF!</v>
      </c>
      <c r="AG265" s="669"/>
      <c r="AH265" s="88"/>
      <c r="AI265" s="89"/>
      <c r="AJ265" s="672" t="e">
        <f>AG265-AF265</f>
        <v>#REF!</v>
      </c>
      <c r="AK265" s="131"/>
      <c r="AL265" s="132"/>
      <c r="AM265" s="133">
        <f t="shared" si="488"/>
        <v>0.95</v>
      </c>
      <c r="AN265" s="134">
        <f t="shared" si="488"/>
        <v>0.95</v>
      </c>
      <c r="AO265" s="134">
        <f t="shared" si="488"/>
        <v>0.95</v>
      </c>
      <c r="AP265" s="134">
        <f t="shared" si="488"/>
        <v>0.95</v>
      </c>
      <c r="AQ265" s="134">
        <f t="shared" si="488"/>
        <v>0.95</v>
      </c>
      <c r="AR265" s="134">
        <f t="shared" si="488"/>
        <v>0.95</v>
      </c>
      <c r="AS265" s="134">
        <f t="shared" si="488"/>
        <v>0.95</v>
      </c>
      <c r="AT265" s="134">
        <f t="shared" si="488"/>
        <v>0.95</v>
      </c>
      <c r="AU265" s="134">
        <f t="shared" si="488"/>
        <v>0.95</v>
      </c>
      <c r="AV265" s="134">
        <f t="shared" si="488"/>
        <v>0.95</v>
      </c>
      <c r="AW265" s="134">
        <f t="shared" ca="1" si="488"/>
        <v>0.95</v>
      </c>
      <c r="BB265" s="135"/>
    </row>
    <row r="266" spans="1:54" s="21" customFormat="1" ht="18" customHeight="1">
      <c r="A266" s="643"/>
      <c r="B266" s="156"/>
      <c r="C266" s="652"/>
      <c r="D266" s="96" t="str">
        <f>D265</f>
        <v>PIP</v>
      </c>
      <c r="E266" s="136" t="str">
        <f t="shared" ref="E266:F266" si="497">E265</f>
        <v>RFQ-054</v>
      </c>
      <c r="F266" s="137" t="str">
        <f t="shared" si="497"/>
        <v>N</v>
      </c>
      <c r="G266" s="159"/>
      <c r="H266" s="162" t="str">
        <f t="shared" ref="H266:I266" si="498">H265</f>
        <v>GASKETS</v>
      </c>
      <c r="I266" s="136" t="str">
        <f t="shared" si="498"/>
        <v>LD</v>
      </c>
      <c r="J266" s="137"/>
      <c r="K266" s="138"/>
      <c r="L266" s="138">
        <f>M267</f>
        <v>1E-3</v>
      </c>
      <c r="M266" s="138"/>
      <c r="N266" s="136"/>
      <c r="O266" s="136"/>
      <c r="P266" s="136"/>
      <c r="Q266" s="139" t="s">
        <v>4841</v>
      </c>
      <c r="R266" s="139"/>
      <c r="S266" s="140" t="e">
        <f>S265</f>
        <v>#REF!</v>
      </c>
      <c r="T266" s="141" t="e">
        <f>T265</f>
        <v>#REF!</v>
      </c>
      <c r="U266" s="141" t="e">
        <f>WORKDAY(IF(T267="",T266,T267),INDEX(U$2:U$5,MATCH($I265,$I$2:$I$5,0)),$BB$10:$BB$141)</f>
        <v>#REF!</v>
      </c>
      <c r="V266" s="141" t="e">
        <f>WORKDAY(IF(U267="",U266,U267),INDEX(V$2:V$5,MATCH($I265,$I$2:$I$5,0)),$BB$10:$BB$141)</f>
        <v>#REF!</v>
      </c>
      <c r="W266" s="141" t="e">
        <f>WORKDAY(IF(V267="",V266,V267),INDEX(W$2:W$5,MATCH($I265,$I$2:$I$5,0)),$BB$10:$BB$141)</f>
        <v>#REF!</v>
      </c>
      <c r="X266" s="141" t="e">
        <f>WORKDAY(IF(#REF!="",#REF!,#REF!),INDEX(X$2:X$5,MATCH($I265,$I$2:$I$5,0)),$BB$10:$BB$141)</f>
        <v>#REF!</v>
      </c>
      <c r="Y266" s="141" t="e">
        <f>WORKDAY(IF(X267="",X266,X267),INDEX(Y$2:Y$5,MATCH($I265,$I$2:$I$5,0)),$BB$10:$BB$141)</f>
        <v>#REF!</v>
      </c>
      <c r="Z266" s="141" t="e">
        <f>WORKDAY(IF(Y267="",Y266,Y267),INDEX(Z$2:Z$5,MATCH($I265,$I$2:$I$5,0)),$BB$10:$BB$141)</f>
        <v>#REF!</v>
      </c>
      <c r="AA266" s="141" t="e">
        <f>WORKDAY(IF(Z267="",Z266,Z267),INDEX(AA$2:AA$5,MATCH($I265,$I$2:$I$5,0)),$BB$10:$BB$141)</f>
        <v>#REF!</v>
      </c>
      <c r="AB266" s="142" t="e">
        <f>AE265+#REF!</f>
        <v>#REF!</v>
      </c>
      <c r="AC266" s="658"/>
      <c r="AD266" s="105"/>
      <c r="AE266" s="664"/>
      <c r="AF266" s="667"/>
      <c r="AG266" s="670"/>
      <c r="AH266" s="106"/>
      <c r="AI266" s="107"/>
      <c r="AJ266" s="673"/>
      <c r="AK266" s="143"/>
      <c r="AL266" s="144"/>
      <c r="AM266" s="133">
        <f t="shared" si="488"/>
        <v>0</v>
      </c>
      <c r="AN266" s="134">
        <f t="shared" si="488"/>
        <v>0</v>
      </c>
      <c r="AO266" s="134">
        <f t="shared" si="488"/>
        <v>0</v>
      </c>
      <c r="AP266" s="134">
        <f t="shared" si="488"/>
        <v>0</v>
      </c>
      <c r="AQ266" s="134">
        <f t="shared" si="488"/>
        <v>0</v>
      </c>
      <c r="AR266" s="134">
        <f t="shared" si="488"/>
        <v>0</v>
      </c>
      <c r="AS266" s="134">
        <f t="shared" si="488"/>
        <v>0</v>
      </c>
      <c r="AT266" s="134">
        <f t="shared" si="488"/>
        <v>0</v>
      </c>
      <c r="AU266" s="134">
        <f t="shared" si="488"/>
        <v>0</v>
      </c>
      <c r="AV266" s="134">
        <f t="shared" si="488"/>
        <v>0</v>
      </c>
      <c r="AW266" s="134">
        <f t="shared" ca="1" si="488"/>
        <v>0</v>
      </c>
      <c r="BB266" s="135"/>
    </row>
    <row r="267" spans="1:54" s="21" customFormat="1" ht="18" customHeight="1">
      <c r="A267" s="644"/>
      <c r="B267" s="157"/>
      <c r="C267" s="653"/>
      <c r="D267" s="111" t="str">
        <f>D265</f>
        <v>PIP</v>
      </c>
      <c r="E267" s="145" t="str">
        <f>E265</f>
        <v>RFQ-054</v>
      </c>
      <c r="F267" s="146" t="str">
        <f t="shared" ref="F267" si="499">F265</f>
        <v>N</v>
      </c>
      <c r="G267" s="160"/>
      <c r="H267" s="163" t="str">
        <f t="shared" ref="H267:I267" si="500">H265</f>
        <v>GASKETS</v>
      </c>
      <c r="I267" s="145" t="str">
        <f t="shared" si="500"/>
        <v>LD</v>
      </c>
      <c r="J267" s="146"/>
      <c r="K267" s="147"/>
      <c r="L267" s="147"/>
      <c r="M267" s="147">
        <v>1E-3</v>
      </c>
      <c r="N267" s="145"/>
      <c r="O267" s="145"/>
      <c r="P267" s="145"/>
      <c r="Q267" s="148" t="s">
        <v>4842</v>
      </c>
      <c r="R267" s="148"/>
      <c r="S267" s="149"/>
      <c r="T267" s="149"/>
      <c r="U267" s="149"/>
      <c r="V267" s="149"/>
      <c r="W267" s="149"/>
      <c r="X267" s="149"/>
      <c r="Y267" s="149"/>
      <c r="Z267" s="149"/>
      <c r="AA267" s="149"/>
      <c r="AB267" s="149"/>
      <c r="AC267" s="659"/>
      <c r="AD267" s="116"/>
      <c r="AE267" s="665"/>
      <c r="AF267" s="668"/>
      <c r="AG267" s="671"/>
      <c r="AH267" s="117"/>
      <c r="AI267" s="118"/>
      <c r="AJ267" s="674"/>
      <c r="AK267" s="150"/>
      <c r="AL267" s="151"/>
      <c r="AM267" s="152">
        <f t="shared" si="488"/>
        <v>0</v>
      </c>
      <c r="AN267" s="153">
        <f t="shared" si="488"/>
        <v>0</v>
      </c>
      <c r="AO267" s="153">
        <f t="shared" si="488"/>
        <v>0</v>
      </c>
      <c r="AP267" s="153">
        <f t="shared" si="488"/>
        <v>0</v>
      </c>
      <c r="AQ267" s="153">
        <f t="shared" si="488"/>
        <v>0</v>
      </c>
      <c r="AR267" s="153">
        <f t="shared" si="488"/>
        <v>0</v>
      </c>
      <c r="AS267" s="153">
        <f t="shared" si="488"/>
        <v>0</v>
      </c>
      <c r="AT267" s="153">
        <f t="shared" si="488"/>
        <v>0</v>
      </c>
      <c r="AU267" s="153">
        <f t="shared" si="488"/>
        <v>0</v>
      </c>
      <c r="AV267" s="153">
        <f t="shared" si="488"/>
        <v>0</v>
      </c>
      <c r="AW267" s="153">
        <f t="shared" ca="1" si="488"/>
        <v>0</v>
      </c>
      <c r="BB267" s="135"/>
    </row>
    <row r="268" spans="1:54" s="21" customFormat="1" ht="18" customHeight="1">
      <c r="A268" s="642">
        <f t="shared" ref="A268" si="501">A265+1</f>
        <v>87</v>
      </c>
      <c r="B268" s="154" t="s">
        <v>4901</v>
      </c>
      <c r="C268" s="651" t="s">
        <v>4836</v>
      </c>
      <c r="D268" s="80" t="s">
        <v>4848</v>
      </c>
      <c r="E268" s="127" t="s">
        <v>4898</v>
      </c>
      <c r="F268" s="128" t="s">
        <v>71</v>
      </c>
      <c r="G268" s="158"/>
      <c r="H268" s="161" t="s">
        <v>4930</v>
      </c>
      <c r="I268" s="127" t="s">
        <v>9</v>
      </c>
      <c r="J268" s="128"/>
      <c r="K268" s="129">
        <f>M270</f>
        <v>1E-3</v>
      </c>
      <c r="L268" s="129"/>
      <c r="M268" s="129"/>
      <c r="N268" s="127"/>
      <c r="O268" s="127"/>
      <c r="P268" s="127"/>
      <c r="Q268" s="130" t="s">
        <v>4839</v>
      </c>
      <c r="R268" s="130"/>
      <c r="S268" s="155" t="e">
        <f>WORKDAY(T268,-INDEX(T$2:T$5,MATCH($I268,$I$2:$I$5,0)),'[35]Equipment List and MR List (3)'!$A$2:$A$80)</f>
        <v>#REF!</v>
      </c>
      <c r="T268" s="155" t="e">
        <f>WORKDAY(U268,-INDEX(U$2:U$5,MATCH($I268,$I$2:$I$5,0)),$BB$10:$BB$141)</f>
        <v>#REF!</v>
      </c>
      <c r="U268" s="155" t="e">
        <f>WORKDAY(V268,-INDEX(V$2:V$5,MATCH($I268,$I$2:$I$5,0)),$BB$10:$BB$141)</f>
        <v>#REF!</v>
      </c>
      <c r="V268" s="155" t="e">
        <f>WORKDAY(W268,-INDEX(W$2:W$5,MATCH($I268,$I$2:$I$5,0)),$BB$10:$BB$141)</f>
        <v>#REF!</v>
      </c>
      <c r="W268" s="155" t="e">
        <f>WORKDAY(#REF!,-INDEX(#REF!,MATCH($I268,$I$2:$I$5,0)),$BB$10:$BB$141)</f>
        <v>#REF!</v>
      </c>
      <c r="X268" s="155" t="e">
        <f>WORKDAY(Y268,-INDEX(Y$2:Y$5,MATCH($I268,$I$2:$I$5,0)),$BB$10:$BB$141)</f>
        <v>#REF!</v>
      </c>
      <c r="Y268" s="155" t="e">
        <f>WORKDAY(Z268,-INDEX(Z$2:Z$5,MATCH($I268,$I$2:$I$5,0)),$BB$10:$BB$141)</f>
        <v>#REF!</v>
      </c>
      <c r="Z268" s="155" t="e">
        <f>WORKDAY(AA268,-INDEX(AA$2:AA$5,MATCH($I268,$I$2:$I$5,0)),$BB$10:$BB$141)</f>
        <v>#REF!</v>
      </c>
      <c r="AA268" s="155" t="e">
        <f>WORKDAY(#REF!,-INDEX(#REF!,MATCH($I268,$I$2:$I$5,0)),$BB$10:$BB$141)</f>
        <v>#REF!</v>
      </c>
      <c r="AB268" s="155">
        <f>WORKDAY(AG268,0,'[35]Equipment List and MR List (3)'!$A$2:$A$80)</f>
        <v>0</v>
      </c>
      <c r="AC268" s="657" t="s">
        <v>4840</v>
      </c>
      <c r="AD268" s="87">
        <v>7</v>
      </c>
      <c r="AE268" s="663">
        <v>100</v>
      </c>
      <c r="AF268" s="666" t="e">
        <f>AB269</f>
        <v>#REF!</v>
      </c>
      <c r="AG268" s="669"/>
      <c r="AH268" s="88"/>
      <c r="AI268" s="89"/>
      <c r="AJ268" s="672" t="e">
        <f>AG268-AF268</f>
        <v>#REF!</v>
      </c>
      <c r="AK268" s="131"/>
      <c r="AL268" s="132"/>
      <c r="AM268" s="133">
        <f t="shared" si="488"/>
        <v>0.95</v>
      </c>
      <c r="AN268" s="134">
        <f t="shared" si="488"/>
        <v>0.95</v>
      </c>
      <c r="AO268" s="134">
        <f t="shared" si="488"/>
        <v>0.95</v>
      </c>
      <c r="AP268" s="134">
        <f t="shared" si="488"/>
        <v>0.95</v>
      </c>
      <c r="AQ268" s="134">
        <f t="shared" si="488"/>
        <v>0.95</v>
      </c>
      <c r="AR268" s="134">
        <f t="shared" si="488"/>
        <v>0.95</v>
      </c>
      <c r="AS268" s="134">
        <f t="shared" si="488"/>
        <v>0.95</v>
      </c>
      <c r="AT268" s="134">
        <f t="shared" si="488"/>
        <v>0.95</v>
      </c>
      <c r="AU268" s="134">
        <f t="shared" si="488"/>
        <v>0.95</v>
      </c>
      <c r="AV268" s="134">
        <f t="shared" si="488"/>
        <v>0.95</v>
      </c>
      <c r="AW268" s="134">
        <f t="shared" ca="1" si="488"/>
        <v>0.95</v>
      </c>
      <c r="BB268" s="135"/>
    </row>
    <row r="269" spans="1:54" s="21" customFormat="1" ht="18" customHeight="1">
      <c r="A269" s="643"/>
      <c r="B269" s="156"/>
      <c r="C269" s="652"/>
      <c r="D269" s="96" t="str">
        <f>D268</f>
        <v>PIP</v>
      </c>
      <c r="E269" s="136" t="str">
        <f t="shared" ref="E269:F269" si="502">E268</f>
        <v>RFQ-054</v>
      </c>
      <c r="F269" s="137" t="str">
        <f t="shared" si="502"/>
        <v>N</v>
      </c>
      <c r="G269" s="159"/>
      <c r="H269" s="162" t="str">
        <f t="shared" ref="H269:I269" si="503">H268</f>
        <v>SEAMLESS CS PIPE</v>
      </c>
      <c r="I269" s="136" t="str">
        <f t="shared" si="503"/>
        <v>LD</v>
      </c>
      <c r="J269" s="137"/>
      <c r="K269" s="138"/>
      <c r="L269" s="138">
        <f>M270</f>
        <v>1E-3</v>
      </c>
      <c r="M269" s="138"/>
      <c r="N269" s="136"/>
      <c r="O269" s="136"/>
      <c r="P269" s="136"/>
      <c r="Q269" s="139" t="s">
        <v>4841</v>
      </c>
      <c r="R269" s="139"/>
      <c r="S269" s="140" t="e">
        <f>S268</f>
        <v>#REF!</v>
      </c>
      <c r="T269" s="141" t="e">
        <f>T268</f>
        <v>#REF!</v>
      </c>
      <c r="U269" s="141" t="e">
        <f>WORKDAY(IF(T270="",T269,T270),INDEX(U$2:U$5,MATCH($I268,$I$2:$I$5,0)),$BB$10:$BB$141)</f>
        <v>#REF!</v>
      </c>
      <c r="V269" s="141" t="e">
        <f>WORKDAY(IF(U270="",U269,U270),INDEX(V$2:V$5,MATCH($I268,$I$2:$I$5,0)),$BB$10:$BB$141)</f>
        <v>#REF!</v>
      </c>
      <c r="W269" s="141" t="e">
        <f>WORKDAY(IF(V270="",V269,V270),INDEX(W$2:W$5,MATCH($I268,$I$2:$I$5,0)),$BB$10:$BB$141)</f>
        <v>#REF!</v>
      </c>
      <c r="X269" s="141" t="e">
        <f>WORKDAY(IF(#REF!="",#REF!,#REF!),INDEX(X$2:X$5,MATCH($I268,$I$2:$I$5,0)),$BB$10:$BB$141)</f>
        <v>#REF!</v>
      </c>
      <c r="Y269" s="141" t="e">
        <f>WORKDAY(IF(X270="",X269,X270),INDEX(Y$2:Y$5,MATCH($I268,$I$2:$I$5,0)),$BB$10:$BB$141)</f>
        <v>#REF!</v>
      </c>
      <c r="Z269" s="141" t="e">
        <f>WORKDAY(IF(Y270="",Y269,Y270),INDEX(Z$2:Z$5,MATCH($I268,$I$2:$I$5,0)),$BB$10:$BB$141)</f>
        <v>#REF!</v>
      </c>
      <c r="AA269" s="141" t="e">
        <f>WORKDAY(IF(Z270="",Z269,Z270),INDEX(AA$2:AA$5,MATCH($I268,$I$2:$I$5,0)),$BB$10:$BB$141)</f>
        <v>#REF!</v>
      </c>
      <c r="AB269" s="142" t="e">
        <f>AE268+#REF!</f>
        <v>#REF!</v>
      </c>
      <c r="AC269" s="658"/>
      <c r="AD269" s="105"/>
      <c r="AE269" s="664"/>
      <c r="AF269" s="667"/>
      <c r="AG269" s="670"/>
      <c r="AH269" s="106"/>
      <c r="AI269" s="107"/>
      <c r="AJ269" s="673"/>
      <c r="AK269" s="143"/>
      <c r="AL269" s="144"/>
      <c r="AM269" s="133">
        <f t="shared" si="488"/>
        <v>0</v>
      </c>
      <c r="AN269" s="134">
        <f t="shared" si="488"/>
        <v>0</v>
      </c>
      <c r="AO269" s="134">
        <f t="shared" si="488"/>
        <v>0</v>
      </c>
      <c r="AP269" s="134">
        <f t="shared" si="488"/>
        <v>0</v>
      </c>
      <c r="AQ269" s="134">
        <f t="shared" si="488"/>
        <v>0</v>
      </c>
      <c r="AR269" s="134">
        <f t="shared" si="488"/>
        <v>0</v>
      </c>
      <c r="AS269" s="134">
        <f t="shared" si="488"/>
        <v>0</v>
      </c>
      <c r="AT269" s="134">
        <f t="shared" si="488"/>
        <v>0</v>
      </c>
      <c r="AU269" s="134">
        <f t="shared" si="488"/>
        <v>0</v>
      </c>
      <c r="AV269" s="134">
        <f t="shared" si="488"/>
        <v>0</v>
      </c>
      <c r="AW269" s="134">
        <f t="shared" ca="1" si="488"/>
        <v>0</v>
      </c>
      <c r="BB269" s="135"/>
    </row>
    <row r="270" spans="1:54" s="21" customFormat="1" ht="18" customHeight="1">
      <c r="A270" s="644"/>
      <c r="B270" s="157"/>
      <c r="C270" s="653"/>
      <c r="D270" s="111" t="str">
        <f>D268</f>
        <v>PIP</v>
      </c>
      <c r="E270" s="145" t="str">
        <f>E268</f>
        <v>RFQ-054</v>
      </c>
      <c r="F270" s="146" t="str">
        <f t="shared" ref="F270" si="504">F268</f>
        <v>N</v>
      </c>
      <c r="G270" s="160"/>
      <c r="H270" s="163" t="str">
        <f t="shared" ref="H270:I270" si="505">H268</f>
        <v>SEAMLESS CS PIPE</v>
      </c>
      <c r="I270" s="145" t="str">
        <f t="shared" si="505"/>
        <v>LD</v>
      </c>
      <c r="J270" s="146"/>
      <c r="K270" s="147"/>
      <c r="L270" s="147"/>
      <c r="M270" s="147">
        <v>1E-3</v>
      </c>
      <c r="N270" s="145"/>
      <c r="O270" s="145"/>
      <c r="P270" s="145"/>
      <c r="Q270" s="148" t="s">
        <v>4842</v>
      </c>
      <c r="R270" s="148"/>
      <c r="S270" s="149"/>
      <c r="T270" s="149"/>
      <c r="U270" s="149"/>
      <c r="V270" s="149"/>
      <c r="W270" s="149"/>
      <c r="X270" s="149"/>
      <c r="Y270" s="149"/>
      <c r="Z270" s="149"/>
      <c r="AA270" s="149"/>
      <c r="AB270" s="149"/>
      <c r="AC270" s="659"/>
      <c r="AD270" s="116"/>
      <c r="AE270" s="665"/>
      <c r="AF270" s="668"/>
      <c r="AG270" s="671"/>
      <c r="AH270" s="117"/>
      <c r="AI270" s="118"/>
      <c r="AJ270" s="674"/>
      <c r="AK270" s="150"/>
      <c r="AL270" s="151"/>
      <c r="AM270" s="152">
        <f t="shared" ref="AM270:AW279" si="506">IF(ISERROR(LOOKUP(AM$6,$S270:$AB270,$S$9:$AB$9)),0,(LOOKUP(AM$6,$S270:$AB270,$S$9:$AB$9)))</f>
        <v>0</v>
      </c>
      <c r="AN270" s="153">
        <f t="shared" si="506"/>
        <v>0</v>
      </c>
      <c r="AO270" s="153">
        <f t="shared" si="506"/>
        <v>0</v>
      </c>
      <c r="AP270" s="153">
        <f t="shared" si="506"/>
        <v>0</v>
      </c>
      <c r="AQ270" s="153">
        <f t="shared" si="506"/>
        <v>0</v>
      </c>
      <c r="AR270" s="153">
        <f t="shared" si="506"/>
        <v>0</v>
      </c>
      <c r="AS270" s="153">
        <f t="shared" si="506"/>
        <v>0</v>
      </c>
      <c r="AT270" s="153">
        <f t="shared" si="506"/>
        <v>0</v>
      </c>
      <c r="AU270" s="153">
        <f t="shared" si="506"/>
        <v>0</v>
      </c>
      <c r="AV270" s="153">
        <f t="shared" si="506"/>
        <v>0</v>
      </c>
      <c r="AW270" s="153">
        <f t="shared" ca="1" si="506"/>
        <v>0</v>
      </c>
      <c r="BB270" s="135"/>
    </row>
    <row r="271" spans="1:54" s="21" customFormat="1" ht="18" customHeight="1">
      <c r="A271" s="642">
        <f t="shared" ref="A271" si="507">A268+1</f>
        <v>88</v>
      </c>
      <c r="B271" s="154" t="s">
        <v>4901</v>
      </c>
      <c r="C271" s="651" t="s">
        <v>4836</v>
      </c>
      <c r="D271" s="80" t="s">
        <v>4848</v>
      </c>
      <c r="E271" s="127" t="s">
        <v>4898</v>
      </c>
      <c r="F271" s="128" t="s">
        <v>71</v>
      </c>
      <c r="G271" s="158"/>
      <c r="H271" s="161" t="s">
        <v>4931</v>
      </c>
      <c r="I271" s="127" t="s">
        <v>9</v>
      </c>
      <c r="J271" s="128"/>
      <c r="K271" s="129">
        <f>M273</f>
        <v>1E-3</v>
      </c>
      <c r="L271" s="129"/>
      <c r="M271" s="129"/>
      <c r="N271" s="127"/>
      <c r="O271" s="127"/>
      <c r="P271" s="127"/>
      <c r="Q271" s="130" t="s">
        <v>4839</v>
      </c>
      <c r="R271" s="130"/>
      <c r="S271" s="155" t="e">
        <f>WORKDAY(T271,-INDEX(T$2:T$5,MATCH($I271,$I$2:$I$5,0)),'[35]Equipment List and MR List (3)'!$A$2:$A$80)</f>
        <v>#REF!</v>
      </c>
      <c r="T271" s="155" t="e">
        <f>WORKDAY(U271,-INDEX(U$2:U$5,MATCH($I271,$I$2:$I$5,0)),$BB$10:$BB$141)</f>
        <v>#REF!</v>
      </c>
      <c r="U271" s="155" t="e">
        <f>WORKDAY(V271,-INDEX(V$2:V$5,MATCH($I271,$I$2:$I$5,0)),$BB$10:$BB$141)</f>
        <v>#REF!</v>
      </c>
      <c r="V271" s="155" t="e">
        <f>WORKDAY(W271,-INDEX(W$2:W$5,MATCH($I271,$I$2:$I$5,0)),$BB$10:$BB$141)</f>
        <v>#REF!</v>
      </c>
      <c r="W271" s="155" t="e">
        <f>WORKDAY(#REF!,-INDEX(#REF!,MATCH($I271,$I$2:$I$5,0)),$BB$10:$BB$141)</f>
        <v>#REF!</v>
      </c>
      <c r="X271" s="155" t="e">
        <f>WORKDAY(Y271,-INDEX(Y$2:Y$5,MATCH($I271,$I$2:$I$5,0)),$BB$10:$BB$141)</f>
        <v>#REF!</v>
      </c>
      <c r="Y271" s="155" t="e">
        <f>WORKDAY(Z271,-INDEX(Z$2:Z$5,MATCH($I271,$I$2:$I$5,0)),$BB$10:$BB$141)</f>
        <v>#REF!</v>
      </c>
      <c r="Z271" s="155" t="e">
        <f>WORKDAY(AA271,-INDEX(AA$2:AA$5,MATCH($I271,$I$2:$I$5,0)),$BB$10:$BB$141)</f>
        <v>#REF!</v>
      </c>
      <c r="AA271" s="155" t="e">
        <f>WORKDAY(#REF!,-INDEX(#REF!,MATCH($I271,$I$2:$I$5,0)),$BB$10:$BB$141)</f>
        <v>#REF!</v>
      </c>
      <c r="AB271" s="155">
        <f>WORKDAY(AG271,0,'[35]Equipment List and MR List (3)'!$A$2:$A$80)</f>
        <v>0</v>
      </c>
      <c r="AC271" s="657" t="s">
        <v>4840</v>
      </c>
      <c r="AD271" s="87">
        <v>7</v>
      </c>
      <c r="AE271" s="663">
        <v>100</v>
      </c>
      <c r="AF271" s="666" t="e">
        <f>AB272</f>
        <v>#REF!</v>
      </c>
      <c r="AG271" s="669"/>
      <c r="AH271" s="88"/>
      <c r="AI271" s="89"/>
      <c r="AJ271" s="672" t="e">
        <f>AG271-AF271</f>
        <v>#REF!</v>
      </c>
      <c r="AK271" s="131"/>
      <c r="AL271" s="132"/>
      <c r="AM271" s="133">
        <f t="shared" si="506"/>
        <v>0.95</v>
      </c>
      <c r="AN271" s="134">
        <f t="shared" si="506"/>
        <v>0.95</v>
      </c>
      <c r="AO271" s="134">
        <f t="shared" si="506"/>
        <v>0.95</v>
      </c>
      <c r="AP271" s="134">
        <f t="shared" si="506"/>
        <v>0.95</v>
      </c>
      <c r="AQ271" s="134">
        <f t="shared" si="506"/>
        <v>0.95</v>
      </c>
      <c r="AR271" s="134">
        <f t="shared" si="506"/>
        <v>0.95</v>
      </c>
      <c r="AS271" s="134">
        <f t="shared" si="506"/>
        <v>0.95</v>
      </c>
      <c r="AT271" s="134">
        <f t="shared" si="506"/>
        <v>0.95</v>
      </c>
      <c r="AU271" s="134">
        <f t="shared" si="506"/>
        <v>0.95</v>
      </c>
      <c r="AV271" s="134">
        <f t="shared" si="506"/>
        <v>0.95</v>
      </c>
      <c r="AW271" s="134">
        <f t="shared" ca="1" si="506"/>
        <v>0.95</v>
      </c>
      <c r="BB271" s="135"/>
    </row>
    <row r="272" spans="1:54" s="21" customFormat="1" ht="18" customHeight="1">
      <c r="A272" s="643"/>
      <c r="B272" s="156"/>
      <c r="C272" s="652"/>
      <c r="D272" s="96" t="str">
        <f>D271</f>
        <v>PIP</v>
      </c>
      <c r="E272" s="136" t="str">
        <f t="shared" ref="E272:F272" si="508">E271</f>
        <v>RFQ-054</v>
      </c>
      <c r="F272" s="137" t="str">
        <f t="shared" si="508"/>
        <v>N</v>
      </c>
      <c r="G272" s="159"/>
      <c r="H272" s="162" t="str">
        <f t="shared" ref="H272:I272" si="509">H271</f>
        <v>SEAMLESS SS &amp; DSS STEEL</v>
      </c>
      <c r="I272" s="136" t="str">
        <f t="shared" si="509"/>
        <v>LD</v>
      </c>
      <c r="J272" s="137"/>
      <c r="K272" s="138"/>
      <c r="L272" s="138">
        <f>M273</f>
        <v>1E-3</v>
      </c>
      <c r="M272" s="138"/>
      <c r="N272" s="136"/>
      <c r="O272" s="136"/>
      <c r="P272" s="136"/>
      <c r="Q272" s="139" t="s">
        <v>4841</v>
      </c>
      <c r="R272" s="139"/>
      <c r="S272" s="140" t="e">
        <f>S271</f>
        <v>#REF!</v>
      </c>
      <c r="T272" s="141" t="e">
        <f>T271</f>
        <v>#REF!</v>
      </c>
      <c r="U272" s="141" t="e">
        <f>WORKDAY(IF(T273="",T272,T273),INDEX(U$2:U$5,MATCH($I271,$I$2:$I$5,0)),$BB$10:$BB$141)</f>
        <v>#REF!</v>
      </c>
      <c r="V272" s="141" t="e">
        <f>WORKDAY(IF(U273="",U272,U273),INDEX(V$2:V$5,MATCH($I271,$I$2:$I$5,0)),$BB$10:$BB$141)</f>
        <v>#REF!</v>
      </c>
      <c r="W272" s="141" t="e">
        <f>WORKDAY(IF(V273="",V272,V273),INDEX(W$2:W$5,MATCH($I271,$I$2:$I$5,0)),$BB$10:$BB$141)</f>
        <v>#REF!</v>
      </c>
      <c r="X272" s="141" t="e">
        <f>WORKDAY(IF(#REF!="",#REF!,#REF!),INDEX(X$2:X$5,MATCH($I271,$I$2:$I$5,0)),$BB$10:$BB$141)</f>
        <v>#REF!</v>
      </c>
      <c r="Y272" s="141" t="e">
        <f>WORKDAY(IF(X273="",X272,X273),INDEX(Y$2:Y$5,MATCH($I271,$I$2:$I$5,0)),$BB$10:$BB$141)</f>
        <v>#REF!</v>
      </c>
      <c r="Z272" s="141" t="e">
        <f>WORKDAY(IF(Y273="",Y272,Y273),INDEX(Z$2:Z$5,MATCH($I271,$I$2:$I$5,0)),$BB$10:$BB$141)</f>
        <v>#REF!</v>
      </c>
      <c r="AA272" s="141" t="e">
        <f>WORKDAY(IF(Z273="",Z272,Z273),INDEX(AA$2:AA$5,MATCH($I271,$I$2:$I$5,0)),$BB$10:$BB$141)</f>
        <v>#REF!</v>
      </c>
      <c r="AB272" s="142" t="e">
        <f>AE271+#REF!</f>
        <v>#REF!</v>
      </c>
      <c r="AC272" s="658"/>
      <c r="AD272" s="105"/>
      <c r="AE272" s="664"/>
      <c r="AF272" s="667"/>
      <c r="AG272" s="670"/>
      <c r="AH272" s="106"/>
      <c r="AI272" s="107"/>
      <c r="AJ272" s="673"/>
      <c r="AK272" s="143"/>
      <c r="AL272" s="144"/>
      <c r="AM272" s="133">
        <f t="shared" si="506"/>
        <v>0</v>
      </c>
      <c r="AN272" s="134">
        <f t="shared" si="506"/>
        <v>0</v>
      </c>
      <c r="AO272" s="134">
        <f t="shared" si="506"/>
        <v>0</v>
      </c>
      <c r="AP272" s="134">
        <f t="shared" si="506"/>
        <v>0</v>
      </c>
      <c r="AQ272" s="134">
        <f t="shared" si="506"/>
        <v>0</v>
      </c>
      <c r="AR272" s="134">
        <f t="shared" si="506"/>
        <v>0</v>
      </c>
      <c r="AS272" s="134">
        <f t="shared" si="506"/>
        <v>0</v>
      </c>
      <c r="AT272" s="134">
        <f t="shared" si="506"/>
        <v>0</v>
      </c>
      <c r="AU272" s="134">
        <f t="shared" si="506"/>
        <v>0</v>
      </c>
      <c r="AV272" s="134">
        <f t="shared" si="506"/>
        <v>0</v>
      </c>
      <c r="AW272" s="134">
        <f t="shared" ca="1" si="506"/>
        <v>0</v>
      </c>
      <c r="BB272" s="135"/>
    </row>
    <row r="273" spans="1:54" s="21" customFormat="1" ht="18" customHeight="1">
      <c r="A273" s="644"/>
      <c r="B273" s="157"/>
      <c r="C273" s="653"/>
      <c r="D273" s="111" t="str">
        <f>D271</f>
        <v>PIP</v>
      </c>
      <c r="E273" s="145" t="str">
        <f>E271</f>
        <v>RFQ-054</v>
      </c>
      <c r="F273" s="146" t="str">
        <f t="shared" ref="F273" si="510">F271</f>
        <v>N</v>
      </c>
      <c r="G273" s="160"/>
      <c r="H273" s="163" t="str">
        <f t="shared" ref="H273:I273" si="511">H271</f>
        <v>SEAMLESS SS &amp; DSS STEEL</v>
      </c>
      <c r="I273" s="145" t="str">
        <f t="shared" si="511"/>
        <v>LD</v>
      </c>
      <c r="J273" s="146"/>
      <c r="K273" s="147"/>
      <c r="L273" s="147"/>
      <c r="M273" s="147">
        <v>1E-3</v>
      </c>
      <c r="N273" s="145"/>
      <c r="O273" s="145"/>
      <c r="P273" s="145"/>
      <c r="Q273" s="148" t="s">
        <v>4842</v>
      </c>
      <c r="R273" s="148"/>
      <c r="S273" s="149"/>
      <c r="T273" s="149"/>
      <c r="U273" s="149"/>
      <c r="V273" s="149"/>
      <c r="W273" s="149"/>
      <c r="X273" s="149"/>
      <c r="Y273" s="149"/>
      <c r="Z273" s="149"/>
      <c r="AA273" s="149"/>
      <c r="AB273" s="149"/>
      <c r="AC273" s="659"/>
      <c r="AD273" s="116"/>
      <c r="AE273" s="665"/>
      <c r="AF273" s="668"/>
      <c r="AG273" s="671"/>
      <c r="AH273" s="117"/>
      <c r="AI273" s="118"/>
      <c r="AJ273" s="674"/>
      <c r="AK273" s="150"/>
      <c r="AL273" s="151"/>
      <c r="AM273" s="152">
        <f t="shared" si="506"/>
        <v>0</v>
      </c>
      <c r="AN273" s="153">
        <f t="shared" si="506"/>
        <v>0</v>
      </c>
      <c r="AO273" s="153">
        <f t="shared" si="506"/>
        <v>0</v>
      </c>
      <c r="AP273" s="153">
        <f t="shared" si="506"/>
        <v>0</v>
      </c>
      <c r="AQ273" s="153">
        <f t="shared" si="506"/>
        <v>0</v>
      </c>
      <c r="AR273" s="153">
        <f t="shared" si="506"/>
        <v>0</v>
      </c>
      <c r="AS273" s="153">
        <f t="shared" si="506"/>
        <v>0</v>
      </c>
      <c r="AT273" s="153">
        <f t="shared" si="506"/>
        <v>0</v>
      </c>
      <c r="AU273" s="153">
        <f t="shared" si="506"/>
        <v>0</v>
      </c>
      <c r="AV273" s="153">
        <f t="shared" si="506"/>
        <v>0</v>
      </c>
      <c r="AW273" s="153">
        <f t="shared" ca="1" si="506"/>
        <v>0</v>
      </c>
      <c r="BB273" s="135"/>
    </row>
    <row r="274" spans="1:54" s="21" customFormat="1" ht="18" customHeight="1">
      <c r="A274" s="642">
        <f t="shared" ref="A274" si="512">A271+1</f>
        <v>89</v>
      </c>
      <c r="B274" s="154" t="s">
        <v>4901</v>
      </c>
      <c r="C274" s="651" t="s">
        <v>4836</v>
      </c>
      <c r="D274" s="80" t="s">
        <v>4848</v>
      </c>
      <c r="E274" s="127" t="s">
        <v>4898</v>
      </c>
      <c r="F274" s="128" t="s">
        <v>71</v>
      </c>
      <c r="G274" s="158"/>
      <c r="H274" s="161" t="s">
        <v>4932</v>
      </c>
      <c r="I274" s="127" t="s">
        <v>9</v>
      </c>
      <c r="J274" s="128"/>
      <c r="K274" s="129">
        <f>M276</f>
        <v>1E-3</v>
      </c>
      <c r="L274" s="129"/>
      <c r="M274" s="129"/>
      <c r="N274" s="127"/>
      <c r="O274" s="127"/>
      <c r="P274" s="127"/>
      <c r="Q274" s="130" t="s">
        <v>4839</v>
      </c>
      <c r="R274" s="130"/>
      <c r="S274" s="155" t="e">
        <f>WORKDAY(T274,-INDEX(T$2:T$5,MATCH($I274,$I$2:$I$5,0)),'[35]Equipment List and MR List (3)'!$A$2:$A$80)</f>
        <v>#REF!</v>
      </c>
      <c r="T274" s="155" t="e">
        <f>WORKDAY(U274,-INDEX(U$2:U$5,MATCH($I274,$I$2:$I$5,0)),$BB$10:$BB$141)</f>
        <v>#REF!</v>
      </c>
      <c r="U274" s="155" t="e">
        <f>WORKDAY(V274,-INDEX(V$2:V$5,MATCH($I274,$I$2:$I$5,0)),$BB$10:$BB$141)</f>
        <v>#REF!</v>
      </c>
      <c r="V274" s="155" t="e">
        <f>WORKDAY(W274,-INDEX(W$2:W$5,MATCH($I274,$I$2:$I$5,0)),$BB$10:$BB$141)</f>
        <v>#REF!</v>
      </c>
      <c r="W274" s="155" t="e">
        <f>WORKDAY(#REF!,-INDEX(#REF!,MATCH($I274,$I$2:$I$5,0)),$BB$10:$BB$141)</f>
        <v>#REF!</v>
      </c>
      <c r="X274" s="155" t="e">
        <f>WORKDAY(Y274,-INDEX(Y$2:Y$5,MATCH($I274,$I$2:$I$5,0)),$BB$10:$BB$141)</f>
        <v>#REF!</v>
      </c>
      <c r="Y274" s="155" t="e">
        <f>WORKDAY(Z274,-INDEX(Z$2:Z$5,MATCH($I274,$I$2:$I$5,0)),$BB$10:$BB$141)</f>
        <v>#REF!</v>
      </c>
      <c r="Z274" s="155" t="e">
        <f>WORKDAY(AA274,-INDEX(AA$2:AA$5,MATCH($I274,$I$2:$I$5,0)),$BB$10:$BB$141)</f>
        <v>#REF!</v>
      </c>
      <c r="AA274" s="155" t="e">
        <f>WORKDAY(#REF!,-INDEX(#REF!,MATCH($I274,$I$2:$I$5,0)),$BB$10:$BB$141)</f>
        <v>#REF!</v>
      </c>
      <c r="AB274" s="155">
        <f>WORKDAY(AG274,0,'[35]Equipment List and MR List (3)'!$A$2:$A$80)</f>
        <v>0</v>
      </c>
      <c r="AC274" s="657" t="s">
        <v>4840</v>
      </c>
      <c r="AD274" s="87">
        <v>7</v>
      </c>
      <c r="AE274" s="663">
        <v>121</v>
      </c>
      <c r="AF274" s="666" t="e">
        <f>AB275</f>
        <v>#REF!</v>
      </c>
      <c r="AG274" s="669"/>
      <c r="AH274" s="88"/>
      <c r="AI274" s="89"/>
      <c r="AJ274" s="672" t="e">
        <f>AG274-AF274</f>
        <v>#REF!</v>
      </c>
      <c r="AK274" s="131"/>
      <c r="AL274" s="132"/>
      <c r="AM274" s="133">
        <f t="shared" si="506"/>
        <v>0.95</v>
      </c>
      <c r="AN274" s="134">
        <f t="shared" si="506"/>
        <v>0.95</v>
      </c>
      <c r="AO274" s="134">
        <f t="shared" si="506"/>
        <v>0.95</v>
      </c>
      <c r="AP274" s="134">
        <f t="shared" si="506"/>
        <v>0.95</v>
      </c>
      <c r="AQ274" s="134">
        <f t="shared" si="506"/>
        <v>0.95</v>
      </c>
      <c r="AR274" s="134">
        <f t="shared" si="506"/>
        <v>0.95</v>
      </c>
      <c r="AS274" s="134">
        <f t="shared" si="506"/>
        <v>0.95</v>
      </c>
      <c r="AT274" s="134">
        <f t="shared" si="506"/>
        <v>0.95</v>
      </c>
      <c r="AU274" s="134">
        <f t="shared" si="506"/>
        <v>0.95</v>
      </c>
      <c r="AV274" s="134">
        <f t="shared" si="506"/>
        <v>0.95</v>
      </c>
      <c r="AW274" s="134">
        <f t="shared" ca="1" si="506"/>
        <v>0.95</v>
      </c>
      <c r="BB274" s="135"/>
    </row>
    <row r="275" spans="1:54" s="21" customFormat="1" ht="18" customHeight="1">
      <c r="A275" s="643"/>
      <c r="B275" s="156"/>
      <c r="C275" s="652"/>
      <c r="D275" s="96" t="str">
        <f>D274</f>
        <v>PIP</v>
      </c>
      <c r="E275" s="136" t="str">
        <f t="shared" ref="E275:F275" si="513">E274</f>
        <v>RFQ-054</v>
      </c>
      <c r="F275" s="137" t="str">
        <f t="shared" si="513"/>
        <v>N</v>
      </c>
      <c r="G275" s="159"/>
      <c r="H275" s="162" t="str">
        <f t="shared" ref="H275:I275" si="514">H274</f>
        <v>CLAMP Type Connectors</v>
      </c>
      <c r="I275" s="136" t="str">
        <f t="shared" si="514"/>
        <v>LD</v>
      </c>
      <c r="J275" s="137"/>
      <c r="K275" s="138"/>
      <c r="L275" s="138">
        <f>M276</f>
        <v>1E-3</v>
      </c>
      <c r="M275" s="138"/>
      <c r="N275" s="136"/>
      <c r="O275" s="136"/>
      <c r="P275" s="136"/>
      <c r="Q275" s="139" t="s">
        <v>4841</v>
      </c>
      <c r="R275" s="139"/>
      <c r="S275" s="140" t="e">
        <f>S274</f>
        <v>#REF!</v>
      </c>
      <c r="T275" s="141" t="e">
        <f>T274</f>
        <v>#REF!</v>
      </c>
      <c r="U275" s="141" t="e">
        <f>WORKDAY(IF(T276="",T275,T276),INDEX(U$2:U$5,MATCH($I274,$I$2:$I$5,0)),$BB$10:$BB$141)</f>
        <v>#REF!</v>
      </c>
      <c r="V275" s="141" t="e">
        <f>WORKDAY(IF(U276="",U275,U276),INDEX(V$2:V$5,MATCH($I274,$I$2:$I$5,0)),$BB$10:$BB$141)</f>
        <v>#REF!</v>
      </c>
      <c r="W275" s="141" t="e">
        <f>WORKDAY(IF(V276="",V275,V276),INDEX(W$2:W$5,MATCH($I274,$I$2:$I$5,0)),$BB$10:$BB$141)</f>
        <v>#REF!</v>
      </c>
      <c r="X275" s="141" t="e">
        <f>WORKDAY(IF(#REF!="",#REF!,#REF!),INDEX(X$2:X$5,MATCH($I274,$I$2:$I$5,0)),$BB$10:$BB$141)</f>
        <v>#REF!</v>
      </c>
      <c r="Y275" s="141" t="e">
        <f>WORKDAY(IF(X276="",X275,X276),INDEX(Y$2:Y$5,MATCH($I274,$I$2:$I$5,0)),$BB$10:$BB$141)</f>
        <v>#REF!</v>
      </c>
      <c r="Z275" s="141" t="e">
        <f>WORKDAY(IF(Y276="",Y275,Y276),INDEX(Z$2:Z$5,MATCH($I274,$I$2:$I$5,0)),$BB$10:$BB$141)</f>
        <v>#REF!</v>
      </c>
      <c r="AA275" s="141" t="e">
        <f>WORKDAY(IF(Z276="",Z275,Z276),INDEX(AA$2:AA$5,MATCH($I274,$I$2:$I$5,0)),$BB$10:$BB$141)</f>
        <v>#REF!</v>
      </c>
      <c r="AB275" s="142" t="e">
        <f>AE274+#REF!</f>
        <v>#REF!</v>
      </c>
      <c r="AC275" s="658"/>
      <c r="AD275" s="105"/>
      <c r="AE275" s="664"/>
      <c r="AF275" s="667"/>
      <c r="AG275" s="670"/>
      <c r="AH275" s="106"/>
      <c r="AI275" s="107"/>
      <c r="AJ275" s="673"/>
      <c r="AK275" s="143"/>
      <c r="AL275" s="144"/>
      <c r="AM275" s="133">
        <f t="shared" si="506"/>
        <v>0</v>
      </c>
      <c r="AN275" s="134">
        <f t="shared" si="506"/>
        <v>0</v>
      </c>
      <c r="AO275" s="134">
        <f t="shared" si="506"/>
        <v>0</v>
      </c>
      <c r="AP275" s="134">
        <f t="shared" si="506"/>
        <v>0</v>
      </c>
      <c r="AQ275" s="134">
        <f t="shared" si="506"/>
        <v>0</v>
      </c>
      <c r="AR275" s="134">
        <f t="shared" si="506"/>
        <v>0</v>
      </c>
      <c r="AS275" s="134">
        <f t="shared" si="506"/>
        <v>0</v>
      </c>
      <c r="AT275" s="134">
        <f t="shared" si="506"/>
        <v>0</v>
      </c>
      <c r="AU275" s="134">
        <f t="shared" si="506"/>
        <v>0</v>
      </c>
      <c r="AV275" s="134">
        <f t="shared" si="506"/>
        <v>0</v>
      </c>
      <c r="AW275" s="134">
        <f t="shared" ca="1" si="506"/>
        <v>0</v>
      </c>
      <c r="BB275" s="135"/>
    </row>
    <row r="276" spans="1:54" s="21" customFormat="1" ht="18" customHeight="1">
      <c r="A276" s="644"/>
      <c r="B276" s="157"/>
      <c r="C276" s="653"/>
      <c r="D276" s="111" t="str">
        <f>D274</f>
        <v>PIP</v>
      </c>
      <c r="E276" s="145" t="str">
        <f>E274</f>
        <v>RFQ-054</v>
      </c>
      <c r="F276" s="146" t="str">
        <f t="shared" ref="F276" si="515">F274</f>
        <v>N</v>
      </c>
      <c r="G276" s="160"/>
      <c r="H276" s="163" t="str">
        <f t="shared" ref="H276:I276" si="516">H274</f>
        <v>CLAMP Type Connectors</v>
      </c>
      <c r="I276" s="145" t="str">
        <f t="shared" si="516"/>
        <v>LD</v>
      </c>
      <c r="J276" s="146"/>
      <c r="K276" s="147"/>
      <c r="L276" s="147"/>
      <c r="M276" s="147">
        <v>1E-3</v>
      </c>
      <c r="N276" s="145"/>
      <c r="O276" s="145"/>
      <c r="P276" s="145"/>
      <c r="Q276" s="148" t="s">
        <v>4842</v>
      </c>
      <c r="R276" s="148"/>
      <c r="S276" s="149"/>
      <c r="T276" s="149"/>
      <c r="U276" s="149"/>
      <c r="V276" s="149"/>
      <c r="W276" s="149"/>
      <c r="X276" s="149"/>
      <c r="Y276" s="149"/>
      <c r="Z276" s="149"/>
      <c r="AA276" s="149"/>
      <c r="AB276" s="149"/>
      <c r="AC276" s="659"/>
      <c r="AD276" s="116"/>
      <c r="AE276" s="665"/>
      <c r="AF276" s="668"/>
      <c r="AG276" s="671"/>
      <c r="AH276" s="117"/>
      <c r="AI276" s="118"/>
      <c r="AJ276" s="674"/>
      <c r="AK276" s="150"/>
      <c r="AL276" s="151"/>
      <c r="AM276" s="152">
        <f t="shared" si="506"/>
        <v>0</v>
      </c>
      <c r="AN276" s="153">
        <f t="shared" si="506"/>
        <v>0</v>
      </c>
      <c r="AO276" s="153">
        <f t="shared" si="506"/>
        <v>0</v>
      </c>
      <c r="AP276" s="153">
        <f t="shared" si="506"/>
        <v>0</v>
      </c>
      <c r="AQ276" s="153">
        <f t="shared" si="506"/>
        <v>0</v>
      </c>
      <c r="AR276" s="153">
        <f t="shared" si="506"/>
        <v>0</v>
      </c>
      <c r="AS276" s="153">
        <f t="shared" si="506"/>
        <v>0</v>
      </c>
      <c r="AT276" s="153">
        <f t="shared" si="506"/>
        <v>0</v>
      </c>
      <c r="AU276" s="153">
        <f t="shared" si="506"/>
        <v>0</v>
      </c>
      <c r="AV276" s="153">
        <f t="shared" si="506"/>
        <v>0</v>
      </c>
      <c r="AW276" s="153">
        <f t="shared" ca="1" si="506"/>
        <v>0</v>
      </c>
      <c r="BB276" s="135"/>
    </row>
    <row r="277" spans="1:54" s="21" customFormat="1" ht="18" customHeight="1">
      <c r="A277" s="642">
        <f t="shared" ref="A277" si="517">A274+1</f>
        <v>90</v>
      </c>
      <c r="B277" s="154" t="s">
        <v>4901</v>
      </c>
      <c r="C277" s="651" t="s">
        <v>4836</v>
      </c>
      <c r="D277" s="80" t="s">
        <v>4897</v>
      </c>
      <c r="E277" s="127" t="s">
        <v>4898</v>
      </c>
      <c r="F277" s="128" t="s">
        <v>71</v>
      </c>
      <c r="G277" s="158"/>
      <c r="H277" s="161" t="s">
        <v>4933</v>
      </c>
      <c r="I277" s="127" t="s">
        <v>9</v>
      </c>
      <c r="J277" s="128"/>
      <c r="K277" s="129">
        <f>M279</f>
        <v>1E-3</v>
      </c>
      <c r="L277" s="129"/>
      <c r="M277" s="129"/>
      <c r="N277" s="127"/>
      <c r="O277" s="127"/>
      <c r="P277" s="127"/>
      <c r="Q277" s="130" t="s">
        <v>4839</v>
      </c>
      <c r="R277" s="130"/>
      <c r="S277" s="155" t="e">
        <f>WORKDAY(T277,-INDEX(T$2:T$5,MATCH($I277,$I$2:$I$5,0)),'[35]Equipment List and MR List (3)'!$A$2:$A$80)</f>
        <v>#REF!</v>
      </c>
      <c r="T277" s="155" t="e">
        <f>WORKDAY(U277,-INDEX(U$2:U$5,MATCH($I277,$I$2:$I$5,0)),$BB$10:$BB$141)</f>
        <v>#REF!</v>
      </c>
      <c r="U277" s="155" t="e">
        <f>WORKDAY(V277,-INDEX(V$2:V$5,MATCH($I277,$I$2:$I$5,0)),$BB$10:$BB$141)</f>
        <v>#REF!</v>
      </c>
      <c r="V277" s="155" t="e">
        <f>WORKDAY(W277,-INDEX(W$2:W$5,MATCH($I277,$I$2:$I$5,0)),$BB$10:$BB$141)</f>
        <v>#REF!</v>
      </c>
      <c r="W277" s="155" t="e">
        <f>WORKDAY(#REF!,-INDEX(#REF!,MATCH($I277,$I$2:$I$5,0)),$BB$10:$BB$141)</f>
        <v>#REF!</v>
      </c>
      <c r="X277" s="155" t="e">
        <f>WORKDAY(Y277,-INDEX(Y$2:Y$5,MATCH($I277,$I$2:$I$5,0)),$BB$10:$BB$141)</f>
        <v>#REF!</v>
      </c>
      <c r="Y277" s="155" t="e">
        <f>WORKDAY(Z277,-INDEX(Z$2:Z$5,MATCH($I277,$I$2:$I$5,0)),$BB$10:$BB$141)</f>
        <v>#REF!</v>
      </c>
      <c r="Z277" s="155" t="e">
        <f>WORKDAY(AA277,-INDEX(AA$2:AA$5,MATCH($I277,$I$2:$I$5,0)),$BB$10:$BB$141)</f>
        <v>#REF!</v>
      </c>
      <c r="AA277" s="155" t="e">
        <f>WORKDAY(#REF!,-INDEX(#REF!,MATCH($I277,$I$2:$I$5,0)),$BB$10:$BB$141)</f>
        <v>#REF!</v>
      </c>
      <c r="AB277" s="155">
        <f>WORKDAY(AG277,0,'[35]Equipment List and MR List (3)'!$A$2:$A$80)</f>
        <v>0</v>
      </c>
      <c r="AC277" s="657" t="s">
        <v>4840</v>
      </c>
      <c r="AD277" s="87">
        <v>7</v>
      </c>
      <c r="AE277" s="663">
        <v>75</v>
      </c>
      <c r="AF277" s="666" t="e">
        <f>AB278</f>
        <v>#REF!</v>
      </c>
      <c r="AG277" s="669"/>
      <c r="AH277" s="88"/>
      <c r="AI277" s="89"/>
      <c r="AJ277" s="672" t="e">
        <f>AG277-AF277</f>
        <v>#REF!</v>
      </c>
      <c r="AK277" s="131"/>
      <c r="AL277" s="132"/>
      <c r="AM277" s="133">
        <f t="shared" si="506"/>
        <v>0.95</v>
      </c>
      <c r="AN277" s="134">
        <f t="shared" si="506"/>
        <v>0.95</v>
      </c>
      <c r="AO277" s="134">
        <f t="shared" si="506"/>
        <v>0.95</v>
      </c>
      <c r="AP277" s="134">
        <f t="shared" si="506"/>
        <v>0.95</v>
      </c>
      <c r="AQ277" s="134">
        <f t="shared" si="506"/>
        <v>0.95</v>
      </c>
      <c r="AR277" s="134">
        <f t="shared" si="506"/>
        <v>0.95</v>
      </c>
      <c r="AS277" s="134">
        <f t="shared" si="506"/>
        <v>0.95</v>
      </c>
      <c r="AT277" s="134">
        <f t="shared" si="506"/>
        <v>0.95</v>
      </c>
      <c r="AU277" s="134">
        <f t="shared" si="506"/>
        <v>0.95</v>
      </c>
      <c r="AV277" s="134">
        <f t="shared" si="506"/>
        <v>0.95</v>
      </c>
      <c r="AW277" s="134">
        <f t="shared" ca="1" si="506"/>
        <v>0.95</v>
      </c>
      <c r="BB277" s="135"/>
    </row>
    <row r="278" spans="1:54" s="21" customFormat="1" ht="18" customHeight="1">
      <c r="A278" s="643"/>
      <c r="B278" s="156"/>
      <c r="C278" s="652"/>
      <c r="D278" s="96" t="str">
        <f>D277</f>
        <v>STR</v>
      </c>
      <c r="E278" s="136" t="str">
        <f t="shared" ref="E278:F278" si="518">E277</f>
        <v>RFQ-054</v>
      </c>
      <c r="F278" s="137" t="str">
        <f t="shared" si="518"/>
        <v>N</v>
      </c>
      <c r="G278" s="159"/>
      <c r="H278" s="162" t="str">
        <f t="shared" ref="H278:I278" si="519">H277</f>
        <v>Painting</v>
      </c>
      <c r="I278" s="136" t="str">
        <f t="shared" si="519"/>
        <v>LD</v>
      </c>
      <c r="J278" s="137"/>
      <c r="K278" s="138"/>
      <c r="L278" s="138">
        <f>M279</f>
        <v>1E-3</v>
      </c>
      <c r="M278" s="138"/>
      <c r="N278" s="136"/>
      <c r="O278" s="136"/>
      <c r="P278" s="136"/>
      <c r="Q278" s="139" t="s">
        <v>4841</v>
      </c>
      <c r="R278" s="139"/>
      <c r="S278" s="140" t="e">
        <f>S277</f>
        <v>#REF!</v>
      </c>
      <c r="T278" s="141" t="e">
        <f>T277</f>
        <v>#REF!</v>
      </c>
      <c r="U278" s="141" t="e">
        <f>WORKDAY(IF(T279="",T278,T279),INDEX(U$2:U$5,MATCH($I277,$I$2:$I$5,0)),$BB$10:$BB$141)</f>
        <v>#REF!</v>
      </c>
      <c r="V278" s="141" t="e">
        <f>WORKDAY(IF(U279="",U278,U279),INDEX(V$2:V$5,MATCH($I277,$I$2:$I$5,0)),$BB$10:$BB$141)</f>
        <v>#REF!</v>
      </c>
      <c r="W278" s="141" t="e">
        <f>WORKDAY(IF(V279="",V278,V279),INDEX(W$2:W$5,MATCH($I277,$I$2:$I$5,0)),$BB$10:$BB$141)</f>
        <v>#REF!</v>
      </c>
      <c r="X278" s="141" t="e">
        <f>WORKDAY(IF(#REF!="",#REF!,#REF!),INDEX(X$2:X$5,MATCH($I277,$I$2:$I$5,0)),$BB$10:$BB$141)</f>
        <v>#REF!</v>
      </c>
      <c r="Y278" s="141" t="e">
        <f>WORKDAY(IF(X279="",X278,X279),INDEX(Y$2:Y$5,MATCH($I277,$I$2:$I$5,0)),$BB$10:$BB$141)</f>
        <v>#REF!</v>
      </c>
      <c r="Z278" s="141" t="e">
        <f>WORKDAY(IF(Y279="",Y278,Y279),INDEX(Z$2:Z$5,MATCH($I277,$I$2:$I$5,0)),$BB$10:$BB$141)</f>
        <v>#REF!</v>
      </c>
      <c r="AA278" s="141" t="e">
        <f>WORKDAY(IF(Z279="",Z278,Z279),INDEX(AA$2:AA$5,MATCH($I277,$I$2:$I$5,0)),$BB$10:$BB$141)</f>
        <v>#REF!</v>
      </c>
      <c r="AB278" s="142" t="e">
        <f>AE277+#REF!</f>
        <v>#REF!</v>
      </c>
      <c r="AC278" s="658"/>
      <c r="AD278" s="105"/>
      <c r="AE278" s="664"/>
      <c r="AF278" s="667"/>
      <c r="AG278" s="670"/>
      <c r="AH278" s="106"/>
      <c r="AI278" s="107"/>
      <c r="AJ278" s="673"/>
      <c r="AK278" s="143"/>
      <c r="AL278" s="144"/>
      <c r="AM278" s="133">
        <f t="shared" si="506"/>
        <v>0</v>
      </c>
      <c r="AN278" s="134">
        <f t="shared" si="506"/>
        <v>0</v>
      </c>
      <c r="AO278" s="134">
        <f t="shared" si="506"/>
        <v>0</v>
      </c>
      <c r="AP278" s="134">
        <f t="shared" si="506"/>
        <v>0</v>
      </c>
      <c r="AQ278" s="134">
        <f t="shared" si="506"/>
        <v>0</v>
      </c>
      <c r="AR278" s="134">
        <f t="shared" si="506"/>
        <v>0</v>
      </c>
      <c r="AS278" s="134">
        <f t="shared" si="506"/>
        <v>0</v>
      </c>
      <c r="AT278" s="134">
        <f t="shared" si="506"/>
        <v>0</v>
      </c>
      <c r="AU278" s="134">
        <f t="shared" si="506"/>
        <v>0</v>
      </c>
      <c r="AV278" s="134">
        <f t="shared" si="506"/>
        <v>0</v>
      </c>
      <c r="AW278" s="134">
        <f t="shared" ca="1" si="506"/>
        <v>0</v>
      </c>
      <c r="BB278" s="135"/>
    </row>
    <row r="279" spans="1:54" s="21" customFormat="1" ht="18" customHeight="1">
      <c r="A279" s="644"/>
      <c r="B279" s="157"/>
      <c r="C279" s="653"/>
      <c r="D279" s="111" t="str">
        <f>D277</f>
        <v>STR</v>
      </c>
      <c r="E279" s="145" t="str">
        <f>E277</f>
        <v>RFQ-054</v>
      </c>
      <c r="F279" s="146" t="str">
        <f t="shared" ref="F279" si="520">F277</f>
        <v>N</v>
      </c>
      <c r="G279" s="160"/>
      <c r="H279" s="163" t="str">
        <f t="shared" ref="H279:I279" si="521">H277</f>
        <v>Painting</v>
      </c>
      <c r="I279" s="145" t="str">
        <f t="shared" si="521"/>
        <v>LD</v>
      </c>
      <c r="J279" s="146"/>
      <c r="K279" s="147"/>
      <c r="L279" s="147"/>
      <c r="M279" s="147">
        <v>1E-3</v>
      </c>
      <c r="N279" s="145"/>
      <c r="O279" s="145"/>
      <c r="P279" s="145"/>
      <c r="Q279" s="148" t="s">
        <v>4842</v>
      </c>
      <c r="R279" s="148"/>
      <c r="S279" s="149"/>
      <c r="T279" s="149"/>
      <c r="U279" s="149"/>
      <c r="V279" s="149"/>
      <c r="W279" s="149"/>
      <c r="X279" s="149"/>
      <c r="Y279" s="149"/>
      <c r="Z279" s="149"/>
      <c r="AA279" s="149"/>
      <c r="AB279" s="149"/>
      <c r="AC279" s="659"/>
      <c r="AD279" s="116"/>
      <c r="AE279" s="665"/>
      <c r="AF279" s="668"/>
      <c r="AG279" s="671"/>
      <c r="AH279" s="117"/>
      <c r="AI279" s="118"/>
      <c r="AJ279" s="674"/>
      <c r="AK279" s="150"/>
      <c r="AL279" s="151"/>
      <c r="AM279" s="152">
        <f t="shared" si="506"/>
        <v>0</v>
      </c>
      <c r="AN279" s="153">
        <f t="shared" si="506"/>
        <v>0</v>
      </c>
      <c r="AO279" s="153">
        <f t="shared" si="506"/>
        <v>0</v>
      </c>
      <c r="AP279" s="153">
        <f t="shared" si="506"/>
        <v>0</v>
      </c>
      <c r="AQ279" s="153">
        <f t="shared" si="506"/>
        <v>0</v>
      </c>
      <c r="AR279" s="153">
        <f t="shared" si="506"/>
        <v>0</v>
      </c>
      <c r="AS279" s="153">
        <f t="shared" si="506"/>
        <v>0</v>
      </c>
      <c r="AT279" s="153">
        <f t="shared" si="506"/>
        <v>0</v>
      </c>
      <c r="AU279" s="153">
        <f t="shared" si="506"/>
        <v>0</v>
      </c>
      <c r="AV279" s="153">
        <f t="shared" si="506"/>
        <v>0</v>
      </c>
      <c r="AW279" s="153">
        <f t="shared" ca="1" si="506"/>
        <v>0</v>
      </c>
      <c r="BB279" s="135"/>
    </row>
    <row r="280" spans="1:54" s="21" customFormat="1" ht="18" customHeight="1">
      <c r="A280" s="642">
        <f t="shared" ref="A280" si="522">A277+1</f>
        <v>91</v>
      </c>
      <c r="B280" s="154" t="s">
        <v>4901</v>
      </c>
      <c r="C280" s="651" t="s">
        <v>4836</v>
      </c>
      <c r="D280" s="80" t="s">
        <v>4848</v>
      </c>
      <c r="E280" s="127" t="s">
        <v>4898</v>
      </c>
      <c r="F280" s="128" t="s">
        <v>71</v>
      </c>
      <c r="G280" s="158"/>
      <c r="H280" s="161" t="s">
        <v>4934</v>
      </c>
      <c r="I280" s="127" t="s">
        <v>9</v>
      </c>
      <c r="J280" s="128"/>
      <c r="K280" s="129">
        <f>M282</f>
        <v>1E-3</v>
      </c>
      <c r="L280" s="129"/>
      <c r="M280" s="129"/>
      <c r="N280" s="127"/>
      <c r="O280" s="127"/>
      <c r="P280" s="127"/>
      <c r="Q280" s="130" t="s">
        <v>4839</v>
      </c>
      <c r="R280" s="130"/>
      <c r="S280" s="155" t="e">
        <f>WORKDAY(T280,-INDEX(T$2:T$5,MATCH($I280,$I$2:$I$5,0)),'[35]Equipment List and MR List (3)'!$A$2:$A$80)</f>
        <v>#REF!</v>
      </c>
      <c r="T280" s="155" t="e">
        <f>WORKDAY(U280,-INDEX(U$2:U$5,MATCH($I280,$I$2:$I$5,0)),$BB$10:$BB$141)</f>
        <v>#REF!</v>
      </c>
      <c r="U280" s="155" t="e">
        <f>WORKDAY(V280,-INDEX(V$2:V$5,MATCH($I280,$I$2:$I$5,0)),$BB$10:$BB$141)</f>
        <v>#REF!</v>
      </c>
      <c r="V280" s="155" t="e">
        <f>WORKDAY(W280,-INDEX(W$2:W$5,MATCH($I280,$I$2:$I$5,0)),$BB$10:$BB$141)</f>
        <v>#REF!</v>
      </c>
      <c r="W280" s="155" t="e">
        <f>WORKDAY(#REF!,-INDEX(#REF!,MATCH($I280,$I$2:$I$5,0)),$BB$10:$BB$141)</f>
        <v>#REF!</v>
      </c>
      <c r="X280" s="155" t="e">
        <f>WORKDAY(Y280,-INDEX(Y$2:Y$5,MATCH($I280,$I$2:$I$5,0)),$BB$10:$BB$141)</f>
        <v>#REF!</v>
      </c>
      <c r="Y280" s="155" t="e">
        <f>WORKDAY(Z280,-INDEX(Z$2:Z$5,MATCH($I280,$I$2:$I$5,0)),$BB$10:$BB$141)</f>
        <v>#REF!</v>
      </c>
      <c r="Z280" s="155" t="e">
        <f>WORKDAY(AA280,-INDEX(AA$2:AA$5,MATCH($I280,$I$2:$I$5,0)),$BB$10:$BB$141)</f>
        <v>#REF!</v>
      </c>
      <c r="AA280" s="155" t="e">
        <f>WORKDAY(#REF!,-INDEX(#REF!,MATCH($I280,$I$2:$I$5,0)),$BB$10:$BB$141)</f>
        <v>#REF!</v>
      </c>
      <c r="AB280" s="155">
        <f>WORKDAY(AG280,0,'[35]Equipment List and MR List (3)'!$A$2:$A$80)</f>
        <v>0</v>
      </c>
      <c r="AC280" s="657" t="s">
        <v>4840</v>
      </c>
      <c r="AD280" s="87">
        <v>7</v>
      </c>
      <c r="AE280" s="663">
        <v>121</v>
      </c>
      <c r="AF280" s="666" t="e">
        <f>AB281</f>
        <v>#REF!</v>
      </c>
      <c r="AG280" s="669"/>
      <c r="AH280" s="88"/>
      <c r="AI280" s="89"/>
      <c r="AJ280" s="672" t="e">
        <f>AG280-AF280</f>
        <v>#REF!</v>
      </c>
      <c r="AK280" s="131"/>
      <c r="AL280" s="132"/>
      <c r="AM280" s="133">
        <f t="shared" ref="AM280:AW289" si="523">IF(ISERROR(LOOKUP(AM$6,$S280:$AB280,$S$9:$AB$9)),0,(LOOKUP(AM$6,$S280:$AB280,$S$9:$AB$9)))</f>
        <v>0.95</v>
      </c>
      <c r="AN280" s="134">
        <f t="shared" si="523"/>
        <v>0.95</v>
      </c>
      <c r="AO280" s="134">
        <f t="shared" si="523"/>
        <v>0.95</v>
      </c>
      <c r="AP280" s="134">
        <f t="shared" si="523"/>
        <v>0.95</v>
      </c>
      <c r="AQ280" s="134">
        <f t="shared" si="523"/>
        <v>0.95</v>
      </c>
      <c r="AR280" s="134">
        <f t="shared" si="523"/>
        <v>0.95</v>
      </c>
      <c r="AS280" s="134">
        <f t="shared" si="523"/>
        <v>0.95</v>
      </c>
      <c r="AT280" s="134">
        <f t="shared" si="523"/>
        <v>0.95</v>
      </c>
      <c r="AU280" s="134">
        <f t="shared" si="523"/>
        <v>0.95</v>
      </c>
      <c r="AV280" s="134">
        <f t="shared" si="523"/>
        <v>0.95</v>
      </c>
      <c r="AW280" s="134">
        <f t="shared" ca="1" si="523"/>
        <v>0.95</v>
      </c>
      <c r="BB280" s="135"/>
    </row>
    <row r="281" spans="1:54" s="21" customFormat="1" ht="18" customHeight="1">
      <c r="A281" s="643"/>
      <c r="B281" s="156"/>
      <c r="C281" s="652"/>
      <c r="D281" s="96" t="str">
        <f>D280</f>
        <v>PIP</v>
      </c>
      <c r="E281" s="136" t="str">
        <f t="shared" ref="E281:F281" si="524">E280</f>
        <v>RFQ-054</v>
      </c>
      <c r="F281" s="137" t="str">
        <f t="shared" si="524"/>
        <v>N</v>
      </c>
      <c r="G281" s="159"/>
      <c r="H281" s="162" t="str">
        <f t="shared" ref="H281:I281" si="525">H280</f>
        <v>Fire fighting</v>
      </c>
      <c r="I281" s="136" t="str">
        <f t="shared" si="525"/>
        <v>LD</v>
      </c>
      <c r="J281" s="137"/>
      <c r="K281" s="138"/>
      <c r="L281" s="138">
        <f>M282</f>
        <v>1E-3</v>
      </c>
      <c r="M281" s="138"/>
      <c r="N281" s="136"/>
      <c r="O281" s="136"/>
      <c r="P281" s="136"/>
      <c r="Q281" s="139" t="s">
        <v>4841</v>
      </c>
      <c r="R281" s="139"/>
      <c r="S281" s="140" t="e">
        <f>S280</f>
        <v>#REF!</v>
      </c>
      <c r="T281" s="141" t="e">
        <f>T280</f>
        <v>#REF!</v>
      </c>
      <c r="U281" s="141" t="e">
        <f>WORKDAY(IF(T282="",T281,T282),INDEX(U$2:U$5,MATCH($I280,$I$2:$I$5,0)),$BB$10:$BB$141)</f>
        <v>#REF!</v>
      </c>
      <c r="V281" s="141" t="e">
        <f>WORKDAY(IF(U282="",U281,U282),INDEX(V$2:V$5,MATCH($I280,$I$2:$I$5,0)),$BB$10:$BB$141)</f>
        <v>#REF!</v>
      </c>
      <c r="W281" s="141" t="e">
        <f>WORKDAY(IF(V282="",V281,V282),INDEX(W$2:W$5,MATCH($I280,$I$2:$I$5,0)),$BB$10:$BB$141)</f>
        <v>#REF!</v>
      </c>
      <c r="X281" s="141" t="e">
        <f>WORKDAY(IF(#REF!="",#REF!,#REF!),INDEX(X$2:X$5,MATCH($I280,$I$2:$I$5,0)),$BB$10:$BB$141)</f>
        <v>#REF!</v>
      </c>
      <c r="Y281" s="141" t="e">
        <f>WORKDAY(IF(X282="",X281,X282),INDEX(Y$2:Y$5,MATCH($I280,$I$2:$I$5,0)),$BB$10:$BB$141)</f>
        <v>#REF!</v>
      </c>
      <c r="Z281" s="141" t="e">
        <f>WORKDAY(IF(Y282="",Y281,Y282),INDEX(Z$2:Z$5,MATCH($I280,$I$2:$I$5,0)),$BB$10:$BB$141)</f>
        <v>#REF!</v>
      </c>
      <c r="AA281" s="141" t="e">
        <f>WORKDAY(IF(Z282="",Z281,Z282),INDEX(AA$2:AA$5,MATCH($I280,$I$2:$I$5,0)),$BB$10:$BB$141)</f>
        <v>#REF!</v>
      </c>
      <c r="AB281" s="142" t="e">
        <f>AE280+#REF!</f>
        <v>#REF!</v>
      </c>
      <c r="AC281" s="658"/>
      <c r="AD281" s="105"/>
      <c r="AE281" s="664"/>
      <c r="AF281" s="667"/>
      <c r="AG281" s="670"/>
      <c r="AH281" s="106"/>
      <c r="AI281" s="107"/>
      <c r="AJ281" s="673"/>
      <c r="AK281" s="143"/>
      <c r="AL281" s="144"/>
      <c r="AM281" s="133">
        <f t="shared" si="523"/>
        <v>0</v>
      </c>
      <c r="AN281" s="134">
        <f t="shared" si="523"/>
        <v>0</v>
      </c>
      <c r="AO281" s="134">
        <f t="shared" si="523"/>
        <v>0</v>
      </c>
      <c r="AP281" s="134">
        <f t="shared" si="523"/>
        <v>0</v>
      </c>
      <c r="AQ281" s="134">
        <f t="shared" si="523"/>
        <v>0</v>
      </c>
      <c r="AR281" s="134">
        <f t="shared" si="523"/>
        <v>0</v>
      </c>
      <c r="AS281" s="134">
        <f t="shared" si="523"/>
        <v>0</v>
      </c>
      <c r="AT281" s="134">
        <f t="shared" si="523"/>
        <v>0</v>
      </c>
      <c r="AU281" s="134">
        <f t="shared" si="523"/>
        <v>0</v>
      </c>
      <c r="AV281" s="134">
        <f t="shared" si="523"/>
        <v>0</v>
      </c>
      <c r="AW281" s="134">
        <f t="shared" ca="1" si="523"/>
        <v>0</v>
      </c>
      <c r="BB281" s="135"/>
    </row>
    <row r="282" spans="1:54" s="21" customFormat="1" ht="18" customHeight="1">
      <c r="A282" s="644"/>
      <c r="B282" s="157"/>
      <c r="C282" s="653"/>
      <c r="D282" s="111" t="str">
        <f>D280</f>
        <v>PIP</v>
      </c>
      <c r="E282" s="145" t="str">
        <f>E280</f>
        <v>RFQ-054</v>
      </c>
      <c r="F282" s="146" t="str">
        <f t="shared" ref="F282" si="526">F280</f>
        <v>N</v>
      </c>
      <c r="G282" s="160"/>
      <c r="H282" s="163" t="str">
        <f t="shared" ref="H282:I282" si="527">H280</f>
        <v>Fire fighting</v>
      </c>
      <c r="I282" s="145" t="str">
        <f t="shared" si="527"/>
        <v>LD</v>
      </c>
      <c r="J282" s="146"/>
      <c r="K282" s="147"/>
      <c r="L282" s="147"/>
      <c r="M282" s="147">
        <v>1E-3</v>
      </c>
      <c r="N282" s="145"/>
      <c r="O282" s="145"/>
      <c r="P282" s="145"/>
      <c r="Q282" s="148" t="s">
        <v>4842</v>
      </c>
      <c r="R282" s="148"/>
      <c r="S282" s="149"/>
      <c r="T282" s="149"/>
      <c r="U282" s="149"/>
      <c r="V282" s="149"/>
      <c r="W282" s="149"/>
      <c r="X282" s="149"/>
      <c r="Y282" s="149"/>
      <c r="Z282" s="149"/>
      <c r="AA282" s="149"/>
      <c r="AB282" s="149"/>
      <c r="AC282" s="659"/>
      <c r="AD282" s="116"/>
      <c r="AE282" s="665"/>
      <c r="AF282" s="668"/>
      <c r="AG282" s="671"/>
      <c r="AH282" s="117"/>
      <c r="AI282" s="118"/>
      <c r="AJ282" s="674"/>
      <c r="AK282" s="150"/>
      <c r="AL282" s="151"/>
      <c r="AM282" s="152">
        <f t="shared" si="523"/>
        <v>0</v>
      </c>
      <c r="AN282" s="153">
        <f t="shared" si="523"/>
        <v>0</v>
      </c>
      <c r="AO282" s="153">
        <f t="shared" si="523"/>
        <v>0</v>
      </c>
      <c r="AP282" s="153">
        <f t="shared" si="523"/>
        <v>0</v>
      </c>
      <c r="AQ282" s="153">
        <f t="shared" si="523"/>
        <v>0</v>
      </c>
      <c r="AR282" s="153">
        <f t="shared" si="523"/>
        <v>0</v>
      </c>
      <c r="AS282" s="153">
        <f t="shared" si="523"/>
        <v>0</v>
      </c>
      <c r="AT282" s="153">
        <f t="shared" si="523"/>
        <v>0</v>
      </c>
      <c r="AU282" s="153">
        <f t="shared" si="523"/>
        <v>0</v>
      </c>
      <c r="AV282" s="153">
        <f t="shared" si="523"/>
        <v>0</v>
      </c>
      <c r="AW282" s="153">
        <f t="shared" ca="1" si="523"/>
        <v>0</v>
      </c>
      <c r="BB282" s="135"/>
    </row>
    <row r="283" spans="1:54" s="21" customFormat="1" ht="18" customHeight="1">
      <c r="A283" s="642">
        <f t="shared" ref="A283" si="528">A280+1</f>
        <v>92</v>
      </c>
      <c r="B283" s="154" t="s">
        <v>4901</v>
      </c>
      <c r="C283" s="651" t="s">
        <v>4836</v>
      </c>
      <c r="D283" s="80" t="s">
        <v>4848</v>
      </c>
      <c r="E283" s="127" t="s">
        <v>4898</v>
      </c>
      <c r="F283" s="128" t="s">
        <v>71</v>
      </c>
      <c r="G283" s="158"/>
      <c r="H283" s="161" t="s">
        <v>4935</v>
      </c>
      <c r="I283" s="127" t="s">
        <v>9</v>
      </c>
      <c r="J283" s="128"/>
      <c r="K283" s="129">
        <f>M285</f>
        <v>1E-3</v>
      </c>
      <c r="L283" s="129"/>
      <c r="M283" s="129"/>
      <c r="N283" s="127"/>
      <c r="O283" s="127"/>
      <c r="P283" s="127"/>
      <c r="Q283" s="130" t="s">
        <v>4839</v>
      </c>
      <c r="R283" s="130"/>
      <c r="S283" s="155" t="e">
        <f>WORKDAY(T283,-INDEX(T$2:T$5,MATCH($I283,$I$2:$I$5,0)),'[35]Equipment List and MR List (3)'!$A$2:$A$80)</f>
        <v>#REF!</v>
      </c>
      <c r="T283" s="155" t="e">
        <f>WORKDAY(U283,-INDEX(U$2:U$5,MATCH($I283,$I$2:$I$5,0)),$BB$10:$BB$141)</f>
        <v>#REF!</v>
      </c>
      <c r="U283" s="155" t="e">
        <f>WORKDAY(V283,-INDEX(V$2:V$5,MATCH($I283,$I$2:$I$5,0)),$BB$10:$BB$141)</f>
        <v>#REF!</v>
      </c>
      <c r="V283" s="155" t="e">
        <f>WORKDAY(W283,-INDEX(W$2:W$5,MATCH($I283,$I$2:$I$5,0)),$BB$10:$BB$141)</f>
        <v>#REF!</v>
      </c>
      <c r="W283" s="155" t="e">
        <f>WORKDAY(#REF!,-INDEX(#REF!,MATCH($I283,$I$2:$I$5,0)),$BB$10:$BB$141)</f>
        <v>#REF!</v>
      </c>
      <c r="X283" s="155" t="e">
        <f>WORKDAY(Y283,-INDEX(Y$2:Y$5,MATCH($I283,$I$2:$I$5,0)),$BB$10:$BB$141)</f>
        <v>#REF!</v>
      </c>
      <c r="Y283" s="155" t="e">
        <f>WORKDAY(Z283,-INDEX(Z$2:Z$5,MATCH($I283,$I$2:$I$5,0)),$BB$10:$BB$141)</f>
        <v>#REF!</v>
      </c>
      <c r="Z283" s="155" t="e">
        <f>WORKDAY(AA283,-INDEX(AA$2:AA$5,MATCH($I283,$I$2:$I$5,0)),$BB$10:$BB$141)</f>
        <v>#REF!</v>
      </c>
      <c r="AA283" s="155" t="e">
        <f>WORKDAY(#REF!,-INDEX(#REF!,MATCH($I283,$I$2:$I$5,0)),$BB$10:$BB$141)</f>
        <v>#REF!</v>
      </c>
      <c r="AB283" s="155">
        <f>WORKDAY(AG283,0,'[35]Equipment List and MR List (3)'!$A$2:$A$80)</f>
        <v>0</v>
      </c>
      <c r="AC283" s="657" t="s">
        <v>4840</v>
      </c>
      <c r="AD283" s="87">
        <v>7</v>
      </c>
      <c r="AE283" s="663">
        <v>121</v>
      </c>
      <c r="AF283" s="666" t="e">
        <f>AB284</f>
        <v>#REF!</v>
      </c>
      <c r="AG283" s="669"/>
      <c r="AH283" s="88"/>
      <c r="AI283" s="89"/>
      <c r="AJ283" s="672" t="e">
        <f>AG283-AF283</f>
        <v>#REF!</v>
      </c>
      <c r="AK283" s="131"/>
      <c r="AL283" s="132"/>
      <c r="AM283" s="133">
        <f t="shared" si="523"/>
        <v>0.95</v>
      </c>
      <c r="AN283" s="134">
        <f t="shared" si="523"/>
        <v>0.95</v>
      </c>
      <c r="AO283" s="134">
        <f t="shared" si="523"/>
        <v>0.95</v>
      </c>
      <c r="AP283" s="134">
        <f t="shared" si="523"/>
        <v>0.95</v>
      </c>
      <c r="AQ283" s="134">
        <f t="shared" si="523"/>
        <v>0.95</v>
      </c>
      <c r="AR283" s="134">
        <f t="shared" si="523"/>
        <v>0.95</v>
      </c>
      <c r="AS283" s="134">
        <f t="shared" si="523"/>
        <v>0.95</v>
      </c>
      <c r="AT283" s="134">
        <f t="shared" si="523"/>
        <v>0.95</v>
      </c>
      <c r="AU283" s="134">
        <f t="shared" si="523"/>
        <v>0.95</v>
      </c>
      <c r="AV283" s="134">
        <f t="shared" si="523"/>
        <v>0.95</v>
      </c>
      <c r="AW283" s="134">
        <f t="shared" ca="1" si="523"/>
        <v>0.95</v>
      </c>
      <c r="BB283" s="135"/>
    </row>
    <row r="284" spans="1:54" s="21" customFormat="1" ht="18" customHeight="1">
      <c r="A284" s="643"/>
      <c r="B284" s="156"/>
      <c r="C284" s="652"/>
      <c r="D284" s="96" t="str">
        <f>D283</f>
        <v>PIP</v>
      </c>
      <c r="E284" s="136" t="str">
        <f t="shared" ref="E284:F284" si="529">E283</f>
        <v>RFQ-054</v>
      </c>
      <c r="F284" s="137" t="str">
        <f t="shared" si="529"/>
        <v>N</v>
      </c>
      <c r="G284" s="159"/>
      <c r="H284" s="162" t="str">
        <f t="shared" ref="H284:I284" si="530">H283</f>
        <v>Life saving</v>
      </c>
      <c r="I284" s="136" t="str">
        <f t="shared" si="530"/>
        <v>LD</v>
      </c>
      <c r="J284" s="137"/>
      <c r="K284" s="138"/>
      <c r="L284" s="138">
        <f>M285</f>
        <v>1E-3</v>
      </c>
      <c r="M284" s="138"/>
      <c r="N284" s="136"/>
      <c r="O284" s="136"/>
      <c r="P284" s="136"/>
      <c r="Q284" s="139" t="s">
        <v>4841</v>
      </c>
      <c r="R284" s="139"/>
      <c r="S284" s="140" t="e">
        <f>S283</f>
        <v>#REF!</v>
      </c>
      <c r="T284" s="141" t="e">
        <f>T283</f>
        <v>#REF!</v>
      </c>
      <c r="U284" s="141" t="e">
        <f>WORKDAY(IF(T285="",T284,T285),INDEX(U$2:U$5,MATCH($I283,$I$2:$I$5,0)),$BB$10:$BB$141)</f>
        <v>#REF!</v>
      </c>
      <c r="V284" s="141" t="e">
        <f>WORKDAY(IF(U285="",U284,U285),INDEX(V$2:V$5,MATCH($I283,$I$2:$I$5,0)),$BB$10:$BB$141)</f>
        <v>#REF!</v>
      </c>
      <c r="W284" s="141" t="e">
        <f>WORKDAY(IF(V285="",V284,V285),INDEX(W$2:W$5,MATCH($I283,$I$2:$I$5,0)),$BB$10:$BB$141)</f>
        <v>#REF!</v>
      </c>
      <c r="X284" s="141" t="e">
        <f>WORKDAY(IF(#REF!="",#REF!,#REF!),INDEX(X$2:X$5,MATCH($I283,$I$2:$I$5,0)),$BB$10:$BB$141)</f>
        <v>#REF!</v>
      </c>
      <c r="Y284" s="141" t="e">
        <f>WORKDAY(IF(X285="",X284,X285),INDEX(Y$2:Y$5,MATCH($I283,$I$2:$I$5,0)),$BB$10:$BB$141)</f>
        <v>#REF!</v>
      </c>
      <c r="Z284" s="141" t="e">
        <f>WORKDAY(IF(Y285="",Y284,Y285),INDEX(Z$2:Z$5,MATCH($I283,$I$2:$I$5,0)),$BB$10:$BB$141)</f>
        <v>#REF!</v>
      </c>
      <c r="AA284" s="141" t="e">
        <f>WORKDAY(IF(Z285="",Z284,Z285),INDEX(AA$2:AA$5,MATCH($I283,$I$2:$I$5,0)),$BB$10:$BB$141)</f>
        <v>#REF!</v>
      </c>
      <c r="AB284" s="142" t="e">
        <f>AE283+#REF!</f>
        <v>#REF!</v>
      </c>
      <c r="AC284" s="658"/>
      <c r="AD284" s="105"/>
      <c r="AE284" s="664"/>
      <c r="AF284" s="667"/>
      <c r="AG284" s="670"/>
      <c r="AH284" s="106"/>
      <c r="AI284" s="107"/>
      <c r="AJ284" s="673"/>
      <c r="AK284" s="143"/>
      <c r="AL284" s="144"/>
      <c r="AM284" s="133">
        <f t="shared" si="523"/>
        <v>0</v>
      </c>
      <c r="AN284" s="134">
        <f t="shared" si="523"/>
        <v>0</v>
      </c>
      <c r="AO284" s="134">
        <f t="shared" si="523"/>
        <v>0</v>
      </c>
      <c r="AP284" s="134">
        <f t="shared" si="523"/>
        <v>0</v>
      </c>
      <c r="AQ284" s="134">
        <f t="shared" si="523"/>
        <v>0</v>
      </c>
      <c r="AR284" s="134">
        <f t="shared" si="523"/>
        <v>0</v>
      </c>
      <c r="AS284" s="134">
        <f t="shared" si="523"/>
        <v>0</v>
      </c>
      <c r="AT284" s="134">
        <f t="shared" si="523"/>
        <v>0</v>
      </c>
      <c r="AU284" s="134">
        <f t="shared" si="523"/>
        <v>0</v>
      </c>
      <c r="AV284" s="134">
        <f t="shared" si="523"/>
        <v>0</v>
      </c>
      <c r="AW284" s="134">
        <f t="shared" ca="1" si="523"/>
        <v>0</v>
      </c>
      <c r="BB284" s="135"/>
    </row>
    <row r="285" spans="1:54" s="21" customFormat="1" ht="18" customHeight="1">
      <c r="A285" s="644"/>
      <c r="B285" s="157"/>
      <c r="C285" s="653"/>
      <c r="D285" s="111" t="str">
        <f>D283</f>
        <v>PIP</v>
      </c>
      <c r="E285" s="145" t="str">
        <f>E283</f>
        <v>RFQ-054</v>
      </c>
      <c r="F285" s="146" t="str">
        <f t="shared" ref="F285" si="531">F283</f>
        <v>N</v>
      </c>
      <c r="G285" s="160"/>
      <c r="H285" s="163" t="str">
        <f t="shared" ref="H285:I285" si="532">H283</f>
        <v>Life saving</v>
      </c>
      <c r="I285" s="145" t="str">
        <f t="shared" si="532"/>
        <v>LD</v>
      </c>
      <c r="J285" s="146"/>
      <c r="K285" s="147"/>
      <c r="L285" s="147"/>
      <c r="M285" s="147">
        <v>1E-3</v>
      </c>
      <c r="N285" s="145"/>
      <c r="O285" s="145"/>
      <c r="P285" s="145"/>
      <c r="Q285" s="148" t="s">
        <v>4842</v>
      </c>
      <c r="R285" s="148"/>
      <c r="S285" s="149"/>
      <c r="T285" s="149"/>
      <c r="U285" s="149"/>
      <c r="V285" s="149"/>
      <c r="W285" s="149"/>
      <c r="X285" s="149"/>
      <c r="Y285" s="149"/>
      <c r="Z285" s="149"/>
      <c r="AA285" s="149"/>
      <c r="AB285" s="149"/>
      <c r="AC285" s="659"/>
      <c r="AD285" s="116"/>
      <c r="AE285" s="665"/>
      <c r="AF285" s="668"/>
      <c r="AG285" s="671"/>
      <c r="AH285" s="117"/>
      <c r="AI285" s="118"/>
      <c r="AJ285" s="674"/>
      <c r="AK285" s="150"/>
      <c r="AL285" s="151"/>
      <c r="AM285" s="152">
        <f t="shared" si="523"/>
        <v>0</v>
      </c>
      <c r="AN285" s="153">
        <f t="shared" si="523"/>
        <v>0</v>
      </c>
      <c r="AO285" s="153">
        <f t="shared" si="523"/>
        <v>0</v>
      </c>
      <c r="AP285" s="153">
        <f t="shared" si="523"/>
        <v>0</v>
      </c>
      <c r="AQ285" s="153">
        <f t="shared" si="523"/>
        <v>0</v>
      </c>
      <c r="AR285" s="153">
        <f t="shared" si="523"/>
        <v>0</v>
      </c>
      <c r="AS285" s="153">
        <f t="shared" si="523"/>
        <v>0</v>
      </c>
      <c r="AT285" s="153">
        <f t="shared" si="523"/>
        <v>0</v>
      </c>
      <c r="AU285" s="153">
        <f t="shared" si="523"/>
        <v>0</v>
      </c>
      <c r="AV285" s="153">
        <f t="shared" si="523"/>
        <v>0</v>
      </c>
      <c r="AW285" s="153">
        <f t="shared" ca="1" si="523"/>
        <v>0</v>
      </c>
      <c r="BB285" s="135"/>
    </row>
    <row r="286" spans="1:54" s="21" customFormat="1" ht="18" customHeight="1">
      <c r="A286" s="642">
        <f t="shared" ref="A286" si="533">A283+1</f>
        <v>93</v>
      </c>
      <c r="B286" s="154" t="s">
        <v>4901</v>
      </c>
      <c r="C286" s="651" t="s">
        <v>4836</v>
      </c>
      <c r="D286" s="80" t="s">
        <v>4848</v>
      </c>
      <c r="E286" s="127" t="s">
        <v>4898</v>
      </c>
      <c r="F286" s="128" t="s">
        <v>71</v>
      </c>
      <c r="G286" s="158"/>
      <c r="H286" s="161" t="s">
        <v>305</v>
      </c>
      <c r="I286" s="127" t="s">
        <v>9</v>
      </c>
      <c r="J286" s="128"/>
      <c r="K286" s="129">
        <f>M288</f>
        <v>1E-3</v>
      </c>
      <c r="L286" s="129"/>
      <c r="M286" s="129"/>
      <c r="N286" s="127"/>
      <c r="O286" s="127"/>
      <c r="P286" s="127"/>
      <c r="Q286" s="130" t="s">
        <v>4839</v>
      </c>
      <c r="R286" s="130"/>
      <c r="S286" s="155" t="e">
        <f>WORKDAY(T286,-INDEX(T$2:T$5,MATCH($I286,$I$2:$I$5,0)),'[35]Equipment List and MR List (3)'!$A$2:$A$80)</f>
        <v>#REF!</v>
      </c>
      <c r="T286" s="155" t="e">
        <f>WORKDAY(U286,-INDEX(U$2:U$5,MATCH($I286,$I$2:$I$5,0)),$BB$10:$BB$141)</f>
        <v>#REF!</v>
      </c>
      <c r="U286" s="155" t="e">
        <f>WORKDAY(V286,-INDEX(V$2:V$5,MATCH($I286,$I$2:$I$5,0)),$BB$10:$BB$141)</f>
        <v>#REF!</v>
      </c>
      <c r="V286" s="155" t="e">
        <f>WORKDAY(W286,-INDEX(W$2:W$5,MATCH($I286,$I$2:$I$5,0)),$BB$10:$BB$141)</f>
        <v>#REF!</v>
      </c>
      <c r="W286" s="155" t="e">
        <f>WORKDAY(#REF!,-INDEX(#REF!,MATCH($I286,$I$2:$I$5,0)),$BB$10:$BB$141)</f>
        <v>#REF!</v>
      </c>
      <c r="X286" s="155" t="e">
        <f>WORKDAY(Y286,-INDEX(Y$2:Y$5,MATCH($I286,$I$2:$I$5,0)),$BB$10:$BB$141)</f>
        <v>#REF!</v>
      </c>
      <c r="Y286" s="155" t="e">
        <f>WORKDAY(Z286,-INDEX(Z$2:Z$5,MATCH($I286,$I$2:$I$5,0)),$BB$10:$BB$141)</f>
        <v>#REF!</v>
      </c>
      <c r="Z286" s="155" t="e">
        <f>WORKDAY(AA286,-INDEX(AA$2:AA$5,MATCH($I286,$I$2:$I$5,0)),$BB$10:$BB$141)</f>
        <v>#REF!</v>
      </c>
      <c r="AA286" s="155" t="e">
        <f>WORKDAY(#REF!,-INDEX(#REF!,MATCH($I286,$I$2:$I$5,0)),$BB$10:$BB$141)</f>
        <v>#REF!</v>
      </c>
      <c r="AB286" s="155">
        <f>WORKDAY(AG286,0,'[35]Equipment List and MR List (3)'!$A$2:$A$80)</f>
        <v>0</v>
      </c>
      <c r="AC286" s="657" t="s">
        <v>4840</v>
      </c>
      <c r="AD286" s="87">
        <v>7</v>
      </c>
      <c r="AE286" s="663">
        <v>121</v>
      </c>
      <c r="AF286" s="666" t="e">
        <f>AB287</f>
        <v>#REF!</v>
      </c>
      <c r="AG286" s="669"/>
      <c r="AH286" s="88"/>
      <c r="AI286" s="89"/>
      <c r="AJ286" s="672" t="e">
        <f>AG286-AF286</f>
        <v>#REF!</v>
      </c>
      <c r="AK286" s="131"/>
      <c r="AL286" s="132"/>
      <c r="AM286" s="133">
        <f t="shared" si="523"/>
        <v>0.95</v>
      </c>
      <c r="AN286" s="134">
        <f t="shared" si="523"/>
        <v>0.95</v>
      </c>
      <c r="AO286" s="134">
        <f t="shared" si="523"/>
        <v>0.95</v>
      </c>
      <c r="AP286" s="134">
        <f t="shared" si="523"/>
        <v>0.95</v>
      </c>
      <c r="AQ286" s="134">
        <f t="shared" si="523"/>
        <v>0.95</v>
      </c>
      <c r="AR286" s="134">
        <f t="shared" si="523"/>
        <v>0.95</v>
      </c>
      <c r="AS286" s="134">
        <f t="shared" si="523"/>
        <v>0.95</v>
      </c>
      <c r="AT286" s="134">
        <f t="shared" si="523"/>
        <v>0.95</v>
      </c>
      <c r="AU286" s="134">
        <f t="shared" si="523"/>
        <v>0.95</v>
      </c>
      <c r="AV286" s="134">
        <f t="shared" si="523"/>
        <v>0.95</v>
      </c>
      <c r="AW286" s="134">
        <f t="shared" ca="1" si="523"/>
        <v>0.95</v>
      </c>
      <c r="BB286" s="135"/>
    </row>
    <row r="287" spans="1:54" s="21" customFormat="1" ht="18" customHeight="1">
      <c r="A287" s="643"/>
      <c r="B287" s="156"/>
      <c r="C287" s="652"/>
      <c r="D287" s="96" t="str">
        <f>D286</f>
        <v>PIP</v>
      </c>
      <c r="E287" s="136" t="str">
        <f t="shared" ref="E287:F287" si="534">E286</f>
        <v>RFQ-054</v>
      </c>
      <c r="F287" s="137" t="str">
        <f t="shared" si="534"/>
        <v>N</v>
      </c>
      <c r="G287" s="159"/>
      <c r="H287" s="162" t="str">
        <f t="shared" ref="H287:I287" si="535">H286</f>
        <v>SAFETY SIGNS</v>
      </c>
      <c r="I287" s="136" t="str">
        <f t="shared" si="535"/>
        <v>LD</v>
      </c>
      <c r="J287" s="137"/>
      <c r="K287" s="138"/>
      <c r="L287" s="138">
        <f>M288</f>
        <v>1E-3</v>
      </c>
      <c r="M287" s="138"/>
      <c r="N287" s="136"/>
      <c r="O287" s="136"/>
      <c r="P287" s="136"/>
      <c r="Q287" s="139" t="s">
        <v>4841</v>
      </c>
      <c r="R287" s="139"/>
      <c r="S287" s="140" t="e">
        <f>S286</f>
        <v>#REF!</v>
      </c>
      <c r="T287" s="141" t="e">
        <f>T286</f>
        <v>#REF!</v>
      </c>
      <c r="U287" s="141" t="e">
        <f>WORKDAY(IF(T288="",T287,T288),INDEX(U$2:U$5,MATCH($I286,$I$2:$I$5,0)),$BB$10:$BB$141)</f>
        <v>#REF!</v>
      </c>
      <c r="V287" s="141" t="e">
        <f>WORKDAY(IF(U288="",U287,U288),INDEX(V$2:V$5,MATCH($I286,$I$2:$I$5,0)),$BB$10:$BB$141)</f>
        <v>#REF!</v>
      </c>
      <c r="W287" s="141" t="e">
        <f>WORKDAY(IF(V288="",V287,V288),INDEX(W$2:W$5,MATCH($I286,$I$2:$I$5,0)),$BB$10:$BB$141)</f>
        <v>#REF!</v>
      </c>
      <c r="X287" s="141" t="e">
        <f>WORKDAY(IF(#REF!="",#REF!,#REF!),INDEX(X$2:X$5,MATCH($I286,$I$2:$I$5,0)),$BB$10:$BB$141)</f>
        <v>#REF!</v>
      </c>
      <c r="Y287" s="141" t="e">
        <f>WORKDAY(IF(X288="",X287,X288),INDEX(Y$2:Y$5,MATCH($I286,$I$2:$I$5,0)),$BB$10:$BB$141)</f>
        <v>#REF!</v>
      </c>
      <c r="Z287" s="141" t="e">
        <f>WORKDAY(IF(Y288="",Y287,Y288),INDEX(Z$2:Z$5,MATCH($I286,$I$2:$I$5,0)),$BB$10:$BB$141)</f>
        <v>#REF!</v>
      </c>
      <c r="AA287" s="141" t="e">
        <f>WORKDAY(IF(Z288="",Z287,Z288),INDEX(AA$2:AA$5,MATCH($I286,$I$2:$I$5,0)),$BB$10:$BB$141)</f>
        <v>#REF!</v>
      </c>
      <c r="AB287" s="142" t="e">
        <f>AE286+#REF!</f>
        <v>#REF!</v>
      </c>
      <c r="AC287" s="658"/>
      <c r="AD287" s="105"/>
      <c r="AE287" s="664"/>
      <c r="AF287" s="667"/>
      <c r="AG287" s="670"/>
      <c r="AH287" s="106"/>
      <c r="AI287" s="107"/>
      <c r="AJ287" s="673"/>
      <c r="AK287" s="143"/>
      <c r="AL287" s="144"/>
      <c r="AM287" s="133">
        <f t="shared" si="523"/>
        <v>0</v>
      </c>
      <c r="AN287" s="134">
        <f t="shared" si="523"/>
        <v>0</v>
      </c>
      <c r="AO287" s="134">
        <f t="shared" si="523"/>
        <v>0</v>
      </c>
      <c r="AP287" s="134">
        <f t="shared" si="523"/>
        <v>0</v>
      </c>
      <c r="AQ287" s="134">
        <f t="shared" si="523"/>
        <v>0</v>
      </c>
      <c r="AR287" s="134">
        <f t="shared" si="523"/>
        <v>0</v>
      </c>
      <c r="AS287" s="134">
        <f t="shared" si="523"/>
        <v>0</v>
      </c>
      <c r="AT287" s="134">
        <f t="shared" si="523"/>
        <v>0</v>
      </c>
      <c r="AU287" s="134">
        <f t="shared" si="523"/>
        <v>0</v>
      </c>
      <c r="AV287" s="134">
        <f t="shared" si="523"/>
        <v>0</v>
      </c>
      <c r="AW287" s="134">
        <f t="shared" ca="1" si="523"/>
        <v>0</v>
      </c>
      <c r="BB287" s="135"/>
    </row>
    <row r="288" spans="1:54" s="21" customFormat="1" ht="18" customHeight="1">
      <c r="A288" s="644"/>
      <c r="B288" s="157"/>
      <c r="C288" s="653"/>
      <c r="D288" s="111" t="str">
        <f>D286</f>
        <v>PIP</v>
      </c>
      <c r="E288" s="145" t="str">
        <f>E286</f>
        <v>RFQ-054</v>
      </c>
      <c r="F288" s="146" t="str">
        <f t="shared" ref="F288" si="536">F286</f>
        <v>N</v>
      </c>
      <c r="G288" s="160"/>
      <c r="H288" s="163" t="str">
        <f t="shared" ref="H288:I288" si="537">H286</f>
        <v>SAFETY SIGNS</v>
      </c>
      <c r="I288" s="145" t="str">
        <f t="shared" si="537"/>
        <v>LD</v>
      </c>
      <c r="J288" s="146"/>
      <c r="K288" s="147"/>
      <c r="L288" s="147"/>
      <c r="M288" s="147">
        <v>1E-3</v>
      </c>
      <c r="N288" s="145"/>
      <c r="O288" s="145"/>
      <c r="P288" s="145"/>
      <c r="Q288" s="148" t="s">
        <v>4842</v>
      </c>
      <c r="R288" s="148"/>
      <c r="S288" s="149"/>
      <c r="T288" s="149"/>
      <c r="U288" s="149"/>
      <c r="V288" s="149"/>
      <c r="W288" s="149"/>
      <c r="X288" s="149"/>
      <c r="Y288" s="149"/>
      <c r="Z288" s="149"/>
      <c r="AA288" s="149"/>
      <c r="AB288" s="149"/>
      <c r="AC288" s="659"/>
      <c r="AD288" s="116"/>
      <c r="AE288" s="665"/>
      <c r="AF288" s="668"/>
      <c r="AG288" s="671"/>
      <c r="AH288" s="117"/>
      <c r="AI288" s="118"/>
      <c r="AJ288" s="674"/>
      <c r="AK288" s="150"/>
      <c r="AL288" s="151"/>
      <c r="AM288" s="152">
        <f t="shared" si="523"/>
        <v>0</v>
      </c>
      <c r="AN288" s="153">
        <f t="shared" si="523"/>
        <v>0</v>
      </c>
      <c r="AO288" s="153">
        <f t="shared" si="523"/>
        <v>0</v>
      </c>
      <c r="AP288" s="153">
        <f t="shared" si="523"/>
        <v>0</v>
      </c>
      <c r="AQ288" s="153">
        <f t="shared" si="523"/>
        <v>0</v>
      </c>
      <c r="AR288" s="153">
        <f t="shared" si="523"/>
        <v>0</v>
      </c>
      <c r="AS288" s="153">
        <f t="shared" si="523"/>
        <v>0</v>
      </c>
      <c r="AT288" s="153">
        <f t="shared" si="523"/>
        <v>0</v>
      </c>
      <c r="AU288" s="153">
        <f t="shared" si="523"/>
        <v>0</v>
      </c>
      <c r="AV288" s="153">
        <f t="shared" si="523"/>
        <v>0</v>
      </c>
      <c r="AW288" s="153">
        <f t="shared" ca="1" si="523"/>
        <v>0</v>
      </c>
      <c r="BB288" s="135"/>
    </row>
    <row r="289" spans="1:54" s="21" customFormat="1" ht="18" customHeight="1">
      <c r="A289" s="642">
        <f t="shared" ref="A289" si="538">A286+1</f>
        <v>94</v>
      </c>
      <c r="B289" s="154" t="s">
        <v>4901</v>
      </c>
      <c r="C289" s="651" t="s">
        <v>4836</v>
      </c>
      <c r="D289" s="80" t="s">
        <v>4897</v>
      </c>
      <c r="E289" s="127" t="s">
        <v>4898</v>
      </c>
      <c r="F289" s="128" t="s">
        <v>71</v>
      </c>
      <c r="G289" s="158"/>
      <c r="H289" s="82" t="s">
        <v>4936</v>
      </c>
      <c r="I289" s="127" t="s">
        <v>9</v>
      </c>
      <c r="J289" s="128"/>
      <c r="K289" s="129">
        <f>M291</f>
        <v>1E-3</v>
      </c>
      <c r="L289" s="129"/>
      <c r="M289" s="129"/>
      <c r="N289" s="127"/>
      <c r="O289" s="127"/>
      <c r="P289" s="127"/>
      <c r="Q289" s="130" t="s">
        <v>4839</v>
      </c>
      <c r="R289" s="130"/>
      <c r="S289" s="155" t="e">
        <f>WORKDAY(T289,-INDEX(T$2:T$5,MATCH($I289,$I$2:$I$5,0)),'[35]Equipment List and MR List (3)'!$A$2:$A$80)</f>
        <v>#REF!</v>
      </c>
      <c r="T289" s="155" t="e">
        <f>WORKDAY(U289,-INDEX(U$2:U$5,MATCH($I289,$I$2:$I$5,0)),$BB$10:$BB$141)</f>
        <v>#REF!</v>
      </c>
      <c r="U289" s="155" t="e">
        <f>WORKDAY(V289,-INDEX(V$2:V$5,MATCH($I289,$I$2:$I$5,0)),$BB$10:$BB$141)</f>
        <v>#REF!</v>
      </c>
      <c r="V289" s="155" t="e">
        <f>WORKDAY(W289,-INDEX(W$2:W$5,MATCH($I289,$I$2:$I$5,0)),$BB$10:$BB$141)</f>
        <v>#REF!</v>
      </c>
      <c r="W289" s="155" t="e">
        <f>WORKDAY(#REF!,-INDEX(#REF!,MATCH($I289,$I$2:$I$5,0)),$BB$10:$BB$141)</f>
        <v>#REF!</v>
      </c>
      <c r="X289" s="155" t="e">
        <f>WORKDAY(Y289,-INDEX(Y$2:Y$5,MATCH($I289,$I$2:$I$5,0)),$BB$10:$BB$141)</f>
        <v>#REF!</v>
      </c>
      <c r="Y289" s="155" t="e">
        <f>WORKDAY(Z289,-INDEX(Z$2:Z$5,MATCH($I289,$I$2:$I$5,0)),$BB$10:$BB$141)</f>
        <v>#REF!</v>
      </c>
      <c r="Z289" s="155" t="e">
        <f>WORKDAY(AA289,-INDEX(AA$2:AA$5,MATCH($I289,$I$2:$I$5,0)),$BB$10:$BB$141)</f>
        <v>#REF!</v>
      </c>
      <c r="AA289" s="155" t="e">
        <f>WORKDAY(#REF!,-INDEX(#REF!,MATCH($I289,$I$2:$I$5,0)),$BB$10:$BB$141)</f>
        <v>#REF!</v>
      </c>
      <c r="AB289" s="155">
        <f>WORKDAY(AG289,0,'[35]Equipment List and MR List (3)'!$A$2:$A$80)</f>
        <v>0</v>
      </c>
      <c r="AC289" s="657" t="s">
        <v>4840</v>
      </c>
      <c r="AD289" s="87">
        <v>7</v>
      </c>
      <c r="AE289" s="663"/>
      <c r="AF289" s="666" t="e">
        <f>AB290</f>
        <v>#REF!</v>
      </c>
      <c r="AG289" s="669"/>
      <c r="AH289" s="88"/>
      <c r="AI289" s="89"/>
      <c r="AJ289" s="672" t="e">
        <f>AG289-AF289</f>
        <v>#REF!</v>
      </c>
      <c r="AK289" s="131"/>
      <c r="AL289" s="132"/>
      <c r="AM289" s="133">
        <f t="shared" si="523"/>
        <v>0.95</v>
      </c>
      <c r="AN289" s="134">
        <f t="shared" si="523"/>
        <v>0.95</v>
      </c>
      <c r="AO289" s="134">
        <f t="shared" si="523"/>
        <v>0.95</v>
      </c>
      <c r="AP289" s="134">
        <f t="shared" si="523"/>
        <v>0.95</v>
      </c>
      <c r="AQ289" s="134">
        <f t="shared" si="523"/>
        <v>0.95</v>
      </c>
      <c r="AR289" s="134">
        <f t="shared" si="523"/>
        <v>0.95</v>
      </c>
      <c r="AS289" s="134">
        <f t="shared" si="523"/>
        <v>0.95</v>
      </c>
      <c r="AT289" s="134">
        <f t="shared" si="523"/>
        <v>0.95</v>
      </c>
      <c r="AU289" s="134">
        <f t="shared" si="523"/>
        <v>0.95</v>
      </c>
      <c r="AV289" s="134">
        <f t="shared" si="523"/>
        <v>0.95</v>
      </c>
      <c r="AW289" s="134">
        <f t="shared" ca="1" si="523"/>
        <v>0.95</v>
      </c>
      <c r="BB289" s="135"/>
    </row>
    <row r="290" spans="1:54" s="21" customFormat="1" ht="18" customHeight="1">
      <c r="A290" s="643"/>
      <c r="B290" s="156"/>
      <c r="C290" s="652"/>
      <c r="D290" s="96" t="str">
        <f>D289</f>
        <v>STR</v>
      </c>
      <c r="E290" s="136" t="str">
        <f t="shared" ref="E290:F290" si="539">E289</f>
        <v>RFQ-054</v>
      </c>
      <c r="F290" s="137" t="str">
        <f t="shared" si="539"/>
        <v>N</v>
      </c>
      <c r="G290" s="159"/>
      <c r="H290" s="98" t="str">
        <f>H289</f>
        <v>Jacket Anode</v>
      </c>
      <c r="I290" s="136" t="str">
        <f t="shared" ref="I290" si="540">I289</f>
        <v>LD</v>
      </c>
      <c r="J290" s="137"/>
      <c r="K290" s="138"/>
      <c r="L290" s="138">
        <f>M291</f>
        <v>1E-3</v>
      </c>
      <c r="M290" s="138"/>
      <c r="N290" s="136"/>
      <c r="O290" s="136"/>
      <c r="P290" s="136"/>
      <c r="Q290" s="139" t="s">
        <v>4841</v>
      </c>
      <c r="R290" s="139"/>
      <c r="S290" s="140" t="e">
        <f>S289</f>
        <v>#REF!</v>
      </c>
      <c r="T290" s="141" t="e">
        <f>T289</f>
        <v>#REF!</v>
      </c>
      <c r="U290" s="141" t="e">
        <f>WORKDAY(IF(T291="",T290,T291),INDEX(U$2:U$5,MATCH($I289,$I$2:$I$5,0)),$BB$10:$BB$141)</f>
        <v>#REF!</v>
      </c>
      <c r="V290" s="141" t="e">
        <f>WORKDAY(IF(U291="",U290,U291),INDEX(V$2:V$5,MATCH($I289,$I$2:$I$5,0)),$BB$10:$BB$141)</f>
        <v>#REF!</v>
      </c>
      <c r="W290" s="141" t="e">
        <f>WORKDAY(IF(V291="",V290,V291),INDEX(W$2:W$5,MATCH($I289,$I$2:$I$5,0)),$BB$10:$BB$141)</f>
        <v>#REF!</v>
      </c>
      <c r="X290" s="141" t="e">
        <f>WORKDAY(IF(#REF!="",#REF!,#REF!),INDEX(X$2:X$5,MATCH($I289,$I$2:$I$5,0)),$BB$10:$BB$141)</f>
        <v>#REF!</v>
      </c>
      <c r="Y290" s="141" t="e">
        <f>WORKDAY(IF(X291="",X290,X291),INDEX(Y$2:Y$5,MATCH($I289,$I$2:$I$5,0)),$BB$10:$BB$141)</f>
        <v>#REF!</v>
      </c>
      <c r="Z290" s="141" t="e">
        <f>WORKDAY(IF(Y291="",Y290,Y291),INDEX(Z$2:Z$5,MATCH($I289,$I$2:$I$5,0)),$BB$10:$BB$141)</f>
        <v>#REF!</v>
      </c>
      <c r="AA290" s="141" t="e">
        <f>WORKDAY(IF(Z291="",Z290,Z291),INDEX(AA$2:AA$5,MATCH($I289,$I$2:$I$5,0)),$BB$10:$BB$141)</f>
        <v>#REF!</v>
      </c>
      <c r="AB290" s="142" t="e">
        <f>AE289+#REF!</f>
        <v>#REF!</v>
      </c>
      <c r="AC290" s="658"/>
      <c r="AD290" s="105"/>
      <c r="AE290" s="664"/>
      <c r="AF290" s="667"/>
      <c r="AG290" s="670"/>
      <c r="AH290" s="106"/>
      <c r="AI290" s="107"/>
      <c r="AJ290" s="673"/>
      <c r="AK290" s="143"/>
      <c r="AL290" s="144"/>
      <c r="AM290" s="133">
        <f t="shared" ref="AM290:AW300" si="541">IF(ISERROR(LOOKUP(AM$6,$S290:$AB290,$S$9:$AB$9)),0,(LOOKUP(AM$6,$S290:$AB290,$S$9:$AB$9)))</f>
        <v>0</v>
      </c>
      <c r="AN290" s="134">
        <f t="shared" si="541"/>
        <v>0</v>
      </c>
      <c r="AO290" s="134">
        <f t="shared" si="541"/>
        <v>0</v>
      </c>
      <c r="AP290" s="134">
        <f t="shared" si="541"/>
        <v>0</v>
      </c>
      <c r="AQ290" s="134">
        <f t="shared" si="541"/>
        <v>0</v>
      </c>
      <c r="AR290" s="134">
        <f t="shared" si="541"/>
        <v>0</v>
      </c>
      <c r="AS290" s="134">
        <f t="shared" si="541"/>
        <v>0</v>
      </c>
      <c r="AT290" s="134">
        <f t="shared" si="541"/>
        <v>0</v>
      </c>
      <c r="AU290" s="134">
        <f t="shared" si="541"/>
        <v>0</v>
      </c>
      <c r="AV290" s="134">
        <f t="shared" si="541"/>
        <v>0</v>
      </c>
      <c r="AW290" s="134">
        <f t="shared" ca="1" si="541"/>
        <v>0</v>
      </c>
      <c r="BB290" s="135"/>
    </row>
    <row r="291" spans="1:54" s="21" customFormat="1" ht="18" customHeight="1">
      <c r="A291" s="644"/>
      <c r="B291" s="157"/>
      <c r="C291" s="653"/>
      <c r="D291" s="111" t="str">
        <f>D289</f>
        <v>STR</v>
      </c>
      <c r="E291" s="145" t="str">
        <f>E289</f>
        <v>RFQ-054</v>
      </c>
      <c r="F291" s="146" t="str">
        <f t="shared" ref="F291" si="542">F289</f>
        <v>N</v>
      </c>
      <c r="G291" s="160"/>
      <c r="H291" s="113" t="str">
        <f>H289</f>
        <v>Jacket Anode</v>
      </c>
      <c r="I291" s="145" t="str">
        <f t="shared" ref="I291" si="543">I289</f>
        <v>LD</v>
      </c>
      <c r="J291" s="146"/>
      <c r="K291" s="147"/>
      <c r="L291" s="147"/>
      <c r="M291" s="147">
        <v>1E-3</v>
      </c>
      <c r="N291" s="145"/>
      <c r="O291" s="145"/>
      <c r="P291" s="145"/>
      <c r="Q291" s="148" t="s">
        <v>4842</v>
      </c>
      <c r="R291" s="148"/>
      <c r="S291" s="149"/>
      <c r="T291" s="149"/>
      <c r="U291" s="149"/>
      <c r="V291" s="149"/>
      <c r="W291" s="149"/>
      <c r="X291" s="149"/>
      <c r="Y291" s="149"/>
      <c r="Z291" s="149"/>
      <c r="AA291" s="149"/>
      <c r="AB291" s="149"/>
      <c r="AC291" s="659"/>
      <c r="AD291" s="116"/>
      <c r="AE291" s="665"/>
      <c r="AF291" s="668"/>
      <c r="AG291" s="671"/>
      <c r="AH291" s="117"/>
      <c r="AI291" s="118"/>
      <c r="AJ291" s="674"/>
      <c r="AK291" s="150"/>
      <c r="AL291" s="151"/>
      <c r="AM291" s="152">
        <f t="shared" si="541"/>
        <v>0</v>
      </c>
      <c r="AN291" s="153">
        <f t="shared" si="541"/>
        <v>0</v>
      </c>
      <c r="AO291" s="153">
        <f t="shared" si="541"/>
        <v>0</v>
      </c>
      <c r="AP291" s="153">
        <f t="shared" si="541"/>
        <v>0</v>
      </c>
      <c r="AQ291" s="153">
        <f t="shared" si="541"/>
        <v>0</v>
      </c>
      <c r="AR291" s="153">
        <f t="shared" si="541"/>
        <v>0</v>
      </c>
      <c r="AS291" s="153">
        <f t="shared" si="541"/>
        <v>0</v>
      </c>
      <c r="AT291" s="153">
        <f t="shared" si="541"/>
        <v>0</v>
      </c>
      <c r="AU291" s="153">
        <f t="shared" si="541"/>
        <v>0</v>
      </c>
      <c r="AV291" s="153">
        <f t="shared" si="541"/>
        <v>0</v>
      </c>
      <c r="AW291" s="153">
        <f t="shared" ca="1" si="541"/>
        <v>0</v>
      </c>
      <c r="BB291" s="135"/>
    </row>
    <row r="292" spans="1:54" s="21" customFormat="1" ht="18" customHeight="1">
      <c r="A292" s="642">
        <f t="shared" ref="A292" si="544">A289+1</f>
        <v>95</v>
      </c>
      <c r="B292" s="154" t="s">
        <v>4901</v>
      </c>
      <c r="C292" s="651" t="s">
        <v>4836</v>
      </c>
      <c r="D292" s="80" t="s">
        <v>4897</v>
      </c>
      <c r="E292" s="127" t="s">
        <v>4898</v>
      </c>
      <c r="F292" s="128" t="s">
        <v>71</v>
      </c>
      <c r="G292" s="158"/>
      <c r="H292" s="82" t="s">
        <v>4937</v>
      </c>
      <c r="I292" s="127" t="s">
        <v>9</v>
      </c>
      <c r="J292" s="128"/>
      <c r="K292" s="129">
        <f>M294</f>
        <v>1E-3</v>
      </c>
      <c r="L292" s="129"/>
      <c r="M292" s="129"/>
      <c r="N292" s="127"/>
      <c r="O292" s="127"/>
      <c r="P292" s="127"/>
      <c r="Q292" s="130" t="s">
        <v>4839</v>
      </c>
      <c r="R292" s="130"/>
      <c r="S292" s="155" t="e">
        <f>WORKDAY(T292,-INDEX(T$2:T$5,MATCH($I292,$I$2:$I$5,0)),'[35]Equipment List and MR List (3)'!$A$2:$A$80)</f>
        <v>#REF!</v>
      </c>
      <c r="T292" s="155" t="e">
        <f>WORKDAY(U292,-INDEX(U$2:U$5,MATCH($I292,$I$2:$I$5,0)),$BB$10:$BB$141)</f>
        <v>#REF!</v>
      </c>
      <c r="U292" s="155" t="e">
        <f>WORKDAY(V292,-INDEX(V$2:V$5,MATCH($I292,$I$2:$I$5,0)),$BB$10:$BB$141)</f>
        <v>#REF!</v>
      </c>
      <c r="V292" s="155" t="e">
        <f>WORKDAY(W292,-INDEX(W$2:W$5,MATCH($I292,$I$2:$I$5,0)),$BB$10:$BB$141)</f>
        <v>#REF!</v>
      </c>
      <c r="W292" s="155" t="e">
        <f>WORKDAY(#REF!,-INDEX(#REF!,MATCH($I292,$I$2:$I$5,0)),$BB$10:$BB$141)</f>
        <v>#REF!</v>
      </c>
      <c r="X292" s="155" t="e">
        <f>WORKDAY(Y292,-INDEX(Y$2:Y$5,MATCH($I292,$I$2:$I$5,0)),$BB$10:$BB$141)</f>
        <v>#REF!</v>
      </c>
      <c r="Y292" s="155" t="e">
        <f>WORKDAY(Z292,-INDEX(Z$2:Z$5,MATCH($I292,$I$2:$I$5,0)),$BB$10:$BB$141)</f>
        <v>#REF!</v>
      </c>
      <c r="Z292" s="155" t="e">
        <f>WORKDAY(AA292,-INDEX(AA$2:AA$5,MATCH($I292,$I$2:$I$5,0)),$BB$10:$BB$141)</f>
        <v>#REF!</v>
      </c>
      <c r="AA292" s="155" t="e">
        <f>WORKDAY(#REF!,-INDEX(#REF!,MATCH($I292,$I$2:$I$5,0)),$BB$10:$BB$141)</f>
        <v>#REF!</v>
      </c>
      <c r="AB292" s="155">
        <f>WORKDAY(AG292,0,'[35]Equipment List and MR List (3)'!$A$2:$A$80)</f>
        <v>0</v>
      </c>
      <c r="AC292" s="657" t="s">
        <v>4840</v>
      </c>
      <c r="AD292" s="87">
        <v>7</v>
      </c>
      <c r="AE292" s="663"/>
      <c r="AF292" s="666" t="e">
        <f>AB293</f>
        <v>#REF!</v>
      </c>
      <c r="AG292" s="669"/>
      <c r="AH292" s="88"/>
      <c r="AI292" s="89"/>
      <c r="AJ292" s="672" t="e">
        <f>AG292-AF292</f>
        <v>#REF!</v>
      </c>
      <c r="AK292" s="131"/>
      <c r="AL292" s="132"/>
      <c r="AM292" s="133">
        <f t="shared" si="541"/>
        <v>0.95</v>
      </c>
      <c r="AN292" s="134">
        <f t="shared" si="541"/>
        <v>0.95</v>
      </c>
      <c r="AO292" s="134">
        <f t="shared" si="541"/>
        <v>0.95</v>
      </c>
      <c r="AP292" s="134">
        <f t="shared" si="541"/>
        <v>0.95</v>
      </c>
      <c r="AQ292" s="134">
        <f t="shared" si="541"/>
        <v>0.95</v>
      </c>
      <c r="AR292" s="134">
        <f t="shared" si="541"/>
        <v>0.95</v>
      </c>
      <c r="AS292" s="134">
        <f t="shared" si="541"/>
        <v>0.95</v>
      </c>
      <c r="AT292" s="134">
        <f t="shared" si="541"/>
        <v>0.95</v>
      </c>
      <c r="AU292" s="134">
        <f t="shared" si="541"/>
        <v>0.95</v>
      </c>
      <c r="AV292" s="134">
        <f t="shared" si="541"/>
        <v>0.95</v>
      </c>
      <c r="AW292" s="134">
        <f t="shared" ca="1" si="541"/>
        <v>0.95</v>
      </c>
      <c r="BB292" s="135"/>
    </row>
    <row r="293" spans="1:54" s="21" customFormat="1" ht="18" customHeight="1">
      <c r="A293" s="643"/>
      <c r="B293" s="156"/>
      <c r="C293" s="652"/>
      <c r="D293" s="96" t="str">
        <f>D292</f>
        <v>STR</v>
      </c>
      <c r="E293" s="136" t="str">
        <f t="shared" ref="E293:F293" si="545">E292</f>
        <v>RFQ-054</v>
      </c>
      <c r="F293" s="137" t="str">
        <f t="shared" si="545"/>
        <v>N</v>
      </c>
      <c r="G293" s="159"/>
      <c r="H293" s="98" t="str">
        <f>H292</f>
        <v>Steel Grating</v>
      </c>
      <c r="I293" s="136" t="str">
        <f t="shared" ref="I293" si="546">I292</f>
        <v>LD</v>
      </c>
      <c r="J293" s="137"/>
      <c r="K293" s="138"/>
      <c r="L293" s="138">
        <f>M294</f>
        <v>1E-3</v>
      </c>
      <c r="M293" s="138"/>
      <c r="N293" s="136"/>
      <c r="O293" s="136"/>
      <c r="P293" s="136"/>
      <c r="Q293" s="139" t="s">
        <v>4841</v>
      </c>
      <c r="R293" s="139"/>
      <c r="S293" s="140" t="e">
        <f>S292</f>
        <v>#REF!</v>
      </c>
      <c r="T293" s="141" t="e">
        <f>T292</f>
        <v>#REF!</v>
      </c>
      <c r="U293" s="141" t="e">
        <f>WORKDAY(IF(T294="",T293,T294),INDEX(U$2:U$5,MATCH($I292,$I$2:$I$5,0)),$BB$10:$BB$141)</f>
        <v>#REF!</v>
      </c>
      <c r="V293" s="141" t="e">
        <f>WORKDAY(IF(U294="",U293,U294),INDEX(V$2:V$5,MATCH($I292,$I$2:$I$5,0)),$BB$10:$BB$141)</f>
        <v>#REF!</v>
      </c>
      <c r="W293" s="141" t="e">
        <f>WORKDAY(IF(V294="",V293,V294),INDEX(W$2:W$5,MATCH($I292,$I$2:$I$5,0)),$BB$10:$BB$141)</f>
        <v>#REF!</v>
      </c>
      <c r="X293" s="141" t="e">
        <f>WORKDAY(IF(#REF!="",#REF!,#REF!),INDEX(X$2:X$5,MATCH($I292,$I$2:$I$5,0)),$BB$10:$BB$141)</f>
        <v>#REF!</v>
      </c>
      <c r="Y293" s="141" t="e">
        <f>WORKDAY(IF(X294="",X293,X294),INDEX(Y$2:Y$5,MATCH($I292,$I$2:$I$5,0)),$BB$10:$BB$141)</f>
        <v>#REF!</v>
      </c>
      <c r="Z293" s="141" t="e">
        <f>WORKDAY(IF(Y294="",Y293,Y294),INDEX(Z$2:Z$5,MATCH($I292,$I$2:$I$5,0)),$BB$10:$BB$141)</f>
        <v>#REF!</v>
      </c>
      <c r="AA293" s="141" t="e">
        <f>WORKDAY(IF(Z294="",Z293,Z294),INDEX(AA$2:AA$5,MATCH($I292,$I$2:$I$5,0)),$BB$10:$BB$141)</f>
        <v>#REF!</v>
      </c>
      <c r="AB293" s="142" t="e">
        <f>AE292+#REF!</f>
        <v>#REF!</v>
      </c>
      <c r="AC293" s="658"/>
      <c r="AD293" s="105"/>
      <c r="AE293" s="664"/>
      <c r="AF293" s="667"/>
      <c r="AG293" s="670"/>
      <c r="AH293" s="106"/>
      <c r="AI293" s="107"/>
      <c r="AJ293" s="673"/>
      <c r="AK293" s="143"/>
      <c r="AL293" s="144"/>
      <c r="AM293" s="133">
        <f t="shared" si="541"/>
        <v>0</v>
      </c>
      <c r="AN293" s="134">
        <f t="shared" si="541"/>
        <v>0</v>
      </c>
      <c r="AO293" s="134">
        <f t="shared" si="541"/>
        <v>0</v>
      </c>
      <c r="AP293" s="134">
        <f t="shared" si="541"/>
        <v>0</v>
      </c>
      <c r="AQ293" s="134">
        <f t="shared" si="541"/>
        <v>0</v>
      </c>
      <c r="AR293" s="134">
        <f t="shared" si="541"/>
        <v>0</v>
      </c>
      <c r="AS293" s="134">
        <f t="shared" si="541"/>
        <v>0</v>
      </c>
      <c r="AT293" s="134">
        <f t="shared" si="541"/>
        <v>0</v>
      </c>
      <c r="AU293" s="134">
        <f t="shared" si="541"/>
        <v>0</v>
      </c>
      <c r="AV293" s="134">
        <f t="shared" si="541"/>
        <v>0</v>
      </c>
      <c r="AW293" s="134">
        <f t="shared" ca="1" si="541"/>
        <v>0</v>
      </c>
      <c r="BB293" s="135"/>
    </row>
    <row r="294" spans="1:54" s="21" customFormat="1" ht="18" customHeight="1">
      <c r="A294" s="644"/>
      <c r="B294" s="157"/>
      <c r="C294" s="653"/>
      <c r="D294" s="111" t="str">
        <f>D292</f>
        <v>STR</v>
      </c>
      <c r="E294" s="145" t="str">
        <f>E292</f>
        <v>RFQ-054</v>
      </c>
      <c r="F294" s="146" t="str">
        <f t="shared" ref="F294" si="547">F292</f>
        <v>N</v>
      </c>
      <c r="G294" s="160"/>
      <c r="H294" s="113" t="str">
        <f>H292</f>
        <v>Steel Grating</v>
      </c>
      <c r="I294" s="145" t="str">
        <f t="shared" ref="I294" si="548">I292</f>
        <v>LD</v>
      </c>
      <c r="J294" s="146"/>
      <c r="K294" s="147"/>
      <c r="L294" s="147"/>
      <c r="M294" s="147">
        <v>1E-3</v>
      </c>
      <c r="N294" s="145"/>
      <c r="O294" s="145"/>
      <c r="P294" s="145"/>
      <c r="Q294" s="148" t="s">
        <v>4842</v>
      </c>
      <c r="R294" s="148"/>
      <c r="S294" s="149"/>
      <c r="T294" s="149"/>
      <c r="U294" s="149"/>
      <c r="V294" s="149"/>
      <c r="W294" s="149"/>
      <c r="X294" s="149"/>
      <c r="Y294" s="149"/>
      <c r="Z294" s="149"/>
      <c r="AA294" s="149"/>
      <c r="AB294" s="149"/>
      <c r="AC294" s="659"/>
      <c r="AD294" s="116"/>
      <c r="AE294" s="665"/>
      <c r="AF294" s="668"/>
      <c r="AG294" s="671"/>
      <c r="AH294" s="117"/>
      <c r="AI294" s="118"/>
      <c r="AJ294" s="674"/>
      <c r="AK294" s="150"/>
      <c r="AL294" s="151"/>
      <c r="AM294" s="152">
        <f t="shared" si="541"/>
        <v>0</v>
      </c>
      <c r="AN294" s="153">
        <f t="shared" si="541"/>
        <v>0</v>
      </c>
      <c r="AO294" s="153">
        <f t="shared" si="541"/>
        <v>0</v>
      </c>
      <c r="AP294" s="153">
        <f t="shared" si="541"/>
        <v>0</v>
      </c>
      <c r="AQ294" s="153">
        <f t="shared" si="541"/>
        <v>0</v>
      </c>
      <c r="AR294" s="153">
        <f t="shared" si="541"/>
        <v>0</v>
      </c>
      <c r="AS294" s="153">
        <f t="shared" si="541"/>
        <v>0</v>
      </c>
      <c r="AT294" s="153">
        <f t="shared" si="541"/>
        <v>0</v>
      </c>
      <c r="AU294" s="153">
        <f t="shared" si="541"/>
        <v>0</v>
      </c>
      <c r="AV294" s="153">
        <f t="shared" si="541"/>
        <v>0</v>
      </c>
      <c r="AW294" s="153">
        <f t="shared" ca="1" si="541"/>
        <v>0</v>
      </c>
      <c r="BB294" s="135"/>
    </row>
    <row r="295" spans="1:54" s="21" customFormat="1" ht="18" customHeight="1">
      <c r="A295" s="642">
        <f t="shared" ref="A295" si="549">A292+1</f>
        <v>96</v>
      </c>
      <c r="B295" s="154" t="s">
        <v>4901</v>
      </c>
      <c r="C295" s="651" t="s">
        <v>4836</v>
      </c>
      <c r="D295" s="80" t="s">
        <v>4938</v>
      </c>
      <c r="E295" s="127" t="s">
        <v>4898</v>
      </c>
      <c r="F295" s="128" t="s">
        <v>71</v>
      </c>
      <c r="G295" s="158"/>
      <c r="H295" s="82" t="s">
        <v>4916</v>
      </c>
      <c r="I295" s="127" t="s">
        <v>9</v>
      </c>
      <c r="J295" s="128"/>
      <c r="K295" s="129">
        <f>M297</f>
        <v>1E-3</v>
      </c>
      <c r="L295" s="129"/>
      <c r="M295" s="129"/>
      <c r="N295" s="127"/>
      <c r="O295" s="127"/>
      <c r="P295" s="127"/>
      <c r="Q295" s="130" t="s">
        <v>4839</v>
      </c>
      <c r="R295" s="130"/>
      <c r="S295" s="155" t="e">
        <f>WORKDAY(T295,-INDEX(T$2:T$5,MATCH($I295,$I$2:$I$5,0)),'[35]Equipment List and MR List (3)'!$A$2:$A$80)</f>
        <v>#REF!</v>
      </c>
      <c r="T295" s="155" t="e">
        <f>WORKDAY(U295,-INDEX(U$2:U$5,MATCH($I295,$I$2:$I$5,0)),$BB$10:$BB$141)</f>
        <v>#REF!</v>
      </c>
      <c r="U295" s="155" t="e">
        <f>WORKDAY(V295,-INDEX(V$2:V$5,MATCH($I295,$I$2:$I$5,0)),$BB$10:$BB$141)</f>
        <v>#REF!</v>
      </c>
      <c r="V295" s="155" t="e">
        <f>WORKDAY(W295,-INDEX(W$2:W$5,MATCH($I295,$I$2:$I$5,0)),$BB$10:$BB$141)</f>
        <v>#REF!</v>
      </c>
      <c r="W295" s="155" t="e">
        <f>WORKDAY(#REF!,-INDEX(#REF!,MATCH($I295,$I$2:$I$5,0)),$BB$10:$BB$141)</f>
        <v>#REF!</v>
      </c>
      <c r="X295" s="155" t="e">
        <f>WORKDAY(Y295,-INDEX(Y$2:Y$5,MATCH($I295,$I$2:$I$5,0)),$BB$10:$BB$141)</f>
        <v>#REF!</v>
      </c>
      <c r="Y295" s="155" t="e">
        <f>WORKDAY(Z295,-INDEX(Z$2:Z$5,MATCH($I295,$I$2:$I$5,0)),$BB$10:$BB$141)</f>
        <v>#REF!</v>
      </c>
      <c r="Z295" s="155" t="e">
        <f>WORKDAY(AA295,-INDEX(AA$2:AA$5,MATCH($I295,$I$2:$I$5,0)),$BB$10:$BB$141)</f>
        <v>#REF!</v>
      </c>
      <c r="AA295" s="155" t="e">
        <f>WORKDAY(#REF!,-INDEX(#REF!,MATCH($I295,$I$2:$I$5,0)),$BB$10:$BB$141)</f>
        <v>#REF!</v>
      </c>
      <c r="AB295" s="155">
        <f>WORKDAY(AG295,0,'[35]Equipment List and MR List (3)'!$A$2:$A$80)</f>
        <v>0</v>
      </c>
      <c r="AC295" s="657" t="s">
        <v>4840</v>
      </c>
      <c r="AD295" s="87">
        <v>7</v>
      </c>
      <c r="AE295" s="663"/>
      <c r="AF295" s="666" t="e">
        <f>AB296</f>
        <v>#REF!</v>
      </c>
      <c r="AG295" s="669"/>
      <c r="AH295" s="88"/>
      <c r="AI295" s="89"/>
      <c r="AJ295" s="672" t="e">
        <f>AG295-AF295</f>
        <v>#REF!</v>
      </c>
      <c r="AK295" s="131"/>
      <c r="AL295" s="132"/>
      <c r="AM295" s="133">
        <f t="shared" si="541"/>
        <v>0.95</v>
      </c>
      <c r="AN295" s="134">
        <f t="shared" si="541"/>
        <v>0.95</v>
      </c>
      <c r="AO295" s="134">
        <f t="shared" si="541"/>
        <v>0.95</v>
      </c>
      <c r="AP295" s="134">
        <f t="shared" si="541"/>
        <v>0.95</v>
      </c>
      <c r="AQ295" s="134">
        <f t="shared" si="541"/>
        <v>0.95</v>
      </c>
      <c r="AR295" s="134">
        <f t="shared" si="541"/>
        <v>0.95</v>
      </c>
      <c r="AS295" s="134">
        <f t="shared" si="541"/>
        <v>0.95</v>
      </c>
      <c r="AT295" s="134">
        <f t="shared" si="541"/>
        <v>0.95</v>
      </c>
      <c r="AU295" s="134">
        <f t="shared" si="541"/>
        <v>0.95</v>
      </c>
      <c r="AV295" s="134">
        <f t="shared" si="541"/>
        <v>0.95</v>
      </c>
      <c r="AW295" s="134">
        <f t="shared" ca="1" si="541"/>
        <v>0.95</v>
      </c>
      <c r="BB295" s="135"/>
    </row>
    <row r="296" spans="1:54" s="21" customFormat="1" ht="18" customHeight="1">
      <c r="A296" s="643"/>
      <c r="B296" s="156"/>
      <c r="C296" s="652"/>
      <c r="D296" s="96" t="str">
        <f>D295</f>
        <v>MIS</v>
      </c>
      <c r="E296" s="136" t="str">
        <f t="shared" ref="E296:F296" si="550">E295</f>
        <v>RFQ-054</v>
      </c>
      <c r="F296" s="137" t="str">
        <f t="shared" si="550"/>
        <v>N</v>
      </c>
      <c r="G296" s="159"/>
      <c r="H296" s="98" t="str">
        <f>H295</f>
        <v>Welding Electrode</v>
      </c>
      <c r="I296" s="136" t="str">
        <f t="shared" ref="I296" si="551">I295</f>
        <v>LD</v>
      </c>
      <c r="J296" s="137"/>
      <c r="K296" s="138"/>
      <c r="L296" s="138">
        <f>M297</f>
        <v>1E-3</v>
      </c>
      <c r="M296" s="138"/>
      <c r="N296" s="136"/>
      <c r="O296" s="136"/>
      <c r="P296" s="136"/>
      <c r="Q296" s="139" t="s">
        <v>4841</v>
      </c>
      <c r="R296" s="139"/>
      <c r="S296" s="140" t="e">
        <f>S295</f>
        <v>#REF!</v>
      </c>
      <c r="T296" s="141" t="e">
        <f>T295</f>
        <v>#REF!</v>
      </c>
      <c r="U296" s="141" t="e">
        <f>WORKDAY(IF(T297="",T296,T297),INDEX(U$2:U$5,MATCH($I295,$I$2:$I$5,0)),$BB$10:$BB$141)</f>
        <v>#REF!</v>
      </c>
      <c r="V296" s="141" t="e">
        <f>WORKDAY(IF(U297="",U296,U297),INDEX(V$2:V$5,MATCH($I295,$I$2:$I$5,0)),$BB$10:$BB$141)</f>
        <v>#REF!</v>
      </c>
      <c r="W296" s="141" t="e">
        <f>WORKDAY(IF(V297="",V296,V297),INDEX(W$2:W$5,MATCH($I295,$I$2:$I$5,0)),$BB$10:$BB$141)</f>
        <v>#REF!</v>
      </c>
      <c r="X296" s="141" t="e">
        <f>WORKDAY(IF(#REF!="",#REF!,#REF!),INDEX(X$2:X$5,MATCH($I295,$I$2:$I$5,0)),$BB$10:$BB$141)</f>
        <v>#REF!</v>
      </c>
      <c r="Y296" s="141" t="e">
        <f>WORKDAY(IF(X297="",X296,X297),INDEX(Y$2:Y$5,MATCH($I295,$I$2:$I$5,0)),$BB$10:$BB$141)</f>
        <v>#REF!</v>
      </c>
      <c r="Z296" s="141" t="e">
        <f>WORKDAY(IF(Y297="",Y296,Y297),INDEX(Z$2:Z$5,MATCH($I295,$I$2:$I$5,0)),$BB$10:$BB$141)</f>
        <v>#REF!</v>
      </c>
      <c r="AA296" s="141" t="e">
        <f>WORKDAY(IF(Z297="",Z296,Z297),INDEX(AA$2:AA$5,MATCH($I295,$I$2:$I$5,0)),$BB$10:$BB$141)</f>
        <v>#REF!</v>
      </c>
      <c r="AB296" s="142" t="e">
        <f>AE295+#REF!</f>
        <v>#REF!</v>
      </c>
      <c r="AC296" s="658"/>
      <c r="AD296" s="105"/>
      <c r="AE296" s="664"/>
      <c r="AF296" s="667"/>
      <c r="AG296" s="670"/>
      <c r="AH296" s="106"/>
      <c r="AI296" s="107"/>
      <c r="AJ296" s="673"/>
      <c r="AK296" s="143"/>
      <c r="AL296" s="144"/>
      <c r="AM296" s="133">
        <f t="shared" si="541"/>
        <v>0</v>
      </c>
      <c r="AN296" s="134">
        <f t="shared" si="541"/>
        <v>0</v>
      </c>
      <c r="AO296" s="134">
        <f t="shared" si="541"/>
        <v>0</v>
      </c>
      <c r="AP296" s="134">
        <f t="shared" si="541"/>
        <v>0</v>
      </c>
      <c r="AQ296" s="134">
        <f t="shared" si="541"/>
        <v>0</v>
      </c>
      <c r="AR296" s="134">
        <f t="shared" si="541"/>
        <v>0</v>
      </c>
      <c r="AS296" s="134">
        <f t="shared" si="541"/>
        <v>0</v>
      </c>
      <c r="AT296" s="134">
        <f t="shared" si="541"/>
        <v>0</v>
      </c>
      <c r="AU296" s="134">
        <f t="shared" si="541"/>
        <v>0</v>
      </c>
      <c r="AV296" s="134">
        <f t="shared" si="541"/>
        <v>0</v>
      </c>
      <c r="AW296" s="134">
        <f t="shared" ca="1" si="541"/>
        <v>0</v>
      </c>
      <c r="BB296" s="135"/>
    </row>
    <row r="297" spans="1:54" s="21" customFormat="1" ht="18" customHeight="1">
      <c r="A297" s="644"/>
      <c r="B297" s="157"/>
      <c r="C297" s="653"/>
      <c r="D297" s="111" t="str">
        <f>D295</f>
        <v>MIS</v>
      </c>
      <c r="E297" s="145" t="str">
        <f>E295</f>
        <v>RFQ-054</v>
      </c>
      <c r="F297" s="146" t="str">
        <f t="shared" ref="F297" si="552">F295</f>
        <v>N</v>
      </c>
      <c r="G297" s="160"/>
      <c r="H297" s="113" t="str">
        <f>H295</f>
        <v>Welding Electrode</v>
      </c>
      <c r="I297" s="145" t="str">
        <f t="shared" ref="I297" si="553">I295</f>
        <v>LD</v>
      </c>
      <c r="J297" s="146"/>
      <c r="K297" s="147"/>
      <c r="L297" s="147"/>
      <c r="M297" s="147">
        <v>1E-3</v>
      </c>
      <c r="N297" s="145"/>
      <c r="O297" s="145"/>
      <c r="P297" s="145"/>
      <c r="Q297" s="148" t="s">
        <v>4842</v>
      </c>
      <c r="R297" s="148"/>
      <c r="S297" s="149"/>
      <c r="T297" s="149"/>
      <c r="U297" s="149"/>
      <c r="V297" s="149"/>
      <c r="W297" s="149"/>
      <c r="X297" s="149"/>
      <c r="Y297" s="149"/>
      <c r="Z297" s="149"/>
      <c r="AA297" s="149"/>
      <c r="AB297" s="149"/>
      <c r="AC297" s="659"/>
      <c r="AD297" s="116"/>
      <c r="AE297" s="665"/>
      <c r="AF297" s="668"/>
      <c r="AG297" s="671"/>
      <c r="AH297" s="117"/>
      <c r="AI297" s="118"/>
      <c r="AJ297" s="674"/>
      <c r="AK297" s="150"/>
      <c r="AL297" s="151"/>
      <c r="AM297" s="152">
        <f t="shared" si="541"/>
        <v>0</v>
      </c>
      <c r="AN297" s="153">
        <f t="shared" si="541"/>
        <v>0</v>
      </c>
      <c r="AO297" s="153">
        <f t="shared" si="541"/>
        <v>0</v>
      </c>
      <c r="AP297" s="153">
        <f t="shared" si="541"/>
        <v>0</v>
      </c>
      <c r="AQ297" s="153">
        <f t="shared" si="541"/>
        <v>0</v>
      </c>
      <c r="AR297" s="153">
        <f t="shared" si="541"/>
        <v>0</v>
      </c>
      <c r="AS297" s="153">
        <f t="shared" si="541"/>
        <v>0</v>
      </c>
      <c r="AT297" s="153">
        <f t="shared" si="541"/>
        <v>0</v>
      </c>
      <c r="AU297" s="153">
        <f t="shared" si="541"/>
        <v>0</v>
      </c>
      <c r="AV297" s="153">
        <f t="shared" si="541"/>
        <v>0</v>
      </c>
      <c r="AW297" s="153">
        <f t="shared" ca="1" si="541"/>
        <v>0</v>
      </c>
      <c r="BB297" s="135"/>
    </row>
    <row r="298" spans="1:54" s="21" customFormat="1" ht="18" customHeight="1">
      <c r="A298" s="642">
        <f>A229+1</f>
        <v>75</v>
      </c>
      <c r="B298" s="154"/>
      <c r="C298" s="651" t="s">
        <v>4836</v>
      </c>
      <c r="D298" s="80"/>
      <c r="E298" s="127" t="s">
        <v>4898</v>
      </c>
      <c r="F298" s="128" t="s">
        <v>71</v>
      </c>
      <c r="G298" s="158"/>
      <c r="H298" s="82"/>
      <c r="I298" s="127" t="s">
        <v>9</v>
      </c>
      <c r="J298" s="128"/>
      <c r="K298" s="129">
        <f>M300</f>
        <v>1E-3</v>
      </c>
      <c r="L298" s="129"/>
      <c r="M298" s="129"/>
      <c r="N298" s="127"/>
      <c r="O298" s="127"/>
      <c r="P298" s="127"/>
      <c r="Q298" s="130" t="s">
        <v>4839</v>
      </c>
      <c r="R298" s="130"/>
      <c r="S298" s="155" t="e">
        <f>WORKDAY(T298,-INDEX(T$2:T$5,MATCH($I298,$I$2:$I$5,0)),'[35]Equipment List and MR List (3)'!$A$2:$A$80)</f>
        <v>#REF!</v>
      </c>
      <c r="T298" s="155" t="e">
        <f>WORKDAY(U298,-INDEX(U$2:U$5,MATCH($I298,$I$2:$I$5,0)),$BB$10:$BB$141)</f>
        <v>#REF!</v>
      </c>
      <c r="U298" s="155" t="e">
        <f>WORKDAY(V298,-INDEX(V$2:V$5,MATCH($I298,$I$2:$I$5,0)),$BB$10:$BB$141)</f>
        <v>#REF!</v>
      </c>
      <c r="V298" s="155" t="e">
        <f>WORKDAY(W298,-INDEX(W$2:W$5,MATCH($I298,$I$2:$I$5,0)),$BB$10:$BB$141)</f>
        <v>#REF!</v>
      </c>
      <c r="W298" s="155" t="e">
        <f>WORKDAY(#REF!,-INDEX(#REF!,MATCH($I298,$I$2:$I$5,0)),$BB$10:$BB$141)</f>
        <v>#REF!</v>
      </c>
      <c r="X298" s="155" t="e">
        <f>WORKDAY(Y298,-INDEX(Y$2:Y$5,MATCH($I298,$I$2:$I$5,0)),$BB$10:$BB$141)</f>
        <v>#REF!</v>
      </c>
      <c r="Y298" s="155" t="e">
        <f>WORKDAY(Z298,-INDEX(Z$2:Z$5,MATCH($I298,$I$2:$I$5,0)),$BB$10:$BB$141)</f>
        <v>#REF!</v>
      </c>
      <c r="Z298" s="155" t="e">
        <f>WORKDAY(AA298,-INDEX(AA$2:AA$5,MATCH($I298,$I$2:$I$5,0)),$BB$10:$BB$141)</f>
        <v>#REF!</v>
      </c>
      <c r="AA298" s="155" t="e">
        <f>WORKDAY(#REF!,-INDEX(#REF!,MATCH($I298,$I$2:$I$5,0)),$BB$10:$BB$141)</f>
        <v>#REF!</v>
      </c>
      <c r="AB298" s="155">
        <f>WORKDAY(AG298,0,'[35]Equipment List and MR List (3)'!$A$2:$A$80)</f>
        <v>0</v>
      </c>
      <c r="AC298" s="657" t="s">
        <v>4840</v>
      </c>
      <c r="AD298" s="87">
        <v>7</v>
      </c>
      <c r="AE298" s="663"/>
      <c r="AF298" s="666" t="e">
        <f>AB299</f>
        <v>#REF!</v>
      </c>
      <c r="AG298" s="669"/>
      <c r="AH298" s="88"/>
      <c r="AI298" s="89"/>
      <c r="AJ298" s="672" t="e">
        <f>AG298-AF298</f>
        <v>#REF!</v>
      </c>
      <c r="AK298" s="131"/>
      <c r="AL298" s="132"/>
      <c r="AM298" s="133">
        <f t="shared" si="541"/>
        <v>0.95</v>
      </c>
      <c r="AN298" s="134">
        <f t="shared" si="541"/>
        <v>0.95</v>
      </c>
      <c r="AO298" s="134">
        <f t="shared" si="541"/>
        <v>0.95</v>
      </c>
      <c r="AP298" s="134">
        <f t="shared" si="541"/>
        <v>0.95</v>
      </c>
      <c r="AQ298" s="134">
        <f t="shared" si="541"/>
        <v>0.95</v>
      </c>
      <c r="AR298" s="134">
        <f t="shared" si="541"/>
        <v>0.95</v>
      </c>
      <c r="AS298" s="134">
        <f t="shared" si="541"/>
        <v>0.95</v>
      </c>
      <c r="AT298" s="134">
        <f t="shared" si="541"/>
        <v>0.95</v>
      </c>
      <c r="AU298" s="134">
        <f t="shared" si="541"/>
        <v>0.95</v>
      </c>
      <c r="AV298" s="134">
        <f t="shared" si="541"/>
        <v>0.95</v>
      </c>
      <c r="AW298" s="134">
        <f t="shared" ca="1" si="541"/>
        <v>0.95</v>
      </c>
      <c r="BB298" s="135"/>
    </row>
    <row r="299" spans="1:54" s="21" customFormat="1" ht="18" customHeight="1">
      <c r="A299" s="643"/>
      <c r="B299" s="156"/>
      <c r="C299" s="652"/>
      <c r="D299" s="96"/>
      <c r="E299" s="136" t="str">
        <f t="shared" ref="E299:F299" si="554">E298</f>
        <v>RFQ-054</v>
      </c>
      <c r="F299" s="137" t="str">
        <f t="shared" si="554"/>
        <v>N</v>
      </c>
      <c r="G299" s="159"/>
      <c r="H299" s="98"/>
      <c r="I299" s="136" t="str">
        <f t="shared" ref="I299" si="555">I298</f>
        <v>LD</v>
      </c>
      <c r="J299" s="137"/>
      <c r="K299" s="138"/>
      <c r="L299" s="138">
        <f>M300</f>
        <v>1E-3</v>
      </c>
      <c r="M299" s="138"/>
      <c r="N299" s="136"/>
      <c r="O299" s="136"/>
      <c r="P299" s="136"/>
      <c r="Q299" s="139" t="s">
        <v>4841</v>
      </c>
      <c r="R299" s="139"/>
      <c r="S299" s="140" t="e">
        <f>S298</f>
        <v>#REF!</v>
      </c>
      <c r="T299" s="141" t="e">
        <f>T298</f>
        <v>#REF!</v>
      </c>
      <c r="U299" s="141" t="e">
        <f>WORKDAY(IF(T300="",T299,T300),INDEX(U$2:U$5,MATCH($I298,$I$2:$I$5,0)),$BB$10:$BB$141)</f>
        <v>#REF!</v>
      </c>
      <c r="V299" s="141" t="e">
        <f>WORKDAY(IF(U300="",U299,U300),INDEX(V$2:V$5,MATCH($I298,$I$2:$I$5,0)),$BB$10:$BB$141)</f>
        <v>#REF!</v>
      </c>
      <c r="W299" s="141" t="e">
        <f>WORKDAY(IF(V300="",V299,V300),INDEX(W$2:W$5,MATCH($I298,$I$2:$I$5,0)),$BB$10:$BB$141)</f>
        <v>#REF!</v>
      </c>
      <c r="X299" s="141" t="e">
        <f>WORKDAY(IF(#REF!="",#REF!,#REF!),INDEX(X$2:X$5,MATCH($I298,$I$2:$I$5,0)),$BB$10:$BB$141)</f>
        <v>#REF!</v>
      </c>
      <c r="Y299" s="141" t="e">
        <f>WORKDAY(IF(X300="",X299,X300),INDEX(Y$2:Y$5,MATCH($I298,$I$2:$I$5,0)),$BB$10:$BB$141)</f>
        <v>#REF!</v>
      </c>
      <c r="Z299" s="141" t="e">
        <f>WORKDAY(IF(Y300="",Y299,Y300),INDEX(Z$2:Z$5,MATCH($I298,$I$2:$I$5,0)),$BB$10:$BB$141)</f>
        <v>#REF!</v>
      </c>
      <c r="AA299" s="141" t="e">
        <f>WORKDAY(IF(Z300="",Z299,Z300),INDEX(AA$2:AA$5,MATCH($I298,$I$2:$I$5,0)),$BB$10:$BB$141)</f>
        <v>#REF!</v>
      </c>
      <c r="AB299" s="142" t="e">
        <f>AE298+#REF!</f>
        <v>#REF!</v>
      </c>
      <c r="AC299" s="658"/>
      <c r="AD299" s="105"/>
      <c r="AE299" s="664"/>
      <c r="AF299" s="667"/>
      <c r="AG299" s="670"/>
      <c r="AH299" s="106"/>
      <c r="AI299" s="107"/>
      <c r="AJ299" s="673"/>
      <c r="AK299" s="143"/>
      <c r="AL299" s="144"/>
      <c r="AM299" s="133">
        <f t="shared" si="541"/>
        <v>0</v>
      </c>
      <c r="AN299" s="134">
        <f t="shared" si="541"/>
        <v>0</v>
      </c>
      <c r="AO299" s="134">
        <f t="shared" si="541"/>
        <v>0</v>
      </c>
      <c r="AP299" s="134">
        <f t="shared" si="541"/>
        <v>0</v>
      </c>
      <c r="AQ299" s="134">
        <f t="shared" si="541"/>
        <v>0</v>
      </c>
      <c r="AR299" s="134">
        <f t="shared" si="541"/>
        <v>0</v>
      </c>
      <c r="AS299" s="134">
        <f t="shared" si="541"/>
        <v>0</v>
      </c>
      <c r="AT299" s="134">
        <f t="shared" si="541"/>
        <v>0</v>
      </c>
      <c r="AU299" s="134">
        <f t="shared" si="541"/>
        <v>0</v>
      </c>
      <c r="AV299" s="134">
        <f t="shared" si="541"/>
        <v>0</v>
      </c>
      <c r="AW299" s="134">
        <f t="shared" ca="1" si="541"/>
        <v>0</v>
      </c>
      <c r="BB299" s="135"/>
    </row>
    <row r="300" spans="1:54" s="21" customFormat="1" ht="18" customHeight="1">
      <c r="A300" s="644"/>
      <c r="B300" s="157"/>
      <c r="C300" s="653"/>
      <c r="D300" s="111"/>
      <c r="E300" s="145" t="str">
        <f>E298</f>
        <v>RFQ-054</v>
      </c>
      <c r="F300" s="146" t="str">
        <f t="shared" ref="F300" si="556">F298</f>
        <v>N</v>
      </c>
      <c r="G300" s="160"/>
      <c r="H300" s="113"/>
      <c r="I300" s="145" t="str">
        <f t="shared" ref="I300" si="557">I298</f>
        <v>LD</v>
      </c>
      <c r="J300" s="146"/>
      <c r="K300" s="147"/>
      <c r="L300" s="147"/>
      <c r="M300" s="147">
        <v>1E-3</v>
      </c>
      <c r="N300" s="145"/>
      <c r="O300" s="145"/>
      <c r="P300" s="145"/>
      <c r="Q300" s="148" t="s">
        <v>4842</v>
      </c>
      <c r="R300" s="148"/>
      <c r="S300" s="149"/>
      <c r="T300" s="149"/>
      <c r="U300" s="149"/>
      <c r="V300" s="149"/>
      <c r="W300" s="149"/>
      <c r="X300" s="149"/>
      <c r="Y300" s="149"/>
      <c r="Z300" s="149"/>
      <c r="AA300" s="149"/>
      <c r="AB300" s="149"/>
      <c r="AC300" s="659"/>
      <c r="AD300" s="116"/>
      <c r="AE300" s="665"/>
      <c r="AF300" s="668"/>
      <c r="AG300" s="671"/>
      <c r="AH300" s="117"/>
      <c r="AI300" s="118"/>
      <c r="AJ300" s="674"/>
      <c r="AK300" s="150"/>
      <c r="AL300" s="151"/>
      <c r="AM300" s="152">
        <f t="shared" si="541"/>
        <v>0</v>
      </c>
      <c r="AN300" s="153">
        <f t="shared" si="541"/>
        <v>0</v>
      </c>
      <c r="AO300" s="153">
        <f t="shared" si="541"/>
        <v>0</v>
      </c>
      <c r="AP300" s="153">
        <f t="shared" si="541"/>
        <v>0</v>
      </c>
      <c r="AQ300" s="153">
        <f t="shared" si="541"/>
        <v>0</v>
      </c>
      <c r="AR300" s="153">
        <f t="shared" si="541"/>
        <v>0</v>
      </c>
      <c r="AS300" s="153">
        <f t="shared" si="541"/>
        <v>0</v>
      </c>
      <c r="AT300" s="153">
        <f t="shared" si="541"/>
        <v>0</v>
      </c>
      <c r="AU300" s="153">
        <f t="shared" si="541"/>
        <v>0</v>
      </c>
      <c r="AV300" s="153">
        <f t="shared" si="541"/>
        <v>0</v>
      </c>
      <c r="AW300" s="153">
        <f t="shared" ca="1" si="541"/>
        <v>0</v>
      </c>
      <c r="BB300" s="135"/>
    </row>
    <row r="301" spans="1:54" ht="20.100000000000001" customHeight="1">
      <c r="E301" s="29"/>
    </row>
    <row r="303" spans="1:54" ht="20.100000000000001" customHeight="1">
      <c r="AH303" s="32" t="s">
        <v>4939</v>
      </c>
    </row>
  </sheetData>
  <protectedRanges>
    <protectedRange password="C5A1" sqref="H5 AD5:AK5" name="区域1"/>
  </protectedRanges>
  <mergeCells count="794">
    <mergeCell ref="AK6:AK7"/>
    <mergeCell ref="AL6:AL7"/>
    <mergeCell ref="AJ274:AJ276"/>
    <mergeCell ref="AJ277:AJ279"/>
    <mergeCell ref="AJ280:AJ282"/>
    <mergeCell ref="AJ283:AJ285"/>
    <mergeCell ref="AJ286:AJ288"/>
    <mergeCell ref="AJ289:AJ291"/>
    <mergeCell ref="AJ292:AJ294"/>
    <mergeCell ref="AJ220:AJ222"/>
    <mergeCell ref="AJ223:AJ225"/>
    <mergeCell ref="AJ226:AJ228"/>
    <mergeCell ref="AJ229:AJ231"/>
    <mergeCell ref="AJ232:AJ234"/>
    <mergeCell ref="AJ235:AJ237"/>
    <mergeCell ref="AJ238:AJ240"/>
    <mergeCell ref="AJ241:AJ243"/>
    <mergeCell ref="AJ244:AJ246"/>
    <mergeCell ref="AJ193:AJ195"/>
    <mergeCell ref="AJ196:AJ198"/>
    <mergeCell ref="AJ199:AJ201"/>
    <mergeCell ref="AJ202:AJ204"/>
    <mergeCell ref="AJ205:AJ207"/>
    <mergeCell ref="AJ208:AJ210"/>
    <mergeCell ref="AJ295:AJ297"/>
    <mergeCell ref="AJ298:AJ300"/>
    <mergeCell ref="AJ247:AJ249"/>
    <mergeCell ref="AJ250:AJ252"/>
    <mergeCell ref="AJ253:AJ255"/>
    <mergeCell ref="AJ256:AJ258"/>
    <mergeCell ref="AJ259:AJ261"/>
    <mergeCell ref="AJ262:AJ264"/>
    <mergeCell ref="AJ265:AJ267"/>
    <mergeCell ref="AJ268:AJ270"/>
    <mergeCell ref="AJ271:AJ273"/>
    <mergeCell ref="AJ211:AJ213"/>
    <mergeCell ref="AJ214:AJ216"/>
    <mergeCell ref="AJ217:AJ219"/>
    <mergeCell ref="AJ166:AJ168"/>
    <mergeCell ref="AJ169:AJ171"/>
    <mergeCell ref="AJ172:AJ174"/>
    <mergeCell ref="AJ175:AJ177"/>
    <mergeCell ref="AJ178:AJ180"/>
    <mergeCell ref="AJ181:AJ183"/>
    <mergeCell ref="AJ184:AJ186"/>
    <mergeCell ref="AJ187:AJ189"/>
    <mergeCell ref="AJ190:AJ192"/>
    <mergeCell ref="AJ139:AJ141"/>
    <mergeCell ref="AJ142:AJ144"/>
    <mergeCell ref="AJ145:AJ147"/>
    <mergeCell ref="AJ148:AJ150"/>
    <mergeCell ref="AJ151:AJ153"/>
    <mergeCell ref="AJ154:AJ156"/>
    <mergeCell ref="AJ157:AJ159"/>
    <mergeCell ref="AJ160:AJ162"/>
    <mergeCell ref="AJ163:AJ165"/>
    <mergeCell ref="AJ112:AJ114"/>
    <mergeCell ref="AJ115:AJ117"/>
    <mergeCell ref="AJ118:AJ120"/>
    <mergeCell ref="AJ121:AJ123"/>
    <mergeCell ref="AJ124:AJ126"/>
    <mergeCell ref="AJ127:AJ129"/>
    <mergeCell ref="AJ130:AJ132"/>
    <mergeCell ref="AJ133:AJ135"/>
    <mergeCell ref="AJ136:AJ138"/>
    <mergeCell ref="AJ85:AJ87"/>
    <mergeCell ref="AJ88:AJ90"/>
    <mergeCell ref="AJ91:AJ93"/>
    <mergeCell ref="AJ94:AJ96"/>
    <mergeCell ref="AJ97:AJ99"/>
    <mergeCell ref="AJ100:AJ102"/>
    <mergeCell ref="AJ103:AJ105"/>
    <mergeCell ref="AJ106:AJ108"/>
    <mergeCell ref="AJ109:AJ111"/>
    <mergeCell ref="AJ58:AJ60"/>
    <mergeCell ref="AJ61:AJ63"/>
    <mergeCell ref="AJ64:AJ66"/>
    <mergeCell ref="AJ67:AJ69"/>
    <mergeCell ref="AJ70:AJ72"/>
    <mergeCell ref="AJ73:AJ75"/>
    <mergeCell ref="AJ76:AJ78"/>
    <mergeCell ref="AJ79:AJ81"/>
    <mergeCell ref="AJ82:AJ84"/>
    <mergeCell ref="AJ31:AJ33"/>
    <mergeCell ref="AJ34:AJ36"/>
    <mergeCell ref="AJ37:AJ39"/>
    <mergeCell ref="AJ40:AJ42"/>
    <mergeCell ref="AJ43:AJ45"/>
    <mergeCell ref="AJ46:AJ48"/>
    <mergeCell ref="AJ49:AJ51"/>
    <mergeCell ref="AJ52:AJ54"/>
    <mergeCell ref="AJ55:AJ57"/>
    <mergeCell ref="AI6:AI7"/>
    <mergeCell ref="AJ6:AJ7"/>
    <mergeCell ref="AJ10:AJ12"/>
    <mergeCell ref="AJ13:AJ15"/>
    <mergeCell ref="AJ16:AJ18"/>
    <mergeCell ref="AJ19:AJ21"/>
    <mergeCell ref="AJ22:AJ24"/>
    <mergeCell ref="AJ25:AJ27"/>
    <mergeCell ref="AJ28:AJ30"/>
    <mergeCell ref="AG277:AG279"/>
    <mergeCell ref="AG280:AG282"/>
    <mergeCell ref="AG283:AG285"/>
    <mergeCell ref="AG286:AG288"/>
    <mergeCell ref="AG289:AG291"/>
    <mergeCell ref="AG292:AG294"/>
    <mergeCell ref="AG295:AG297"/>
    <mergeCell ref="AG298:AG300"/>
    <mergeCell ref="AH6:AH7"/>
    <mergeCell ref="AG250:AG252"/>
    <mergeCell ref="AG253:AG255"/>
    <mergeCell ref="AG256:AG258"/>
    <mergeCell ref="AG259:AG261"/>
    <mergeCell ref="AG262:AG264"/>
    <mergeCell ref="AG265:AG267"/>
    <mergeCell ref="AG268:AG270"/>
    <mergeCell ref="AG271:AG273"/>
    <mergeCell ref="AG274:AG276"/>
    <mergeCell ref="AG223:AG225"/>
    <mergeCell ref="AG226:AG228"/>
    <mergeCell ref="AG229:AG231"/>
    <mergeCell ref="AG232:AG234"/>
    <mergeCell ref="AG235:AG237"/>
    <mergeCell ref="AG238:AG240"/>
    <mergeCell ref="AG241:AG243"/>
    <mergeCell ref="AG244:AG246"/>
    <mergeCell ref="AG247:AG249"/>
    <mergeCell ref="AG196:AG198"/>
    <mergeCell ref="AG199:AG201"/>
    <mergeCell ref="AG202:AG204"/>
    <mergeCell ref="AG205:AG207"/>
    <mergeCell ref="AG208:AG210"/>
    <mergeCell ref="AG211:AG213"/>
    <mergeCell ref="AG214:AG216"/>
    <mergeCell ref="AG217:AG219"/>
    <mergeCell ref="AG220:AG222"/>
    <mergeCell ref="AG169:AG171"/>
    <mergeCell ref="AG172:AG174"/>
    <mergeCell ref="AG175:AG177"/>
    <mergeCell ref="AG178:AG180"/>
    <mergeCell ref="AG181:AG183"/>
    <mergeCell ref="AG184:AG186"/>
    <mergeCell ref="AG187:AG189"/>
    <mergeCell ref="AG190:AG192"/>
    <mergeCell ref="AG193:AG195"/>
    <mergeCell ref="AG142:AG144"/>
    <mergeCell ref="AG145:AG147"/>
    <mergeCell ref="AG148:AG150"/>
    <mergeCell ref="AG151:AG153"/>
    <mergeCell ref="AG154:AG156"/>
    <mergeCell ref="AG157:AG159"/>
    <mergeCell ref="AG160:AG162"/>
    <mergeCell ref="AG163:AG165"/>
    <mergeCell ref="AG166:AG168"/>
    <mergeCell ref="AG115:AG117"/>
    <mergeCell ref="AG118:AG120"/>
    <mergeCell ref="AG121:AG123"/>
    <mergeCell ref="AG124:AG126"/>
    <mergeCell ref="AG127:AG129"/>
    <mergeCell ref="AG130:AG132"/>
    <mergeCell ref="AG133:AG135"/>
    <mergeCell ref="AG136:AG138"/>
    <mergeCell ref="AG139:AG141"/>
    <mergeCell ref="AG88:AG90"/>
    <mergeCell ref="AG91:AG93"/>
    <mergeCell ref="AG94:AG96"/>
    <mergeCell ref="AG97:AG99"/>
    <mergeCell ref="AG100:AG102"/>
    <mergeCell ref="AG103:AG105"/>
    <mergeCell ref="AG106:AG108"/>
    <mergeCell ref="AG109:AG111"/>
    <mergeCell ref="AG112:AG114"/>
    <mergeCell ref="AG61:AG63"/>
    <mergeCell ref="AG64:AG66"/>
    <mergeCell ref="AG67:AG69"/>
    <mergeCell ref="AG70:AG72"/>
    <mergeCell ref="AG73:AG75"/>
    <mergeCell ref="AG76:AG78"/>
    <mergeCell ref="AG79:AG81"/>
    <mergeCell ref="AG82:AG84"/>
    <mergeCell ref="AG85:AG87"/>
    <mergeCell ref="AF283:AF285"/>
    <mergeCell ref="AF286:AF288"/>
    <mergeCell ref="AF289:AF291"/>
    <mergeCell ref="AF292:AF294"/>
    <mergeCell ref="AF295:AF297"/>
    <mergeCell ref="AF298:AF300"/>
    <mergeCell ref="AG6:AG7"/>
    <mergeCell ref="AG10:AG12"/>
    <mergeCell ref="AG13:AG15"/>
    <mergeCell ref="AG16:AG18"/>
    <mergeCell ref="AG19:AG21"/>
    <mergeCell ref="AG22:AG24"/>
    <mergeCell ref="AG25:AG27"/>
    <mergeCell ref="AG28:AG30"/>
    <mergeCell ref="AG31:AG33"/>
    <mergeCell ref="AG34:AG36"/>
    <mergeCell ref="AG37:AG39"/>
    <mergeCell ref="AG40:AG42"/>
    <mergeCell ref="AG43:AG45"/>
    <mergeCell ref="AG46:AG48"/>
    <mergeCell ref="AG49:AG51"/>
    <mergeCell ref="AG52:AG54"/>
    <mergeCell ref="AG55:AG57"/>
    <mergeCell ref="AG58:AG60"/>
    <mergeCell ref="AF256:AF258"/>
    <mergeCell ref="AF259:AF261"/>
    <mergeCell ref="AF262:AF264"/>
    <mergeCell ref="AF265:AF267"/>
    <mergeCell ref="AF268:AF270"/>
    <mergeCell ref="AF271:AF273"/>
    <mergeCell ref="AF274:AF276"/>
    <mergeCell ref="AF277:AF279"/>
    <mergeCell ref="AF280:AF282"/>
    <mergeCell ref="AF229:AF231"/>
    <mergeCell ref="AF232:AF234"/>
    <mergeCell ref="AF235:AF237"/>
    <mergeCell ref="AF238:AF240"/>
    <mergeCell ref="AF241:AF243"/>
    <mergeCell ref="AF244:AF246"/>
    <mergeCell ref="AF247:AF249"/>
    <mergeCell ref="AF250:AF252"/>
    <mergeCell ref="AF253:AF255"/>
    <mergeCell ref="AF202:AF204"/>
    <mergeCell ref="AF205:AF207"/>
    <mergeCell ref="AF208:AF210"/>
    <mergeCell ref="AF211:AF213"/>
    <mergeCell ref="AF214:AF216"/>
    <mergeCell ref="AF217:AF219"/>
    <mergeCell ref="AF220:AF222"/>
    <mergeCell ref="AF223:AF225"/>
    <mergeCell ref="AF226:AF228"/>
    <mergeCell ref="AF175:AF177"/>
    <mergeCell ref="AF178:AF180"/>
    <mergeCell ref="AF181:AF183"/>
    <mergeCell ref="AF184:AF186"/>
    <mergeCell ref="AF187:AF189"/>
    <mergeCell ref="AF190:AF192"/>
    <mergeCell ref="AF193:AF195"/>
    <mergeCell ref="AF196:AF198"/>
    <mergeCell ref="AF199:AF201"/>
    <mergeCell ref="AF148:AF150"/>
    <mergeCell ref="AF151:AF153"/>
    <mergeCell ref="AF154:AF156"/>
    <mergeCell ref="AF157:AF159"/>
    <mergeCell ref="AF160:AF162"/>
    <mergeCell ref="AF163:AF165"/>
    <mergeCell ref="AF166:AF168"/>
    <mergeCell ref="AF169:AF171"/>
    <mergeCell ref="AF172:AF174"/>
    <mergeCell ref="AF121:AF123"/>
    <mergeCell ref="AF124:AF126"/>
    <mergeCell ref="AF127:AF129"/>
    <mergeCell ref="AF130:AF132"/>
    <mergeCell ref="AF133:AF135"/>
    <mergeCell ref="AF136:AF138"/>
    <mergeCell ref="AF139:AF141"/>
    <mergeCell ref="AF142:AF144"/>
    <mergeCell ref="AF145:AF147"/>
    <mergeCell ref="AF94:AF96"/>
    <mergeCell ref="AF97:AF99"/>
    <mergeCell ref="AF100:AF102"/>
    <mergeCell ref="AF103:AF105"/>
    <mergeCell ref="AF106:AF108"/>
    <mergeCell ref="AF109:AF111"/>
    <mergeCell ref="AF112:AF114"/>
    <mergeCell ref="AF115:AF117"/>
    <mergeCell ref="AF118:AF120"/>
    <mergeCell ref="AF67:AF69"/>
    <mergeCell ref="AF70:AF72"/>
    <mergeCell ref="AF73:AF75"/>
    <mergeCell ref="AF76:AF78"/>
    <mergeCell ref="AF79:AF81"/>
    <mergeCell ref="AF82:AF84"/>
    <mergeCell ref="AF85:AF87"/>
    <mergeCell ref="AF88:AF90"/>
    <mergeCell ref="AF91:AF93"/>
    <mergeCell ref="AE289:AE291"/>
    <mergeCell ref="AE292:AE294"/>
    <mergeCell ref="AE295:AE297"/>
    <mergeCell ref="AE298:AE300"/>
    <mergeCell ref="AF6:AF7"/>
    <mergeCell ref="AF10:AF12"/>
    <mergeCell ref="AF13:AF15"/>
    <mergeCell ref="AF16:AF18"/>
    <mergeCell ref="AF19:AF21"/>
    <mergeCell ref="AF22:AF24"/>
    <mergeCell ref="AF25:AF27"/>
    <mergeCell ref="AF28:AF30"/>
    <mergeCell ref="AF31:AF33"/>
    <mergeCell ref="AF34:AF36"/>
    <mergeCell ref="AF37:AF39"/>
    <mergeCell ref="AF40:AF42"/>
    <mergeCell ref="AF43:AF45"/>
    <mergeCell ref="AF46:AF48"/>
    <mergeCell ref="AF49:AF51"/>
    <mergeCell ref="AF52:AF54"/>
    <mergeCell ref="AF55:AF57"/>
    <mergeCell ref="AF58:AF60"/>
    <mergeCell ref="AF61:AF63"/>
    <mergeCell ref="AF64:AF66"/>
    <mergeCell ref="AE262:AE264"/>
    <mergeCell ref="AE265:AE267"/>
    <mergeCell ref="AE268:AE270"/>
    <mergeCell ref="AE271:AE273"/>
    <mergeCell ref="AE274:AE276"/>
    <mergeCell ref="AE277:AE279"/>
    <mergeCell ref="AE280:AE282"/>
    <mergeCell ref="AE283:AE285"/>
    <mergeCell ref="AE286:AE288"/>
    <mergeCell ref="AE235:AE237"/>
    <mergeCell ref="AE238:AE240"/>
    <mergeCell ref="AE241:AE243"/>
    <mergeCell ref="AE244:AE246"/>
    <mergeCell ref="AE247:AE249"/>
    <mergeCell ref="AE250:AE252"/>
    <mergeCell ref="AE253:AE255"/>
    <mergeCell ref="AE256:AE258"/>
    <mergeCell ref="AE259:AE261"/>
    <mergeCell ref="AE208:AE210"/>
    <mergeCell ref="AE211:AE213"/>
    <mergeCell ref="AE214:AE216"/>
    <mergeCell ref="AE217:AE219"/>
    <mergeCell ref="AE220:AE222"/>
    <mergeCell ref="AE223:AE225"/>
    <mergeCell ref="AE226:AE228"/>
    <mergeCell ref="AE229:AE231"/>
    <mergeCell ref="AE232:AE234"/>
    <mergeCell ref="AE181:AE183"/>
    <mergeCell ref="AE184:AE186"/>
    <mergeCell ref="AE187:AE189"/>
    <mergeCell ref="AE190:AE192"/>
    <mergeCell ref="AE193:AE195"/>
    <mergeCell ref="AE196:AE198"/>
    <mergeCell ref="AE199:AE201"/>
    <mergeCell ref="AE202:AE204"/>
    <mergeCell ref="AE205:AE207"/>
    <mergeCell ref="AE154:AE156"/>
    <mergeCell ref="AE157:AE159"/>
    <mergeCell ref="AE160:AE162"/>
    <mergeCell ref="AE163:AE165"/>
    <mergeCell ref="AE166:AE168"/>
    <mergeCell ref="AE169:AE171"/>
    <mergeCell ref="AE172:AE174"/>
    <mergeCell ref="AE175:AE177"/>
    <mergeCell ref="AE178:AE180"/>
    <mergeCell ref="AE127:AE129"/>
    <mergeCell ref="AE130:AE132"/>
    <mergeCell ref="AE133:AE135"/>
    <mergeCell ref="AE136:AE138"/>
    <mergeCell ref="AE139:AE141"/>
    <mergeCell ref="AE142:AE144"/>
    <mergeCell ref="AE145:AE147"/>
    <mergeCell ref="AE148:AE150"/>
    <mergeCell ref="AE151:AE153"/>
    <mergeCell ref="AE100:AE102"/>
    <mergeCell ref="AE103:AE105"/>
    <mergeCell ref="AE106:AE108"/>
    <mergeCell ref="AE109:AE111"/>
    <mergeCell ref="AE112:AE114"/>
    <mergeCell ref="AE115:AE117"/>
    <mergeCell ref="AE118:AE120"/>
    <mergeCell ref="AE121:AE123"/>
    <mergeCell ref="AE124:AE126"/>
    <mergeCell ref="AE73:AE75"/>
    <mergeCell ref="AE76:AE78"/>
    <mergeCell ref="AE79:AE81"/>
    <mergeCell ref="AE82:AE84"/>
    <mergeCell ref="AE85:AE87"/>
    <mergeCell ref="AE88:AE90"/>
    <mergeCell ref="AE91:AE93"/>
    <mergeCell ref="AE94:AE96"/>
    <mergeCell ref="AE97:AE99"/>
    <mergeCell ref="AC298:AC300"/>
    <mergeCell ref="AD6:AD7"/>
    <mergeCell ref="AE6:AE7"/>
    <mergeCell ref="AE10:AE12"/>
    <mergeCell ref="AE13:AE15"/>
    <mergeCell ref="AE16:AE18"/>
    <mergeCell ref="AE19:AE21"/>
    <mergeCell ref="AE22:AE24"/>
    <mergeCell ref="AE25:AE27"/>
    <mergeCell ref="AE28:AE30"/>
    <mergeCell ref="AE31:AE33"/>
    <mergeCell ref="AE34:AE36"/>
    <mergeCell ref="AE37:AE39"/>
    <mergeCell ref="AE40:AE42"/>
    <mergeCell ref="AE43:AE45"/>
    <mergeCell ref="AE46:AE48"/>
    <mergeCell ref="AE49:AE51"/>
    <mergeCell ref="AE52:AE54"/>
    <mergeCell ref="AE55:AE57"/>
    <mergeCell ref="AE58:AE60"/>
    <mergeCell ref="AE61:AE63"/>
    <mergeCell ref="AE64:AE66"/>
    <mergeCell ref="AE67:AE69"/>
    <mergeCell ref="AE70:AE72"/>
    <mergeCell ref="AC271:AC273"/>
    <mergeCell ref="AC274:AC276"/>
    <mergeCell ref="AC277:AC279"/>
    <mergeCell ref="AC280:AC282"/>
    <mergeCell ref="AC283:AC285"/>
    <mergeCell ref="AC286:AC288"/>
    <mergeCell ref="AC289:AC291"/>
    <mergeCell ref="AC292:AC294"/>
    <mergeCell ref="AC295:AC297"/>
    <mergeCell ref="AC244:AC246"/>
    <mergeCell ref="AC247:AC249"/>
    <mergeCell ref="AC250:AC252"/>
    <mergeCell ref="AC253:AC255"/>
    <mergeCell ref="AC256:AC258"/>
    <mergeCell ref="AC259:AC261"/>
    <mergeCell ref="AC262:AC264"/>
    <mergeCell ref="AC265:AC267"/>
    <mergeCell ref="AC268:AC270"/>
    <mergeCell ref="AC217:AC219"/>
    <mergeCell ref="AC220:AC222"/>
    <mergeCell ref="AC223:AC225"/>
    <mergeCell ref="AC226:AC228"/>
    <mergeCell ref="AC229:AC231"/>
    <mergeCell ref="AC232:AC234"/>
    <mergeCell ref="AC235:AC237"/>
    <mergeCell ref="AC238:AC240"/>
    <mergeCell ref="AC241:AC243"/>
    <mergeCell ref="AC190:AC192"/>
    <mergeCell ref="AC193:AC195"/>
    <mergeCell ref="AC196:AC198"/>
    <mergeCell ref="AC199:AC201"/>
    <mergeCell ref="AC202:AC204"/>
    <mergeCell ref="AC205:AC207"/>
    <mergeCell ref="AC208:AC210"/>
    <mergeCell ref="AC211:AC213"/>
    <mergeCell ref="AC214:AC216"/>
    <mergeCell ref="AC163:AC165"/>
    <mergeCell ref="AC166:AC168"/>
    <mergeCell ref="AC169:AC171"/>
    <mergeCell ref="AC172:AC174"/>
    <mergeCell ref="AC175:AC177"/>
    <mergeCell ref="AC178:AC180"/>
    <mergeCell ref="AC181:AC183"/>
    <mergeCell ref="AC184:AC186"/>
    <mergeCell ref="AC187:AC189"/>
    <mergeCell ref="AC136:AC138"/>
    <mergeCell ref="AC139:AC141"/>
    <mergeCell ref="AC142:AC144"/>
    <mergeCell ref="AC145:AC147"/>
    <mergeCell ref="AC148:AC150"/>
    <mergeCell ref="AC151:AC153"/>
    <mergeCell ref="AC154:AC156"/>
    <mergeCell ref="AC157:AC159"/>
    <mergeCell ref="AC160:AC162"/>
    <mergeCell ref="AC109:AC111"/>
    <mergeCell ref="AC112:AC114"/>
    <mergeCell ref="AC115:AC117"/>
    <mergeCell ref="AC118:AC120"/>
    <mergeCell ref="AC121:AC123"/>
    <mergeCell ref="AC124:AC126"/>
    <mergeCell ref="AC127:AC129"/>
    <mergeCell ref="AC130:AC132"/>
    <mergeCell ref="AC133:AC135"/>
    <mergeCell ref="AC82:AC84"/>
    <mergeCell ref="AC85:AC87"/>
    <mergeCell ref="AC88:AC90"/>
    <mergeCell ref="AC91:AC93"/>
    <mergeCell ref="AC94:AC96"/>
    <mergeCell ref="AC97:AC99"/>
    <mergeCell ref="AC100:AC102"/>
    <mergeCell ref="AC103:AC105"/>
    <mergeCell ref="AC106:AC108"/>
    <mergeCell ref="AC55:AC57"/>
    <mergeCell ref="AC58:AC60"/>
    <mergeCell ref="AC61:AC63"/>
    <mergeCell ref="AC64:AC66"/>
    <mergeCell ref="AC67:AC69"/>
    <mergeCell ref="AC70:AC72"/>
    <mergeCell ref="AC73:AC75"/>
    <mergeCell ref="AC76:AC78"/>
    <mergeCell ref="AC79:AC81"/>
    <mergeCell ref="AC28:AC30"/>
    <mergeCell ref="AC31:AC33"/>
    <mergeCell ref="AC34:AC36"/>
    <mergeCell ref="AC37:AC39"/>
    <mergeCell ref="AC40:AC42"/>
    <mergeCell ref="AC43:AC45"/>
    <mergeCell ref="AC46:AC48"/>
    <mergeCell ref="AC49:AC51"/>
    <mergeCell ref="AC52:AC54"/>
    <mergeCell ref="AA6:AA7"/>
    <mergeCell ref="AB6:AB7"/>
    <mergeCell ref="AC6:AC7"/>
    <mergeCell ref="AC10:AC12"/>
    <mergeCell ref="AC13:AC15"/>
    <mergeCell ref="AC16:AC18"/>
    <mergeCell ref="AC19:AC21"/>
    <mergeCell ref="AC22:AC24"/>
    <mergeCell ref="AC25:AC27"/>
    <mergeCell ref="R6:R7"/>
    <mergeCell ref="S6:S7"/>
    <mergeCell ref="T6:T7"/>
    <mergeCell ref="U6:U7"/>
    <mergeCell ref="V6:V7"/>
    <mergeCell ref="W6:W7"/>
    <mergeCell ref="X6:X7"/>
    <mergeCell ref="Y6:Y7"/>
    <mergeCell ref="Z6:Z7"/>
    <mergeCell ref="G193:G195"/>
    <mergeCell ref="G196:G198"/>
    <mergeCell ref="G199:G201"/>
    <mergeCell ref="G202:G204"/>
    <mergeCell ref="G205:G207"/>
    <mergeCell ref="H6:H7"/>
    <mergeCell ref="I6:I7"/>
    <mergeCell ref="J6:J7"/>
    <mergeCell ref="Q6:Q7"/>
    <mergeCell ref="G166:G168"/>
    <mergeCell ref="G169:G171"/>
    <mergeCell ref="G172:G174"/>
    <mergeCell ref="G175:G177"/>
    <mergeCell ref="G178:G180"/>
    <mergeCell ref="G181:G183"/>
    <mergeCell ref="G184:G186"/>
    <mergeCell ref="G187:G189"/>
    <mergeCell ref="G190:G192"/>
    <mergeCell ref="G139:G141"/>
    <mergeCell ref="G142:G144"/>
    <mergeCell ref="G145:G147"/>
    <mergeCell ref="G148:G150"/>
    <mergeCell ref="G151:G153"/>
    <mergeCell ref="G154:G156"/>
    <mergeCell ref="G157:G159"/>
    <mergeCell ref="G160:G162"/>
    <mergeCell ref="G163:G165"/>
    <mergeCell ref="G112:G114"/>
    <mergeCell ref="G115:G117"/>
    <mergeCell ref="G118:G120"/>
    <mergeCell ref="G121:G123"/>
    <mergeCell ref="G124:G126"/>
    <mergeCell ref="G127:G129"/>
    <mergeCell ref="G130:G132"/>
    <mergeCell ref="G133:G135"/>
    <mergeCell ref="G136:G138"/>
    <mergeCell ref="G85:G87"/>
    <mergeCell ref="G88:G90"/>
    <mergeCell ref="G91:G93"/>
    <mergeCell ref="G94:G96"/>
    <mergeCell ref="G97:G99"/>
    <mergeCell ref="G100:G102"/>
    <mergeCell ref="G103:G105"/>
    <mergeCell ref="G106:G108"/>
    <mergeCell ref="G109:G111"/>
    <mergeCell ref="G58:G60"/>
    <mergeCell ref="G61:G63"/>
    <mergeCell ref="G64:G66"/>
    <mergeCell ref="G67:G69"/>
    <mergeCell ref="G70:G72"/>
    <mergeCell ref="G73:G75"/>
    <mergeCell ref="G76:G78"/>
    <mergeCell ref="G79:G81"/>
    <mergeCell ref="G82:G84"/>
    <mergeCell ref="C286:C288"/>
    <mergeCell ref="C289:C291"/>
    <mergeCell ref="C292:C294"/>
    <mergeCell ref="C295:C297"/>
    <mergeCell ref="C298:C300"/>
    <mergeCell ref="D6:D7"/>
    <mergeCell ref="E6:E7"/>
    <mergeCell ref="G6:G7"/>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C259:C261"/>
    <mergeCell ref="C262:C264"/>
    <mergeCell ref="C265:C267"/>
    <mergeCell ref="C268:C270"/>
    <mergeCell ref="C271:C273"/>
    <mergeCell ref="C274:C276"/>
    <mergeCell ref="C277:C279"/>
    <mergeCell ref="C280:C282"/>
    <mergeCell ref="C283:C285"/>
    <mergeCell ref="C232:C234"/>
    <mergeCell ref="C235:C237"/>
    <mergeCell ref="C238:C240"/>
    <mergeCell ref="C241:C243"/>
    <mergeCell ref="C244:C246"/>
    <mergeCell ref="C247:C249"/>
    <mergeCell ref="C250:C252"/>
    <mergeCell ref="C253:C255"/>
    <mergeCell ref="C256:C258"/>
    <mergeCell ref="C205:C207"/>
    <mergeCell ref="C208:C210"/>
    <mergeCell ref="C211:C213"/>
    <mergeCell ref="C214:C216"/>
    <mergeCell ref="C217:C219"/>
    <mergeCell ref="C220:C222"/>
    <mergeCell ref="C223:C225"/>
    <mergeCell ref="C226:C228"/>
    <mergeCell ref="C229:C231"/>
    <mergeCell ref="C178:C180"/>
    <mergeCell ref="C181:C183"/>
    <mergeCell ref="C184:C186"/>
    <mergeCell ref="C187:C189"/>
    <mergeCell ref="C190:C192"/>
    <mergeCell ref="C193:C195"/>
    <mergeCell ref="C196:C198"/>
    <mergeCell ref="C199:C201"/>
    <mergeCell ref="C202:C204"/>
    <mergeCell ref="C151:C153"/>
    <mergeCell ref="C154:C156"/>
    <mergeCell ref="C157:C159"/>
    <mergeCell ref="C160:C162"/>
    <mergeCell ref="C163:C165"/>
    <mergeCell ref="C166:C168"/>
    <mergeCell ref="C169:C171"/>
    <mergeCell ref="C172:C174"/>
    <mergeCell ref="C175:C177"/>
    <mergeCell ref="C124:C126"/>
    <mergeCell ref="C127:C129"/>
    <mergeCell ref="C130:C132"/>
    <mergeCell ref="C133:C135"/>
    <mergeCell ref="C136:C138"/>
    <mergeCell ref="C139:C141"/>
    <mergeCell ref="C142:C144"/>
    <mergeCell ref="C145:C147"/>
    <mergeCell ref="C148:C150"/>
    <mergeCell ref="C97:C99"/>
    <mergeCell ref="C100:C102"/>
    <mergeCell ref="C103:C105"/>
    <mergeCell ref="C106:C108"/>
    <mergeCell ref="C109:C111"/>
    <mergeCell ref="C112:C114"/>
    <mergeCell ref="C115:C117"/>
    <mergeCell ref="C118:C120"/>
    <mergeCell ref="C121:C123"/>
    <mergeCell ref="C70:C72"/>
    <mergeCell ref="C73:C75"/>
    <mergeCell ref="C76:C78"/>
    <mergeCell ref="C79:C81"/>
    <mergeCell ref="C82:C84"/>
    <mergeCell ref="C85:C87"/>
    <mergeCell ref="C88:C90"/>
    <mergeCell ref="C91:C93"/>
    <mergeCell ref="C94:C96"/>
    <mergeCell ref="B172:B174"/>
    <mergeCell ref="B175:B177"/>
    <mergeCell ref="B178:B180"/>
    <mergeCell ref="C6:C7"/>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A277:A279"/>
    <mergeCell ref="A280:A282"/>
    <mergeCell ref="A283:A285"/>
    <mergeCell ref="A286:A288"/>
    <mergeCell ref="A289:A291"/>
    <mergeCell ref="A292:A294"/>
    <mergeCell ref="A295:A297"/>
    <mergeCell ref="A298:A300"/>
    <mergeCell ref="B6:B7"/>
    <mergeCell ref="B10:B12"/>
    <mergeCell ref="B16:B18"/>
    <mergeCell ref="B19:B21"/>
    <mergeCell ref="B22:B24"/>
    <mergeCell ref="B25:B27"/>
    <mergeCell ref="B31:B33"/>
    <mergeCell ref="B34:B36"/>
    <mergeCell ref="B37:B39"/>
    <mergeCell ref="B40:B42"/>
    <mergeCell ref="B43:B45"/>
    <mergeCell ref="B46:B48"/>
    <mergeCell ref="B49:B51"/>
    <mergeCell ref="B61:B63"/>
    <mergeCell ref="B91:B93"/>
    <mergeCell ref="B169:B171"/>
    <mergeCell ref="A250:A252"/>
    <mergeCell ref="A253:A255"/>
    <mergeCell ref="A256:A258"/>
    <mergeCell ref="A259:A261"/>
    <mergeCell ref="A262:A264"/>
    <mergeCell ref="A265:A267"/>
    <mergeCell ref="A268:A270"/>
    <mergeCell ref="A271:A273"/>
    <mergeCell ref="A274:A276"/>
    <mergeCell ref="A223:A225"/>
    <mergeCell ref="A226:A228"/>
    <mergeCell ref="A229:A231"/>
    <mergeCell ref="A232:A234"/>
    <mergeCell ref="A235:A237"/>
    <mergeCell ref="A238:A240"/>
    <mergeCell ref="A241:A243"/>
    <mergeCell ref="A244:A246"/>
    <mergeCell ref="A247:A249"/>
    <mergeCell ref="A196:A198"/>
    <mergeCell ref="A199:A201"/>
    <mergeCell ref="A202:A204"/>
    <mergeCell ref="A205:A207"/>
    <mergeCell ref="A208:A210"/>
    <mergeCell ref="A211:A213"/>
    <mergeCell ref="A214:A216"/>
    <mergeCell ref="A217:A219"/>
    <mergeCell ref="A220:A222"/>
    <mergeCell ref="A169:A171"/>
    <mergeCell ref="A172:A174"/>
    <mergeCell ref="A175:A177"/>
    <mergeCell ref="A178:A180"/>
    <mergeCell ref="A181:A183"/>
    <mergeCell ref="A184:A186"/>
    <mergeCell ref="A187:A189"/>
    <mergeCell ref="A190:A192"/>
    <mergeCell ref="A193:A195"/>
    <mergeCell ref="A142:A144"/>
    <mergeCell ref="A145:A147"/>
    <mergeCell ref="A148:A150"/>
    <mergeCell ref="A151:A153"/>
    <mergeCell ref="A154:A156"/>
    <mergeCell ref="A157:A159"/>
    <mergeCell ref="A160:A162"/>
    <mergeCell ref="A163:A165"/>
    <mergeCell ref="A166:A168"/>
    <mergeCell ref="A115:A117"/>
    <mergeCell ref="A118:A120"/>
    <mergeCell ref="A121:A123"/>
    <mergeCell ref="A124:A126"/>
    <mergeCell ref="A127:A129"/>
    <mergeCell ref="A130:A132"/>
    <mergeCell ref="A133:A135"/>
    <mergeCell ref="A136:A138"/>
    <mergeCell ref="A139:A141"/>
    <mergeCell ref="A88:A90"/>
    <mergeCell ref="A91:A93"/>
    <mergeCell ref="A94:A96"/>
    <mergeCell ref="A97:A99"/>
    <mergeCell ref="A100:A102"/>
    <mergeCell ref="A103:A105"/>
    <mergeCell ref="A106:A108"/>
    <mergeCell ref="A109:A111"/>
    <mergeCell ref="A112:A114"/>
    <mergeCell ref="A61:A63"/>
    <mergeCell ref="A64:A66"/>
    <mergeCell ref="A67:A69"/>
    <mergeCell ref="A70:A72"/>
    <mergeCell ref="A73:A75"/>
    <mergeCell ref="A76:A78"/>
    <mergeCell ref="A79:A81"/>
    <mergeCell ref="A82:A84"/>
    <mergeCell ref="A85:A87"/>
    <mergeCell ref="A34:A36"/>
    <mergeCell ref="A37:A39"/>
    <mergeCell ref="A40:A42"/>
    <mergeCell ref="A43:A45"/>
    <mergeCell ref="A46:A48"/>
    <mergeCell ref="A49:A51"/>
    <mergeCell ref="A52:A54"/>
    <mergeCell ref="A55:A57"/>
    <mergeCell ref="A58:A60"/>
    <mergeCell ref="A6:A7"/>
    <mergeCell ref="A10:A12"/>
    <mergeCell ref="A13:A15"/>
    <mergeCell ref="A16:A18"/>
    <mergeCell ref="A19:A21"/>
    <mergeCell ref="A22:A24"/>
    <mergeCell ref="A25:A27"/>
    <mergeCell ref="A28:A30"/>
    <mergeCell ref="A31:A33"/>
  </mergeCells>
  <conditionalFormatting sqref="R11 R14:S14 R17:S17 R23:S23 R26:S26 R29:S29 R32:S32 R35:S35 R38:S38 R41:S41 R44:S44 R47:S47 R50:S50 R53:S53 R56:S56 R59:S59 R62:S62 R65:S65 R68:S68 S71 S74 S77 S80 S83 S86 S89 S92 S95 S98 S101 S104 S107 S110 S113 S116 S119 S122 S125 S128 S131 S134 S137 S140 S143 S146 S149 S152 S155 S158 S161 S164 S167 S170 S173 S176 S179 S182 S185 S188 S191 S194 S197 S200 S203 S206 S209 S212 S215 S218 S221 S224 S227 S230 S233 S236 S239 S242 S245 S248 S251 S254 S257 S260 S263 S266 S269 S272 S275 S278 S281 S284 S287 S290 S293 S296 S299">
    <cfRule type="expression" dxfId="90" priority="2">
      <formula>IF(V11&gt;V10,V12="")</formula>
    </cfRule>
  </conditionalFormatting>
  <conditionalFormatting sqref="R20">
    <cfRule type="expression" dxfId="89" priority="1">
      <formula>IF(V20&gt;V19,V21="")</formula>
    </cfRule>
  </conditionalFormatting>
  <conditionalFormatting sqref="S11:U11 Y11:AB11 T14:U14 Y14:AB14 T17:U17 Y17:AB17 T20:U20 W20 Y20:AB20 T23:U23 Y23:AB23 T26:U26 Y26:AB26 T29:U29 Y29:AB29 T32:U32 Y32:AB32 T35:U35 W35 Y35:AB35 T38:U38 W38 Y38:AB38 T41:U41 W41 Y41:AB41 T44:U44 Y44:AB44 T47:U47 Y47:AB47 T50:U50 W50 Y50:AB50 T53:U53 Y53:AB53 T56:U56 Y56:AB56 T59:U59 Y59:AB59 T62:U62 W62 Y62:AB62 T65:U65 Y65:AB65 T68:U68 Y68:AB68 T71:U71 Y71:AB71 T74:U74 Y74:AB74 T77:U77 Y77:AB77 T80:U80 Y80:AB80 T83:U83 Y83:AB83 T86:U86 Y86:AB86 T89:U89 Y89:AB89 T92:U92 W92 Y92:AB92 T95:U95 Y95:AB95 T98:U98 Y98:AB98 T101:U101 Y101:AB101 T104:U104 Y104:AB104 T107:U107 Y107:AB107 T110:U110 Y110:AB110 T113:U113 Y113:AB113 T116:U116 Y116:AB116 T119:U119 Y119:AB119 T122:U122 Y122:AB122 T125:U125 Y125:AB125 T128:U128 Y128:AB128 T131:U131 Y131:AB131 T134:U134 Y134:AB134 T137:U137 Y137:AB137 T140:U140 Y140:AB140 T143:U143 Y143:AB143 T146:U146 Y146:AB146 T149:U149 Y149:AB149 T152:U152 Y152:AB152 T155:U155 Y155:AB155 T158:U158 Y158:AB158 T161:U161 Y161:AB161 T164:U164 Y164:AB164 T167:U167 Y167:AB167 T170:U170 W170 Y170:AB170 T173:U173 W173 Y173:AB173 T176:U176 W176 Y176:AB176 T179:U179 Y179:AB179 T182:U182 Y182:AB182 T185:U185 Y185:AB185 T188:U188 Y188:AB188 T191:U191 Y191:AB191 T194:U194 Y194:AB194 T197:U197 Y197:AB197 T200:U200 Y200:AB200 T203:U203 Y203:AB203 T206:U206 Y206:AB206 T209:U209 Y209:AB209 T212:U212 Y212:AB212 T215:U215 Y215:AB215 T218:U218 Y218:AB218 T221:U221 Y221:AB221 T224:U224 Y224:AB224 T227:U227 Y227:AB227 T230:U230 Y230:AB230 T233:U233 Y233:AB233 T236:U236 Y236:AB236 T239:U239 Y239:AB239 T242:U242 Y242:AB242 T245:U245 Y245:AB245 T248:U248 Y248:AB248 T251:U251 Y251:AB251 T254:U254 Y254:AB254 T257:U257 Y257:AB257 T260:U260 Y260:AB260 T263:U263 Y263:AB263 T266:U266 Y266:AB266 T269:U269 Y269:AB269 T272:U272 Y272:AB272 T275:U275 Y275:AB275 T278:U278 Y278:AB278 T281:U281 Y281:AB281 T284:U284 Y284:AB284 T287:U287 Y287:AB287 T290:U290 Y290:AB290 T293:U293 Y293:AB293 T296:U296 Y296:AB296 T299:U299 Y299:AB299">
    <cfRule type="expression" dxfId="88" priority="9">
      <formula>IF(#REF!&gt;#REF!,#REF!="")</formula>
    </cfRule>
  </conditionalFormatting>
  <conditionalFormatting sqref="S30:AB30 R33:AB33 R36:AB36 R39:AB39 R42:AB42 S45:AB45 S48:AB48 R51:AB51 S54:AB54 S57:AB57 S60:AB60 R63:AB63 S66:AB66 S69:AB69 S72:AB72 S75:AB75 S78:AB78 S81:AB81 S84:AB84 S87:AB87 S90:AB90 S93:AB93 S96:AB96 S99:AB99 S102:AB102 S105:AB105 S108:AB108 S111:AB111 S114:AB114 S117:AB117 S120:AB120 S123:AB123 S126:AB126 S129:AB129 S132:AB132 S135:AB135 S138:AB138 S141:AB141 S144:AB144 S147:AB147 S150:AB150 S153:AB153 S156:AB156 S159:AB159 S162:AB162 S165:AB165 S168:AB168 S171:AB171 S174:AB174 S177:AB177 S180:AB180 S183:AB183 S186:AB186 S189:AB189 S192:AB192 S195:AB195 S198:AB198 S201:AB201 S204:AB204 S207:AB207 S210:AB210 S213:AB213 S216:AB216 S219:AB219 S222:AB222 S225:AB225 S228:AB228 S231:AB231 S234:AB234 S237:AB237 S240:AB240 S243:AB243 S246:AB246 S249:AB249 S252:AB252 S255:AB255 S258:AB258 S261:AB261 S264:AB264 S267:AB267 S270:AB270 S273:AB273 S276:AB276 S279:AB279 S282:AB282 S285:AB285 S288:AB288 S291:AB291 S294:AB294 S297:AB297 S300:AB300">
    <cfRule type="expression" dxfId="87" priority="6" stopIfTrue="1">
      <formula>(R29&lt;&gt;"")*(R30="")*(R29&lt;TODAY())</formula>
    </cfRule>
    <cfRule type="expression" dxfId="86" priority="7" stopIfTrue="1">
      <formula>(R29&lt;&gt;"")*(R30="")*(R29&gt;=TODAY())*(R29&lt;=TODAY()+14)</formula>
    </cfRule>
    <cfRule type="expression" dxfId="85" priority="8">
      <formula>(R30&lt;&gt;"")*(R30&lt;=TODAY())</formula>
    </cfRule>
  </conditionalFormatting>
  <conditionalFormatting sqref="V11:W11 V14:W14 V17:W17 V20 V23 V26:W26 V29:W29 V32 V35 V38 V41 V44:W44 V47:W47 V50 V53:W53 V56:W56 V59:W59 V62 V65:W65 V68:W68 V71:W71 V74:W74 V77:W77 V80:W80 V83:W83 V86:W86 V89:W89 V92 V95:W95 V98:W98 V101:W101 V104:W104 V107:W107 V110:W110 V113:W113 V116:W116 V119:W119 V122:W122 V125:W125 V128:W128 V131:W131 V134:W134 V137:W137 V140:W140 V143:W143 V146:W146 V149:W149 V152:W152 V155:W155 V158:W158 V161:W161 V164:W164 V167:W167 V170 V173 V176 V179:W179 V182:W182 V185:W185 V188:W188 V191:W191 V194:W194 V197:W197 V200:W200 V203:W203 V206:W206 V209:W209 V212:W212 V215:W215 V218:W218 V221:W221 V224:W224 V227:W227 V230:W230 V233:W233 V236:W236 V239:W239 V242:W242 V245:W245 V248:W248 V251:W251 V254:W254 V257:W257 V260:W260 V263:W263 V266:W266 V269:W269 V272:W272 V275:W275 V278:W278 V281:W281 V284:W284 V287:W287 V290:W290 V293:W293 V296:W296 V299:W299">
    <cfRule type="expression" dxfId="84" priority="10">
      <formula>IF(X11&gt;X10,X12="")</formula>
    </cfRule>
  </conditionalFormatting>
  <conditionalFormatting sqref="X11 X14 X17 U20 X20 X23 X26 X29 X32 X35 X38 X41 X44 X47 X50 X53 X56 X59 X62 X65 X68 X71 X74 X77 X80 X83 X86 X89 X92 X95 X98 X101 X104 X107 X110 X113 X116 X119 X122 X125 X128 X131 X134 X137 X140 X143 X146 X149 X152 X155 X158 X161 X164 X167 X170 X173 X176 X179 X182 X185 X188 X191 X194 X197 X200 X203 X206 X209 X212 X215 X218 X221 X224 X227 X230 X233 X236 X239 X242 X245 X248 X251 X254 X257 X260 X263 X266 X269 X272 X275 X278 X281 X284 X287 X290 X293 X296 X299">
    <cfRule type="expression" dxfId="83" priority="3">
      <formula>IF(X11&gt;X10,X12="")</formula>
    </cfRule>
  </conditionalFormatting>
  <conditionalFormatting sqref="AJ10 AJ13 AJ16 AJ19 AJ22 AJ25 AJ28 AJ31 AJ34 AJ37 AJ40 AJ43 AJ46 AJ49 AJ52 AJ55 AJ58 AJ61 AJ64 AJ67 AJ70 AJ73 AJ76 AJ79 AJ82 AJ85 AJ88 AJ91 AJ94 AJ97 AJ100 AJ103 AJ106 AJ109 AJ112 AJ115 AJ118 AJ121 AJ124 AJ127 AJ130 AJ133 AJ136 AJ139 AJ142 AJ145 AJ148 AJ151 AJ154 AJ157 AJ160 AJ163 AJ166 AJ169 AJ172 AJ175 AJ178 AJ181 AJ184 AJ187 AJ190 AJ193 AJ196 AJ199 AJ202 AJ205 AJ208 AJ211 AJ214 AJ217 AJ220 AJ223 AJ226 AJ229 AJ232 AJ235 AJ238 AJ241 AJ244 AJ247 AJ250 AJ253 AJ256 AJ259 AJ262 AJ265 AJ268 AJ271 AJ274 AJ277 AJ280 AJ283 AJ286 AJ289 AJ292 AJ295 AJ298">
    <cfRule type="cellIs" dxfId="82" priority="4" operator="lessThan">
      <formula>45</formula>
    </cfRule>
    <cfRule type="cellIs" dxfId="81" priority="5" operator="lessThan">
      <formula>0</formula>
    </cfRule>
  </conditionalFormatting>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3"/>
  <sheetViews>
    <sheetView view="pageBreakPreview" topLeftCell="A11" zoomScale="130" zoomScaleNormal="190" workbookViewId="0">
      <selection activeCell="A20" sqref="A20:A21"/>
    </sheetView>
  </sheetViews>
  <sheetFormatPr defaultColWidth="6.796875" defaultRowHeight="13.2"/>
  <cols>
    <col min="1" max="1" width="18.09765625" style="11" customWidth="1"/>
    <col min="2" max="2" width="61.296875" style="1" customWidth="1"/>
    <col min="3" max="3" width="23.296875" style="4" customWidth="1"/>
    <col min="4" max="16384" width="6.796875" style="4"/>
  </cols>
  <sheetData>
    <row r="1" spans="1:9" s="1" customFormat="1" ht="21.6" customHeight="1">
      <c r="A1" s="12" t="s">
        <v>4940</v>
      </c>
      <c r="B1" s="13" t="s">
        <v>4941</v>
      </c>
      <c r="C1" s="6"/>
    </row>
    <row r="2" spans="1:9" s="2" customFormat="1" ht="15" customHeight="1">
      <c r="A2" s="14">
        <v>45996</v>
      </c>
      <c r="B2" s="15" t="s">
        <v>4942</v>
      </c>
      <c r="C2" s="16"/>
      <c r="D2" s="9"/>
      <c r="E2" s="9"/>
      <c r="F2" s="9"/>
      <c r="G2" s="9"/>
      <c r="H2" s="9"/>
      <c r="I2" s="9"/>
    </row>
    <row r="3" spans="1:9" s="2" customFormat="1" ht="15" customHeight="1">
      <c r="A3" s="14">
        <v>46001</v>
      </c>
      <c r="B3" s="15" t="s">
        <v>4943</v>
      </c>
      <c r="C3" s="16"/>
      <c r="D3" s="9"/>
      <c r="E3" s="9"/>
      <c r="F3" s="9"/>
      <c r="G3" s="9"/>
      <c r="H3" s="9"/>
      <c r="I3" s="9"/>
    </row>
    <row r="4" spans="1:9" s="2" customFormat="1" ht="15" customHeight="1">
      <c r="A4" s="14">
        <v>46020</v>
      </c>
      <c r="B4" s="15" t="s">
        <v>4944</v>
      </c>
      <c r="C4" s="16"/>
      <c r="D4" s="9"/>
      <c r="E4" s="9"/>
      <c r="F4" s="9"/>
      <c r="G4" s="9"/>
      <c r="H4" s="9"/>
      <c r="I4" s="9"/>
    </row>
    <row r="5" spans="1:9" s="2" customFormat="1" ht="15" customHeight="1">
      <c r="A5" s="14">
        <v>46021</v>
      </c>
      <c r="B5" s="15" t="s">
        <v>4944</v>
      </c>
      <c r="C5" s="16"/>
      <c r="D5" s="9"/>
      <c r="E5" s="9"/>
      <c r="F5" s="9"/>
      <c r="G5" s="9"/>
      <c r="H5" s="9"/>
      <c r="I5" s="9"/>
    </row>
    <row r="6" spans="1:9" s="2" customFormat="1" ht="15" customHeight="1">
      <c r="A6" s="14">
        <v>46022</v>
      </c>
      <c r="B6" s="15" t="s">
        <v>4944</v>
      </c>
      <c r="C6" s="16"/>
      <c r="D6" s="9"/>
      <c r="E6" s="9"/>
      <c r="F6" s="9"/>
      <c r="G6" s="9"/>
      <c r="H6" s="9"/>
      <c r="I6" s="9"/>
    </row>
    <row r="7" spans="1:9" s="2" customFormat="1" ht="15" customHeight="1">
      <c r="A7" s="14">
        <v>46023</v>
      </c>
      <c r="B7" s="15" t="s">
        <v>4944</v>
      </c>
      <c r="C7" s="16"/>
      <c r="D7" s="9"/>
      <c r="E7" s="9"/>
      <c r="F7" s="9"/>
      <c r="G7" s="9"/>
      <c r="H7" s="9"/>
      <c r="I7" s="9"/>
    </row>
    <row r="8" spans="1:9" s="2" customFormat="1" ht="15" customHeight="1">
      <c r="A8" s="14">
        <v>46024</v>
      </c>
      <c r="B8" s="15" t="s">
        <v>4944</v>
      </c>
      <c r="C8" s="16"/>
      <c r="D8" s="9"/>
      <c r="E8" s="9"/>
      <c r="F8" s="9"/>
      <c r="G8" s="9"/>
      <c r="H8" s="9"/>
      <c r="I8" s="9"/>
    </row>
    <row r="9" spans="1:9" s="2" customFormat="1" ht="15" customHeight="1">
      <c r="A9" s="14">
        <v>46065</v>
      </c>
      <c r="B9" s="15" t="s">
        <v>4945</v>
      </c>
      <c r="C9" s="16"/>
      <c r="D9" s="9"/>
      <c r="E9" s="9"/>
      <c r="F9" s="9"/>
      <c r="G9" s="9"/>
      <c r="H9" s="9"/>
      <c r="I9" s="9"/>
    </row>
    <row r="10" spans="1:9" s="2" customFormat="1" ht="15" customHeight="1">
      <c r="A10" s="14">
        <v>46118</v>
      </c>
      <c r="B10" s="15" t="s">
        <v>4946</v>
      </c>
      <c r="C10" s="16"/>
      <c r="D10" s="9"/>
      <c r="E10" s="9"/>
      <c r="F10" s="9"/>
      <c r="G10" s="9"/>
      <c r="H10" s="9"/>
      <c r="I10" s="9"/>
    </row>
    <row r="11" spans="1:9" s="2" customFormat="1" ht="15" customHeight="1">
      <c r="A11" s="14">
        <v>46125</v>
      </c>
      <c r="B11" s="15" t="s">
        <v>4947</v>
      </c>
      <c r="C11" s="16"/>
      <c r="D11" s="9"/>
      <c r="E11" s="9"/>
      <c r="F11" s="9"/>
      <c r="G11" s="9"/>
      <c r="H11" s="9"/>
      <c r="I11" s="9"/>
    </row>
    <row r="12" spans="1:9" s="2" customFormat="1" ht="15" customHeight="1">
      <c r="A12" s="14">
        <v>46126</v>
      </c>
      <c r="B12" s="15" t="s">
        <v>4947</v>
      </c>
      <c r="C12" s="16"/>
      <c r="D12" s="9"/>
      <c r="E12" s="9"/>
      <c r="F12" s="9"/>
      <c r="G12" s="9"/>
      <c r="H12" s="9"/>
      <c r="I12" s="9"/>
    </row>
    <row r="13" spans="1:9" s="2" customFormat="1" ht="15" customHeight="1">
      <c r="A13" s="14">
        <v>46127</v>
      </c>
      <c r="B13" s="15" t="s">
        <v>4947</v>
      </c>
      <c r="C13" s="16"/>
      <c r="D13" s="9"/>
      <c r="E13" s="9"/>
      <c r="F13" s="9"/>
      <c r="G13" s="9"/>
      <c r="H13" s="9"/>
      <c r="I13" s="9"/>
    </row>
    <row r="14" spans="1:9" s="2" customFormat="1" ht="15" customHeight="1">
      <c r="A14" s="14">
        <v>46128</v>
      </c>
      <c r="B14" s="15" t="s">
        <v>4947</v>
      </c>
      <c r="C14" s="16"/>
      <c r="D14" s="9"/>
      <c r="E14" s="9"/>
      <c r="F14" s="9"/>
      <c r="G14" s="9"/>
      <c r="H14" s="9"/>
      <c r="I14" s="9"/>
    </row>
    <row r="15" spans="1:9" s="2" customFormat="1" ht="15" customHeight="1">
      <c r="A15" s="14">
        <v>46129</v>
      </c>
      <c r="B15" s="15" t="s">
        <v>4947</v>
      </c>
      <c r="C15" s="16"/>
      <c r="D15" s="9"/>
      <c r="E15" s="9"/>
      <c r="F15" s="9"/>
      <c r="G15" s="9"/>
      <c r="H15" s="9"/>
      <c r="I15" s="9"/>
    </row>
    <row r="16" spans="1:9" s="2" customFormat="1" ht="15" customHeight="1">
      <c r="A16" s="14">
        <v>46143</v>
      </c>
      <c r="B16" s="15" t="s">
        <v>4948</v>
      </c>
      <c r="C16" s="16"/>
      <c r="D16" s="9"/>
      <c r="E16" s="9"/>
      <c r="F16" s="9"/>
      <c r="G16" s="9"/>
      <c r="H16" s="9"/>
      <c r="I16" s="9"/>
    </row>
    <row r="17" spans="1:9" s="2" customFormat="1" ht="15" customHeight="1">
      <c r="A17" s="14">
        <v>46146</v>
      </c>
      <c r="B17" s="15" t="s">
        <v>4949</v>
      </c>
      <c r="C17" s="16"/>
      <c r="D17" s="9"/>
      <c r="E17" s="9"/>
      <c r="F17" s="9"/>
      <c r="G17" s="9"/>
      <c r="H17" s="9"/>
      <c r="I17" s="9"/>
    </row>
    <row r="18" spans="1:9" s="2" customFormat="1" ht="15" customHeight="1">
      <c r="A18" s="14">
        <v>46174</v>
      </c>
      <c r="B18" s="15"/>
      <c r="C18" s="16"/>
      <c r="D18" s="9"/>
      <c r="E18" s="9"/>
      <c r="F18" s="9"/>
      <c r="G18" s="9"/>
      <c r="H18" s="9"/>
      <c r="I18" s="9"/>
    </row>
    <row r="19" spans="1:9" s="2" customFormat="1" ht="15" customHeight="1">
      <c r="A19" s="14">
        <v>46176</v>
      </c>
      <c r="B19" s="15"/>
      <c r="C19" s="16"/>
      <c r="D19" s="9"/>
      <c r="E19" s="9"/>
      <c r="F19" s="9"/>
      <c r="G19" s="9"/>
      <c r="H19" s="9"/>
      <c r="I19" s="9"/>
    </row>
    <row r="20" spans="1:9" s="2" customFormat="1" ht="15" customHeight="1">
      <c r="A20" s="14">
        <v>46231</v>
      </c>
      <c r="B20" s="15"/>
      <c r="C20" s="16"/>
      <c r="D20" s="9"/>
      <c r="E20" s="9"/>
      <c r="F20" s="9"/>
      <c r="G20" s="9"/>
      <c r="H20" s="9"/>
      <c r="I20" s="9"/>
    </row>
    <row r="21" spans="1:9" s="2" customFormat="1" ht="15" customHeight="1">
      <c r="A21" s="14">
        <v>46232</v>
      </c>
      <c r="B21" s="15"/>
      <c r="C21" s="16"/>
      <c r="D21" s="9"/>
      <c r="E21" s="9"/>
      <c r="F21" s="9"/>
      <c r="G21" s="9"/>
      <c r="H21" s="9"/>
      <c r="I21" s="9"/>
    </row>
    <row r="22" spans="1:9" s="2" customFormat="1" ht="15" customHeight="1">
      <c r="A22" s="14">
        <v>46246</v>
      </c>
      <c r="B22" s="15" t="s">
        <v>4950</v>
      </c>
      <c r="C22" s="16"/>
      <c r="D22" s="9"/>
      <c r="E22" s="9"/>
      <c r="F22" s="9"/>
      <c r="G22" s="9"/>
      <c r="H22" s="9"/>
      <c r="I22" s="9"/>
    </row>
    <row r="23" spans="1:9" s="2" customFormat="1" ht="15" customHeight="1">
      <c r="A23" s="14">
        <v>46308</v>
      </c>
      <c r="B23" s="15" t="s">
        <v>4951</v>
      </c>
      <c r="C23" s="16"/>
      <c r="D23" s="9"/>
      <c r="E23" s="9"/>
      <c r="F23" s="9"/>
      <c r="G23" s="9"/>
      <c r="H23" s="9"/>
      <c r="I23" s="9"/>
    </row>
    <row r="24" spans="1:9" s="2" customFormat="1" ht="15" customHeight="1">
      <c r="A24" s="14">
        <v>46318</v>
      </c>
      <c r="B24" s="15" t="s">
        <v>4952</v>
      </c>
      <c r="C24" s="16"/>
      <c r="D24" s="9"/>
      <c r="E24" s="9"/>
      <c r="F24" s="9"/>
      <c r="G24" s="9"/>
      <c r="H24" s="9"/>
      <c r="I24" s="9"/>
    </row>
    <row r="25" spans="1:9" s="2" customFormat="1" ht="15" customHeight="1">
      <c r="A25" s="14">
        <v>46363</v>
      </c>
      <c r="B25" s="15" t="s">
        <v>4942</v>
      </c>
      <c r="C25" s="16"/>
      <c r="D25" s="9"/>
      <c r="E25" s="9"/>
      <c r="F25" s="9"/>
      <c r="G25" s="9"/>
      <c r="H25" s="9"/>
      <c r="I25" s="9"/>
    </row>
    <row r="26" spans="1:9" s="2" customFormat="1" ht="15" customHeight="1">
      <c r="A26" s="14">
        <v>46387</v>
      </c>
      <c r="B26" s="15" t="s">
        <v>4944</v>
      </c>
      <c r="C26" s="16"/>
      <c r="D26" s="9"/>
      <c r="E26" s="9"/>
      <c r="F26" s="9"/>
      <c r="G26" s="9"/>
      <c r="H26" s="9"/>
      <c r="I26" s="9"/>
    </row>
    <row r="27" spans="1:9" s="2" customFormat="1" ht="15" customHeight="1">
      <c r="A27" s="14">
        <v>46388</v>
      </c>
      <c r="B27" s="15" t="s">
        <v>4944</v>
      </c>
      <c r="C27" s="16"/>
      <c r="D27" s="9"/>
      <c r="E27" s="9"/>
      <c r="F27" s="9"/>
      <c r="G27" s="9"/>
      <c r="H27" s="9"/>
      <c r="I27" s="9"/>
    </row>
    <row r="28" spans="1:9" s="2" customFormat="1" ht="15" customHeight="1">
      <c r="A28" s="14">
        <v>46389</v>
      </c>
      <c r="B28" s="15"/>
      <c r="C28" s="16"/>
      <c r="D28" s="9"/>
      <c r="E28" s="9"/>
      <c r="F28" s="9"/>
      <c r="G28" s="9"/>
      <c r="H28" s="9"/>
      <c r="I28" s="9"/>
    </row>
    <row r="29" spans="1:9" s="2" customFormat="1" ht="15" customHeight="1">
      <c r="A29" s="14">
        <v>46439</v>
      </c>
      <c r="B29" s="15" t="s">
        <v>4945</v>
      </c>
      <c r="C29" s="16" t="s">
        <v>4953</v>
      </c>
      <c r="D29" s="9"/>
      <c r="E29" s="9"/>
      <c r="F29" s="9"/>
      <c r="G29" s="9"/>
      <c r="H29" s="9"/>
      <c r="I29" s="9"/>
    </row>
    <row r="30" spans="1:9" s="2" customFormat="1" ht="15" customHeight="1">
      <c r="A30" s="14">
        <v>46440</v>
      </c>
      <c r="B30" s="15"/>
      <c r="C30" s="16"/>
      <c r="D30" s="9"/>
      <c r="E30" s="9"/>
      <c r="F30" s="9"/>
      <c r="G30" s="9"/>
      <c r="H30" s="9"/>
      <c r="I30" s="9"/>
    </row>
    <row r="31" spans="1:9" s="2" customFormat="1" ht="15" customHeight="1">
      <c r="A31" s="14">
        <v>46483</v>
      </c>
      <c r="B31" s="15" t="s">
        <v>4946</v>
      </c>
      <c r="C31" s="16"/>
      <c r="D31" s="9"/>
      <c r="E31" s="9"/>
      <c r="F31" s="9"/>
      <c r="G31" s="9"/>
      <c r="H31" s="9"/>
      <c r="I31" s="9"/>
    </row>
    <row r="32" spans="1:9" s="2" customFormat="1" ht="15" customHeight="1">
      <c r="A32" s="14">
        <v>46490</v>
      </c>
      <c r="B32" s="15" t="s">
        <v>4947</v>
      </c>
      <c r="C32" s="16"/>
      <c r="D32" s="9"/>
      <c r="E32" s="9"/>
      <c r="F32" s="9"/>
      <c r="G32" s="9"/>
      <c r="H32" s="9"/>
      <c r="I32" s="9"/>
    </row>
    <row r="33" spans="1:9" s="2" customFormat="1" ht="15" customHeight="1">
      <c r="A33" s="14">
        <v>46491</v>
      </c>
      <c r="B33" s="15" t="s">
        <v>4947</v>
      </c>
      <c r="C33" s="16"/>
      <c r="D33" s="9"/>
      <c r="E33" s="9"/>
      <c r="F33" s="9"/>
      <c r="G33" s="9"/>
      <c r="H33" s="9"/>
      <c r="I33" s="9"/>
    </row>
    <row r="34" spans="1:9" s="2" customFormat="1" ht="15" customHeight="1">
      <c r="A34" s="14">
        <v>46492</v>
      </c>
      <c r="B34" s="15" t="s">
        <v>4947</v>
      </c>
      <c r="C34" s="16"/>
      <c r="D34" s="9"/>
      <c r="E34" s="9"/>
      <c r="F34" s="9"/>
      <c r="G34" s="9"/>
      <c r="H34" s="9"/>
      <c r="I34" s="9"/>
    </row>
    <row r="35" spans="1:9" s="2" customFormat="1" ht="15" customHeight="1">
      <c r="A35" s="14">
        <v>46508</v>
      </c>
      <c r="B35" s="15" t="s">
        <v>4948</v>
      </c>
      <c r="C35" s="16"/>
      <c r="D35" s="9"/>
      <c r="E35" s="9"/>
      <c r="F35" s="9"/>
      <c r="G35" s="9"/>
      <c r="H35" s="9"/>
      <c r="I35" s="9"/>
    </row>
    <row r="36" spans="1:9" s="2" customFormat="1" ht="15" customHeight="1">
      <c r="A36" s="14">
        <v>46511</v>
      </c>
      <c r="B36" s="15" t="s">
        <v>4949</v>
      </c>
      <c r="C36" s="16"/>
      <c r="D36" s="9"/>
      <c r="E36" s="9"/>
      <c r="F36" s="9"/>
      <c r="G36" s="9"/>
      <c r="H36" s="9"/>
      <c r="I36" s="9"/>
    </row>
    <row r="37" spans="1:9" s="2" customFormat="1" ht="15" customHeight="1">
      <c r="A37" s="14">
        <v>46527</v>
      </c>
      <c r="B37" s="15" t="s">
        <v>4954</v>
      </c>
      <c r="C37" s="16" t="s">
        <v>4953</v>
      </c>
      <c r="D37" s="9"/>
      <c r="E37" s="9"/>
      <c r="F37" s="9"/>
      <c r="G37" s="9"/>
      <c r="H37" s="9"/>
      <c r="I37" s="9"/>
    </row>
    <row r="38" spans="1:9" s="2" customFormat="1" ht="15" customHeight="1">
      <c r="A38" s="14">
        <v>46541</v>
      </c>
      <c r="B38" s="15" t="s">
        <v>4955</v>
      </c>
      <c r="C38" s="16"/>
      <c r="D38" s="9"/>
      <c r="E38" s="9"/>
      <c r="F38" s="9"/>
      <c r="G38" s="9"/>
      <c r="H38" s="9"/>
      <c r="I38" s="9"/>
    </row>
    <row r="39" spans="1:9" s="2" customFormat="1" ht="15" customHeight="1">
      <c r="A39" s="14">
        <v>46611</v>
      </c>
      <c r="B39" s="15" t="s">
        <v>4956</v>
      </c>
      <c r="C39" s="16"/>
      <c r="D39" s="9"/>
      <c r="E39" s="9"/>
      <c r="F39" s="9"/>
      <c r="G39" s="9"/>
      <c r="H39" s="9"/>
      <c r="I39" s="9"/>
    </row>
    <row r="40" spans="1:9" s="2" customFormat="1" ht="15" customHeight="1">
      <c r="A40" s="14">
        <v>46673</v>
      </c>
      <c r="B40" s="15" t="s">
        <v>4957</v>
      </c>
      <c r="C40" s="16"/>
      <c r="D40" s="9"/>
      <c r="E40" s="9"/>
      <c r="F40" s="9"/>
      <c r="G40" s="9"/>
      <c r="H40" s="9"/>
      <c r="I40" s="9"/>
    </row>
    <row r="41" spans="1:9" s="2" customFormat="1" ht="15" customHeight="1">
      <c r="A41" s="14">
        <v>46683</v>
      </c>
      <c r="B41" s="15" t="s">
        <v>4958</v>
      </c>
      <c r="C41" s="16"/>
      <c r="D41" s="9"/>
      <c r="E41" s="9"/>
      <c r="F41" s="9"/>
      <c r="G41" s="9"/>
      <c r="H41" s="9"/>
      <c r="I41" s="9"/>
    </row>
    <row r="42" spans="1:9" s="2" customFormat="1" ht="15" customHeight="1">
      <c r="A42" s="14">
        <v>46685</v>
      </c>
      <c r="B42" s="15"/>
      <c r="C42" s="16"/>
      <c r="D42" s="9"/>
      <c r="E42" s="9"/>
      <c r="F42" s="9"/>
      <c r="G42" s="9"/>
      <c r="H42" s="9"/>
      <c r="I42" s="9"/>
    </row>
    <row r="43" spans="1:9" s="2" customFormat="1" ht="15" customHeight="1">
      <c r="A43" s="14">
        <v>46726</v>
      </c>
      <c r="B43" s="15" t="s">
        <v>4959</v>
      </c>
      <c r="C43" s="16"/>
      <c r="D43" s="9"/>
      <c r="E43" s="9"/>
      <c r="F43" s="9"/>
      <c r="G43" s="9"/>
      <c r="H43" s="9"/>
      <c r="I43" s="9"/>
    </row>
    <row r="44" spans="1:9" s="2" customFormat="1" ht="15" customHeight="1">
      <c r="A44" s="14">
        <v>46727</v>
      </c>
      <c r="B44" s="15"/>
      <c r="C44" s="16"/>
      <c r="D44" s="9"/>
      <c r="E44" s="9"/>
      <c r="F44" s="9"/>
      <c r="G44" s="9"/>
      <c r="H44" s="9"/>
      <c r="I44" s="9"/>
    </row>
    <row r="45" spans="1:9" s="2" customFormat="1" ht="15" customHeight="1">
      <c r="A45" s="14">
        <v>46731</v>
      </c>
      <c r="B45" s="15" t="s">
        <v>4960</v>
      </c>
      <c r="C45" s="16"/>
      <c r="D45" s="9"/>
      <c r="E45" s="9"/>
      <c r="F45" s="9"/>
      <c r="G45" s="9"/>
      <c r="H45" s="9"/>
      <c r="I45" s="9"/>
    </row>
    <row r="46" spans="1:9" s="2" customFormat="1" ht="15" customHeight="1">
      <c r="A46" s="14">
        <v>46752</v>
      </c>
      <c r="B46" s="15" t="s">
        <v>4961</v>
      </c>
      <c r="C46" s="16"/>
      <c r="D46" s="9"/>
      <c r="E46" s="9"/>
      <c r="F46" s="9"/>
      <c r="G46" s="9"/>
      <c r="H46" s="9"/>
      <c r="I46" s="9"/>
    </row>
    <row r="47" spans="1:9" s="2" customFormat="1" ht="15" customHeight="1">
      <c r="A47" s="14">
        <v>46753</v>
      </c>
      <c r="B47" s="15" t="s">
        <v>4962</v>
      </c>
      <c r="C47" s="16"/>
      <c r="D47" s="9"/>
      <c r="E47" s="9"/>
      <c r="F47" s="9"/>
      <c r="G47" s="9"/>
      <c r="H47" s="9"/>
      <c r="I47" s="9"/>
    </row>
    <row r="48" spans="1:9" s="2" customFormat="1" ht="15" customHeight="1">
      <c r="A48" s="14">
        <v>46791</v>
      </c>
      <c r="B48" s="15" t="s">
        <v>4963</v>
      </c>
      <c r="C48" s="16" t="s">
        <v>4953</v>
      </c>
      <c r="D48" s="9"/>
      <c r="E48" s="9"/>
      <c r="F48" s="9"/>
      <c r="G48" s="9"/>
      <c r="H48" s="9"/>
      <c r="I48" s="9"/>
    </row>
    <row r="49" spans="1:9" s="2" customFormat="1" ht="15" customHeight="1">
      <c r="A49" s="14">
        <v>46849</v>
      </c>
      <c r="B49" s="15" t="s">
        <v>4964</v>
      </c>
      <c r="C49" s="16"/>
      <c r="D49" s="9"/>
      <c r="E49" s="9"/>
      <c r="F49" s="9"/>
      <c r="G49" s="9"/>
      <c r="H49" s="9"/>
      <c r="I49" s="9"/>
    </row>
    <row r="50" spans="1:9" s="2" customFormat="1" ht="15" customHeight="1">
      <c r="A50" s="14">
        <v>46856</v>
      </c>
      <c r="B50" s="15" t="s">
        <v>4965</v>
      </c>
      <c r="C50" s="16"/>
      <c r="D50" s="9"/>
      <c r="E50" s="9"/>
      <c r="F50" s="9"/>
      <c r="G50" s="9"/>
      <c r="H50" s="9"/>
      <c r="I50" s="9"/>
    </row>
    <row r="51" spans="1:9" s="2" customFormat="1" ht="15" customHeight="1">
      <c r="A51" s="14">
        <v>46857</v>
      </c>
      <c r="B51" s="15" t="s">
        <v>4965</v>
      </c>
      <c r="C51" s="16"/>
      <c r="D51" s="9"/>
      <c r="E51" s="9"/>
      <c r="F51" s="9"/>
      <c r="G51" s="9"/>
      <c r="H51" s="9"/>
      <c r="I51" s="9"/>
    </row>
    <row r="52" spans="1:9" s="2" customFormat="1" ht="15" customHeight="1">
      <c r="A52" s="14">
        <v>46858</v>
      </c>
      <c r="B52" s="15" t="s">
        <v>4965</v>
      </c>
      <c r="C52" s="16"/>
      <c r="D52" s="9"/>
      <c r="E52" s="9"/>
      <c r="F52" s="9"/>
      <c r="G52" s="9"/>
      <c r="H52" s="9"/>
      <c r="I52" s="9"/>
    </row>
    <row r="53" spans="1:9" s="2" customFormat="1" ht="15" customHeight="1">
      <c r="A53" s="14">
        <v>46874</v>
      </c>
      <c r="B53" s="15" t="s">
        <v>4966</v>
      </c>
      <c r="C53" s="16"/>
      <c r="D53" s="9"/>
      <c r="E53" s="9"/>
      <c r="F53" s="9"/>
      <c r="G53" s="9"/>
      <c r="H53" s="9"/>
      <c r="I53" s="9"/>
    </row>
    <row r="54" spans="1:9" s="2" customFormat="1" ht="15" customHeight="1">
      <c r="A54" s="14">
        <v>46878</v>
      </c>
      <c r="B54" s="15" t="s">
        <v>4967</v>
      </c>
      <c r="C54" s="16"/>
      <c r="D54" s="9"/>
      <c r="E54" s="9"/>
      <c r="F54" s="9"/>
      <c r="G54" s="9"/>
      <c r="H54" s="9"/>
      <c r="I54" s="9"/>
    </row>
    <row r="55" spans="1:9" s="2" customFormat="1" ht="15" customHeight="1">
      <c r="A55" s="14">
        <v>46912</v>
      </c>
      <c r="B55" s="15" t="s">
        <v>4968</v>
      </c>
      <c r="C55" s="16" t="s">
        <v>4953</v>
      </c>
      <c r="D55" s="9"/>
      <c r="E55" s="9"/>
      <c r="F55" s="9"/>
      <c r="G55" s="9"/>
      <c r="H55" s="9"/>
      <c r="I55" s="9"/>
    </row>
    <row r="56" spans="1:9" s="2" customFormat="1" ht="15" customHeight="1">
      <c r="A56" s="14">
        <v>46907</v>
      </c>
      <c r="B56" s="15" t="s">
        <v>4969</v>
      </c>
      <c r="C56" s="16"/>
      <c r="D56" s="9"/>
      <c r="E56" s="9"/>
      <c r="F56" s="9"/>
      <c r="G56" s="9"/>
      <c r="H56" s="9"/>
      <c r="I56" s="9"/>
    </row>
    <row r="57" spans="1:9" s="2" customFormat="1" ht="15" customHeight="1">
      <c r="A57" s="14">
        <v>46958</v>
      </c>
      <c r="B57" s="15" t="s">
        <v>4970</v>
      </c>
      <c r="C57" s="16" t="s">
        <v>4953</v>
      </c>
      <c r="D57" s="9"/>
      <c r="E57" s="9"/>
      <c r="F57" s="9"/>
      <c r="G57" s="9"/>
      <c r="H57" s="9"/>
      <c r="I57" s="9"/>
    </row>
    <row r="58" spans="1:9" s="2" customFormat="1" ht="15" customHeight="1">
      <c r="A58" s="14">
        <v>46977</v>
      </c>
      <c r="B58" s="15" t="s">
        <v>4956</v>
      </c>
      <c r="C58" s="16"/>
      <c r="D58" s="9"/>
      <c r="E58" s="9"/>
      <c r="F58" s="9"/>
      <c r="G58" s="9"/>
      <c r="H58" s="9"/>
      <c r="I58" s="9"/>
    </row>
    <row r="59" spans="1:9" s="2" customFormat="1" ht="15" customHeight="1">
      <c r="A59" s="14">
        <v>47039</v>
      </c>
      <c r="B59" s="15" t="s">
        <v>4957</v>
      </c>
      <c r="C59" s="16"/>
      <c r="D59" s="9"/>
      <c r="E59" s="9"/>
      <c r="F59" s="9"/>
      <c r="G59" s="9"/>
      <c r="H59" s="9"/>
      <c r="I59" s="9"/>
    </row>
    <row r="60" spans="1:9" s="2" customFormat="1" ht="15" customHeight="1">
      <c r="A60" s="14">
        <v>47049</v>
      </c>
      <c r="B60" s="15" t="s">
        <v>4958</v>
      </c>
      <c r="C60" s="16"/>
      <c r="D60" s="9"/>
      <c r="E60" s="9"/>
      <c r="F60" s="9"/>
      <c r="G60" s="9"/>
      <c r="H60" s="9"/>
      <c r="I60" s="9"/>
    </row>
    <row r="61" spans="1:9" s="2" customFormat="1" ht="15" customHeight="1">
      <c r="A61" s="14">
        <v>47092</v>
      </c>
      <c r="B61" s="15" t="s">
        <v>4959</v>
      </c>
      <c r="C61" s="16"/>
      <c r="D61" s="9"/>
      <c r="E61" s="9"/>
      <c r="F61" s="9"/>
      <c r="G61" s="9"/>
      <c r="H61" s="9"/>
      <c r="I61" s="9"/>
    </row>
    <row r="62" spans="1:9" s="2" customFormat="1" ht="15" customHeight="1">
      <c r="A62" s="14">
        <v>47097</v>
      </c>
      <c r="B62" s="15" t="s">
        <v>4960</v>
      </c>
      <c r="C62" s="16"/>
      <c r="D62" s="9"/>
      <c r="E62" s="9"/>
      <c r="F62" s="9"/>
      <c r="G62" s="9"/>
      <c r="H62" s="9"/>
      <c r="I62" s="9"/>
    </row>
    <row r="63" spans="1:9" s="2" customFormat="1" ht="15" customHeight="1">
      <c r="A63" s="14">
        <v>47118</v>
      </c>
      <c r="B63" s="15" t="s">
        <v>4961</v>
      </c>
      <c r="C63" s="16"/>
      <c r="D63" s="9"/>
      <c r="E63" s="9"/>
      <c r="F63" s="9"/>
      <c r="G63" s="9"/>
      <c r="H63" s="9"/>
      <c r="I63" s="9"/>
    </row>
  </sheetData>
  <conditionalFormatting sqref="A1:A1048576">
    <cfRule type="duplicateValues" dxfId="80" priority="1"/>
    <cfRule type="duplicateValues" dxfId="79" priority="2"/>
  </conditionalFormatting>
  <pageMargins left="0.7" right="0.7" top="0.75" bottom="0.75" header="0.3" footer="0.3"/>
  <pageSetup paperSize="9" scale="3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2"/>
  <sheetViews>
    <sheetView view="pageBreakPreview" topLeftCell="A7" zoomScaleNormal="190" workbookViewId="0">
      <selection activeCell="A22" sqref="A22"/>
    </sheetView>
  </sheetViews>
  <sheetFormatPr defaultColWidth="6.796875" defaultRowHeight="13.2"/>
  <cols>
    <col min="1" max="1" width="19.69921875" style="3" customWidth="1"/>
    <col min="2" max="2" width="43.796875" style="4" customWidth="1"/>
    <col min="3" max="16384" width="6.796875" style="4"/>
  </cols>
  <sheetData>
    <row r="1" spans="1:9" s="1" customFormat="1" ht="48" customHeight="1">
      <c r="A1" s="5" t="s">
        <v>4940</v>
      </c>
      <c r="B1" s="6" t="s">
        <v>4941</v>
      </c>
    </row>
    <row r="2" spans="1:9" s="2" customFormat="1" ht="15" customHeight="1">
      <c r="A2" s="7">
        <v>46023</v>
      </c>
      <c r="B2" s="8" t="s">
        <v>4944</v>
      </c>
      <c r="C2" s="9"/>
      <c r="D2" s="9"/>
      <c r="E2" s="9"/>
      <c r="F2" s="9"/>
      <c r="G2" s="9"/>
      <c r="H2" s="9"/>
      <c r="I2" s="9"/>
    </row>
    <row r="3" spans="1:9" s="2" customFormat="1" ht="15" customHeight="1">
      <c r="A3" s="7">
        <v>46024</v>
      </c>
      <c r="B3" s="8" t="s">
        <v>4944</v>
      </c>
      <c r="C3" s="9"/>
      <c r="D3" s="9"/>
      <c r="E3" s="9"/>
      <c r="F3" s="9"/>
      <c r="G3" s="9"/>
      <c r="H3" s="9"/>
      <c r="I3" s="9"/>
    </row>
    <row r="4" spans="1:9" s="2" customFormat="1" ht="15" customHeight="1">
      <c r="A4" s="7">
        <v>46025</v>
      </c>
      <c r="B4" s="8" t="s">
        <v>4944</v>
      </c>
      <c r="C4" s="9"/>
      <c r="D4" s="9"/>
      <c r="E4" s="9"/>
      <c r="F4" s="9"/>
      <c r="G4" s="9"/>
      <c r="H4" s="9"/>
      <c r="I4" s="9"/>
    </row>
    <row r="5" spans="1:9" s="2" customFormat="1" ht="15" customHeight="1">
      <c r="A5" s="7">
        <v>46068</v>
      </c>
      <c r="B5" s="8" t="s">
        <v>4971</v>
      </c>
      <c r="C5" s="9"/>
      <c r="D5" s="9"/>
      <c r="E5" s="9"/>
      <c r="F5" s="9"/>
      <c r="G5" s="9"/>
      <c r="H5" s="9"/>
      <c r="I5" s="9"/>
    </row>
    <row r="6" spans="1:9" s="2" customFormat="1" ht="15" customHeight="1">
      <c r="A6" s="7">
        <v>46069</v>
      </c>
      <c r="B6" s="8" t="s">
        <v>4971</v>
      </c>
      <c r="C6" s="9"/>
      <c r="D6" s="9"/>
      <c r="E6" s="9"/>
      <c r="F6" s="9"/>
      <c r="G6" s="9"/>
      <c r="H6" s="9"/>
      <c r="I6" s="9"/>
    </row>
    <row r="7" spans="1:9" s="2" customFormat="1" ht="15" customHeight="1">
      <c r="A7" s="7">
        <v>46070</v>
      </c>
      <c r="B7" s="8" t="s">
        <v>4971</v>
      </c>
      <c r="C7" s="9"/>
      <c r="D7" s="9"/>
      <c r="E7" s="9"/>
      <c r="F7" s="9"/>
      <c r="G7" s="9"/>
      <c r="H7" s="9"/>
      <c r="I7" s="9"/>
    </row>
    <row r="8" spans="1:9" s="2" customFormat="1" ht="15" customHeight="1">
      <c r="A8" s="7">
        <v>46071</v>
      </c>
      <c r="B8" s="8" t="s">
        <v>4971</v>
      </c>
      <c r="C8" s="9"/>
      <c r="D8" s="9"/>
      <c r="E8" s="9"/>
      <c r="F8" s="9"/>
      <c r="G8" s="9"/>
      <c r="H8" s="9"/>
      <c r="I8" s="9"/>
    </row>
    <row r="9" spans="1:9" s="2" customFormat="1" ht="15" customHeight="1">
      <c r="A9" s="7">
        <v>46072</v>
      </c>
      <c r="B9" s="8" t="s">
        <v>4971</v>
      </c>
      <c r="C9" s="9"/>
      <c r="D9" s="9"/>
      <c r="E9" s="9"/>
      <c r="F9" s="9"/>
      <c r="G9" s="9"/>
      <c r="H9" s="9"/>
      <c r="I9" s="9"/>
    </row>
    <row r="10" spans="1:9" s="2" customFormat="1" ht="15" customHeight="1">
      <c r="A10" s="7">
        <v>46073</v>
      </c>
      <c r="B10" s="8" t="s">
        <v>4971</v>
      </c>
      <c r="C10" s="9"/>
      <c r="D10" s="9"/>
      <c r="E10" s="9"/>
      <c r="F10" s="9"/>
      <c r="G10" s="9"/>
      <c r="H10" s="9"/>
      <c r="I10" s="9"/>
    </row>
    <row r="11" spans="1:9" s="2" customFormat="1" ht="15" customHeight="1">
      <c r="A11" s="7">
        <v>46074</v>
      </c>
      <c r="B11" s="8" t="s">
        <v>4971</v>
      </c>
      <c r="C11" s="9"/>
      <c r="D11" s="9"/>
      <c r="E11" s="9"/>
      <c r="F11" s="9"/>
      <c r="G11" s="9"/>
      <c r="H11" s="9"/>
      <c r="I11" s="9"/>
    </row>
    <row r="12" spans="1:9" s="2" customFormat="1" ht="15" customHeight="1">
      <c r="A12" s="7">
        <v>46116</v>
      </c>
      <c r="B12" s="8" t="s">
        <v>4972</v>
      </c>
      <c r="C12" s="9"/>
      <c r="D12" s="9"/>
      <c r="E12" s="9"/>
      <c r="F12" s="9"/>
      <c r="G12" s="9"/>
      <c r="H12" s="9"/>
      <c r="I12" s="9"/>
    </row>
    <row r="13" spans="1:9" s="2" customFormat="1" ht="15" customHeight="1">
      <c r="A13" s="7">
        <v>46117</v>
      </c>
      <c r="B13" s="8" t="s">
        <v>4972</v>
      </c>
      <c r="C13" s="9"/>
      <c r="D13" s="9"/>
      <c r="E13" s="9"/>
      <c r="F13" s="9"/>
      <c r="G13" s="9"/>
      <c r="H13" s="9"/>
      <c r="I13" s="9"/>
    </row>
    <row r="14" spans="1:9" s="2" customFormat="1" ht="15" customHeight="1">
      <c r="A14" s="7">
        <v>46118</v>
      </c>
      <c r="B14" s="8" t="s">
        <v>4972</v>
      </c>
      <c r="C14" s="9"/>
      <c r="D14" s="9"/>
      <c r="E14" s="9"/>
      <c r="F14" s="9"/>
      <c r="G14" s="9"/>
      <c r="H14" s="9"/>
      <c r="I14" s="9"/>
    </row>
    <row r="15" spans="1:9" s="2" customFormat="1" ht="15" customHeight="1">
      <c r="A15" s="7">
        <v>46143</v>
      </c>
      <c r="B15" s="10" t="s">
        <v>4948</v>
      </c>
      <c r="C15" s="9"/>
      <c r="D15" s="9"/>
      <c r="E15" s="9"/>
      <c r="F15" s="9"/>
      <c r="G15" s="9"/>
      <c r="H15" s="9"/>
      <c r="I15" s="9"/>
    </row>
    <row r="16" spans="1:9" s="2" customFormat="1" ht="15" customHeight="1">
      <c r="A16" s="7">
        <v>46144</v>
      </c>
      <c r="B16" s="10" t="s">
        <v>4948</v>
      </c>
      <c r="C16" s="9"/>
      <c r="D16" s="9"/>
      <c r="E16" s="9"/>
      <c r="F16" s="9"/>
      <c r="G16" s="9"/>
      <c r="H16" s="9"/>
      <c r="I16" s="9"/>
    </row>
    <row r="17" spans="1:9" s="2" customFormat="1" ht="15" customHeight="1">
      <c r="A17" s="7">
        <v>46145</v>
      </c>
      <c r="B17" s="10" t="s">
        <v>4948</v>
      </c>
      <c r="C17" s="9"/>
      <c r="D17" s="9"/>
      <c r="E17" s="9"/>
      <c r="F17" s="9"/>
      <c r="G17" s="9"/>
      <c r="H17" s="9"/>
      <c r="I17" s="9"/>
    </row>
    <row r="18" spans="1:9" s="2" customFormat="1" ht="15" customHeight="1">
      <c r="A18" s="7">
        <v>46192</v>
      </c>
      <c r="B18" s="8" t="s">
        <v>4973</v>
      </c>
      <c r="C18" s="9"/>
      <c r="D18" s="9"/>
      <c r="E18" s="9"/>
      <c r="F18" s="9"/>
      <c r="G18" s="9"/>
      <c r="H18" s="9"/>
      <c r="I18" s="9"/>
    </row>
    <row r="19" spans="1:9" s="2" customFormat="1" ht="15" customHeight="1">
      <c r="A19" s="7">
        <v>46193</v>
      </c>
      <c r="B19" s="8" t="s">
        <v>4973</v>
      </c>
      <c r="C19" s="9"/>
      <c r="D19" s="9"/>
      <c r="E19" s="9"/>
      <c r="F19" s="9"/>
      <c r="G19" s="9"/>
      <c r="H19" s="9"/>
      <c r="I19" s="9"/>
    </row>
    <row r="20" spans="1:9" s="2" customFormat="1" ht="15" customHeight="1">
      <c r="A20" s="7">
        <v>46194</v>
      </c>
      <c r="B20" s="8" t="s">
        <v>4973</v>
      </c>
      <c r="C20" s="9"/>
      <c r="D20" s="9"/>
      <c r="E20" s="9"/>
      <c r="F20" s="9"/>
      <c r="G20" s="9"/>
      <c r="H20" s="9"/>
      <c r="I20" s="9"/>
    </row>
    <row r="21" spans="1:9" s="2" customFormat="1" ht="15" customHeight="1">
      <c r="A21" s="7">
        <v>46290</v>
      </c>
      <c r="B21" s="8"/>
      <c r="C21" s="9"/>
      <c r="D21" s="9"/>
      <c r="E21" s="9"/>
      <c r="F21" s="9"/>
      <c r="G21" s="9"/>
      <c r="H21" s="9"/>
      <c r="I21" s="9"/>
    </row>
    <row r="22" spans="1:9" s="2" customFormat="1" ht="15" customHeight="1">
      <c r="A22" s="7">
        <v>46296</v>
      </c>
      <c r="B22" s="8" t="s">
        <v>4974</v>
      </c>
      <c r="C22" s="9"/>
      <c r="D22" s="9"/>
      <c r="E22" s="9"/>
      <c r="F22" s="9"/>
      <c r="G22" s="9"/>
      <c r="H22" s="9"/>
      <c r="I22" s="9"/>
    </row>
    <row r="23" spans="1:9" s="2" customFormat="1" ht="15" customHeight="1">
      <c r="A23" s="7">
        <v>46297</v>
      </c>
      <c r="B23" s="8" t="s">
        <v>4974</v>
      </c>
      <c r="C23" s="9"/>
      <c r="D23" s="9"/>
      <c r="E23" s="9"/>
      <c r="F23" s="9"/>
      <c r="G23" s="9"/>
      <c r="H23" s="9"/>
      <c r="I23" s="9"/>
    </row>
    <row r="24" spans="1:9" s="2" customFormat="1" ht="15" customHeight="1">
      <c r="A24" s="7">
        <v>46298</v>
      </c>
      <c r="B24" s="8" t="s">
        <v>4974</v>
      </c>
      <c r="C24" s="9"/>
      <c r="D24" s="9"/>
      <c r="E24" s="9"/>
      <c r="F24" s="9"/>
      <c r="G24" s="9"/>
      <c r="H24" s="9"/>
      <c r="I24" s="9"/>
    </row>
    <row r="25" spans="1:9" s="2" customFormat="1" ht="15" customHeight="1">
      <c r="A25" s="7">
        <v>46299</v>
      </c>
      <c r="B25" s="8" t="s">
        <v>4974</v>
      </c>
      <c r="C25" s="9"/>
      <c r="D25" s="9"/>
      <c r="E25" s="9"/>
      <c r="F25" s="9"/>
      <c r="G25" s="9"/>
      <c r="H25" s="9"/>
      <c r="I25" s="9"/>
    </row>
    <row r="26" spans="1:9" s="2" customFormat="1" ht="15" customHeight="1">
      <c r="A26" s="7">
        <v>46300</v>
      </c>
      <c r="B26" s="8" t="s">
        <v>4974</v>
      </c>
      <c r="C26" s="9"/>
      <c r="D26" s="9"/>
      <c r="E26" s="9"/>
      <c r="F26" s="9"/>
      <c r="G26" s="9"/>
      <c r="H26" s="9"/>
      <c r="I26" s="9"/>
    </row>
    <row r="27" spans="1:9" s="2" customFormat="1" ht="15" customHeight="1">
      <c r="A27" s="7">
        <v>46301</v>
      </c>
      <c r="B27" s="8" t="s">
        <v>4974</v>
      </c>
      <c r="C27" s="9"/>
      <c r="D27" s="9"/>
      <c r="E27" s="9"/>
      <c r="F27" s="9"/>
      <c r="G27" s="9"/>
      <c r="H27" s="9"/>
      <c r="I27" s="9"/>
    </row>
    <row r="28" spans="1:9" s="2" customFormat="1" ht="15" customHeight="1">
      <c r="A28" s="7">
        <v>46302</v>
      </c>
      <c r="B28" s="8" t="s">
        <v>4974</v>
      </c>
      <c r="C28" s="9"/>
      <c r="D28" s="9"/>
      <c r="E28" s="9"/>
      <c r="F28" s="9"/>
      <c r="G28" s="9"/>
      <c r="H28" s="9"/>
      <c r="I28" s="9"/>
    </row>
    <row r="29" spans="1:9" s="2" customFormat="1" ht="15" customHeight="1">
      <c r="A29" s="7">
        <v>46388</v>
      </c>
      <c r="B29" s="8" t="s">
        <v>4944</v>
      </c>
      <c r="C29" s="9"/>
      <c r="D29" s="9"/>
      <c r="E29" s="9"/>
      <c r="F29" s="9"/>
      <c r="G29" s="9"/>
      <c r="H29" s="9"/>
      <c r="I29" s="9"/>
    </row>
    <row r="30" spans="1:9" s="2" customFormat="1" ht="15" customHeight="1">
      <c r="A30" s="7">
        <v>46389</v>
      </c>
      <c r="B30" s="8" t="s">
        <v>4944</v>
      </c>
      <c r="C30" s="9"/>
      <c r="D30" s="9"/>
      <c r="E30" s="9"/>
      <c r="F30" s="9"/>
      <c r="G30" s="9"/>
      <c r="H30" s="9"/>
      <c r="I30" s="9"/>
    </row>
    <row r="31" spans="1:9" s="2" customFormat="1" ht="15" customHeight="1">
      <c r="A31" s="7">
        <v>46390</v>
      </c>
      <c r="B31" s="8" t="s">
        <v>4944</v>
      </c>
      <c r="C31" s="9"/>
      <c r="D31" s="9"/>
      <c r="E31" s="9"/>
      <c r="F31" s="9"/>
      <c r="G31" s="9"/>
      <c r="H31" s="9"/>
      <c r="I31" s="9"/>
    </row>
    <row r="32" spans="1:9" s="2" customFormat="1" ht="15" customHeight="1">
      <c r="A32" s="7">
        <v>46424</v>
      </c>
      <c r="B32" s="8" t="s">
        <v>4971</v>
      </c>
      <c r="C32" s="9"/>
      <c r="D32" s="9"/>
      <c r="E32" s="9"/>
      <c r="F32" s="9"/>
      <c r="G32" s="9"/>
      <c r="H32" s="9"/>
      <c r="I32" s="9"/>
    </row>
    <row r="33" spans="1:9" s="2" customFormat="1" ht="15" customHeight="1">
      <c r="A33" s="7">
        <v>46425</v>
      </c>
      <c r="B33" s="8" t="s">
        <v>4971</v>
      </c>
      <c r="C33" s="9"/>
      <c r="D33" s="9"/>
      <c r="E33" s="9"/>
      <c r="F33" s="9"/>
      <c r="G33" s="9"/>
      <c r="H33" s="9"/>
      <c r="I33" s="9"/>
    </row>
    <row r="34" spans="1:9" s="2" customFormat="1" ht="15" customHeight="1">
      <c r="A34" s="7">
        <v>46426</v>
      </c>
      <c r="B34" s="8" t="s">
        <v>4971</v>
      </c>
      <c r="C34" s="9"/>
      <c r="D34" s="9"/>
      <c r="E34" s="9"/>
      <c r="F34" s="9"/>
      <c r="G34" s="9"/>
      <c r="H34" s="9"/>
      <c r="I34" s="9"/>
    </row>
    <row r="35" spans="1:9" s="2" customFormat="1" ht="15" customHeight="1">
      <c r="A35" s="7">
        <v>46427</v>
      </c>
      <c r="B35" s="8" t="s">
        <v>4971</v>
      </c>
      <c r="C35" s="9"/>
      <c r="D35" s="9"/>
      <c r="E35" s="9"/>
      <c r="F35" s="9"/>
      <c r="G35" s="9"/>
      <c r="H35" s="9"/>
      <c r="I35" s="9"/>
    </row>
    <row r="36" spans="1:9" s="2" customFormat="1" ht="15" customHeight="1">
      <c r="A36" s="7">
        <v>46428</v>
      </c>
      <c r="B36" s="8" t="s">
        <v>4971</v>
      </c>
      <c r="C36" s="9"/>
      <c r="D36" s="9"/>
      <c r="E36" s="9"/>
      <c r="F36" s="9"/>
      <c r="G36" s="9"/>
      <c r="H36" s="9"/>
      <c r="I36" s="9"/>
    </row>
    <row r="37" spans="1:9" s="2" customFormat="1" ht="15" customHeight="1">
      <c r="A37" s="7">
        <v>46429</v>
      </c>
      <c r="B37" s="8" t="s">
        <v>4971</v>
      </c>
      <c r="C37" s="9"/>
      <c r="D37" s="9"/>
      <c r="E37" s="9"/>
      <c r="F37" s="9"/>
      <c r="G37" s="9"/>
      <c r="H37" s="9"/>
      <c r="I37" s="9"/>
    </row>
    <row r="38" spans="1:9" s="2" customFormat="1" ht="15" customHeight="1">
      <c r="A38" s="7">
        <v>46430</v>
      </c>
      <c r="B38" s="8" t="s">
        <v>4971</v>
      </c>
      <c r="C38" s="9"/>
      <c r="D38" s="9"/>
      <c r="E38" s="9"/>
      <c r="F38" s="9"/>
      <c r="G38" s="9"/>
      <c r="H38" s="9"/>
      <c r="I38" s="9"/>
    </row>
    <row r="39" spans="1:9" s="2" customFormat="1" ht="15" customHeight="1">
      <c r="A39" s="7">
        <v>46480</v>
      </c>
      <c r="B39" s="8" t="s">
        <v>4972</v>
      </c>
      <c r="C39" s="9"/>
      <c r="D39" s="9"/>
      <c r="E39" s="9"/>
      <c r="F39" s="9"/>
      <c r="G39" s="9"/>
      <c r="H39" s="9"/>
      <c r="I39" s="9"/>
    </row>
    <row r="40" spans="1:9" s="2" customFormat="1" ht="15" customHeight="1">
      <c r="A40" s="7">
        <v>46481</v>
      </c>
      <c r="B40" s="8" t="s">
        <v>4972</v>
      </c>
      <c r="C40" s="9"/>
      <c r="D40" s="9"/>
      <c r="E40" s="9"/>
      <c r="F40" s="9"/>
      <c r="G40" s="9"/>
      <c r="H40" s="9"/>
      <c r="I40" s="9"/>
    </row>
    <row r="41" spans="1:9" s="2" customFormat="1" ht="15" customHeight="1">
      <c r="A41" s="7">
        <v>46482</v>
      </c>
      <c r="B41" s="8" t="s">
        <v>4972</v>
      </c>
      <c r="C41" s="9"/>
      <c r="D41" s="9"/>
      <c r="E41" s="9"/>
      <c r="F41" s="9"/>
      <c r="G41" s="9"/>
      <c r="H41" s="9"/>
      <c r="I41" s="9"/>
    </row>
    <row r="42" spans="1:9" s="2" customFormat="1" ht="15" customHeight="1">
      <c r="A42" s="7">
        <v>46508</v>
      </c>
      <c r="B42" s="10" t="s">
        <v>4948</v>
      </c>
      <c r="C42" s="9"/>
      <c r="D42" s="9"/>
      <c r="E42" s="9"/>
      <c r="F42" s="9"/>
      <c r="G42" s="9"/>
      <c r="H42" s="9"/>
      <c r="I42" s="9"/>
    </row>
    <row r="43" spans="1:9" s="2" customFormat="1" ht="15" customHeight="1">
      <c r="A43" s="7">
        <v>46509</v>
      </c>
      <c r="B43" s="10" t="s">
        <v>4948</v>
      </c>
      <c r="C43" s="9"/>
      <c r="D43" s="9"/>
      <c r="E43" s="9"/>
      <c r="F43" s="9"/>
      <c r="G43" s="9"/>
      <c r="H43" s="9"/>
      <c r="I43" s="9"/>
    </row>
    <row r="44" spans="1:9" s="2" customFormat="1" ht="15" customHeight="1">
      <c r="A44" s="7">
        <v>46510</v>
      </c>
      <c r="B44" s="10" t="s">
        <v>4948</v>
      </c>
      <c r="C44" s="9"/>
      <c r="D44" s="9"/>
      <c r="E44" s="9"/>
      <c r="F44" s="9"/>
      <c r="G44" s="9"/>
      <c r="H44" s="9"/>
      <c r="I44" s="9"/>
    </row>
    <row r="45" spans="1:9" s="2" customFormat="1" ht="15" customHeight="1">
      <c r="A45" s="7">
        <v>46549</v>
      </c>
      <c r="B45" s="8" t="s">
        <v>4973</v>
      </c>
      <c r="C45" s="9"/>
      <c r="D45" s="9"/>
      <c r="E45" s="9"/>
      <c r="F45" s="9"/>
      <c r="G45" s="9"/>
      <c r="H45" s="9"/>
      <c r="I45" s="9"/>
    </row>
    <row r="46" spans="1:9" s="2" customFormat="1" ht="15" customHeight="1">
      <c r="A46" s="7">
        <v>46550</v>
      </c>
      <c r="B46" s="8" t="s">
        <v>4973</v>
      </c>
      <c r="C46" s="9"/>
      <c r="D46" s="9"/>
      <c r="E46" s="9"/>
      <c r="F46" s="9"/>
      <c r="G46" s="9"/>
      <c r="H46" s="9"/>
      <c r="I46" s="9"/>
    </row>
    <row r="47" spans="1:9" s="2" customFormat="1" ht="15" customHeight="1">
      <c r="A47" s="7">
        <v>46551</v>
      </c>
      <c r="B47" s="8" t="s">
        <v>4973</v>
      </c>
      <c r="C47" s="9"/>
      <c r="D47" s="9"/>
      <c r="E47" s="9"/>
      <c r="F47" s="9"/>
      <c r="G47" s="9"/>
      <c r="H47" s="9"/>
      <c r="I47" s="9"/>
    </row>
    <row r="48" spans="1:9" s="2" customFormat="1" ht="15" customHeight="1">
      <c r="A48" s="7">
        <v>46552</v>
      </c>
      <c r="B48" s="8" t="s">
        <v>4973</v>
      </c>
      <c r="C48" s="9"/>
      <c r="D48" s="9"/>
      <c r="E48" s="9"/>
      <c r="F48" s="9"/>
      <c r="G48" s="9"/>
      <c r="H48" s="9"/>
      <c r="I48" s="9"/>
    </row>
    <row r="49" spans="1:9" s="2" customFormat="1" ht="15" customHeight="1">
      <c r="A49" s="7">
        <v>46645</v>
      </c>
      <c r="B49" s="8"/>
      <c r="C49" s="9"/>
      <c r="D49" s="9"/>
      <c r="E49" s="9"/>
      <c r="F49" s="9"/>
      <c r="G49" s="9"/>
      <c r="H49" s="9"/>
      <c r="I49" s="9"/>
    </row>
    <row r="50" spans="1:9" s="2" customFormat="1" ht="15" customHeight="1">
      <c r="A50" s="7">
        <v>46661</v>
      </c>
      <c r="B50" s="8" t="s">
        <v>4974</v>
      </c>
      <c r="C50" s="9"/>
      <c r="D50" s="9"/>
      <c r="E50" s="9"/>
      <c r="F50" s="9"/>
      <c r="G50" s="9"/>
      <c r="H50" s="9"/>
      <c r="I50" s="9"/>
    </row>
    <row r="51" spans="1:9" s="2" customFormat="1" ht="15" customHeight="1">
      <c r="A51" s="7">
        <v>46662</v>
      </c>
      <c r="B51" s="8" t="s">
        <v>4974</v>
      </c>
      <c r="C51" s="9"/>
      <c r="D51" s="9"/>
      <c r="E51" s="9"/>
      <c r="F51" s="9"/>
      <c r="G51" s="9"/>
      <c r="H51" s="9"/>
      <c r="I51" s="9"/>
    </row>
    <row r="52" spans="1:9" s="2" customFormat="1" ht="15" customHeight="1">
      <c r="A52" s="7">
        <v>46663</v>
      </c>
      <c r="B52" s="8" t="s">
        <v>4974</v>
      </c>
      <c r="C52" s="9"/>
      <c r="D52" s="9"/>
      <c r="E52" s="9"/>
      <c r="F52" s="9"/>
      <c r="G52" s="9"/>
      <c r="H52" s="9"/>
      <c r="I52" s="9"/>
    </row>
    <row r="53" spans="1:9" s="2" customFormat="1" ht="15" customHeight="1">
      <c r="A53" s="7">
        <v>46664</v>
      </c>
      <c r="B53" s="8" t="s">
        <v>4974</v>
      </c>
      <c r="C53" s="9"/>
      <c r="D53" s="9"/>
      <c r="E53" s="9"/>
      <c r="F53" s="9"/>
      <c r="G53" s="9"/>
      <c r="H53" s="9"/>
      <c r="I53" s="9"/>
    </row>
    <row r="54" spans="1:9" s="2" customFormat="1" ht="15" customHeight="1">
      <c r="A54" s="7">
        <v>46665</v>
      </c>
      <c r="B54" s="8" t="s">
        <v>4974</v>
      </c>
      <c r="C54" s="9"/>
      <c r="D54" s="9"/>
      <c r="E54" s="9"/>
      <c r="F54" s="9"/>
      <c r="G54" s="9"/>
      <c r="H54" s="9"/>
      <c r="I54" s="9"/>
    </row>
    <row r="55" spans="1:9" s="2" customFormat="1" ht="15" customHeight="1">
      <c r="A55" s="7">
        <v>46666</v>
      </c>
      <c r="B55" s="8" t="s">
        <v>4974</v>
      </c>
      <c r="C55" s="9"/>
      <c r="D55" s="9"/>
      <c r="E55" s="9"/>
      <c r="F55" s="9"/>
      <c r="G55" s="9"/>
      <c r="H55" s="9"/>
      <c r="I55" s="9"/>
    </row>
    <row r="56" spans="1:9" s="2" customFormat="1" ht="15" customHeight="1">
      <c r="A56" s="7">
        <v>46667</v>
      </c>
      <c r="B56" s="8" t="s">
        <v>4974</v>
      </c>
      <c r="C56" s="9"/>
      <c r="D56" s="9"/>
      <c r="E56" s="9"/>
      <c r="F56" s="9"/>
      <c r="G56" s="9"/>
      <c r="H56" s="9"/>
      <c r="I56" s="9"/>
    </row>
    <row r="57" spans="1:9" s="2" customFormat="1" ht="15" customHeight="1">
      <c r="A57" s="7">
        <v>46753</v>
      </c>
      <c r="B57" s="8" t="s">
        <v>4944</v>
      </c>
      <c r="C57" s="9"/>
      <c r="D57" s="9"/>
      <c r="E57" s="9"/>
      <c r="F57" s="9"/>
      <c r="G57" s="9"/>
      <c r="H57" s="9"/>
      <c r="I57" s="9"/>
    </row>
    <row r="58" spans="1:9" s="2" customFormat="1" ht="15" customHeight="1">
      <c r="A58" s="7">
        <v>46754</v>
      </c>
      <c r="B58" s="8" t="s">
        <v>4944</v>
      </c>
      <c r="C58" s="9"/>
      <c r="D58" s="9"/>
      <c r="E58" s="9"/>
      <c r="F58" s="9"/>
      <c r="G58" s="9"/>
      <c r="H58" s="9"/>
      <c r="I58" s="9"/>
    </row>
    <row r="59" spans="1:9" s="2" customFormat="1" ht="15" customHeight="1">
      <c r="A59" s="7">
        <v>46755</v>
      </c>
      <c r="B59" s="8" t="s">
        <v>4944</v>
      </c>
      <c r="C59" s="9"/>
      <c r="D59" s="9"/>
      <c r="E59" s="9"/>
      <c r="F59" s="9"/>
      <c r="G59" s="9"/>
      <c r="H59" s="9"/>
      <c r="I59" s="9"/>
    </row>
    <row r="60" spans="1:9" s="2" customFormat="1" ht="15" customHeight="1">
      <c r="A60" s="7">
        <v>46777</v>
      </c>
      <c r="B60" s="8" t="s">
        <v>4971</v>
      </c>
      <c r="C60" s="9"/>
      <c r="D60" s="9"/>
      <c r="E60" s="9"/>
      <c r="F60" s="9"/>
      <c r="G60" s="9"/>
      <c r="H60" s="9"/>
      <c r="I60" s="9"/>
    </row>
    <row r="61" spans="1:9" s="2" customFormat="1" ht="15" customHeight="1">
      <c r="A61" s="7">
        <v>46778</v>
      </c>
      <c r="B61" s="8" t="s">
        <v>4971</v>
      </c>
      <c r="C61" s="9"/>
      <c r="D61" s="9"/>
      <c r="E61" s="9"/>
      <c r="F61" s="9"/>
      <c r="G61" s="9"/>
      <c r="H61" s="9"/>
      <c r="I61" s="9"/>
    </row>
    <row r="62" spans="1:9" s="2" customFormat="1" ht="15" customHeight="1">
      <c r="A62" s="7">
        <v>46779</v>
      </c>
      <c r="B62" s="8" t="s">
        <v>4971</v>
      </c>
      <c r="C62" s="9"/>
      <c r="D62" s="9"/>
      <c r="E62" s="9"/>
      <c r="F62" s="9"/>
      <c r="G62" s="9"/>
      <c r="H62" s="9"/>
      <c r="I62" s="9"/>
    </row>
    <row r="63" spans="1:9" s="2" customFormat="1" ht="15" customHeight="1">
      <c r="A63" s="7">
        <v>46780</v>
      </c>
      <c r="B63" s="8" t="s">
        <v>4971</v>
      </c>
      <c r="C63" s="9"/>
      <c r="D63" s="9"/>
      <c r="E63" s="9"/>
      <c r="F63" s="9"/>
      <c r="G63" s="9"/>
      <c r="H63" s="9"/>
      <c r="I63" s="9"/>
    </row>
    <row r="64" spans="1:9" s="2" customFormat="1" ht="15" customHeight="1">
      <c r="A64" s="7">
        <v>46781</v>
      </c>
      <c r="B64" s="8" t="s">
        <v>4971</v>
      </c>
      <c r="C64" s="9"/>
      <c r="D64" s="9"/>
      <c r="E64" s="9"/>
      <c r="F64" s="9"/>
      <c r="G64" s="9"/>
      <c r="H64" s="9"/>
      <c r="I64" s="9"/>
    </row>
    <row r="65" spans="1:9" s="2" customFormat="1" ht="15" customHeight="1">
      <c r="A65" s="7">
        <v>46782</v>
      </c>
      <c r="B65" s="8" t="s">
        <v>4971</v>
      </c>
      <c r="C65" s="9"/>
      <c r="D65" s="9"/>
      <c r="E65" s="9"/>
      <c r="F65" s="9"/>
      <c r="G65" s="9"/>
      <c r="H65" s="9"/>
      <c r="I65" s="9"/>
    </row>
    <row r="66" spans="1:9" s="2" customFormat="1" ht="15" customHeight="1">
      <c r="A66" s="7">
        <v>46783</v>
      </c>
      <c r="B66" s="8" t="s">
        <v>4971</v>
      </c>
      <c r="C66" s="9"/>
      <c r="D66" s="9"/>
      <c r="E66" s="9"/>
      <c r="F66" s="9"/>
      <c r="G66" s="9"/>
      <c r="H66" s="9"/>
      <c r="I66" s="9"/>
    </row>
    <row r="67" spans="1:9" s="2" customFormat="1" ht="15" customHeight="1">
      <c r="A67" s="7">
        <v>46847</v>
      </c>
      <c r="B67" s="8" t="s">
        <v>4972</v>
      </c>
      <c r="C67" s="9"/>
      <c r="D67" s="9"/>
      <c r="E67" s="9"/>
      <c r="F67" s="9"/>
      <c r="G67" s="9"/>
      <c r="H67" s="9"/>
      <c r="I67" s="9"/>
    </row>
    <row r="68" spans="1:9" s="2" customFormat="1" ht="15" customHeight="1">
      <c r="A68" s="7">
        <v>46848</v>
      </c>
      <c r="B68" s="8" t="s">
        <v>4972</v>
      </c>
      <c r="C68" s="9"/>
      <c r="D68" s="9"/>
      <c r="E68" s="9"/>
      <c r="F68" s="9"/>
      <c r="G68" s="9"/>
      <c r="H68" s="9"/>
      <c r="I68" s="9"/>
    </row>
    <row r="69" spans="1:9" s="2" customFormat="1" ht="15" customHeight="1">
      <c r="A69" s="7">
        <v>46849</v>
      </c>
      <c r="B69" s="8" t="s">
        <v>4972</v>
      </c>
      <c r="C69" s="9"/>
      <c r="D69" s="9"/>
      <c r="E69" s="9"/>
      <c r="F69" s="9"/>
      <c r="G69" s="9"/>
      <c r="H69" s="9"/>
      <c r="I69" s="9"/>
    </row>
    <row r="70" spans="1:9" s="2" customFormat="1" ht="15" customHeight="1">
      <c r="A70" s="7">
        <v>46874</v>
      </c>
      <c r="B70" s="10" t="s">
        <v>4948</v>
      </c>
      <c r="C70" s="9"/>
      <c r="D70" s="9"/>
      <c r="E70" s="9"/>
      <c r="F70" s="9"/>
      <c r="G70" s="9"/>
      <c r="H70" s="9"/>
      <c r="I70" s="9"/>
    </row>
    <row r="71" spans="1:9" s="2" customFormat="1" ht="15" customHeight="1">
      <c r="A71" s="7">
        <v>46875</v>
      </c>
      <c r="B71" s="10" t="s">
        <v>4948</v>
      </c>
      <c r="C71" s="9"/>
      <c r="D71" s="9"/>
      <c r="E71" s="9"/>
      <c r="F71" s="9"/>
      <c r="G71" s="9"/>
      <c r="H71" s="9"/>
      <c r="I71" s="9"/>
    </row>
    <row r="72" spans="1:9" s="2" customFormat="1" ht="15" customHeight="1">
      <c r="A72" s="7">
        <v>46876</v>
      </c>
      <c r="B72" s="10" t="s">
        <v>4948</v>
      </c>
      <c r="C72" s="9"/>
      <c r="D72" s="9"/>
      <c r="E72" s="9"/>
      <c r="F72" s="9"/>
      <c r="G72" s="9"/>
      <c r="H72" s="9"/>
      <c r="I72" s="9"/>
    </row>
    <row r="73" spans="1:9" s="2" customFormat="1" ht="15" customHeight="1">
      <c r="A73" s="7">
        <v>46904</v>
      </c>
      <c r="B73" s="8" t="s">
        <v>4973</v>
      </c>
      <c r="C73" s="9"/>
      <c r="D73" s="9"/>
      <c r="E73" s="9"/>
      <c r="F73" s="9"/>
      <c r="G73" s="9"/>
      <c r="H73" s="9"/>
      <c r="I73" s="9"/>
    </row>
    <row r="74" spans="1:9" s="2" customFormat="1" ht="15" customHeight="1">
      <c r="A74" s="7">
        <v>46905</v>
      </c>
      <c r="B74" s="8" t="s">
        <v>4973</v>
      </c>
      <c r="C74" s="9"/>
      <c r="D74" s="9"/>
      <c r="E74" s="9"/>
      <c r="F74" s="9"/>
      <c r="G74" s="9"/>
      <c r="H74" s="9"/>
      <c r="I74" s="9"/>
    </row>
    <row r="75" spans="1:9" s="2" customFormat="1" ht="15" customHeight="1">
      <c r="A75" s="7">
        <v>46906</v>
      </c>
      <c r="B75" s="8" t="s">
        <v>4973</v>
      </c>
      <c r="C75" s="9"/>
      <c r="D75" s="9"/>
      <c r="E75" s="9"/>
      <c r="F75" s="9"/>
      <c r="G75" s="9"/>
      <c r="H75" s="9"/>
      <c r="I75" s="9"/>
    </row>
    <row r="76" spans="1:9" s="2" customFormat="1" ht="15" customHeight="1">
      <c r="A76" s="7">
        <v>47027</v>
      </c>
      <c r="B76" s="8" t="s">
        <v>4974</v>
      </c>
      <c r="C76" s="9"/>
      <c r="D76" s="9"/>
      <c r="E76" s="9"/>
      <c r="F76" s="9"/>
      <c r="G76" s="9"/>
      <c r="H76" s="9"/>
      <c r="I76" s="9"/>
    </row>
    <row r="77" spans="1:9" s="2" customFormat="1" ht="15" customHeight="1">
      <c r="A77" s="7">
        <v>47028</v>
      </c>
      <c r="B77" s="8" t="s">
        <v>4974</v>
      </c>
      <c r="C77" s="9"/>
      <c r="D77" s="9"/>
      <c r="E77" s="9"/>
      <c r="F77" s="9"/>
      <c r="G77" s="9"/>
      <c r="H77" s="9"/>
      <c r="I77" s="9"/>
    </row>
    <row r="78" spans="1:9" s="2" customFormat="1" ht="15" customHeight="1">
      <c r="A78" s="7">
        <v>47029</v>
      </c>
      <c r="B78" s="8" t="s">
        <v>4974</v>
      </c>
      <c r="C78" s="9"/>
      <c r="D78" s="9"/>
      <c r="E78" s="9"/>
      <c r="F78" s="9"/>
      <c r="G78" s="9"/>
      <c r="H78" s="9"/>
      <c r="I78" s="9"/>
    </row>
    <row r="79" spans="1:9" s="2" customFormat="1" ht="15" customHeight="1">
      <c r="A79" s="7">
        <v>47030</v>
      </c>
      <c r="B79" s="8" t="s">
        <v>4974</v>
      </c>
      <c r="C79" s="9"/>
      <c r="D79" s="9"/>
      <c r="E79" s="9"/>
      <c r="F79" s="9"/>
      <c r="G79" s="9"/>
      <c r="H79" s="9"/>
      <c r="I79" s="9"/>
    </row>
    <row r="80" spans="1:9" s="2" customFormat="1" ht="15" customHeight="1">
      <c r="A80" s="7">
        <v>47031</v>
      </c>
      <c r="B80" s="8" t="s">
        <v>4974</v>
      </c>
      <c r="C80" s="9"/>
      <c r="D80" s="9"/>
      <c r="E80" s="9"/>
      <c r="F80" s="9"/>
      <c r="G80" s="9"/>
      <c r="H80" s="9"/>
      <c r="I80" s="9"/>
    </row>
    <row r="81" spans="1:9" s="2" customFormat="1" ht="15" customHeight="1">
      <c r="A81" s="7">
        <v>47032</v>
      </c>
      <c r="B81" s="8" t="s">
        <v>4974</v>
      </c>
      <c r="C81" s="9"/>
      <c r="D81" s="9"/>
      <c r="E81" s="9"/>
      <c r="F81" s="9"/>
      <c r="G81" s="9"/>
      <c r="H81" s="9"/>
      <c r="I81" s="9"/>
    </row>
    <row r="82" spans="1:9" s="2" customFormat="1" ht="15" customHeight="1">
      <c r="A82" s="7">
        <v>47033</v>
      </c>
      <c r="B82" s="8" t="s">
        <v>4974</v>
      </c>
      <c r="C82" s="9"/>
      <c r="D82" s="9"/>
      <c r="E82" s="9"/>
      <c r="F82" s="9"/>
      <c r="G82" s="9"/>
      <c r="H82" s="9"/>
      <c r="I82" s="9"/>
    </row>
  </sheetData>
  <conditionalFormatting sqref="A1:A1048576">
    <cfRule type="duplicateValues" dxfId="78" priority="1"/>
  </conditionalFormatting>
  <conditionalFormatting sqref="A2">
    <cfRule type="duplicateValues" dxfId="77" priority="78"/>
  </conditionalFormatting>
  <conditionalFormatting sqref="A3">
    <cfRule type="duplicateValues" dxfId="76" priority="77"/>
  </conditionalFormatting>
  <conditionalFormatting sqref="A4">
    <cfRule type="duplicateValues" dxfId="75" priority="76"/>
  </conditionalFormatting>
  <conditionalFormatting sqref="A5">
    <cfRule type="duplicateValues" dxfId="74" priority="75"/>
  </conditionalFormatting>
  <conditionalFormatting sqref="A6">
    <cfRule type="duplicateValues" dxfId="73" priority="74"/>
  </conditionalFormatting>
  <conditionalFormatting sqref="A7">
    <cfRule type="duplicateValues" dxfId="72" priority="73"/>
  </conditionalFormatting>
  <conditionalFormatting sqref="A8">
    <cfRule type="duplicateValues" dxfId="71" priority="72"/>
  </conditionalFormatting>
  <conditionalFormatting sqref="A9">
    <cfRule type="duplicateValues" dxfId="70" priority="71"/>
  </conditionalFormatting>
  <conditionalFormatting sqref="A10">
    <cfRule type="duplicateValues" dxfId="69" priority="70"/>
  </conditionalFormatting>
  <conditionalFormatting sqref="A11">
    <cfRule type="duplicateValues" dxfId="68" priority="69"/>
  </conditionalFormatting>
  <conditionalFormatting sqref="A12">
    <cfRule type="duplicateValues" dxfId="67" priority="68"/>
  </conditionalFormatting>
  <conditionalFormatting sqref="A13">
    <cfRule type="duplicateValues" dxfId="66" priority="67"/>
  </conditionalFormatting>
  <conditionalFormatting sqref="A14">
    <cfRule type="duplicateValues" dxfId="65" priority="66"/>
  </conditionalFormatting>
  <conditionalFormatting sqref="A15">
    <cfRule type="duplicateValues" dxfId="64" priority="65"/>
  </conditionalFormatting>
  <conditionalFormatting sqref="A16">
    <cfRule type="duplicateValues" dxfId="63" priority="64"/>
  </conditionalFormatting>
  <conditionalFormatting sqref="A17">
    <cfRule type="duplicateValues" dxfId="62" priority="63"/>
  </conditionalFormatting>
  <conditionalFormatting sqref="A18">
    <cfRule type="duplicateValues" dxfId="61" priority="62"/>
  </conditionalFormatting>
  <conditionalFormatting sqref="A19">
    <cfRule type="duplicateValues" dxfId="60" priority="61"/>
  </conditionalFormatting>
  <conditionalFormatting sqref="A20:A21">
    <cfRule type="duplicateValues" dxfId="59" priority="60"/>
  </conditionalFormatting>
  <conditionalFormatting sqref="A21:A22">
    <cfRule type="duplicateValues" dxfId="58" priority="59"/>
  </conditionalFormatting>
  <conditionalFormatting sqref="A23">
    <cfRule type="duplicateValues" dxfId="57" priority="58"/>
  </conditionalFormatting>
  <conditionalFormatting sqref="A24">
    <cfRule type="duplicateValues" dxfId="56" priority="57"/>
  </conditionalFormatting>
  <conditionalFormatting sqref="A25">
    <cfRule type="duplicateValues" dxfId="55" priority="56"/>
  </conditionalFormatting>
  <conditionalFormatting sqref="A26">
    <cfRule type="duplicateValues" dxfId="54" priority="55"/>
  </conditionalFormatting>
  <conditionalFormatting sqref="A27">
    <cfRule type="duplicateValues" dxfId="53" priority="54"/>
  </conditionalFormatting>
  <conditionalFormatting sqref="A28">
    <cfRule type="duplicateValues" dxfId="52" priority="53"/>
  </conditionalFormatting>
  <conditionalFormatting sqref="A29">
    <cfRule type="duplicateValues" dxfId="51" priority="52"/>
  </conditionalFormatting>
  <conditionalFormatting sqref="A30">
    <cfRule type="duplicateValues" dxfId="50" priority="51"/>
  </conditionalFormatting>
  <conditionalFormatting sqref="A31">
    <cfRule type="duplicateValues" dxfId="49" priority="50"/>
  </conditionalFormatting>
  <conditionalFormatting sqref="A32">
    <cfRule type="duplicateValues" dxfId="48" priority="49"/>
  </conditionalFormatting>
  <conditionalFormatting sqref="A33">
    <cfRule type="duplicateValues" dxfId="47" priority="48"/>
  </conditionalFormatting>
  <conditionalFormatting sqref="A34">
    <cfRule type="duplicateValues" dxfId="46" priority="47"/>
  </conditionalFormatting>
  <conditionalFormatting sqref="A35">
    <cfRule type="duplicateValues" dxfId="45" priority="46"/>
  </conditionalFormatting>
  <conditionalFormatting sqref="A36">
    <cfRule type="duplicateValues" dxfId="44" priority="45"/>
  </conditionalFormatting>
  <conditionalFormatting sqref="A37">
    <cfRule type="duplicateValues" dxfId="43" priority="44"/>
  </conditionalFormatting>
  <conditionalFormatting sqref="A38">
    <cfRule type="duplicateValues" dxfId="42" priority="43"/>
  </conditionalFormatting>
  <conditionalFormatting sqref="A39">
    <cfRule type="duplicateValues" dxfId="41" priority="42"/>
  </conditionalFormatting>
  <conditionalFormatting sqref="A40">
    <cfRule type="duplicateValues" dxfId="40" priority="41"/>
  </conditionalFormatting>
  <conditionalFormatting sqref="A41">
    <cfRule type="duplicateValues" dxfId="39" priority="40"/>
  </conditionalFormatting>
  <conditionalFormatting sqref="A42">
    <cfRule type="duplicateValues" dxfId="38" priority="39"/>
  </conditionalFormatting>
  <conditionalFormatting sqref="A43">
    <cfRule type="duplicateValues" dxfId="37" priority="38"/>
  </conditionalFormatting>
  <conditionalFormatting sqref="A44">
    <cfRule type="duplicateValues" dxfId="36" priority="37"/>
  </conditionalFormatting>
  <conditionalFormatting sqref="A45">
    <cfRule type="duplicateValues" dxfId="35" priority="36"/>
  </conditionalFormatting>
  <conditionalFormatting sqref="A46">
    <cfRule type="duplicateValues" dxfId="34" priority="35"/>
  </conditionalFormatting>
  <conditionalFormatting sqref="A47">
    <cfRule type="duplicateValues" dxfId="33" priority="34"/>
  </conditionalFormatting>
  <conditionalFormatting sqref="A48:A49">
    <cfRule type="duplicateValues" dxfId="32" priority="33"/>
  </conditionalFormatting>
  <conditionalFormatting sqref="A49:A50">
    <cfRule type="duplicateValues" dxfId="31" priority="32"/>
  </conditionalFormatting>
  <conditionalFormatting sqref="A51">
    <cfRule type="duplicateValues" dxfId="30" priority="31"/>
  </conditionalFormatting>
  <conditionalFormatting sqref="A52">
    <cfRule type="duplicateValues" dxfId="29" priority="30"/>
  </conditionalFormatting>
  <conditionalFormatting sqref="A53">
    <cfRule type="duplicateValues" dxfId="28" priority="29"/>
  </conditionalFormatting>
  <conditionalFormatting sqref="A54">
    <cfRule type="duplicateValues" dxfId="27" priority="28"/>
  </conditionalFormatting>
  <conditionalFormatting sqref="A55">
    <cfRule type="duplicateValues" dxfId="26" priority="27"/>
  </conditionalFormatting>
  <conditionalFormatting sqref="A56">
    <cfRule type="duplicateValues" dxfId="25" priority="26"/>
  </conditionalFormatting>
  <conditionalFormatting sqref="A57">
    <cfRule type="duplicateValues" dxfId="24" priority="25"/>
  </conditionalFormatting>
  <conditionalFormatting sqref="A58">
    <cfRule type="duplicateValues" dxfId="23" priority="24"/>
  </conditionalFormatting>
  <conditionalFormatting sqref="A59">
    <cfRule type="duplicateValues" dxfId="22" priority="23"/>
  </conditionalFormatting>
  <conditionalFormatting sqref="A60">
    <cfRule type="duplicateValues" dxfId="21" priority="22"/>
  </conditionalFormatting>
  <conditionalFormatting sqref="A61">
    <cfRule type="duplicateValues" dxfId="20" priority="21"/>
  </conditionalFormatting>
  <conditionalFormatting sqref="A62">
    <cfRule type="duplicateValues" dxfId="19" priority="20"/>
  </conditionalFormatting>
  <conditionalFormatting sqref="A63">
    <cfRule type="duplicateValues" dxfId="18" priority="19"/>
  </conditionalFormatting>
  <conditionalFormatting sqref="A64">
    <cfRule type="duplicateValues" dxfId="17" priority="18"/>
  </conditionalFormatting>
  <conditionalFormatting sqref="A65">
    <cfRule type="duplicateValues" dxfId="16" priority="17"/>
  </conditionalFormatting>
  <conditionalFormatting sqref="A66">
    <cfRule type="duplicateValues" dxfId="15" priority="16"/>
  </conditionalFormatting>
  <conditionalFormatting sqref="A67">
    <cfRule type="duplicateValues" dxfId="14" priority="15"/>
  </conditionalFormatting>
  <conditionalFormatting sqref="A68">
    <cfRule type="duplicateValues" dxfId="13" priority="14"/>
  </conditionalFormatting>
  <conditionalFormatting sqref="A69">
    <cfRule type="duplicateValues" dxfId="12" priority="13"/>
  </conditionalFormatting>
  <conditionalFormatting sqref="A70">
    <cfRule type="duplicateValues" dxfId="11" priority="12"/>
  </conditionalFormatting>
  <conditionalFormatting sqref="A71">
    <cfRule type="duplicateValues" dxfId="10" priority="11"/>
  </conditionalFormatting>
  <conditionalFormatting sqref="A72">
    <cfRule type="duplicateValues" dxfId="9" priority="10"/>
  </conditionalFormatting>
  <conditionalFormatting sqref="A73">
    <cfRule type="duplicateValues" dxfId="8" priority="9"/>
  </conditionalFormatting>
  <conditionalFormatting sqref="A74">
    <cfRule type="duplicateValues" dxfId="7" priority="8"/>
  </conditionalFormatting>
  <conditionalFormatting sqref="A75">
    <cfRule type="duplicateValues" dxfId="6" priority="7"/>
  </conditionalFormatting>
  <conditionalFormatting sqref="A76">
    <cfRule type="duplicateValues" dxfId="5" priority="6"/>
  </conditionalFormatting>
  <conditionalFormatting sqref="A77">
    <cfRule type="duplicateValues" dxfId="4" priority="5"/>
  </conditionalFormatting>
  <conditionalFormatting sqref="A78">
    <cfRule type="duplicateValues" dxfId="3" priority="4"/>
  </conditionalFormatting>
  <conditionalFormatting sqref="A79">
    <cfRule type="duplicateValues" dxfId="2" priority="3"/>
  </conditionalFormatting>
  <conditionalFormatting sqref="A80:A82">
    <cfRule type="duplicateValues" dxfId="1" priority="2"/>
  </conditionalFormatting>
  <conditionalFormatting sqref="A83:A1048576 A1">
    <cfRule type="duplicateValues" dxfId="0" priority="79"/>
  </conditionalFormatting>
  <pageMargins left="0.7" right="0.7" top="0.75" bottom="0.75" header="0.3" footer="0.3"/>
  <pageSetup paperSize="9" scale="3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8" master="" otherUserPermission="visible"/>
  <rangeList sheetStid="7" master="" otherUserPermission="visible"/>
  <rangeList sheetStid="1" master="" otherUserPermission="visible"/>
  <rangeList sheetStid="2" master="" otherUserPermission="visible">
    <arrUserId title="区域1" rangeCreator="" othersAccessPermission="edit"/>
  </rangeList>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PSR Overall Cycle</vt:lpstr>
      <vt:lpstr>Sheet1</vt:lpstr>
      <vt:lpstr>P6</vt:lpstr>
      <vt:lpstr>Before Award</vt:lpstr>
      <vt:lpstr>After Award</vt:lpstr>
      <vt:lpstr>Thai Holidays</vt:lpstr>
      <vt:lpstr>China Holidays</vt:lpstr>
      <vt:lpstr>'Before Award'!Print_Area</vt:lpstr>
      <vt:lpstr>'China Holidays'!Print_Area</vt:lpstr>
      <vt:lpstr>'PSR Overall Cycle'!Print_Area</vt:lpstr>
      <vt:lpstr>'Thai Holidays'!Print_Area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Phornlert Wana</cp:lastModifiedBy>
  <cp:lastPrinted>2026-03-19T03:18:00Z</cp:lastPrinted>
  <dcterms:created xsi:type="dcterms:W3CDTF">2015-06-05T18:17:00Z</dcterms:created>
  <dcterms:modified xsi:type="dcterms:W3CDTF">2026-07-06T16:46:42Z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2026-04-05T09:52:33Z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250cffe7-b58f-451a-bea2-dd0a148ca778</vt:lpwstr>
  </property>
  <property fmtid="{D5CDD505-2E9C-101B-9397-08002B2CF9AE}" pid="7" name="MSIP_Label_defa4170-0d19-0005-0004-bc88714345d2_ActionId">
    <vt:lpwstr>4d9c9d41-b7fc-46e5-8f6c-fd76e24265bf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ICV">
    <vt:lpwstr>2923B89E1E294CDA97F91ADB6C349115_13</vt:lpwstr>
  </property>
  <property fmtid="{D5CDD505-2E9C-101B-9397-08002B2CF9AE}" pid="11" name="KSOProductBuildVer">
    <vt:lpwstr>2052-12.1.0.26895</vt:lpwstr>
  </property>
  <property fmtid="{D5CDD505-2E9C-101B-9397-08002B2CF9AE}" pid="12" name="CalculationRule">
    <vt:i4>0</vt:i4>
  </property>
</Properties>
</file>
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AWTIKA\Project meeting\Procurement Weekly Meeting\2026.9.18\"/>
    </mc:Choice>
  </mc:AlternateContent>
  <xr:revisionPtr revIDLastSave="0" documentId="13_ncr:1_{6DC86D8A-DA04-45A0-B9AA-2A9F6C42209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R" sheetId="1" r:id="rId1"/>
    <sheet name="Brownfield" sheetId="19" r:id="rId2"/>
    <sheet name="Future Well" sheetId="20" r:id="rId3"/>
    <sheet name="Thai Holidays" sheetId="3" r:id="rId4"/>
    <sheet name="China Holidays" sheetId="4" r:id="rId5"/>
  </sheets>
  <externalReferences>
    <externalReference r:id="rId6"/>
  </externalReferences>
  <definedNames>
    <definedName name="_xlnm._FilterDatabase" localSheetId="0" hidden="1">PSR!$A$10:$BI$445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438" i="1" l="1"/>
  <c r="AF420" i="1"/>
  <c r="AF181" i="1"/>
  <c r="AP145" i="1"/>
  <c r="AR22" i="1"/>
  <c r="AD202" i="1"/>
  <c r="Y202" i="1"/>
  <c r="Y294" i="1" l="1"/>
  <c r="AA294" i="1" s="1"/>
  <c r="AP420" i="1"/>
  <c r="AK420" i="1" s="1"/>
  <c r="AH420" i="1"/>
  <c r="A16" i="20"/>
  <c r="AP16" i="20"/>
  <c r="AP14" i="20"/>
  <c r="AR13" i="20" s="1"/>
  <c r="AO14" i="20"/>
  <c r="BE10" i="20"/>
  <c r="BE10" i="19"/>
  <c r="Y139" i="1"/>
  <c r="AE123" i="1"/>
  <c r="AA74" i="1"/>
  <c r="Y74" i="1"/>
  <c r="AF23" i="1"/>
  <c r="AR16" i="20" l="1"/>
  <c r="AP205" i="1"/>
  <c r="X223" i="1" l="1"/>
  <c r="X232" i="1"/>
  <c r="X229" i="1"/>
  <c r="X226" i="1"/>
  <c r="X214" i="1"/>
  <c r="Y211" i="1"/>
  <c r="AD185" i="1"/>
  <c r="AE184" i="1" s="1"/>
  <c r="AO80" i="1"/>
  <c r="Y80" i="1"/>
  <c r="Y77" i="1"/>
  <c r="AN432" i="1" l="1"/>
  <c r="AE432" i="1"/>
  <c r="AF432" i="1" s="1"/>
  <c r="AG435" i="1"/>
  <c r="T259" i="1"/>
  <c r="X253" i="1"/>
  <c r="Y253" i="1" s="1"/>
  <c r="AA253" i="1" s="1"/>
  <c r="AB253" i="1" s="1"/>
  <c r="AC253" i="1" s="1"/>
  <c r="AD253" i="1" s="1"/>
  <c r="AE253" i="1" s="1"/>
  <c r="AF253" i="1" s="1"/>
  <c r="X250" i="1"/>
  <c r="X244" i="1"/>
  <c r="X241" i="1"/>
  <c r="X238" i="1"/>
  <c r="X235" i="1"/>
  <c r="X220" i="1"/>
  <c r="AD205" i="1"/>
  <c r="AD208" i="1" s="1"/>
  <c r="AB202" i="1"/>
  <c r="AC202" i="1" s="1"/>
  <c r="AB139" i="1"/>
  <c r="AC139" i="1" s="1"/>
  <c r="AE132" i="1"/>
  <c r="AF132" i="1" s="1"/>
  <c r="AE129" i="1"/>
  <c r="AF129" i="1" s="1"/>
  <c r="AF123" i="1"/>
  <c r="AK107" i="1"/>
  <c r="AL107" i="1" s="1"/>
  <c r="AM107" i="1" s="1"/>
  <c r="AH107" i="1"/>
  <c r="AG107" i="1"/>
  <c r="AF107" i="1"/>
  <c r="AE107" i="1"/>
  <c r="AD107" i="1"/>
  <c r="AC107" i="1"/>
  <c r="AB107" i="1"/>
  <c r="AA107" i="1"/>
  <c r="AR106" i="1"/>
  <c r="Y83" i="1"/>
  <c r="Z83" i="1" s="1"/>
  <c r="AE47" i="1"/>
  <c r="AE65" i="1"/>
  <c r="AE71" i="1"/>
  <c r="AE56" i="1"/>
  <c r="AD120" i="1"/>
  <c r="AP411" i="1"/>
  <c r="AF411" i="1"/>
  <c r="AE26" i="1"/>
  <c r="Y291" i="1" l="1"/>
  <c r="AR437" i="1"/>
  <c r="AE38" i="1"/>
  <c r="AB74" i="1" l="1"/>
  <c r="AC74" i="1" s="1"/>
  <c r="X271" i="1" l="1"/>
  <c r="AP435" i="1"/>
  <c r="AK435" i="1" s="1"/>
  <c r="AL435" i="1"/>
  <c r="AH435" i="1"/>
  <c r="AM435" i="1" l="1"/>
  <c r="AJ435" i="1"/>
  <c r="AI435" i="1" s="1"/>
  <c r="AR434" i="1"/>
  <c r="AR419" i="1"/>
  <c r="AP117" i="1"/>
  <c r="AP123" i="1"/>
  <c r="AP114" i="1"/>
  <c r="AP120" i="1"/>
  <c r="AR119" i="1" s="1"/>
  <c r="AA405" i="1"/>
  <c r="AA408" i="1"/>
  <c r="AA399" i="1"/>
  <c r="AB399" i="1" s="1"/>
  <c r="AF423" i="1"/>
  <c r="AG423" i="1" s="1"/>
  <c r="AH423" i="1" s="1"/>
  <c r="AN398" i="1"/>
  <c r="AA214" i="1"/>
  <c r="AD199" i="1"/>
  <c r="X193" i="1"/>
  <c r="AE187" i="1"/>
  <c r="AA166" i="1"/>
  <c r="AA172" i="1"/>
  <c r="AE169" i="1"/>
  <c r="AN145" i="1"/>
  <c r="AO145" i="1" s="1"/>
  <c r="AO133" i="1"/>
  <c r="AP133" i="1" s="1"/>
  <c r="AO132" i="1"/>
  <c r="AP132" i="1" s="1"/>
  <c r="X41" i="1"/>
  <c r="AO424" i="1"/>
  <c r="AO425" i="1"/>
  <c r="AO426" i="1"/>
  <c r="AO423" i="1"/>
  <c r="AP424" i="1"/>
  <c r="AR424" i="1" s="1"/>
  <c r="AP425" i="1"/>
  <c r="AR425" i="1" s="1"/>
  <c r="AP426" i="1"/>
  <c r="AR426" i="1" s="1"/>
  <c r="AP423" i="1"/>
  <c r="AR423" i="1" s="1"/>
  <c r="AO432" i="1"/>
  <c r="AL432" i="1"/>
  <c r="AG432" i="1"/>
  <c r="AH432" i="1" s="1"/>
  <c r="AO431" i="1"/>
  <c r="AP432" i="1" s="1"/>
  <c r="AR428" i="1"/>
  <c r="AO428" i="1"/>
  <c r="AL423" i="1"/>
  <c r="AO422" i="1"/>
  <c r="AL420" i="1"/>
  <c r="AJ420" i="1"/>
  <c r="AI420" i="1" s="1"/>
  <c r="AR131" i="1" l="1"/>
  <c r="AK132" i="1"/>
  <c r="AL132" i="1" s="1"/>
  <c r="AM132" i="1" s="1"/>
  <c r="AR122" i="1"/>
  <c r="AK123" i="1"/>
  <c r="AL123" i="1" s="1"/>
  <c r="AM123" i="1" s="1"/>
  <c r="AC399" i="1"/>
  <c r="AD399" i="1" s="1"/>
  <c r="AE399" i="1" s="1"/>
  <c r="AK423" i="1"/>
  <c r="AJ423" i="1" s="1"/>
  <c r="AI423" i="1" s="1"/>
  <c r="AR431" i="1"/>
  <c r="AK432" i="1"/>
  <c r="AJ432" i="1" s="1"/>
  <c r="AI432" i="1" s="1"/>
  <c r="AM420" i="1"/>
  <c r="AM423" i="1" l="1"/>
  <c r="AM432" i="1"/>
  <c r="AP416" i="1" l="1"/>
  <c r="AN416" i="1"/>
  <c r="AP413" i="1"/>
  <c r="AN413" i="1"/>
  <c r="AO440" i="1"/>
  <c r="AR440" i="1"/>
  <c r="R441" i="1"/>
  <c r="AK441" i="1"/>
  <c r="AM441" i="1" s="1"/>
  <c r="AL441" i="1"/>
  <c r="AP410" i="1"/>
  <c r="AN410" i="1"/>
  <c r="AP407" i="1"/>
  <c r="AN407" i="1"/>
  <c r="AP404" i="1"/>
  <c r="AN404" i="1"/>
  <c r="AA402" i="1"/>
  <c r="AP401" i="1"/>
  <c r="AN401" i="1"/>
  <c r="AP398" i="1"/>
  <c r="R265" i="1"/>
  <c r="R262" i="1"/>
  <c r="AP208" i="1"/>
  <c r="AP199" i="1"/>
  <c r="AP196" i="1"/>
  <c r="AP190" i="1"/>
  <c r="AP187" i="1"/>
  <c r="AR186" i="1" s="1"/>
  <c r="AP184" i="1"/>
  <c r="AP160" i="1"/>
  <c r="AP157" i="1"/>
  <c r="AP154" i="1"/>
  <c r="AP151" i="1"/>
  <c r="AP181" i="1"/>
  <c r="AP417" i="1" l="1"/>
  <c r="AB417" i="1"/>
  <c r="AC417" i="1" s="1"/>
  <c r="AD417" i="1" s="1"/>
  <c r="AE417" i="1" s="1"/>
  <c r="AF417" i="1" s="1"/>
  <c r="AG417" i="1" s="1"/>
  <c r="AH417" i="1" s="1"/>
  <c r="AP414" i="1"/>
  <c r="AB414" i="1"/>
  <c r="AC414" i="1" s="1"/>
  <c r="AD414" i="1" s="1"/>
  <c r="AE414" i="1" s="1"/>
  <c r="AF414" i="1" s="1"/>
  <c r="AG414" i="1" s="1"/>
  <c r="AH414" i="1" s="1"/>
  <c r="AP441" i="1"/>
  <c r="AB441" i="1"/>
  <c r="AC441" i="1" s="1"/>
  <c r="AD441" i="1" s="1"/>
  <c r="AE441" i="1" s="1"/>
  <c r="AF441" i="1" s="1"/>
  <c r="AG441" i="1" s="1"/>
  <c r="AH441" i="1" s="1"/>
  <c r="AJ441" i="1"/>
  <c r="AI441" i="1" s="1"/>
  <c r="AP402" i="1"/>
  <c r="AB402" i="1"/>
  <c r="AC402" i="1" s="1"/>
  <c r="AD402" i="1" s="1"/>
  <c r="AE402" i="1" s="1"/>
  <c r="AF402" i="1" s="1"/>
  <c r="AG402" i="1" s="1"/>
  <c r="AH402" i="1" s="1"/>
  <c r="AP399" i="1"/>
  <c r="AF399" i="1"/>
  <c r="AG399" i="1" s="1"/>
  <c r="AH399" i="1" s="1"/>
  <c r="AO92" i="1"/>
  <c r="AE68" i="1"/>
  <c r="AP68" i="1"/>
  <c r="AP71" i="1"/>
  <c r="AP65" i="1"/>
  <c r="AP56" i="1"/>
  <c r="AP53" i="1"/>
  <c r="AR52" i="1" s="1"/>
  <c r="AP50" i="1"/>
  <c r="AP47" i="1"/>
  <c r="AP38" i="1"/>
  <c r="AP29" i="1"/>
  <c r="AP32" i="1"/>
  <c r="AP20" i="1"/>
  <c r="AP17" i="1"/>
  <c r="AR17" i="1" s="1"/>
  <c r="AP15" i="1"/>
  <c r="AR15" i="1" s="1"/>
  <c r="AP16" i="1"/>
  <c r="AR16" i="1" s="1"/>
  <c r="AP14" i="1"/>
  <c r="AR14" i="1" s="1"/>
  <c r="AO17" i="1"/>
  <c r="AO16" i="1"/>
  <c r="AO15" i="1"/>
  <c r="AK417" i="1" l="1"/>
  <c r="AR416" i="1"/>
  <c r="AK414" i="1"/>
  <c r="AR413" i="1"/>
  <c r="AR401" i="1"/>
  <c r="AK402" i="1"/>
  <c r="AK399" i="1"/>
  <c r="AR398" i="1"/>
  <c r="AO38" i="1"/>
  <c r="AM417" i="1" l="1"/>
  <c r="AL417" i="1"/>
  <c r="AJ417" i="1"/>
  <c r="AI417" i="1" s="1"/>
  <c r="AM414" i="1"/>
  <c r="AL414" i="1"/>
  <c r="AJ414" i="1"/>
  <c r="AI414" i="1" s="1"/>
  <c r="AJ402" i="1"/>
  <c r="AI402" i="1" s="1"/>
  <c r="AM402" i="1"/>
  <c r="AL402" i="1"/>
  <c r="AM399" i="1"/>
  <c r="AL399" i="1"/>
  <c r="AJ399" i="1"/>
  <c r="AI399" i="1" s="1"/>
  <c r="AO208" i="1"/>
  <c r="AO205" i="1"/>
  <c r="AP92" i="1" l="1"/>
  <c r="Y86" i="1"/>
  <c r="AR180" i="1" l="1"/>
  <c r="U396" i="1" l="1"/>
  <c r="T396" i="1"/>
  <c r="AE53" i="1"/>
  <c r="AE50" i="1"/>
  <c r="X44" i="1"/>
  <c r="AO50" i="1" l="1"/>
  <c r="AO65" i="1"/>
  <c r="AO71" i="1"/>
  <c r="AM297" i="1" l="1"/>
  <c r="AA444" i="1" l="1"/>
  <c r="X444" i="1"/>
  <c r="Y444" i="1"/>
  <c r="AR443" i="1"/>
  <c r="AO443" i="1"/>
  <c r="AP277" i="1"/>
  <c r="AK274" i="1"/>
  <c r="AJ274" i="1" s="1"/>
  <c r="AI274" i="1" s="1"/>
  <c r="AP444" i="1" l="1"/>
  <c r="AB444" i="1"/>
  <c r="AC444" i="1" s="1"/>
  <c r="AD444" i="1" s="1"/>
  <c r="AE444" i="1" s="1"/>
  <c r="AF444" i="1" s="1"/>
  <c r="AG444" i="1" s="1"/>
  <c r="AH444" i="1" s="1"/>
  <c r="AI444" i="1" s="1"/>
  <c r="AJ444" i="1" s="1"/>
  <c r="AK444" i="1" s="1"/>
  <c r="AL444" i="1" s="1"/>
  <c r="AM444" i="1" s="1"/>
  <c r="Y235" i="1"/>
  <c r="Y41" i="1"/>
  <c r="AA211" i="1" l="1"/>
  <c r="AJ309" i="1" l="1"/>
  <c r="AI309" i="1"/>
  <c r="AJ306" i="1"/>
  <c r="V396" i="1"/>
  <c r="W396" i="1" s="1"/>
  <c r="X396" i="1" s="1"/>
  <c r="Y396" i="1" s="1"/>
  <c r="AA396" i="1" s="1"/>
  <c r="AA291" i="1"/>
  <c r="AB291" i="1" s="1"/>
  <c r="AO201" i="1"/>
  <c r="AP202" i="1" s="1"/>
  <c r="AK202" i="1" s="1"/>
  <c r="AL202" i="1" s="1"/>
  <c r="AM202" i="1" s="1"/>
  <c r="AA201" i="1"/>
  <c r="AB201" i="1" s="1"/>
  <c r="AF35" i="1"/>
  <c r="AK35" i="1"/>
  <c r="AJ35" i="1" s="1"/>
  <c r="AK23" i="1"/>
  <c r="AJ23" i="1" s="1"/>
  <c r="AK29" i="1"/>
  <c r="AJ29" i="1" s="1"/>
  <c r="AP26" i="1"/>
  <c r="AK14" i="1"/>
  <c r="AJ14" i="1" s="1"/>
  <c r="AO14" i="1"/>
  <c r="AK26" i="1"/>
  <c r="AC291" i="1" l="1"/>
  <c r="AD291" i="1" s="1"/>
  <c r="AE291" i="1" s="1"/>
  <c r="AP74" i="1"/>
  <c r="AP396" i="1"/>
  <c r="AK396" i="1" s="1"/>
  <c r="AB396" i="1"/>
  <c r="AC396" i="1" s="1"/>
  <c r="AD396" i="1" s="1"/>
  <c r="AE396" i="1" s="1"/>
  <c r="AC201" i="1"/>
  <c r="AF396" i="1" l="1"/>
  <c r="AG396" i="1" s="1"/>
  <c r="AH396" i="1" s="1"/>
  <c r="AJ396" i="1"/>
  <c r="AI396" i="1" s="1"/>
  <c r="AM396" i="1"/>
  <c r="AL396" i="1"/>
  <c r="AJ202" i="1" l="1"/>
  <c r="AI202" i="1" s="1"/>
  <c r="AE202" i="1"/>
  <c r="AF202" i="1" s="1"/>
  <c r="AG202" i="1" s="1"/>
  <c r="AH202" i="1" s="1"/>
  <c r="AR201" i="1" l="1"/>
  <c r="AO32" i="1" l="1"/>
  <c r="AO29" i="1"/>
  <c r="AK32" i="1" l="1"/>
  <c r="AP378" i="1" l="1"/>
  <c r="AR377" i="1" s="1"/>
  <c r="AP377" i="1"/>
  <c r="AP375" i="1"/>
  <c r="AR374" i="1" s="1"/>
  <c r="AP374" i="1"/>
  <c r="AP372" i="1"/>
  <c r="AR371" i="1" s="1"/>
  <c r="AP371" i="1"/>
  <c r="AP369" i="1"/>
  <c r="AR368" i="1" s="1"/>
  <c r="AP368" i="1"/>
  <c r="AP366" i="1"/>
  <c r="AR365" i="1" s="1"/>
  <c r="AP365" i="1"/>
  <c r="AP363" i="1"/>
  <c r="AR362" i="1" s="1"/>
  <c r="AP362" i="1"/>
  <c r="AP360" i="1"/>
  <c r="AR359" i="1" s="1"/>
  <c r="AP357" i="1"/>
  <c r="AP354" i="1"/>
  <c r="AR353" i="1" s="1"/>
  <c r="AP351" i="1"/>
  <c r="AR350" i="1" s="1"/>
  <c r="AP348" i="1"/>
  <c r="AR347" i="1" s="1"/>
  <c r="AP345" i="1"/>
  <c r="AR344" i="1" s="1"/>
  <c r="AP342" i="1"/>
  <c r="AR341" i="1" s="1"/>
  <c r="AP339" i="1"/>
  <c r="AR338" i="1" s="1"/>
  <c r="AP356" i="1"/>
  <c r="AP353" i="1"/>
  <c r="AP350" i="1"/>
  <c r="AP347" i="1"/>
  <c r="AP344" i="1"/>
  <c r="AP341" i="1"/>
  <c r="AO160" i="1"/>
  <c r="AO157" i="1"/>
  <c r="AO154" i="1"/>
  <c r="AH104" i="1"/>
  <c r="AG104" i="1"/>
  <c r="AF104" i="1"/>
  <c r="AE104" i="1"/>
  <c r="AD104" i="1"/>
  <c r="AC104" i="1"/>
  <c r="AB104" i="1"/>
  <c r="AA104" i="1"/>
  <c r="AP104" i="1" s="1"/>
  <c r="AR356" i="1" l="1"/>
  <c r="X136" i="1"/>
  <c r="BD140" i="1"/>
  <c r="BC140" i="1"/>
  <c r="BB140" i="1"/>
  <c r="BA140" i="1"/>
  <c r="AZ140" i="1"/>
  <c r="AY140" i="1"/>
  <c r="AX140" i="1"/>
  <c r="AW140" i="1"/>
  <c r="AV140" i="1"/>
  <c r="AU140" i="1"/>
  <c r="BD139" i="1"/>
  <c r="BC139" i="1"/>
  <c r="BB139" i="1"/>
  <c r="BA139" i="1"/>
  <c r="AZ139" i="1"/>
  <c r="AY139" i="1"/>
  <c r="AX139" i="1"/>
  <c r="AW139" i="1"/>
  <c r="AV139" i="1"/>
  <c r="AU139" i="1"/>
  <c r="AM139" i="1"/>
  <c r="AL139" i="1"/>
  <c r="BD138" i="1"/>
  <c r="BC138" i="1"/>
  <c r="BB138" i="1"/>
  <c r="BA138" i="1"/>
  <c r="AZ138" i="1"/>
  <c r="AY138" i="1"/>
  <c r="AX138" i="1"/>
  <c r="AW138" i="1"/>
  <c r="AV138" i="1"/>
  <c r="AU138" i="1"/>
  <c r="AP139" i="1" l="1"/>
  <c r="AK139" i="1" s="1"/>
  <c r="AJ139" i="1" s="1"/>
  <c r="AI139" i="1" s="1"/>
  <c r="AD139" i="1" l="1"/>
  <c r="AE139" i="1" s="1"/>
  <c r="AF139" i="1" s="1"/>
  <c r="AG139" i="1" s="1"/>
  <c r="AH139" i="1" s="1"/>
  <c r="AR138" i="1"/>
  <c r="AA41" i="1" l="1"/>
  <c r="AB41" i="1" s="1"/>
  <c r="AC41" i="1" s="1"/>
  <c r="AD41" i="1" s="1"/>
  <c r="AE41" i="1" s="1"/>
  <c r="AO151" i="1" l="1"/>
  <c r="A64" i="1" l="1"/>
  <c r="AA275" i="1" l="1"/>
  <c r="X126" i="1"/>
  <c r="AK181" i="1" l="1"/>
  <c r="AP395" i="1" l="1"/>
  <c r="AP393" i="1"/>
  <c r="AP392" i="1"/>
  <c r="AP390" i="1"/>
  <c r="AP389" i="1"/>
  <c r="AP291" i="1"/>
  <c r="AR290" i="1" s="1"/>
  <c r="AP285" i="1"/>
  <c r="AN284" i="1"/>
  <c r="AP284" i="1"/>
  <c r="AR168" i="1"/>
  <c r="AP41" i="1"/>
  <c r="AR40" i="1" s="1"/>
  <c r="AP314" i="1" l="1"/>
  <c r="AP317" i="1"/>
  <c r="AP320" i="1"/>
  <c r="AP323" i="1"/>
  <c r="AP326" i="1"/>
  <c r="AP329" i="1"/>
  <c r="AP332" i="1"/>
  <c r="AP335" i="1"/>
  <c r="AP336" i="1" s="1"/>
  <c r="AR335" i="1" l="1"/>
  <c r="AR332" i="1"/>
  <c r="AR329" i="1"/>
  <c r="AR326" i="1"/>
  <c r="AR323" i="1"/>
  <c r="AR320" i="1"/>
  <c r="AR317" i="1"/>
  <c r="AE114" i="1" l="1"/>
  <c r="AF114" i="1" s="1"/>
  <c r="AP384" i="1" l="1"/>
  <c r="AR383" i="1" s="1"/>
  <c r="AP381" i="1"/>
  <c r="AR380" i="1" s="1"/>
  <c r="AP380" i="1"/>
  <c r="AR314" i="1" l="1"/>
  <c r="AR311" i="1"/>
  <c r="AR308" i="1"/>
  <c r="AR305" i="1"/>
  <c r="AR302" i="1"/>
  <c r="AR299" i="1"/>
  <c r="X62" i="1" l="1"/>
  <c r="AN395" i="1" l="1"/>
  <c r="AN392" i="1"/>
  <c r="AN389" i="1"/>
  <c r="AP294" i="1"/>
  <c r="X163" i="1"/>
  <c r="AA142" i="1"/>
  <c r="X59" i="1" l="1"/>
  <c r="AR25" i="1" l="1"/>
  <c r="AK20" i="1"/>
  <c r="AO181" i="1"/>
  <c r="X256" i="1" l="1"/>
  <c r="Y220" i="1"/>
  <c r="AA217" i="1"/>
  <c r="AR28" i="1" l="1"/>
  <c r="AP387" i="1" l="1"/>
  <c r="AR386" i="1" s="1"/>
  <c r="BD102" i="1" l="1"/>
  <c r="BC102" i="1"/>
  <c r="BB102" i="1"/>
  <c r="BA102" i="1"/>
  <c r="AZ102" i="1"/>
  <c r="AY102" i="1"/>
  <c r="AX102" i="1"/>
  <c r="AW102" i="1"/>
  <c r="AV102" i="1"/>
  <c r="AU102" i="1"/>
  <c r="BD101" i="1"/>
  <c r="BC101" i="1"/>
  <c r="BB101" i="1"/>
  <c r="BA101" i="1"/>
  <c r="AZ101" i="1"/>
  <c r="AY101" i="1"/>
  <c r="AX101" i="1"/>
  <c r="AW101" i="1"/>
  <c r="AV101" i="1"/>
  <c r="AU101" i="1"/>
  <c r="BD100" i="1"/>
  <c r="BC100" i="1"/>
  <c r="BB100" i="1"/>
  <c r="BA100" i="1"/>
  <c r="AZ100" i="1"/>
  <c r="AY100" i="1"/>
  <c r="AX100" i="1"/>
  <c r="AW100" i="1"/>
  <c r="AV100" i="1"/>
  <c r="AU100" i="1"/>
  <c r="T111" i="1" l="1"/>
  <c r="U111" i="1" s="1"/>
  <c r="AJ20" i="1" l="1"/>
  <c r="AI20" i="1" s="1"/>
  <c r="V111" i="1"/>
  <c r="W111" i="1" s="1"/>
  <c r="X111" i="1" s="1"/>
  <c r="Y111" i="1" s="1"/>
  <c r="AA111" i="1" s="1"/>
  <c r="AB111" i="1" l="1"/>
  <c r="AC111" i="1" s="1"/>
  <c r="AD111" i="1" s="1"/>
  <c r="AE111" i="1" s="1"/>
  <c r="AF111" i="1" s="1"/>
  <c r="AG111" i="1" s="1"/>
  <c r="AH111" i="1" s="1"/>
  <c r="Y44" i="1" l="1"/>
  <c r="AA44" i="1" s="1"/>
  <c r="AP44" i="1" s="1"/>
  <c r="AR34" i="1"/>
  <c r="AE145" i="1" l="1"/>
  <c r="AF145" i="1" s="1"/>
  <c r="AB44" i="1"/>
  <c r="AF20" i="1" l="1"/>
  <c r="BD146" i="1" l="1"/>
  <c r="BC146" i="1"/>
  <c r="BB146" i="1"/>
  <c r="BA146" i="1"/>
  <c r="AZ146" i="1"/>
  <c r="AY146" i="1"/>
  <c r="AX146" i="1"/>
  <c r="AW146" i="1"/>
  <c r="AV146" i="1"/>
  <c r="AU146" i="1"/>
  <c r="BD145" i="1"/>
  <c r="BC145" i="1"/>
  <c r="BB145" i="1"/>
  <c r="BA145" i="1"/>
  <c r="AZ145" i="1"/>
  <c r="AY145" i="1"/>
  <c r="AX145" i="1"/>
  <c r="AW145" i="1"/>
  <c r="AV145" i="1"/>
  <c r="AU145" i="1"/>
  <c r="AM145" i="1"/>
  <c r="AL145" i="1"/>
  <c r="BD144" i="1"/>
  <c r="BC144" i="1"/>
  <c r="BB144" i="1"/>
  <c r="BA144" i="1"/>
  <c r="AZ144" i="1"/>
  <c r="AY144" i="1"/>
  <c r="AX144" i="1"/>
  <c r="AW144" i="1"/>
  <c r="AV144" i="1"/>
  <c r="AU144" i="1"/>
  <c r="AG145" i="1" l="1"/>
  <c r="AH145" i="1" s="1"/>
  <c r="AR144" i="1" l="1"/>
  <c r="AK145" i="1"/>
  <c r="AJ145" i="1" s="1"/>
  <c r="AI145" i="1" s="1"/>
  <c r="V256" i="1"/>
  <c r="W256" i="1" s="1"/>
  <c r="Y256" i="1" s="1"/>
  <c r="AA256" i="1" s="1"/>
  <c r="AB256" i="1" s="1"/>
  <c r="AC256" i="1" s="1"/>
  <c r="AD256" i="1" s="1"/>
  <c r="AE256" i="1" s="1"/>
  <c r="AL181" i="1" l="1"/>
  <c r="AG181" i="1"/>
  <c r="AH181" i="1" s="1"/>
  <c r="AR284" i="1" l="1"/>
  <c r="AP256" i="1"/>
  <c r="AK256" i="1" s="1"/>
  <c r="AA220" i="1"/>
  <c r="AB220" i="1" s="1"/>
  <c r="AC220" i="1" s="1"/>
  <c r="AD220" i="1" s="1"/>
  <c r="AE220" i="1" s="1"/>
  <c r="Y126" i="1"/>
  <c r="AA126" i="1" s="1"/>
  <c r="AA80" i="1"/>
  <c r="AB80" i="1" s="1"/>
  <c r="AF53" i="1"/>
  <c r="AM53" i="1"/>
  <c r="AL53" i="1"/>
  <c r="AF50" i="1"/>
  <c r="AM50" i="1"/>
  <c r="AL50" i="1"/>
  <c r="AF47" i="1"/>
  <c r="AA77" i="1" l="1"/>
  <c r="AB77" i="1" s="1"/>
  <c r="AC77" i="1" s="1"/>
  <c r="AD77" i="1" s="1"/>
  <c r="AE77" i="1" s="1"/>
  <c r="AF77" i="1" s="1"/>
  <c r="AB92" i="1"/>
  <c r="AA83" i="1"/>
  <c r="Y136" i="1"/>
  <c r="AA136" i="1" s="1"/>
  <c r="AB136" i="1" s="1"/>
  <c r="AC136" i="1" s="1"/>
  <c r="AD136" i="1" s="1"/>
  <c r="AE136" i="1" s="1"/>
  <c r="Y247" i="1"/>
  <c r="AA247" i="1" s="1"/>
  <c r="AB247" i="1" s="1"/>
  <c r="AC247" i="1" s="1"/>
  <c r="AD247" i="1" s="1"/>
  <c r="AE247" i="1" s="1"/>
  <c r="AF68" i="1"/>
  <c r="AI23" i="1"/>
  <c r="AB95" i="1"/>
  <c r="AC95" i="1" s="1"/>
  <c r="AD95" i="1" s="1"/>
  <c r="AE95" i="1" s="1"/>
  <c r="AF95" i="1" s="1"/>
  <c r="AE208" i="1"/>
  <c r="AK187" i="1"/>
  <c r="AP220" i="1"/>
  <c r="AB211" i="1"/>
  <c r="AC211" i="1" s="1"/>
  <c r="AD211" i="1" s="1"/>
  <c r="AE211" i="1" s="1"/>
  <c r="AB142" i="1"/>
  <c r="AC142" i="1" s="1"/>
  <c r="AD142" i="1" s="1"/>
  <c r="AE142" i="1" s="1"/>
  <c r="AB126" i="1"/>
  <c r="AC126" i="1" s="1"/>
  <c r="AD126" i="1" s="1"/>
  <c r="AE126" i="1" s="1"/>
  <c r="AE117" i="1"/>
  <c r="AD74" i="1"/>
  <c r="AE74" i="1" s="1"/>
  <c r="AF74" i="1" s="1"/>
  <c r="AG53" i="1"/>
  <c r="AH53" i="1" s="1"/>
  <c r="AG50" i="1"/>
  <c r="AH50" i="1" s="1"/>
  <c r="AB83" i="1" l="1"/>
  <c r="AC83" i="1" s="1"/>
  <c r="AD83" i="1" s="1"/>
  <c r="AE83" i="1" s="1"/>
  <c r="AF83" i="1" s="1"/>
  <c r="AC92" i="1"/>
  <c r="AD92" i="1" s="1"/>
  <c r="AE92" i="1" s="1"/>
  <c r="AA86" i="1"/>
  <c r="AB86" i="1" s="1"/>
  <c r="AC86" i="1" s="1"/>
  <c r="AD86" i="1" s="1"/>
  <c r="AE86" i="1" s="1"/>
  <c r="AF86" i="1" s="1"/>
  <c r="AG253" i="1"/>
  <c r="AP253" i="1"/>
  <c r="AP98" i="1"/>
  <c r="AR97" i="1" s="1"/>
  <c r="AB98" i="1"/>
  <c r="AC98" i="1" s="1"/>
  <c r="AD98" i="1" s="1"/>
  <c r="AE98" i="1" s="1"/>
  <c r="AK184" i="1" l="1"/>
  <c r="AR183" i="1"/>
  <c r="AF71" i="1"/>
  <c r="AM65" i="1"/>
  <c r="AL65" i="1"/>
  <c r="AM62" i="1"/>
  <c r="AL62" i="1"/>
  <c r="Y62" i="1"/>
  <c r="AM59" i="1"/>
  <c r="AL59" i="1"/>
  <c r="Y59" i="1"/>
  <c r="AM56" i="1"/>
  <c r="AL56" i="1"/>
  <c r="R43" i="1"/>
  <c r="AC37" i="1"/>
  <c r="AA62" i="1" l="1"/>
  <c r="AA59" i="1"/>
  <c r="AC44" i="1"/>
  <c r="AD44" i="1" s="1"/>
  <c r="AE44" i="1" s="1"/>
  <c r="AF44" i="1" s="1"/>
  <c r="AB59" i="1" l="1"/>
  <c r="AC59" i="1" s="1"/>
  <c r="AD59" i="1" s="1"/>
  <c r="AE59" i="1" s="1"/>
  <c r="AF59" i="1" s="1"/>
  <c r="AG59" i="1" s="1"/>
  <c r="AH59" i="1" s="1"/>
  <c r="AP59" i="1"/>
  <c r="AB62" i="1"/>
  <c r="AC62" i="1" s="1"/>
  <c r="AD62" i="1" s="1"/>
  <c r="AE62" i="1" s="1"/>
  <c r="AF62" i="1" s="1"/>
  <c r="AG62" i="1" s="1"/>
  <c r="AH62" i="1" s="1"/>
  <c r="AP62" i="1"/>
  <c r="AF65" i="1"/>
  <c r="AG65" i="1" s="1"/>
  <c r="AH65" i="1" s="1"/>
  <c r="AF29" i="1"/>
  <c r="AJ32" i="1"/>
  <c r="AI32" i="1" s="1"/>
  <c r="AF32" i="1"/>
  <c r="AG32" i="1" s="1"/>
  <c r="AH32" i="1" s="1"/>
  <c r="AM26" i="1"/>
  <c r="AL26" i="1"/>
  <c r="AI26" i="1"/>
  <c r="AL20" i="1"/>
  <c r="AF26" i="1"/>
  <c r="AG26" i="1" s="1"/>
  <c r="AH26" i="1" s="1"/>
  <c r="AG20" i="1" l="1"/>
  <c r="AH20" i="1" s="1"/>
  <c r="AK148" i="1"/>
  <c r="AL92" i="1"/>
  <c r="AK65" i="1" l="1"/>
  <c r="AJ65" i="1" s="1"/>
  <c r="AI65" i="1" s="1"/>
  <c r="AK62" i="1"/>
  <c r="AJ62" i="1" s="1"/>
  <c r="AI62" i="1" s="1"/>
  <c r="AK59" i="1"/>
  <c r="AJ59" i="1" s="1"/>
  <c r="AI59" i="1" s="1"/>
  <c r="AR31" i="1"/>
  <c r="V24" i="1" l="1"/>
  <c r="V21" i="1"/>
  <c r="AP405" i="1" l="1"/>
  <c r="AB405" i="1"/>
  <c r="AC405" i="1" s="1"/>
  <c r="AD405" i="1" s="1"/>
  <c r="AE405" i="1" s="1"/>
  <c r="AF405" i="1" s="1"/>
  <c r="AG405" i="1" s="1"/>
  <c r="AH405" i="1" s="1"/>
  <c r="AE190" i="1"/>
  <c r="A19" i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A52" i="1" s="1"/>
  <c r="BD66" i="1"/>
  <c r="BC66" i="1"/>
  <c r="BB66" i="1"/>
  <c r="BA66" i="1"/>
  <c r="AZ66" i="1"/>
  <c r="AY66" i="1"/>
  <c r="AX66" i="1"/>
  <c r="AW66" i="1"/>
  <c r="AV66" i="1"/>
  <c r="AU66" i="1"/>
  <c r="BD65" i="1"/>
  <c r="BC65" i="1"/>
  <c r="BB65" i="1"/>
  <c r="BA65" i="1"/>
  <c r="AZ65" i="1"/>
  <c r="AY65" i="1"/>
  <c r="AX65" i="1"/>
  <c r="AW65" i="1"/>
  <c r="AV65" i="1"/>
  <c r="AU65" i="1"/>
  <c r="BD64" i="1"/>
  <c r="BC64" i="1"/>
  <c r="BB64" i="1"/>
  <c r="BA64" i="1"/>
  <c r="AZ64" i="1"/>
  <c r="AY64" i="1"/>
  <c r="AX64" i="1"/>
  <c r="AW64" i="1"/>
  <c r="AV64" i="1"/>
  <c r="AU64" i="1"/>
  <c r="BD63" i="1"/>
  <c r="BC63" i="1"/>
  <c r="BB63" i="1"/>
  <c r="BA63" i="1"/>
  <c r="AZ63" i="1"/>
  <c r="AY63" i="1"/>
  <c r="AX63" i="1"/>
  <c r="AW63" i="1"/>
  <c r="AV63" i="1"/>
  <c r="AU63" i="1"/>
  <c r="BD62" i="1"/>
  <c r="BC62" i="1"/>
  <c r="BB62" i="1"/>
  <c r="BA62" i="1"/>
  <c r="AZ62" i="1"/>
  <c r="AY62" i="1"/>
  <c r="AX62" i="1"/>
  <c r="AW62" i="1"/>
  <c r="AV62" i="1"/>
  <c r="AU62" i="1"/>
  <c r="BD61" i="1"/>
  <c r="BC61" i="1"/>
  <c r="BB61" i="1"/>
  <c r="BA61" i="1"/>
  <c r="AZ61" i="1"/>
  <c r="AY61" i="1"/>
  <c r="AX61" i="1"/>
  <c r="AW61" i="1"/>
  <c r="AV61" i="1"/>
  <c r="AU61" i="1"/>
  <c r="BD57" i="1"/>
  <c r="BC57" i="1"/>
  <c r="BB57" i="1"/>
  <c r="BA57" i="1"/>
  <c r="AZ57" i="1"/>
  <c r="AY57" i="1"/>
  <c r="AX57" i="1"/>
  <c r="AW57" i="1"/>
  <c r="AV57" i="1"/>
  <c r="AU57" i="1"/>
  <c r="BD56" i="1"/>
  <c r="BC56" i="1"/>
  <c r="BB56" i="1"/>
  <c r="BA56" i="1"/>
  <c r="AZ56" i="1"/>
  <c r="AY56" i="1"/>
  <c r="AX56" i="1"/>
  <c r="AW56" i="1"/>
  <c r="AV56" i="1"/>
  <c r="AU56" i="1"/>
  <c r="BD55" i="1"/>
  <c r="BC55" i="1"/>
  <c r="BB55" i="1"/>
  <c r="BA55" i="1"/>
  <c r="AZ55" i="1"/>
  <c r="AY55" i="1"/>
  <c r="AX55" i="1"/>
  <c r="AW55" i="1"/>
  <c r="AV55" i="1"/>
  <c r="AU55" i="1"/>
  <c r="AG411" i="1" l="1"/>
  <c r="AH411" i="1" s="1"/>
  <c r="AP408" i="1"/>
  <c r="AB408" i="1"/>
  <c r="AC408" i="1" s="1"/>
  <c r="AD408" i="1" s="1"/>
  <c r="AE408" i="1" s="1"/>
  <c r="AF408" i="1" s="1"/>
  <c r="AG408" i="1" s="1"/>
  <c r="AH408" i="1" s="1"/>
  <c r="AR404" i="1"/>
  <c r="AK405" i="1"/>
  <c r="A67" i="1"/>
  <c r="A70" i="1" s="1"/>
  <c r="A73" i="1" s="1"/>
  <c r="A76" i="1" s="1"/>
  <c r="A79" i="1" s="1"/>
  <c r="A82" i="1" s="1"/>
  <c r="A85" i="1" s="1"/>
  <c r="A88" i="1" s="1"/>
  <c r="A91" i="1" s="1"/>
  <c r="A94" i="1" s="1"/>
  <c r="A97" i="1" s="1"/>
  <c r="BD99" i="1"/>
  <c r="BC99" i="1"/>
  <c r="BB99" i="1"/>
  <c r="BA99" i="1"/>
  <c r="AZ99" i="1"/>
  <c r="AY99" i="1"/>
  <c r="AX99" i="1"/>
  <c r="AW99" i="1"/>
  <c r="AV99" i="1"/>
  <c r="AU99" i="1"/>
  <c r="BD98" i="1"/>
  <c r="BC98" i="1"/>
  <c r="BB98" i="1"/>
  <c r="BA98" i="1"/>
  <c r="AZ98" i="1"/>
  <c r="AY98" i="1"/>
  <c r="AX98" i="1"/>
  <c r="AW98" i="1"/>
  <c r="AV98" i="1"/>
  <c r="AU98" i="1"/>
  <c r="AM98" i="1"/>
  <c r="AL98" i="1"/>
  <c r="BD97" i="1"/>
  <c r="BC97" i="1"/>
  <c r="BB97" i="1"/>
  <c r="BA97" i="1"/>
  <c r="AZ97" i="1"/>
  <c r="AY97" i="1"/>
  <c r="AX97" i="1"/>
  <c r="AW97" i="1"/>
  <c r="AV97" i="1"/>
  <c r="AU97" i="1"/>
  <c r="AM83" i="1"/>
  <c r="AL83" i="1"/>
  <c r="AO82" i="1"/>
  <c r="AP83" i="1" s="1"/>
  <c r="AO76" i="1"/>
  <c r="AP77" i="1" s="1"/>
  <c r="AO79" i="1"/>
  <c r="AP80" i="1" s="1"/>
  <c r="AO85" i="1"/>
  <c r="AP86" i="1" s="1"/>
  <c r="AM77" i="1"/>
  <c r="AL77" i="1"/>
  <c r="AM80" i="1"/>
  <c r="AL80" i="1"/>
  <c r="AM86" i="1"/>
  <c r="AL86" i="1"/>
  <c r="AM405" i="1" l="1"/>
  <c r="AL405" i="1"/>
  <c r="AJ405" i="1"/>
  <c r="AI405" i="1" s="1"/>
  <c r="AK408" i="1"/>
  <c r="AR407" i="1"/>
  <c r="AR410" i="1"/>
  <c r="AK411" i="1"/>
  <c r="A100" i="1"/>
  <c r="AC80" i="1"/>
  <c r="AD80" i="1" s="1"/>
  <c r="AE80" i="1" s="1"/>
  <c r="AF80" i="1" s="1"/>
  <c r="AL411" i="1" l="1"/>
  <c r="AJ411" i="1"/>
  <c r="AI411" i="1" s="1"/>
  <c r="AM411" i="1"/>
  <c r="AJ408" i="1"/>
  <c r="AI408" i="1" s="1"/>
  <c r="AL408" i="1"/>
  <c r="AM408" i="1"/>
  <c r="A103" i="1"/>
  <c r="A106" i="1" s="1"/>
  <c r="A113" i="1" s="1"/>
  <c r="A116" i="1" s="1"/>
  <c r="A119" i="1" s="1"/>
  <c r="A122" i="1" s="1"/>
  <c r="A128" i="1" s="1"/>
  <c r="AG83" i="1"/>
  <c r="AH83" i="1" s="1"/>
  <c r="AK98" i="1"/>
  <c r="AJ98" i="1" s="1"/>
  <c r="AI98" i="1" s="1"/>
  <c r="AP89" i="1"/>
  <c r="AK80" i="1"/>
  <c r="AJ80" i="1" s="1"/>
  <c r="AI80" i="1" s="1"/>
  <c r="AG77" i="1"/>
  <c r="AH77" i="1" s="1"/>
  <c r="AL277" i="1"/>
  <c r="AK277" i="1"/>
  <c r="AM277" i="1" s="1"/>
  <c r="AP273" i="1"/>
  <c r="AR273" i="1" s="1"/>
  <c r="AR296" i="1"/>
  <c r="A131" i="1" l="1"/>
  <c r="A138" i="1" s="1"/>
  <c r="A144" i="1" s="1"/>
  <c r="AR79" i="1"/>
  <c r="AR88" i="1"/>
  <c r="AR82" i="1"/>
  <c r="AK83" i="1"/>
  <c r="AJ83" i="1" s="1"/>
  <c r="AI83" i="1" s="1"/>
  <c r="AK77" i="1"/>
  <c r="AJ77" i="1" s="1"/>
  <c r="AI77" i="1" s="1"/>
  <c r="AR76" i="1"/>
  <c r="A147" i="1" l="1"/>
  <c r="A150" i="1" s="1"/>
  <c r="A153" i="1" s="1"/>
  <c r="A156" i="1" s="1"/>
  <c r="A159" i="1" s="1"/>
  <c r="A162" i="1" s="1"/>
  <c r="AR392" i="1"/>
  <c r="A168" i="1" l="1"/>
  <c r="A171" i="1" s="1"/>
  <c r="A174" i="1" s="1"/>
  <c r="A177" i="1" s="1"/>
  <c r="A180" i="1" s="1"/>
  <c r="A183" i="1" s="1"/>
  <c r="A186" i="1" s="1"/>
  <c r="A189" i="1" s="1"/>
  <c r="A192" i="1" s="1"/>
  <c r="A195" i="1" s="1"/>
  <c r="A198" i="1" s="1"/>
  <c r="A201" i="1" s="1"/>
  <c r="A204" i="1" s="1"/>
  <c r="A207" i="1" s="1"/>
  <c r="A210" i="1" s="1"/>
  <c r="A213" i="1" s="1"/>
  <c r="A216" i="1" s="1"/>
  <c r="A219" i="1" s="1"/>
  <c r="A222" i="1" s="1"/>
  <c r="A225" i="1" s="1"/>
  <c r="A228" i="1" s="1"/>
  <c r="A231" i="1" s="1"/>
  <c r="A234" i="1" s="1"/>
  <c r="A237" i="1" s="1"/>
  <c r="A240" i="1" s="1"/>
  <c r="A243" i="1" s="1"/>
  <c r="A246" i="1" s="1"/>
  <c r="A249" i="1" s="1"/>
  <c r="A252" i="1" s="1"/>
  <c r="A258" i="1" s="1"/>
  <c r="A267" i="1" s="1"/>
  <c r="A270" i="1" s="1"/>
  <c r="AL271" i="1"/>
  <c r="AL268" i="1"/>
  <c r="AL265" i="1"/>
  <c r="AL262" i="1"/>
  <c r="AL259" i="1"/>
  <c r="AL256" i="1"/>
  <c r="AL253" i="1"/>
  <c r="AL250" i="1"/>
  <c r="AL247" i="1"/>
  <c r="AL244" i="1"/>
  <c r="AL241" i="1"/>
  <c r="AL238" i="1"/>
  <c r="AL235" i="1"/>
  <c r="AL232" i="1"/>
  <c r="AL229" i="1"/>
  <c r="AL226" i="1"/>
  <c r="AL223" i="1"/>
  <c r="AL220" i="1"/>
  <c r="AL217" i="1"/>
  <c r="AL214" i="1"/>
  <c r="AL211" i="1"/>
  <c r="AL208" i="1"/>
  <c r="AL205" i="1"/>
  <c r="AL199" i="1"/>
  <c r="AL196" i="1"/>
  <c r="AL193" i="1"/>
  <c r="AL190" i="1"/>
  <c r="AL184" i="1"/>
  <c r="AL178" i="1"/>
  <c r="AL175" i="1"/>
  <c r="AL172" i="1"/>
  <c r="AL169" i="1"/>
  <c r="AL166" i="1"/>
  <c r="AL163" i="1"/>
  <c r="AL160" i="1"/>
  <c r="AL157" i="1"/>
  <c r="AL154" i="1"/>
  <c r="AL151" i="1"/>
  <c r="AL95" i="1"/>
  <c r="AL148" i="1"/>
  <c r="AL142" i="1"/>
  <c r="AL136" i="1"/>
  <c r="AL126" i="1"/>
  <c r="AL74" i="1"/>
  <c r="AL68" i="1"/>
  <c r="AL71" i="1"/>
  <c r="AL47" i="1"/>
  <c r="AL44" i="1"/>
  <c r="AL38" i="1"/>
  <c r="AL35" i="1"/>
  <c r="AL32" i="1"/>
  <c r="AL29" i="1"/>
  <c r="AL23" i="1"/>
  <c r="AL14" i="1"/>
  <c r="A273" i="1" l="1"/>
  <c r="A276" i="1" s="1"/>
  <c r="A279" i="1" s="1"/>
  <c r="A284" i="1" s="1"/>
  <c r="A287" i="1" s="1"/>
  <c r="A290" i="1" s="1"/>
  <c r="A293" i="1" s="1"/>
  <c r="A296" i="1" s="1"/>
  <c r="A299" i="1" s="1"/>
  <c r="A302" i="1" s="1"/>
  <c r="A305" i="1" s="1"/>
  <c r="A308" i="1" s="1"/>
  <c r="A311" i="1" s="1"/>
  <c r="A314" i="1" s="1"/>
  <c r="A317" i="1" s="1"/>
  <c r="A320" i="1" s="1"/>
  <c r="A323" i="1" s="1"/>
  <c r="A326" i="1" s="1"/>
  <c r="A329" i="1" s="1"/>
  <c r="A332" i="1" s="1"/>
  <c r="A335" i="1" s="1"/>
  <c r="A338" i="1" s="1"/>
  <c r="A341" i="1" s="1"/>
  <c r="A344" i="1" s="1"/>
  <c r="A347" i="1" s="1"/>
  <c r="A350" i="1" s="1"/>
  <c r="A353" i="1" s="1"/>
  <c r="A356" i="1" s="1"/>
  <c r="A359" i="1" s="1"/>
  <c r="A362" i="1" s="1"/>
  <c r="A365" i="1" s="1"/>
  <c r="A368" i="1" s="1"/>
  <c r="A371" i="1" s="1"/>
  <c r="A374" i="1" s="1"/>
  <c r="A377" i="1" s="1"/>
  <c r="A380" i="1" s="1"/>
  <c r="A383" i="1" s="1"/>
  <c r="A386" i="1" s="1"/>
  <c r="A389" i="1" s="1"/>
  <c r="A392" i="1" s="1"/>
  <c r="A398" i="1" s="1"/>
  <c r="A401" i="1" s="1"/>
  <c r="A404" i="1" s="1"/>
  <c r="A407" i="1" s="1"/>
  <c r="A410" i="1" s="1"/>
  <c r="A413" i="1" s="1"/>
  <c r="A416" i="1" s="1"/>
  <c r="A419" i="1" s="1"/>
  <c r="A422" i="1" s="1"/>
  <c r="A431" i="1" s="1"/>
  <c r="AM271" i="1"/>
  <c r="AK271" i="1"/>
  <c r="AJ271" i="1" s="1"/>
  <c r="AI271" i="1" s="1"/>
  <c r="AK268" i="1"/>
  <c r="AJ268" i="1" s="1"/>
  <c r="AI268" i="1" s="1"/>
  <c r="AK265" i="1"/>
  <c r="AJ265" i="1" s="1"/>
  <c r="AI265" i="1" s="1"/>
  <c r="AM265" i="1"/>
  <c r="AM262" i="1"/>
  <c r="AK262" i="1"/>
  <c r="AJ262" i="1" s="1"/>
  <c r="AI262" i="1" s="1"/>
  <c r="AK259" i="1"/>
  <c r="AJ259" i="1" s="1"/>
  <c r="AI259" i="1" s="1"/>
  <c r="AM268" i="1"/>
  <c r="AM259" i="1"/>
  <c r="AM256" i="1"/>
  <c r="AJ256" i="1"/>
  <c r="AI256" i="1" s="1"/>
  <c r="AM253" i="1"/>
  <c r="AK253" i="1"/>
  <c r="AJ253" i="1" s="1"/>
  <c r="AI253" i="1" s="1"/>
  <c r="AK247" i="1"/>
  <c r="AJ247" i="1" s="1"/>
  <c r="AI247" i="1" s="1"/>
  <c r="AK244" i="1"/>
  <c r="AJ244" i="1" s="1"/>
  <c r="AI244" i="1" s="1"/>
  <c r="AM250" i="1"/>
  <c r="AK250" i="1"/>
  <c r="AJ250" i="1" s="1"/>
  <c r="AI250" i="1" s="1"/>
  <c r="AM247" i="1"/>
  <c r="AM244" i="1"/>
  <c r="AM241" i="1"/>
  <c r="AK241" i="1"/>
  <c r="AM238" i="1"/>
  <c r="AK238" i="1"/>
  <c r="AJ238" i="1" s="1"/>
  <c r="AI238" i="1" s="1"/>
  <c r="AM235" i="1"/>
  <c r="AK235" i="1"/>
  <c r="AJ235" i="1" s="1"/>
  <c r="AI235" i="1" s="1"/>
  <c r="AM232" i="1"/>
  <c r="AK232" i="1"/>
  <c r="AJ232" i="1" s="1"/>
  <c r="AI232" i="1" s="1"/>
  <c r="AM229" i="1"/>
  <c r="AK229" i="1"/>
  <c r="AJ229" i="1" s="1"/>
  <c r="AI229" i="1" s="1"/>
  <c r="AM226" i="1"/>
  <c r="AK226" i="1"/>
  <c r="AJ226" i="1" s="1"/>
  <c r="AI226" i="1" s="1"/>
  <c r="AM223" i="1"/>
  <c r="AK223" i="1"/>
  <c r="AJ223" i="1" s="1"/>
  <c r="AI223" i="1" s="1"/>
  <c r="AM220" i="1"/>
  <c r="AK220" i="1"/>
  <c r="AJ220" i="1" s="1"/>
  <c r="AI220" i="1" s="1"/>
  <c r="AM217" i="1"/>
  <c r="AK217" i="1"/>
  <c r="AJ217" i="1" s="1"/>
  <c r="AI217" i="1" s="1"/>
  <c r="AM214" i="1"/>
  <c r="AK214" i="1"/>
  <c r="AJ214" i="1" s="1"/>
  <c r="AI214" i="1" s="1"/>
  <c r="AM211" i="1"/>
  <c r="AK211" i="1"/>
  <c r="AJ211" i="1" s="1"/>
  <c r="AI211" i="1" s="1"/>
  <c r="AM208" i="1"/>
  <c r="AK208" i="1"/>
  <c r="AM205" i="1"/>
  <c r="AK205" i="1"/>
  <c r="AM199" i="1"/>
  <c r="AK199" i="1"/>
  <c r="AM196" i="1"/>
  <c r="AK196" i="1"/>
  <c r="AM193" i="1"/>
  <c r="AK193" i="1"/>
  <c r="AJ193" i="1" s="1"/>
  <c r="AI193" i="1" s="1"/>
  <c r="AM190" i="1"/>
  <c r="AK190" i="1"/>
  <c r="AM184" i="1"/>
  <c r="AM181" i="1"/>
  <c r="AM178" i="1"/>
  <c r="AM175" i="1"/>
  <c r="AM172" i="1"/>
  <c r="AM169" i="1"/>
  <c r="AM166" i="1"/>
  <c r="AK166" i="1"/>
  <c r="AJ166" i="1" s="1"/>
  <c r="AI166" i="1" s="1"/>
  <c r="AM163" i="1"/>
  <c r="AK163" i="1"/>
  <c r="AJ163" i="1" s="1"/>
  <c r="AI163" i="1" s="1"/>
  <c r="AM160" i="1"/>
  <c r="AM157" i="1"/>
  <c r="AM154" i="1"/>
  <c r="AM151" i="1"/>
  <c r="AM95" i="1"/>
  <c r="AM148" i="1"/>
  <c r="AM92" i="1"/>
  <c r="AM142" i="1"/>
  <c r="AM136" i="1"/>
  <c r="AM126" i="1"/>
  <c r="AM117" i="1"/>
  <c r="AM114" i="1"/>
  <c r="AM74" i="1"/>
  <c r="AM68" i="1"/>
  <c r="AM71" i="1"/>
  <c r="AM47" i="1"/>
  <c r="AM44" i="1"/>
  <c r="AM38" i="1"/>
  <c r="AK38" i="1"/>
  <c r="AJ38" i="1" s="1"/>
  <c r="AI38" i="1" s="1"/>
  <c r="AM35" i="1"/>
  <c r="AI35" i="1"/>
  <c r="AM32" i="1"/>
  <c r="AM29" i="1"/>
  <c r="AM23" i="1"/>
  <c r="AM20" i="1"/>
  <c r="AR19" i="1"/>
  <c r="AM14" i="1"/>
  <c r="A437" i="1" l="1"/>
  <c r="A440" i="1" s="1"/>
  <c r="A443" i="1" s="1"/>
  <c r="A434" i="1"/>
  <c r="Y271" i="1"/>
  <c r="AA271" i="1" s="1"/>
  <c r="AJ208" i="1"/>
  <c r="AI208" i="1" s="1"/>
  <c r="AJ190" i="1"/>
  <c r="AI190" i="1" s="1"/>
  <c r="AJ241" i="1"/>
  <c r="AI241" i="1" s="1"/>
  <c r="AI181" i="1"/>
  <c r="AJ196" i="1"/>
  <c r="AI196" i="1" s="1"/>
  <c r="AJ205" i="1"/>
  <c r="AI205" i="1" s="1"/>
  <c r="AI29" i="1"/>
  <c r="AJ184" i="1"/>
  <c r="AI184" i="1" s="1"/>
  <c r="AJ199" i="1"/>
  <c r="AI199" i="1" s="1"/>
  <c r="Y223" i="1"/>
  <c r="AA223" i="1" s="1"/>
  <c r="AB223" i="1" s="1"/>
  <c r="AC223" i="1" s="1"/>
  <c r="AD223" i="1" s="1"/>
  <c r="AE223" i="1" s="1"/>
  <c r="S166" i="1"/>
  <c r="AD148" i="1"/>
  <c r="AE148" i="1" s="1"/>
  <c r="AB271" i="1" l="1"/>
  <c r="AC271" i="1" s="1"/>
  <c r="AD271" i="1" s="1"/>
  <c r="AE271" i="1" s="1"/>
  <c r="AP271" i="1"/>
  <c r="AR270" i="1" s="1"/>
  <c r="V172" i="1"/>
  <c r="W172" i="1" s="1"/>
  <c r="X172" i="1" s="1"/>
  <c r="Y172" i="1" s="1"/>
  <c r="AB172" i="1" s="1"/>
  <c r="AC172" i="1" s="1"/>
  <c r="AD172" i="1" s="1"/>
  <c r="AE172" i="1" s="1"/>
  <c r="Y163" i="1"/>
  <c r="V268" i="1"/>
  <c r="W268" i="1" s="1"/>
  <c r="X268" i="1" s="1"/>
  <c r="Y268" i="1" s="1"/>
  <c r="AA268" i="1" s="1"/>
  <c r="AB268" i="1" s="1"/>
  <c r="AC268" i="1" s="1"/>
  <c r="S265" i="1"/>
  <c r="T265" i="1" s="1"/>
  <c r="U265" i="1" s="1"/>
  <c r="V265" i="1" s="1"/>
  <c r="W265" i="1" s="1"/>
  <c r="X265" i="1" s="1"/>
  <c r="Y265" i="1" s="1"/>
  <c r="AA265" i="1" s="1"/>
  <c r="AB265" i="1" s="1"/>
  <c r="AC265" i="1" s="1"/>
  <c r="AD265" i="1" s="1"/>
  <c r="AE265" i="1" s="1"/>
  <c r="S262" i="1"/>
  <c r="T262" i="1" s="1"/>
  <c r="U262" i="1" s="1"/>
  <c r="V262" i="1" s="1"/>
  <c r="W262" i="1" s="1"/>
  <c r="X262" i="1" s="1"/>
  <c r="Y262" i="1" s="1"/>
  <c r="AA262" i="1" s="1"/>
  <c r="AB262" i="1" s="1"/>
  <c r="AC262" i="1" s="1"/>
  <c r="AD262" i="1" s="1"/>
  <c r="AE262" i="1" s="1"/>
  <c r="S259" i="1"/>
  <c r="U259" i="1" s="1"/>
  <c r="V259" i="1" s="1"/>
  <c r="W259" i="1" s="1"/>
  <c r="X259" i="1" s="1"/>
  <c r="Y259" i="1" s="1"/>
  <c r="AA259" i="1" s="1"/>
  <c r="AB259" i="1" s="1"/>
  <c r="AC259" i="1" s="1"/>
  <c r="AD259" i="1" s="1"/>
  <c r="AE259" i="1" s="1"/>
  <c r="Y250" i="1"/>
  <c r="AA250" i="1" s="1"/>
  <c r="Y244" i="1"/>
  <c r="AA244" i="1" s="1"/>
  <c r="AB244" i="1" s="1"/>
  <c r="AC244" i="1" s="1"/>
  <c r="AD244" i="1" s="1"/>
  <c r="AE244" i="1" s="1"/>
  <c r="Y238" i="1"/>
  <c r="Y229" i="1"/>
  <c r="AA229" i="1" s="1"/>
  <c r="Y226" i="1"/>
  <c r="AA226" i="1" s="1"/>
  <c r="AB226" i="1" s="1"/>
  <c r="AC226" i="1" s="1"/>
  <c r="AD226" i="1" s="1"/>
  <c r="AE226" i="1" s="1"/>
  <c r="AP223" i="1"/>
  <c r="AE205" i="1"/>
  <c r="AP186" i="1"/>
  <c r="AL187" i="1" s="1"/>
  <c r="V178" i="1"/>
  <c r="W178" i="1" s="1"/>
  <c r="X178" i="1" s="1"/>
  <c r="Y178" i="1" s="1"/>
  <c r="AA178" i="1" s="1"/>
  <c r="V175" i="1"/>
  <c r="W175" i="1" s="1"/>
  <c r="X175" i="1" s="1"/>
  <c r="Y175" i="1" s="1"/>
  <c r="AA175" i="1" l="1"/>
  <c r="AB175" i="1" s="1"/>
  <c r="AC175" i="1" s="1"/>
  <c r="AD175" i="1" s="1"/>
  <c r="AE175" i="1" s="1"/>
  <c r="AF175" i="1" s="1"/>
  <c r="AG175" i="1" s="1"/>
  <c r="AH175" i="1" s="1"/>
  <c r="Y232" i="1"/>
  <c r="AA232" i="1" s="1"/>
  <c r="Y214" i="1"/>
  <c r="AA238" i="1"/>
  <c r="AB238" i="1" s="1"/>
  <c r="AC238" i="1" s="1"/>
  <c r="AD238" i="1" s="1"/>
  <c r="AE238" i="1" s="1"/>
  <c r="AF238" i="1" s="1"/>
  <c r="AG238" i="1" s="1"/>
  <c r="AH238" i="1" s="1"/>
  <c r="Y241" i="1"/>
  <c r="AA241" i="1" s="1"/>
  <c r="AD268" i="1"/>
  <c r="AE268" i="1" s="1"/>
  <c r="AF268" i="1" s="1"/>
  <c r="AG268" i="1" s="1"/>
  <c r="AH268" i="1" s="1"/>
  <c r="Y217" i="1"/>
  <c r="AA163" i="1"/>
  <c r="AB163" i="1" s="1"/>
  <c r="AC163" i="1" s="1"/>
  <c r="AD163" i="1" s="1"/>
  <c r="AE163" i="1" s="1"/>
  <c r="Y193" i="1"/>
  <c r="AA193" i="1" s="1"/>
  <c r="AB193" i="1" s="1"/>
  <c r="AC193" i="1" s="1"/>
  <c r="AD193" i="1" s="1"/>
  <c r="AE193" i="1" s="1"/>
  <c r="AF193" i="1" s="1"/>
  <c r="AG193" i="1" s="1"/>
  <c r="AH193" i="1" s="1"/>
  <c r="AE199" i="1"/>
  <c r="AF199" i="1" s="1"/>
  <c r="AG199" i="1" s="1"/>
  <c r="AH199" i="1" s="1"/>
  <c r="AR198" i="1"/>
  <c r="AB229" i="1"/>
  <c r="AC229" i="1" s="1"/>
  <c r="AD229" i="1" s="1"/>
  <c r="AE229" i="1" s="1"/>
  <c r="AF229" i="1" s="1"/>
  <c r="AG229" i="1" s="1"/>
  <c r="AH229" i="1" s="1"/>
  <c r="AP229" i="1"/>
  <c r="AR228" i="1" s="1"/>
  <c r="AB250" i="1"/>
  <c r="AC250" i="1" s="1"/>
  <c r="AD250" i="1" s="1"/>
  <c r="AE250" i="1" s="1"/>
  <c r="AF250" i="1" s="1"/>
  <c r="AG250" i="1" s="1"/>
  <c r="AH250" i="1" s="1"/>
  <c r="AP250" i="1"/>
  <c r="AR249" i="1" s="1"/>
  <c r="AB217" i="1"/>
  <c r="AC217" i="1" s="1"/>
  <c r="AD217" i="1" s="1"/>
  <c r="AE217" i="1" s="1"/>
  <c r="AP217" i="1"/>
  <c r="AB178" i="1"/>
  <c r="AC178" i="1" s="1"/>
  <c r="AD178" i="1" s="1"/>
  <c r="AE178" i="1" s="1"/>
  <c r="AP178" i="1"/>
  <c r="AK178" i="1" s="1"/>
  <c r="AJ178" i="1" s="1"/>
  <c r="AI178" i="1" s="1"/>
  <c r="AA235" i="1"/>
  <c r="AB235" i="1" s="1"/>
  <c r="AC235" i="1" s="1"/>
  <c r="AD235" i="1" s="1"/>
  <c r="AE235" i="1" s="1"/>
  <c r="AF235" i="1" s="1"/>
  <c r="AG235" i="1" s="1"/>
  <c r="AH235" i="1" s="1"/>
  <c r="AP226" i="1"/>
  <c r="AR225" i="1" s="1"/>
  <c r="AR207" i="1"/>
  <c r="AR204" i="1"/>
  <c r="AF98" i="1"/>
  <c r="AG98" i="1" s="1"/>
  <c r="AH98" i="1" s="1"/>
  <c r="AF187" i="1"/>
  <c r="AG187" i="1" s="1"/>
  <c r="AH187" i="1" s="1"/>
  <c r="AG80" i="1"/>
  <c r="AH80" i="1" s="1"/>
  <c r="AR389" i="1"/>
  <c r="AF256" i="1"/>
  <c r="AG256" i="1" s="1"/>
  <c r="AH256" i="1" s="1"/>
  <c r="AF38" i="1"/>
  <c r="AG38" i="1" s="1"/>
  <c r="AH38" i="1" s="1"/>
  <c r="AF271" i="1"/>
  <c r="AG271" i="1" s="1"/>
  <c r="AH271" i="1" s="1"/>
  <c r="AM187" i="1"/>
  <c r="AF259" i="1"/>
  <c r="AG259" i="1" s="1"/>
  <c r="AH259" i="1" s="1"/>
  <c r="AF265" i="1"/>
  <c r="AG265" i="1" s="1"/>
  <c r="AH265" i="1" s="1"/>
  <c r="AF244" i="1"/>
  <c r="AG244" i="1" s="1"/>
  <c r="AH244" i="1" s="1"/>
  <c r="AG29" i="1"/>
  <c r="AH29" i="1" s="1"/>
  <c r="AG44" i="1"/>
  <c r="AH44" i="1" s="1"/>
  <c r="AI44" i="1" s="1"/>
  <c r="AJ44" i="1" s="1"/>
  <c r="AK44" i="1" s="1"/>
  <c r="AF262" i="1"/>
  <c r="AG262" i="1" s="1"/>
  <c r="AH262" i="1" s="1"/>
  <c r="AF205" i="1"/>
  <c r="AG205" i="1" s="1"/>
  <c r="AH205" i="1" s="1"/>
  <c r="AF220" i="1"/>
  <c r="AG220" i="1" s="1"/>
  <c r="AH220" i="1" s="1"/>
  <c r="AR219" i="1"/>
  <c r="AF184" i="1"/>
  <c r="AG184" i="1" s="1"/>
  <c r="AH184" i="1" s="1"/>
  <c r="AF172" i="1"/>
  <c r="AG172" i="1" s="1"/>
  <c r="AH172" i="1" s="1"/>
  <c r="AP172" i="1"/>
  <c r="AF247" i="1"/>
  <c r="AG247" i="1" s="1"/>
  <c r="AH247" i="1" s="1"/>
  <c r="AP247" i="1"/>
  <c r="AR246" i="1" s="1"/>
  <c r="AP175" i="1"/>
  <c r="AK175" i="1" s="1"/>
  <c r="AJ175" i="1" s="1"/>
  <c r="AI175" i="1" s="1"/>
  <c r="AH253" i="1"/>
  <c r="AP262" i="1"/>
  <c r="AP265" i="1"/>
  <c r="AP259" i="1"/>
  <c r="AR258" i="1" s="1"/>
  <c r="AP244" i="1"/>
  <c r="AR243" i="1" s="1"/>
  <c r="AF223" i="1"/>
  <c r="AG223" i="1" s="1"/>
  <c r="AH223" i="1" s="1"/>
  <c r="AR222" i="1"/>
  <c r="AP211" i="1"/>
  <c r="AF208" i="1"/>
  <c r="AG208" i="1" s="1"/>
  <c r="AH208" i="1" s="1"/>
  <c r="U166" i="1"/>
  <c r="V166" i="1" s="1"/>
  <c r="W166" i="1" s="1"/>
  <c r="X166" i="1" s="1"/>
  <c r="Y166" i="1" s="1"/>
  <c r="AB166" i="1" s="1"/>
  <c r="AC166" i="1" s="1"/>
  <c r="AD166" i="1" s="1"/>
  <c r="AE166" i="1" s="1"/>
  <c r="AP232" i="1" l="1"/>
  <c r="AR231" i="1" s="1"/>
  <c r="AB232" i="1"/>
  <c r="AC232" i="1" s="1"/>
  <c r="AD232" i="1" s="1"/>
  <c r="AE232" i="1" s="1"/>
  <c r="AF232" i="1" s="1"/>
  <c r="AG232" i="1" s="1"/>
  <c r="AH232" i="1" s="1"/>
  <c r="AP214" i="1"/>
  <c r="AR213" i="1" s="1"/>
  <c r="AB214" i="1"/>
  <c r="AP238" i="1"/>
  <c r="AR237" i="1" s="1"/>
  <c r="AB241" i="1"/>
  <c r="AC241" i="1" s="1"/>
  <c r="AD241" i="1" s="1"/>
  <c r="AE241" i="1" s="1"/>
  <c r="AF241" i="1" s="1"/>
  <c r="AG241" i="1" s="1"/>
  <c r="AH241" i="1" s="1"/>
  <c r="AP241" i="1"/>
  <c r="AR240" i="1" s="1"/>
  <c r="AP193" i="1"/>
  <c r="AR192" i="1" s="1"/>
  <c r="AP235" i="1"/>
  <c r="AR234" i="1" s="1"/>
  <c r="AR171" i="1"/>
  <c r="AK172" i="1"/>
  <c r="AJ172" i="1" s="1"/>
  <c r="AI172" i="1" s="1"/>
  <c r="AF226" i="1"/>
  <c r="AG226" i="1" s="1"/>
  <c r="AH226" i="1" s="1"/>
  <c r="AF196" i="1"/>
  <c r="AG196" i="1" s="1"/>
  <c r="AH196" i="1" s="1"/>
  <c r="AR195" i="1"/>
  <c r="AG114" i="1"/>
  <c r="AH114" i="1" s="1"/>
  <c r="AK92" i="1"/>
  <c r="AJ92" i="1" s="1"/>
  <c r="AI92" i="1" s="1"/>
  <c r="AG132" i="1"/>
  <c r="AH132" i="1" s="1"/>
  <c r="AF126" i="1"/>
  <c r="AG126" i="1" s="1"/>
  <c r="AH126" i="1" s="1"/>
  <c r="AG129" i="1"/>
  <c r="AH129" i="1" s="1"/>
  <c r="AF178" i="1"/>
  <c r="AG178" i="1" s="1"/>
  <c r="AH178" i="1" s="1"/>
  <c r="AR177" i="1"/>
  <c r="AF151" i="1"/>
  <c r="AG151" i="1" s="1"/>
  <c r="AH151" i="1" s="1"/>
  <c r="AK157" i="1"/>
  <c r="AJ157" i="1" s="1"/>
  <c r="AI157" i="1" s="1"/>
  <c r="AJ187" i="1"/>
  <c r="AI187" i="1" s="1"/>
  <c r="AR189" i="1"/>
  <c r="AF190" i="1"/>
  <c r="AG190" i="1" s="1"/>
  <c r="AH190" i="1" s="1"/>
  <c r="AF211" i="1"/>
  <c r="AG211" i="1" s="1"/>
  <c r="AH211" i="1" s="1"/>
  <c r="AR210" i="1"/>
  <c r="AP268" i="1"/>
  <c r="AR267" i="1" s="1"/>
  <c r="AR252" i="1"/>
  <c r="AF217" i="1"/>
  <c r="AG217" i="1" s="1"/>
  <c r="AH217" i="1" s="1"/>
  <c r="AR216" i="1"/>
  <c r="AF163" i="1"/>
  <c r="AG163" i="1" s="1"/>
  <c r="AH163" i="1" s="1"/>
  <c r="AK68" i="1"/>
  <c r="AJ68" i="1" s="1"/>
  <c r="AI68" i="1" s="1"/>
  <c r="AK53" i="1"/>
  <c r="AJ53" i="1" s="1"/>
  <c r="AI53" i="1" s="1"/>
  <c r="AC214" i="1" l="1"/>
  <c r="AD214" i="1" s="1"/>
  <c r="AE214" i="1" s="1"/>
  <c r="AF214" i="1" s="1"/>
  <c r="AG214" i="1" s="1"/>
  <c r="AH214" i="1" s="1"/>
  <c r="AK169" i="1"/>
  <c r="AJ169" i="1" s="1"/>
  <c r="AI169" i="1" s="1"/>
  <c r="AF169" i="1"/>
  <c r="AG169" i="1" s="1"/>
  <c r="AH169" i="1" s="1"/>
  <c r="AK71" i="1"/>
  <c r="AJ71" i="1" s="1"/>
  <c r="AI71" i="1" s="1"/>
  <c r="AK50" i="1"/>
  <c r="AJ50" i="1" s="1"/>
  <c r="AI50" i="1" s="1"/>
  <c r="AK47" i="1"/>
  <c r="AJ47" i="1" s="1"/>
  <c r="AI47" i="1" s="1"/>
  <c r="AG95" i="1"/>
  <c r="AH95" i="1" s="1"/>
  <c r="AP95" i="1"/>
  <c r="AK95" i="1" s="1"/>
  <c r="AJ95" i="1" s="1"/>
  <c r="AI95" i="1" s="1"/>
  <c r="AF92" i="1"/>
  <c r="AG92" i="1" s="1"/>
  <c r="AH92" i="1" s="1"/>
  <c r="AR91" i="1"/>
  <c r="AK151" i="1"/>
  <c r="AJ151" i="1" s="1"/>
  <c r="AI151" i="1" s="1"/>
  <c r="AF157" i="1"/>
  <c r="AG157" i="1" s="1"/>
  <c r="AH157" i="1" s="1"/>
  <c r="AR276" i="1"/>
  <c r="AR287" i="1"/>
  <c r="AR279" i="1"/>
  <c r="AG68" i="1"/>
  <c r="AH68" i="1" s="1"/>
  <c r="AR67" i="1"/>
  <c r="AG123" i="1"/>
  <c r="AH123" i="1" s="1"/>
  <c r="AI123" i="1" s="1"/>
  <c r="AJ123" i="1" s="1"/>
  <c r="AP166" i="1"/>
  <c r="AR165" i="1" s="1"/>
  <c r="AF166" i="1"/>
  <c r="AG166" i="1" s="1"/>
  <c r="AH166" i="1" s="1"/>
  <c r="AP163" i="1"/>
  <c r="AR162" i="1" s="1"/>
  <c r="AR156" i="1"/>
  <c r="AP126" i="1"/>
  <c r="AF160" i="1" l="1"/>
  <c r="AG160" i="1" s="1"/>
  <c r="AH160" i="1" s="1"/>
  <c r="AK154" i="1"/>
  <c r="AJ154" i="1" s="1"/>
  <c r="AI154" i="1" s="1"/>
  <c r="AR153" i="1"/>
  <c r="AF154" i="1"/>
  <c r="AG154" i="1" s="1"/>
  <c r="AH154" i="1" s="1"/>
  <c r="AF142" i="1"/>
  <c r="AG142" i="1" s="1"/>
  <c r="AH142" i="1" s="1"/>
  <c r="AR150" i="1"/>
  <c r="AR49" i="1"/>
  <c r="AG71" i="1"/>
  <c r="AH71" i="1" s="1"/>
  <c r="AK126" i="1"/>
  <c r="AJ126" i="1" s="1"/>
  <c r="AI126" i="1" s="1"/>
  <c r="AR159" i="1"/>
  <c r="AK160" i="1"/>
  <c r="AJ160" i="1" s="1"/>
  <c r="AI160" i="1" s="1"/>
  <c r="AR70" i="1"/>
  <c r="AJ132" i="1"/>
  <c r="AI132" i="1" s="1"/>
  <c r="AF117" i="1"/>
  <c r="AG117" i="1" s="1"/>
  <c r="AH117" i="1" s="1"/>
  <c r="AK117" i="1"/>
  <c r="AR113" i="1"/>
  <c r="AK114" i="1"/>
  <c r="AR128" i="1"/>
  <c r="AK129" i="1"/>
  <c r="AG86" i="1"/>
  <c r="AH86" i="1" s="1"/>
  <c r="AG47" i="1"/>
  <c r="AH47" i="1" s="1"/>
  <c r="AP136" i="1"/>
  <c r="AF136" i="1"/>
  <c r="AG136" i="1" s="1"/>
  <c r="AH136" i="1" s="1"/>
  <c r="AK74" i="1"/>
  <c r="AJ74" i="1" s="1"/>
  <c r="AI74" i="1" s="1"/>
  <c r="AG74" i="1"/>
  <c r="AH74" i="1" s="1"/>
  <c r="AJ277" i="1"/>
  <c r="AI277" i="1" s="1"/>
  <c r="AR46" i="1"/>
  <c r="AJ129" i="1" l="1"/>
  <c r="AI129" i="1" s="1"/>
  <c r="AL129" i="1"/>
  <c r="AM129" i="1" s="1"/>
  <c r="AJ114" i="1"/>
  <c r="AI114" i="1" s="1"/>
  <c r="AL114" i="1"/>
  <c r="AJ117" i="1"/>
  <c r="AI117" i="1" s="1"/>
  <c r="AL117" i="1"/>
  <c r="AK142" i="1"/>
  <c r="AJ142" i="1" s="1"/>
  <c r="AI142" i="1" s="1"/>
  <c r="AR116" i="1"/>
  <c r="AK136" i="1"/>
  <c r="AJ136" i="1" s="1"/>
  <c r="AI136" i="1" s="1"/>
  <c r="AK86" i="1"/>
  <c r="AJ86" i="1" s="1"/>
  <c r="AI86" i="1" s="1"/>
  <c r="AR85" i="1"/>
  <c r="AR73" i="1"/>
  <c r="AR43" i="1"/>
  <c r="AE120" i="1" l="1"/>
  <c r="AF120" i="1" s="1"/>
  <c r="AG120" i="1" s="1"/>
  <c r="AH120" i="1" s="1"/>
  <c r="AR64" i="1"/>
  <c r="AR37" i="1"/>
  <c r="AK120" i="1" l="1"/>
  <c r="BD51" i="1"/>
  <c r="BC51" i="1"/>
  <c r="BB51" i="1"/>
  <c r="BA51" i="1"/>
  <c r="AZ51" i="1"/>
  <c r="AY51" i="1"/>
  <c r="AX51" i="1"/>
  <c r="AW51" i="1"/>
  <c r="AV51" i="1"/>
  <c r="AU51" i="1"/>
  <c r="BD50" i="1"/>
  <c r="BC50" i="1"/>
  <c r="BB50" i="1"/>
  <c r="BA50" i="1"/>
  <c r="AZ50" i="1"/>
  <c r="AY50" i="1"/>
  <c r="AX50" i="1"/>
  <c r="AW50" i="1"/>
  <c r="AV50" i="1"/>
  <c r="AU50" i="1"/>
  <c r="BD96" i="1"/>
  <c r="BC96" i="1"/>
  <c r="BB96" i="1"/>
  <c r="BA96" i="1"/>
  <c r="AZ96" i="1"/>
  <c r="AY96" i="1"/>
  <c r="AX96" i="1"/>
  <c r="AW96" i="1"/>
  <c r="AV96" i="1"/>
  <c r="AU96" i="1"/>
  <c r="BD95" i="1"/>
  <c r="BC95" i="1"/>
  <c r="BB95" i="1"/>
  <c r="BA95" i="1"/>
  <c r="AZ95" i="1"/>
  <c r="AY95" i="1"/>
  <c r="AX95" i="1"/>
  <c r="AW95" i="1"/>
  <c r="AV95" i="1"/>
  <c r="AU95" i="1"/>
  <c r="AW94" i="1"/>
  <c r="AJ120" i="1" l="1"/>
  <c r="AI120" i="1" s="1"/>
  <c r="AL120" i="1"/>
  <c r="AM120" i="1" s="1"/>
  <c r="AY94" i="1"/>
  <c r="AX94" i="1"/>
  <c r="BD94" i="1"/>
  <c r="BA94" i="1"/>
  <c r="BB94" i="1"/>
  <c r="BC94" i="1"/>
  <c r="AZ94" i="1"/>
  <c r="AW49" i="1"/>
  <c r="AZ49" i="1"/>
  <c r="AY49" i="1"/>
  <c r="AV49" i="1"/>
  <c r="BD49" i="1"/>
  <c r="BB49" i="1"/>
  <c r="AX49" i="1"/>
  <c r="AU49" i="1"/>
  <c r="BC49" i="1"/>
  <c r="BA49" i="1"/>
  <c r="AU94" i="1"/>
  <c r="AV94" i="1"/>
  <c r="BC71" i="1" l="1"/>
  <c r="BD72" i="1"/>
  <c r="BC72" i="1"/>
  <c r="BB72" i="1"/>
  <c r="BA72" i="1"/>
  <c r="AZ72" i="1"/>
  <c r="AY72" i="1"/>
  <c r="AX72" i="1"/>
  <c r="AW72" i="1"/>
  <c r="AV72" i="1"/>
  <c r="AU72" i="1"/>
  <c r="BD70" i="1"/>
  <c r="BC70" i="1"/>
  <c r="BB70" i="1"/>
  <c r="BA70" i="1"/>
  <c r="AZ70" i="1"/>
  <c r="AY70" i="1"/>
  <c r="AX70" i="1"/>
  <c r="AW70" i="1"/>
  <c r="AV70" i="1"/>
  <c r="AU70" i="1"/>
  <c r="AU71" i="1" l="1"/>
  <c r="AV71" i="1"/>
  <c r="AY71" i="1"/>
  <c r="AW71" i="1"/>
  <c r="AX71" i="1"/>
  <c r="AZ71" i="1"/>
  <c r="BB71" i="1"/>
  <c r="BA71" i="1"/>
  <c r="BD71" i="1"/>
  <c r="BD155" i="1" l="1"/>
  <c r="BC155" i="1"/>
  <c r="BB155" i="1"/>
  <c r="BA155" i="1"/>
  <c r="AZ155" i="1"/>
  <c r="AY155" i="1"/>
  <c r="AX155" i="1"/>
  <c r="AW155" i="1"/>
  <c r="AV155" i="1"/>
  <c r="AU155" i="1"/>
  <c r="BD154" i="1"/>
  <c r="BC154" i="1"/>
  <c r="BB154" i="1"/>
  <c r="BA154" i="1"/>
  <c r="AZ154" i="1"/>
  <c r="AY154" i="1"/>
  <c r="AX154" i="1"/>
  <c r="AW154" i="1"/>
  <c r="AV154" i="1"/>
  <c r="AU154" i="1"/>
  <c r="BD153" i="1" l="1"/>
  <c r="AW153" i="1"/>
  <c r="AV153" i="1"/>
  <c r="AU153" i="1" l="1"/>
  <c r="AY153" i="1"/>
  <c r="BC153" i="1"/>
  <c r="BB153" i="1"/>
  <c r="AX153" i="1"/>
  <c r="BA153" i="1"/>
  <c r="AZ153" i="1"/>
  <c r="BD260" i="1" l="1"/>
  <c r="BC260" i="1"/>
  <c r="BB260" i="1"/>
  <c r="BA260" i="1"/>
  <c r="AZ260" i="1"/>
  <c r="AY260" i="1"/>
  <c r="AX260" i="1"/>
  <c r="AW260" i="1"/>
  <c r="AV260" i="1"/>
  <c r="AU260" i="1"/>
  <c r="BD259" i="1"/>
  <c r="BC259" i="1"/>
  <c r="BB259" i="1"/>
  <c r="BA259" i="1"/>
  <c r="AZ259" i="1"/>
  <c r="AY259" i="1"/>
  <c r="AX259" i="1"/>
  <c r="AW259" i="1"/>
  <c r="AV259" i="1"/>
  <c r="AU259" i="1"/>
  <c r="BD164" i="1"/>
  <c r="BC164" i="1"/>
  <c r="BB164" i="1"/>
  <c r="BA164" i="1"/>
  <c r="AZ164" i="1"/>
  <c r="AY164" i="1"/>
  <c r="AX164" i="1"/>
  <c r="AW164" i="1"/>
  <c r="AV164" i="1"/>
  <c r="AU164" i="1"/>
  <c r="BD163" i="1"/>
  <c r="BC163" i="1"/>
  <c r="BB163" i="1"/>
  <c r="BA163" i="1"/>
  <c r="AZ163" i="1"/>
  <c r="AY163" i="1"/>
  <c r="AX163" i="1"/>
  <c r="AW163" i="1"/>
  <c r="AV163" i="1"/>
  <c r="AU163" i="1"/>
  <c r="BD152" i="1"/>
  <c r="BC152" i="1"/>
  <c r="BB152" i="1"/>
  <c r="BA152" i="1"/>
  <c r="AZ152" i="1"/>
  <c r="AY152" i="1"/>
  <c r="AX152" i="1"/>
  <c r="AW152" i="1"/>
  <c r="AV152" i="1"/>
  <c r="AU152" i="1"/>
  <c r="BD151" i="1"/>
  <c r="BC151" i="1"/>
  <c r="BB151" i="1"/>
  <c r="BA151" i="1"/>
  <c r="AZ151" i="1"/>
  <c r="AY151" i="1"/>
  <c r="AX151" i="1"/>
  <c r="AW151" i="1"/>
  <c r="AV151" i="1"/>
  <c r="AU151" i="1"/>
  <c r="BD150" i="1"/>
  <c r="BC150" i="1"/>
  <c r="BB150" i="1"/>
  <c r="BA150" i="1"/>
  <c r="AZ150" i="1"/>
  <c r="AY150" i="1"/>
  <c r="AX150" i="1"/>
  <c r="AW150" i="1"/>
  <c r="AV150" i="1"/>
  <c r="AU150" i="1"/>
  <c r="BD158" i="1"/>
  <c r="BC158" i="1"/>
  <c r="BB158" i="1"/>
  <c r="BA158" i="1"/>
  <c r="AZ158" i="1"/>
  <c r="AY158" i="1"/>
  <c r="AX158" i="1"/>
  <c r="AW158" i="1"/>
  <c r="AV158" i="1"/>
  <c r="AU158" i="1"/>
  <c r="BD157" i="1"/>
  <c r="BC157" i="1"/>
  <c r="BB157" i="1"/>
  <c r="BA157" i="1"/>
  <c r="AZ157" i="1"/>
  <c r="AY157" i="1"/>
  <c r="AX157" i="1"/>
  <c r="AW157" i="1"/>
  <c r="AV157" i="1"/>
  <c r="AU157" i="1"/>
  <c r="BD161" i="1"/>
  <c r="BC161" i="1"/>
  <c r="BB161" i="1"/>
  <c r="BA161" i="1"/>
  <c r="AZ161" i="1"/>
  <c r="AY161" i="1"/>
  <c r="AX161" i="1"/>
  <c r="AW161" i="1"/>
  <c r="AV161" i="1"/>
  <c r="AU161" i="1"/>
  <c r="BD160" i="1"/>
  <c r="BC160" i="1"/>
  <c r="BB160" i="1"/>
  <c r="BA160" i="1"/>
  <c r="AZ160" i="1"/>
  <c r="AY160" i="1"/>
  <c r="AX160" i="1"/>
  <c r="AW160" i="1"/>
  <c r="AV160" i="1"/>
  <c r="AU160" i="1"/>
  <c r="BD159" i="1"/>
  <c r="BC159" i="1"/>
  <c r="BB159" i="1"/>
  <c r="BA159" i="1"/>
  <c r="AZ159" i="1"/>
  <c r="AY159" i="1"/>
  <c r="AX159" i="1"/>
  <c r="AW159" i="1"/>
  <c r="AV159" i="1"/>
  <c r="AU159" i="1"/>
  <c r="BD137" i="1"/>
  <c r="BC137" i="1"/>
  <c r="BB137" i="1"/>
  <c r="BA137" i="1"/>
  <c r="AZ137" i="1"/>
  <c r="AY137" i="1"/>
  <c r="AX137" i="1"/>
  <c r="AW137" i="1"/>
  <c r="AV137" i="1"/>
  <c r="AU137" i="1"/>
  <c r="BD136" i="1"/>
  <c r="BC136" i="1"/>
  <c r="BB136" i="1"/>
  <c r="BA136" i="1"/>
  <c r="AZ136" i="1"/>
  <c r="AY136" i="1"/>
  <c r="AX136" i="1"/>
  <c r="AW136" i="1"/>
  <c r="AV136" i="1"/>
  <c r="AU136" i="1"/>
  <c r="BD134" i="1"/>
  <c r="BC134" i="1"/>
  <c r="BB134" i="1"/>
  <c r="BA134" i="1"/>
  <c r="AZ134" i="1"/>
  <c r="AY134" i="1"/>
  <c r="AX134" i="1"/>
  <c r="AW134" i="1"/>
  <c r="AV134" i="1"/>
  <c r="AU134" i="1"/>
  <c r="BD132" i="1"/>
  <c r="BC132" i="1"/>
  <c r="BB132" i="1"/>
  <c r="BA132" i="1"/>
  <c r="AZ132" i="1"/>
  <c r="AY132" i="1"/>
  <c r="AX132" i="1"/>
  <c r="AW132" i="1"/>
  <c r="AV132" i="1"/>
  <c r="AU132" i="1"/>
  <c r="BD130" i="1"/>
  <c r="BC130" i="1"/>
  <c r="BB130" i="1"/>
  <c r="BA130" i="1"/>
  <c r="AZ130" i="1"/>
  <c r="AY130" i="1"/>
  <c r="AX130" i="1"/>
  <c r="AW130" i="1"/>
  <c r="AV130" i="1"/>
  <c r="AU130" i="1"/>
  <c r="BD129" i="1"/>
  <c r="BC129" i="1"/>
  <c r="BB129" i="1"/>
  <c r="BA129" i="1"/>
  <c r="AZ129" i="1"/>
  <c r="AY129" i="1"/>
  <c r="AX129" i="1"/>
  <c r="AW129" i="1"/>
  <c r="AV129" i="1"/>
  <c r="AU129" i="1"/>
  <c r="BD127" i="1"/>
  <c r="BC127" i="1"/>
  <c r="BB127" i="1"/>
  <c r="BA127" i="1"/>
  <c r="AZ127" i="1"/>
  <c r="AY127" i="1"/>
  <c r="AX127" i="1"/>
  <c r="AW127" i="1"/>
  <c r="AV127" i="1"/>
  <c r="AU127" i="1"/>
  <c r="BD126" i="1"/>
  <c r="BC126" i="1"/>
  <c r="BB126" i="1"/>
  <c r="BA126" i="1"/>
  <c r="AZ126" i="1"/>
  <c r="AY126" i="1"/>
  <c r="AX126" i="1"/>
  <c r="AW126" i="1"/>
  <c r="AV126" i="1"/>
  <c r="AU126" i="1"/>
  <c r="BD124" i="1"/>
  <c r="BC124" i="1"/>
  <c r="BB124" i="1"/>
  <c r="BA124" i="1"/>
  <c r="AZ124" i="1"/>
  <c r="AY124" i="1"/>
  <c r="AX124" i="1"/>
  <c r="AW124" i="1"/>
  <c r="AV124" i="1"/>
  <c r="AU124" i="1"/>
  <c r="BD123" i="1"/>
  <c r="BC123" i="1"/>
  <c r="BB123" i="1"/>
  <c r="BA123" i="1"/>
  <c r="AZ123" i="1"/>
  <c r="AY123" i="1"/>
  <c r="AX123" i="1"/>
  <c r="AW123" i="1"/>
  <c r="AV123" i="1"/>
  <c r="AU123" i="1"/>
  <c r="BD121" i="1"/>
  <c r="BC121" i="1"/>
  <c r="BB121" i="1"/>
  <c r="BA121" i="1"/>
  <c r="AZ121" i="1"/>
  <c r="AY121" i="1"/>
  <c r="AX121" i="1"/>
  <c r="AW121" i="1"/>
  <c r="AV121" i="1"/>
  <c r="AU121" i="1"/>
  <c r="BD120" i="1"/>
  <c r="BC120" i="1"/>
  <c r="BB120" i="1"/>
  <c r="BA120" i="1"/>
  <c r="AZ120" i="1"/>
  <c r="AY120" i="1"/>
  <c r="AX120" i="1"/>
  <c r="AW120" i="1"/>
  <c r="AV120" i="1"/>
  <c r="AU120" i="1"/>
  <c r="BD118" i="1"/>
  <c r="BC118" i="1"/>
  <c r="BB118" i="1"/>
  <c r="BA118" i="1"/>
  <c r="AZ118" i="1"/>
  <c r="AY118" i="1"/>
  <c r="AX118" i="1"/>
  <c r="AW118" i="1"/>
  <c r="AV118" i="1"/>
  <c r="AU118" i="1"/>
  <c r="BD117" i="1"/>
  <c r="BC117" i="1"/>
  <c r="BB117" i="1"/>
  <c r="BA117" i="1"/>
  <c r="AZ117" i="1"/>
  <c r="AY117" i="1"/>
  <c r="AX117" i="1"/>
  <c r="AW117" i="1"/>
  <c r="AV117" i="1"/>
  <c r="AU117" i="1"/>
  <c r="BC116" i="1"/>
  <c r="BD115" i="1"/>
  <c r="BC115" i="1"/>
  <c r="BB115" i="1"/>
  <c r="BA115" i="1"/>
  <c r="AZ115" i="1"/>
  <c r="AY115" i="1"/>
  <c r="AX115" i="1"/>
  <c r="AW115" i="1"/>
  <c r="AV115" i="1"/>
  <c r="AU115" i="1"/>
  <c r="BD114" i="1"/>
  <c r="BC114" i="1"/>
  <c r="BB114" i="1"/>
  <c r="BA114" i="1"/>
  <c r="AZ114" i="1"/>
  <c r="AY114" i="1"/>
  <c r="AX114" i="1"/>
  <c r="AW114" i="1"/>
  <c r="AV114" i="1"/>
  <c r="AU114" i="1"/>
  <c r="BD112" i="1"/>
  <c r="BC112" i="1"/>
  <c r="BB112" i="1"/>
  <c r="BA112" i="1"/>
  <c r="AZ112" i="1"/>
  <c r="AY112" i="1"/>
  <c r="AX112" i="1"/>
  <c r="AW112" i="1"/>
  <c r="AV112" i="1"/>
  <c r="AU112" i="1"/>
  <c r="BD111" i="1"/>
  <c r="BC111" i="1"/>
  <c r="BB111" i="1"/>
  <c r="BA111" i="1"/>
  <c r="AZ111" i="1"/>
  <c r="AY111" i="1"/>
  <c r="AX111" i="1"/>
  <c r="AW111" i="1"/>
  <c r="AV111" i="1"/>
  <c r="AU111" i="1"/>
  <c r="BD75" i="1"/>
  <c r="BC75" i="1"/>
  <c r="BB75" i="1"/>
  <c r="BA75" i="1"/>
  <c r="AZ75" i="1"/>
  <c r="AY75" i="1"/>
  <c r="AX75" i="1"/>
  <c r="AW75" i="1"/>
  <c r="AV75" i="1"/>
  <c r="AU75" i="1"/>
  <c r="BD74" i="1"/>
  <c r="BC74" i="1"/>
  <c r="BB74" i="1"/>
  <c r="BA74" i="1"/>
  <c r="AZ74" i="1"/>
  <c r="AY74" i="1"/>
  <c r="AX74" i="1"/>
  <c r="AW74" i="1"/>
  <c r="AV74" i="1"/>
  <c r="AU74" i="1"/>
  <c r="BD69" i="1"/>
  <c r="BC69" i="1"/>
  <c r="BB69" i="1"/>
  <c r="BA69" i="1"/>
  <c r="AZ69" i="1"/>
  <c r="AY69" i="1"/>
  <c r="AX69" i="1"/>
  <c r="AW69" i="1"/>
  <c r="AV69" i="1"/>
  <c r="AU69" i="1"/>
  <c r="BD68" i="1"/>
  <c r="BC68" i="1"/>
  <c r="BB68" i="1"/>
  <c r="BA68" i="1"/>
  <c r="AZ68" i="1"/>
  <c r="AY68" i="1"/>
  <c r="AX68" i="1"/>
  <c r="AW68" i="1"/>
  <c r="AV68" i="1"/>
  <c r="AU68" i="1"/>
  <c r="BD67" i="1"/>
  <c r="BC67" i="1"/>
  <c r="BB67" i="1"/>
  <c r="BA67" i="1"/>
  <c r="AZ67" i="1"/>
  <c r="AY67" i="1"/>
  <c r="AX67" i="1"/>
  <c r="AW67" i="1"/>
  <c r="AV67" i="1"/>
  <c r="AU67" i="1"/>
  <c r="BD60" i="1"/>
  <c r="BC60" i="1"/>
  <c r="BB60" i="1"/>
  <c r="BA60" i="1"/>
  <c r="AZ60" i="1"/>
  <c r="AY60" i="1"/>
  <c r="AX60" i="1"/>
  <c r="AW60" i="1"/>
  <c r="AV60" i="1"/>
  <c r="AU60" i="1"/>
  <c r="BD59" i="1"/>
  <c r="BC59" i="1"/>
  <c r="BB59" i="1"/>
  <c r="BA59" i="1"/>
  <c r="AZ59" i="1"/>
  <c r="AY59" i="1"/>
  <c r="AX59" i="1"/>
  <c r="AW59" i="1"/>
  <c r="AV59" i="1"/>
  <c r="AU59" i="1"/>
  <c r="BD58" i="1"/>
  <c r="BC58" i="1"/>
  <c r="BB58" i="1"/>
  <c r="BA58" i="1"/>
  <c r="AZ58" i="1"/>
  <c r="AY58" i="1"/>
  <c r="AX58" i="1"/>
  <c r="AW58" i="1"/>
  <c r="AV58" i="1"/>
  <c r="AU58" i="1"/>
  <c r="BD54" i="1"/>
  <c r="BC54" i="1"/>
  <c r="BB54" i="1"/>
  <c r="BA54" i="1"/>
  <c r="AZ54" i="1"/>
  <c r="AY54" i="1"/>
  <c r="AX54" i="1"/>
  <c r="AW54" i="1"/>
  <c r="AV54" i="1"/>
  <c r="AU54" i="1"/>
  <c r="BD53" i="1"/>
  <c r="BC53" i="1"/>
  <c r="BB53" i="1"/>
  <c r="BA53" i="1"/>
  <c r="AZ53" i="1"/>
  <c r="AY53" i="1"/>
  <c r="AX53" i="1"/>
  <c r="AW53" i="1"/>
  <c r="AV53" i="1"/>
  <c r="AU53" i="1"/>
  <c r="BD52" i="1"/>
  <c r="BC52" i="1"/>
  <c r="BB52" i="1"/>
  <c r="BA52" i="1"/>
  <c r="AZ52" i="1"/>
  <c r="AY52" i="1"/>
  <c r="AX52" i="1"/>
  <c r="AW52" i="1"/>
  <c r="AV52" i="1"/>
  <c r="AU52" i="1"/>
  <c r="BD48" i="1"/>
  <c r="BC48" i="1"/>
  <c r="BB48" i="1"/>
  <c r="BA48" i="1"/>
  <c r="AZ48" i="1"/>
  <c r="AY48" i="1"/>
  <c r="AX48" i="1"/>
  <c r="AW48" i="1"/>
  <c r="AV48" i="1"/>
  <c r="AU48" i="1"/>
  <c r="BD47" i="1"/>
  <c r="BC47" i="1"/>
  <c r="BB47" i="1"/>
  <c r="BA47" i="1"/>
  <c r="AZ47" i="1"/>
  <c r="AY47" i="1"/>
  <c r="AX47" i="1"/>
  <c r="AW47" i="1"/>
  <c r="AV47" i="1"/>
  <c r="AU47" i="1"/>
  <c r="BD45" i="1"/>
  <c r="BC45" i="1"/>
  <c r="BB45" i="1"/>
  <c r="BA45" i="1"/>
  <c r="AZ45" i="1"/>
  <c r="AY45" i="1"/>
  <c r="AX45" i="1"/>
  <c r="AW45" i="1"/>
  <c r="AV45" i="1"/>
  <c r="AU45" i="1"/>
  <c r="BD44" i="1"/>
  <c r="BC44" i="1"/>
  <c r="BB44" i="1"/>
  <c r="BA44" i="1"/>
  <c r="AZ44" i="1"/>
  <c r="AY44" i="1"/>
  <c r="AX44" i="1"/>
  <c r="AW44" i="1"/>
  <c r="AV44" i="1"/>
  <c r="AU44" i="1"/>
  <c r="AZ43" i="1"/>
  <c r="BD42" i="1"/>
  <c r="BC42" i="1"/>
  <c r="BB42" i="1"/>
  <c r="BA42" i="1"/>
  <c r="AZ42" i="1"/>
  <c r="AY42" i="1"/>
  <c r="AX42" i="1"/>
  <c r="AW42" i="1"/>
  <c r="AV42" i="1"/>
  <c r="AU42" i="1"/>
  <c r="BD39" i="1"/>
  <c r="BC39" i="1"/>
  <c r="BB39" i="1"/>
  <c r="BA39" i="1"/>
  <c r="AZ39" i="1"/>
  <c r="AY39" i="1"/>
  <c r="AX39" i="1"/>
  <c r="AW39" i="1"/>
  <c r="AV39" i="1"/>
  <c r="AU39" i="1"/>
  <c r="BD38" i="1"/>
  <c r="BC38" i="1"/>
  <c r="BB38" i="1"/>
  <c r="BA38" i="1"/>
  <c r="AZ38" i="1"/>
  <c r="AY38" i="1"/>
  <c r="AX38" i="1"/>
  <c r="AW38" i="1"/>
  <c r="AV38" i="1"/>
  <c r="AU38" i="1"/>
  <c r="BC37" i="1"/>
  <c r="BA37" i="1"/>
  <c r="BD36" i="1"/>
  <c r="BC36" i="1"/>
  <c r="BB36" i="1"/>
  <c r="BA36" i="1"/>
  <c r="AZ36" i="1"/>
  <c r="AY36" i="1"/>
  <c r="AX36" i="1"/>
  <c r="AW36" i="1"/>
  <c r="AV36" i="1"/>
  <c r="AU36" i="1"/>
  <c r="BD35" i="1"/>
  <c r="BC35" i="1"/>
  <c r="BB35" i="1"/>
  <c r="BA35" i="1"/>
  <c r="AZ35" i="1"/>
  <c r="AY35" i="1"/>
  <c r="AX35" i="1"/>
  <c r="AW35" i="1"/>
  <c r="AV35" i="1"/>
  <c r="AU35" i="1"/>
  <c r="BD34" i="1"/>
  <c r="BC34" i="1"/>
  <c r="BB34" i="1"/>
  <c r="BA34" i="1"/>
  <c r="AZ34" i="1"/>
  <c r="AY34" i="1"/>
  <c r="AX34" i="1"/>
  <c r="AW34" i="1"/>
  <c r="AV34" i="1"/>
  <c r="AU34" i="1"/>
  <c r="BD27" i="1"/>
  <c r="BC27" i="1"/>
  <c r="BB27" i="1"/>
  <c r="BA27" i="1"/>
  <c r="AZ27" i="1"/>
  <c r="AY27" i="1"/>
  <c r="AX27" i="1"/>
  <c r="AW27" i="1"/>
  <c r="AV27" i="1"/>
  <c r="AU27" i="1"/>
  <c r="BD26" i="1"/>
  <c r="BC26" i="1"/>
  <c r="BB26" i="1"/>
  <c r="BA26" i="1"/>
  <c r="AZ26" i="1"/>
  <c r="AY26" i="1"/>
  <c r="AX26" i="1"/>
  <c r="AW26" i="1"/>
  <c r="AV26" i="1"/>
  <c r="AU26" i="1"/>
  <c r="BD25" i="1"/>
  <c r="BC25" i="1"/>
  <c r="BB25" i="1"/>
  <c r="BA25" i="1"/>
  <c r="AZ25" i="1"/>
  <c r="AY25" i="1"/>
  <c r="AX25" i="1"/>
  <c r="AW25" i="1"/>
  <c r="AV25" i="1"/>
  <c r="AU25" i="1"/>
  <c r="BD24" i="1"/>
  <c r="BC24" i="1"/>
  <c r="BB24" i="1"/>
  <c r="BA24" i="1"/>
  <c r="AZ24" i="1"/>
  <c r="AY24" i="1"/>
  <c r="AX24" i="1"/>
  <c r="AW24" i="1"/>
  <c r="AV24" i="1"/>
  <c r="AU24" i="1"/>
  <c r="BD22" i="1"/>
  <c r="BC22" i="1"/>
  <c r="BB22" i="1"/>
  <c r="BA22" i="1"/>
  <c r="AZ22" i="1"/>
  <c r="AY22" i="1"/>
  <c r="AX22" i="1"/>
  <c r="AW22" i="1"/>
  <c r="AV22" i="1"/>
  <c r="AU22" i="1"/>
  <c r="BD33" i="1"/>
  <c r="BC33" i="1"/>
  <c r="BB33" i="1"/>
  <c r="BA33" i="1"/>
  <c r="AZ33" i="1"/>
  <c r="AY33" i="1"/>
  <c r="AX33" i="1"/>
  <c r="AW33" i="1"/>
  <c r="AV33" i="1"/>
  <c r="AU33" i="1"/>
  <c r="BD32" i="1"/>
  <c r="BC32" i="1"/>
  <c r="BB32" i="1"/>
  <c r="BA32" i="1"/>
  <c r="AZ32" i="1"/>
  <c r="AY32" i="1"/>
  <c r="AX32" i="1"/>
  <c r="AW32" i="1"/>
  <c r="AV32" i="1"/>
  <c r="AU32" i="1"/>
  <c r="BD31" i="1"/>
  <c r="BC31" i="1"/>
  <c r="BB31" i="1"/>
  <c r="BA31" i="1"/>
  <c r="AZ31" i="1"/>
  <c r="AY31" i="1"/>
  <c r="AX31" i="1"/>
  <c r="AW31" i="1"/>
  <c r="AV31" i="1"/>
  <c r="AU31" i="1"/>
  <c r="BD30" i="1"/>
  <c r="BC30" i="1"/>
  <c r="BB30" i="1"/>
  <c r="BA30" i="1"/>
  <c r="AZ30" i="1"/>
  <c r="AY30" i="1"/>
  <c r="AX30" i="1"/>
  <c r="AW30" i="1"/>
  <c r="AV30" i="1"/>
  <c r="AU30" i="1"/>
  <c r="BD29" i="1"/>
  <c r="BC29" i="1"/>
  <c r="BB29" i="1"/>
  <c r="BA29" i="1"/>
  <c r="AZ29" i="1"/>
  <c r="AY29" i="1"/>
  <c r="AX29" i="1"/>
  <c r="AW29" i="1"/>
  <c r="AV29" i="1"/>
  <c r="AU29" i="1"/>
  <c r="BD28" i="1"/>
  <c r="BC28" i="1"/>
  <c r="BB28" i="1"/>
  <c r="BA28" i="1"/>
  <c r="AZ28" i="1"/>
  <c r="AY28" i="1"/>
  <c r="AX28" i="1"/>
  <c r="AW28" i="1"/>
  <c r="AV28" i="1"/>
  <c r="AU28" i="1"/>
  <c r="BD21" i="1"/>
  <c r="BC21" i="1"/>
  <c r="BB21" i="1"/>
  <c r="BA21" i="1"/>
  <c r="AZ21" i="1"/>
  <c r="AY21" i="1"/>
  <c r="AX21" i="1"/>
  <c r="AW21" i="1"/>
  <c r="AV21" i="1"/>
  <c r="AU21" i="1"/>
  <c r="BD19" i="1"/>
  <c r="BC19" i="1"/>
  <c r="BB19" i="1"/>
  <c r="BA19" i="1"/>
  <c r="AZ19" i="1"/>
  <c r="AY19" i="1"/>
  <c r="AX19" i="1"/>
  <c r="AW19" i="1"/>
  <c r="AV19" i="1"/>
  <c r="AU19" i="1"/>
  <c r="BD143" i="1"/>
  <c r="BC143" i="1"/>
  <c r="BB143" i="1"/>
  <c r="BA143" i="1"/>
  <c r="AZ143" i="1"/>
  <c r="AY143" i="1"/>
  <c r="AX143" i="1"/>
  <c r="AW143" i="1"/>
  <c r="AV143" i="1"/>
  <c r="AU143" i="1"/>
  <c r="BD142" i="1"/>
  <c r="BC142" i="1"/>
  <c r="BB142" i="1"/>
  <c r="BA142" i="1"/>
  <c r="AZ142" i="1"/>
  <c r="AY142" i="1"/>
  <c r="AX142" i="1"/>
  <c r="AW142" i="1"/>
  <c r="AV142" i="1"/>
  <c r="AU142" i="1"/>
  <c r="BD141" i="1"/>
  <c r="BC141" i="1"/>
  <c r="BB141" i="1"/>
  <c r="BA141" i="1"/>
  <c r="AZ141" i="1"/>
  <c r="AY141" i="1"/>
  <c r="AX141" i="1"/>
  <c r="AW141" i="1"/>
  <c r="AV141" i="1"/>
  <c r="AU141" i="1"/>
  <c r="BD18" i="1"/>
  <c r="BC18" i="1"/>
  <c r="BB18" i="1"/>
  <c r="BA18" i="1"/>
  <c r="AZ18" i="1"/>
  <c r="AY18" i="1"/>
  <c r="AX18" i="1"/>
  <c r="AW18" i="1"/>
  <c r="AV18" i="1"/>
  <c r="AU18" i="1"/>
  <c r="BD13" i="1"/>
  <c r="BC13" i="1"/>
  <c r="BB13" i="1"/>
  <c r="BA13" i="1"/>
  <c r="AZ13" i="1"/>
  <c r="AY13" i="1"/>
  <c r="AX13" i="1"/>
  <c r="AW13" i="1"/>
  <c r="AV13" i="1"/>
  <c r="AU13" i="1"/>
  <c r="BE10" i="1"/>
  <c r="BE140" i="1" l="1"/>
  <c r="BE139" i="1"/>
  <c r="BE138" i="1"/>
  <c r="BE102" i="1"/>
  <c r="BE100" i="1"/>
  <c r="BE101" i="1"/>
  <c r="BE146" i="1"/>
  <c r="BE145" i="1"/>
  <c r="BE144" i="1"/>
  <c r="BE66" i="1"/>
  <c r="BE64" i="1"/>
  <c r="BE65" i="1"/>
  <c r="BE63" i="1"/>
  <c r="BE62" i="1"/>
  <c r="BE61" i="1"/>
  <c r="BE57" i="1"/>
  <c r="BE56" i="1"/>
  <c r="BE55" i="1"/>
  <c r="BE99" i="1"/>
  <c r="BE98" i="1"/>
  <c r="BE97" i="1"/>
  <c r="BB37" i="1"/>
  <c r="BD37" i="1"/>
  <c r="BB43" i="1"/>
  <c r="AW37" i="1"/>
  <c r="AV43" i="1"/>
  <c r="BD43" i="1"/>
  <c r="AX37" i="1"/>
  <c r="AY37" i="1"/>
  <c r="AW43" i="1"/>
  <c r="AX43" i="1"/>
  <c r="BC43" i="1"/>
  <c r="AU37" i="1"/>
  <c r="AV37" i="1"/>
  <c r="AZ37" i="1"/>
  <c r="BA43" i="1"/>
  <c r="AU43" i="1"/>
  <c r="AY43" i="1"/>
  <c r="BE51" i="1"/>
  <c r="BE50" i="1"/>
  <c r="BE49" i="1"/>
  <c r="BE96" i="1"/>
  <c r="BE94" i="1"/>
  <c r="BE95" i="1"/>
  <c r="BE72" i="1"/>
  <c r="BE70" i="1"/>
  <c r="BE71" i="1"/>
  <c r="BE155" i="1"/>
  <c r="BE153" i="1"/>
  <c r="BE154" i="1"/>
  <c r="BD116" i="1"/>
  <c r="AU116" i="1"/>
  <c r="BC131" i="1"/>
  <c r="BB116" i="1"/>
  <c r="BA116" i="1"/>
  <c r="AZ116" i="1"/>
  <c r="AV116" i="1"/>
  <c r="AY116" i="1"/>
  <c r="AW116" i="1"/>
  <c r="AX116" i="1"/>
  <c r="BC113" i="1"/>
  <c r="BB113" i="1"/>
  <c r="BD258" i="1"/>
  <c r="AV258" i="1"/>
  <c r="AW258" i="1"/>
  <c r="AY258" i="1"/>
  <c r="AZ258" i="1"/>
  <c r="BA258" i="1"/>
  <c r="AU258" i="1"/>
  <c r="AX258" i="1"/>
  <c r="BB258" i="1"/>
  <c r="BC258" i="1"/>
  <c r="AW156" i="1"/>
  <c r="BB110" i="1"/>
  <c r="AY73" i="1"/>
  <c r="AW41" i="1"/>
  <c r="AV41" i="1"/>
  <c r="AU41" i="1"/>
  <c r="AZ41" i="1"/>
  <c r="AY41" i="1"/>
  <c r="BD41" i="1"/>
  <c r="BC41" i="1"/>
  <c r="BB41" i="1"/>
  <c r="BA41" i="1"/>
  <c r="AX41" i="1"/>
  <c r="BD23" i="1"/>
  <c r="BC23" i="1"/>
  <c r="BB23" i="1"/>
  <c r="BA23" i="1"/>
  <c r="AZ23" i="1"/>
  <c r="AX23" i="1"/>
  <c r="AW23" i="1"/>
  <c r="AV23" i="1"/>
  <c r="AU23" i="1"/>
  <c r="AY23" i="1"/>
  <c r="BE157" i="1"/>
  <c r="BE48" i="1"/>
  <c r="BE28" i="1"/>
  <c r="BE127" i="1"/>
  <c r="BE124" i="1"/>
  <c r="BE121" i="1"/>
  <c r="BE38" i="1"/>
  <c r="BE53" i="1"/>
  <c r="BE47" i="1"/>
  <c r="BE42" i="1"/>
  <c r="BE32" i="1"/>
  <c r="BE39" i="1"/>
  <c r="BE44" i="1"/>
  <c r="BE150" i="1"/>
  <c r="BE160" i="1"/>
  <c r="BE41" i="1"/>
  <c r="BE22" i="1"/>
  <c r="BE118" i="1"/>
  <c r="BE143" i="1"/>
  <c r="BE30" i="1"/>
  <c r="BE75" i="1"/>
  <c r="BE112" i="1"/>
  <c r="BE115" i="1"/>
  <c r="BE34" i="1"/>
  <c r="BE24" i="1"/>
  <c r="BE69" i="1"/>
  <c r="BE29" i="1"/>
  <c r="BE27" i="1"/>
  <c r="BE60" i="1"/>
  <c r="BE74" i="1"/>
  <c r="BE111" i="1"/>
  <c r="BE114" i="1"/>
  <c r="BE54" i="1"/>
  <c r="BE45" i="1"/>
  <c r="BE68" i="1"/>
  <c r="BE260" i="1"/>
  <c r="BE19" i="1"/>
  <c r="BE23" i="1"/>
  <c r="BE59" i="1"/>
  <c r="BE151" i="1"/>
  <c r="BE163" i="1"/>
  <c r="BE36" i="1"/>
  <c r="BE117" i="1"/>
  <c r="BE130" i="1"/>
  <c r="BE259" i="1"/>
  <c r="BE159" i="1"/>
  <c r="BE21" i="1"/>
  <c r="BE31" i="1"/>
  <c r="BE43" i="1"/>
  <c r="BE58" i="1"/>
  <c r="BE67" i="1"/>
  <c r="BE120" i="1"/>
  <c r="BE134" i="1"/>
  <c r="BE13" i="1"/>
  <c r="BE26" i="1"/>
  <c r="BE123" i="1"/>
  <c r="BE137" i="1"/>
  <c r="BE52" i="1"/>
  <c r="BE142" i="1"/>
  <c r="BE37" i="1"/>
  <c r="BE113" i="1"/>
  <c r="BE126" i="1"/>
  <c r="BE116" i="1"/>
  <c r="BE129" i="1"/>
  <c r="BE258" i="1"/>
  <c r="BE35" i="1"/>
  <c r="BE132" i="1"/>
  <c r="BE152" i="1"/>
  <c r="BE136" i="1"/>
  <c r="BE158" i="1"/>
  <c r="BE164" i="1"/>
  <c r="BE33" i="1"/>
  <c r="BE25" i="1"/>
  <c r="BE161" i="1"/>
  <c r="BE18" i="1"/>
  <c r="BE141" i="1"/>
  <c r="AW113" i="1" l="1"/>
  <c r="BD113" i="1"/>
  <c r="AY113" i="1"/>
  <c r="AX113" i="1"/>
  <c r="BA113" i="1"/>
  <c r="AZ113" i="1"/>
  <c r="AV113" i="1"/>
  <c r="AU113" i="1"/>
  <c r="BE135" i="1"/>
  <c r="AV135" i="1"/>
  <c r="AX135" i="1"/>
  <c r="BA135" i="1"/>
  <c r="BB135" i="1"/>
  <c r="BC135" i="1"/>
  <c r="AW135" i="1"/>
  <c r="AZ135" i="1"/>
  <c r="AW125" i="1"/>
  <c r="AX110" i="1"/>
  <c r="AU73" i="1"/>
  <c r="BC73" i="1"/>
  <c r="BA131" i="1"/>
  <c r="AW131" i="1"/>
  <c r="AY131" i="1"/>
  <c r="AX131" i="1"/>
  <c r="BE110" i="1"/>
  <c r="AY156" i="1"/>
  <c r="AU135" i="1"/>
  <c r="BA110" i="1"/>
  <c r="AU125" i="1"/>
  <c r="BD110" i="1"/>
  <c r="AV125" i="1"/>
  <c r="BE131" i="1"/>
  <c r="BD131" i="1"/>
  <c r="AU131" i="1"/>
  <c r="BD135" i="1"/>
  <c r="BB131" i="1"/>
  <c r="BC125" i="1"/>
  <c r="AZ131" i="1"/>
  <c r="BD125" i="1"/>
  <c r="BD156" i="1"/>
  <c r="AX156" i="1"/>
  <c r="BC110" i="1"/>
  <c r="BC128" i="1"/>
  <c r="BC156" i="1"/>
  <c r="AZ119" i="1"/>
  <c r="BB156" i="1"/>
  <c r="BE156" i="1"/>
  <c r="BA156" i="1"/>
  <c r="AY125" i="1"/>
  <c r="AZ125" i="1"/>
  <c r="BE125" i="1"/>
  <c r="BB73" i="1"/>
  <c r="BA125" i="1"/>
  <c r="BE73" i="1"/>
  <c r="AZ73" i="1"/>
  <c r="AV156" i="1"/>
  <c r="AY135" i="1"/>
  <c r="AX125" i="1"/>
  <c r="AZ156" i="1"/>
  <c r="AU156" i="1"/>
  <c r="AV131" i="1"/>
  <c r="BB125" i="1"/>
  <c r="AU110" i="1"/>
  <c r="AV110" i="1"/>
  <c r="AW110" i="1"/>
  <c r="AY110" i="1"/>
  <c r="AZ110" i="1"/>
  <c r="BA73" i="1"/>
  <c r="AX73" i="1"/>
  <c r="AV73" i="1"/>
  <c r="AW73" i="1"/>
  <c r="BD73" i="1"/>
  <c r="AX119" i="1" l="1"/>
  <c r="BA119" i="1"/>
  <c r="AV119" i="1"/>
  <c r="AZ128" i="1"/>
  <c r="BC119" i="1"/>
  <c r="AY119" i="1"/>
  <c r="AW119" i="1"/>
  <c r="BD119" i="1"/>
  <c r="AU128" i="1"/>
  <c r="AX128" i="1"/>
  <c r="BD128" i="1"/>
  <c r="BC122" i="1"/>
  <c r="BB119" i="1"/>
  <c r="AU119" i="1"/>
  <c r="BE119" i="1"/>
  <c r="AW128" i="1"/>
  <c r="AV128" i="1"/>
  <c r="BB128" i="1"/>
  <c r="BA128" i="1"/>
  <c r="BE128" i="1"/>
  <c r="AY128" i="1"/>
  <c r="BD162" i="1"/>
  <c r="BE40" i="1"/>
  <c r="BE122" i="1" l="1"/>
  <c r="AU122" i="1"/>
  <c r="AV122" i="1"/>
  <c r="AV162" i="1"/>
  <c r="AW162" i="1"/>
  <c r="AU162" i="1"/>
  <c r="AX122" i="1"/>
  <c r="BE162" i="1"/>
  <c r="BB162" i="1"/>
  <c r="BC162" i="1"/>
  <c r="AZ122" i="1"/>
  <c r="BA122" i="1"/>
  <c r="AW122" i="1"/>
  <c r="AY122" i="1"/>
  <c r="BD122" i="1"/>
  <c r="BB122" i="1"/>
  <c r="BA162" i="1"/>
  <c r="AZ162" i="1"/>
  <c r="AY162" i="1"/>
  <c r="AX162" i="1"/>
  <c r="AY40" i="1"/>
  <c r="AZ40" i="1"/>
  <c r="AX40" i="1"/>
  <c r="BD40" i="1"/>
  <c r="AV40" i="1"/>
  <c r="AW40" i="1"/>
  <c r="AU40" i="1"/>
  <c r="BA40" i="1"/>
  <c r="BC40" i="1"/>
  <c r="BB40" i="1"/>
  <c r="AU46" i="1" l="1"/>
  <c r="BA46" i="1"/>
  <c r="BE46" i="1"/>
  <c r="AZ46" i="1" l="1"/>
  <c r="BB46" i="1"/>
  <c r="AV46" i="1"/>
  <c r="BC46" i="1"/>
  <c r="AX46" i="1"/>
  <c r="BD46" i="1"/>
  <c r="AW46" i="1"/>
  <c r="AY46" i="1"/>
  <c r="BC14" i="1" l="1"/>
  <c r="BB14" i="1"/>
  <c r="AY14" i="1"/>
  <c r="AW14" i="1"/>
  <c r="BA14" i="1"/>
  <c r="AV14" i="1"/>
  <c r="BD14" i="1"/>
  <c r="BE14" i="1"/>
  <c r="AZ14" i="1"/>
  <c r="AX14" i="1"/>
  <c r="AU14" i="1"/>
  <c r="BE20" i="1"/>
  <c r="AY20" i="1"/>
  <c r="BD20" i="1"/>
  <c r="AZ20" i="1"/>
  <c r="BB20" i="1"/>
  <c r="AU20" i="1"/>
  <c r="AV20" i="1"/>
  <c r="BA20" i="1"/>
  <c r="BC20" i="1"/>
  <c r="AW20" i="1"/>
  <c r="AX20" i="1"/>
  <c r="AJ148" i="1"/>
  <c r="AP148" i="1"/>
  <c r="AR147" i="1" s="1"/>
  <c r="AG35" i="1" l="1"/>
  <c r="AH35" i="1" s="1"/>
  <c r="AF56" i="1" l="1"/>
  <c r="AG56" i="1" s="1"/>
  <c r="AH56" i="1" s="1"/>
  <c r="AR55" i="1" l="1"/>
  <c r="AK56" i="1"/>
  <c r="AJ56" i="1" s="1"/>
  <c r="AI56" i="1" s="1"/>
  <c r="AG23" i="1" l="1"/>
  <c r="AH23" i="1" s="1"/>
  <c r="AR100" i="1" l="1"/>
  <c r="AR9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Zhang Juan</author>
  </authors>
  <commentList>
    <comment ref="P19" authorId="0" shapeId="0" xr:uid="{DAC4432C-76B3-412C-BE3A-93607DDFF6A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P22" authorId="0" shapeId="0" xr:uid="{3AFC5AC5-D0B2-4BFD-AF76-CE4FEAA671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P25" authorId="0" shapeId="0" xr:uid="{A97F442C-0762-4975-9C65-DE6AD48416F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P34" authorId="0" shapeId="0" xr:uid="{105E9A3E-ED6C-47B4-AEF3-229FC53324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Y51" authorId="1" shapeId="0" xr:uid="{4799D6A7-D6C1-466D-B9EA-0F569D5421B5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"/>
            <family val="2"/>
          </rPr>
          <t xml:space="preserve">6-Aug:AWC
14-Aug: C2 submit
</t>
        </r>
      </text>
    </comment>
    <comment ref="P110" authorId="0" shapeId="0" xr:uid="{0D3817BC-491A-4DD1-89AF-2B43CD9DCC4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如果只是型钢板材拼接类的支撑由珠海采购。</t>
        </r>
      </text>
    </comment>
    <comment ref="Y115" authorId="1" shapeId="0" xr:uid="{F9D1BB3D-74B0-4FF0-BC4D-9F5C7F26EF8B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
20-Aug:APPR</t>
        </r>
      </text>
    </comment>
    <comment ref="Y118" authorId="1" shapeId="0" xr:uid="{281B431F-9C87-4A3A-911F-972A3ACF4AB0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11-Aug: AWC
20-Aug:APPR
</t>
        </r>
      </text>
    </comment>
    <comment ref="Y121" authorId="1" shapeId="0" xr:uid="{DE98AB41-A0C8-4223-9728-37CB471C14D8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
20-Aug: APPR</t>
        </r>
      </text>
    </comment>
    <comment ref="X124" authorId="1" shapeId="0" xr:uid="{9FF1EA91-9044-417B-B844-E2B339C0D2EC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5-Aug:C2</t>
        </r>
      </text>
    </comment>
    <comment ref="Y130" authorId="1" shapeId="0" xr:uid="{CF78D837-6906-48AE-BB68-2C3BB02AD8BD}">
      <text>
        <r>
          <rPr>
            <b/>
            <sz val="9"/>
            <color indexed="81"/>
            <rFont val="宋体"/>
            <family val="3"/>
            <charset val="134"/>
          </rPr>
          <t xml:space="preserve">Zhang Juan:
</t>
        </r>
        <r>
          <rPr>
            <sz val="9"/>
            <color indexed="81"/>
            <rFont val="宋体"/>
            <family val="3"/>
            <charset val="134"/>
          </rPr>
          <t>11-Aug:TBE C` not approved
19-Aug: TBE C2 not approved</t>
        </r>
      </text>
    </comment>
    <comment ref="X134" authorId="1" shapeId="0" xr:uid="{027BB1D8-B5BA-4253-81AD-CAC484FF10AB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2026.8.9:Pending on hot drawn for 3" pipes
</t>
        </r>
      </text>
    </comment>
    <comment ref="Y146" authorId="1" shapeId="0" xr:uid="{BB9BEBED-1F5F-48DB-83E4-6FA0F945DF13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18-Aug: TBE C2 APPR</t>
        </r>
      </text>
    </comment>
    <comment ref="Y185" authorId="1" shapeId="0" xr:uid="{824F5C0D-53D8-4299-B4D7-6ADEDD9D1B34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2-Aug;AWC</t>
        </r>
      </text>
    </comment>
    <comment ref="Y206" authorId="1" shapeId="0" xr:uid="{7D76E99E-3BFD-4A02-9CED-C31686BE0D32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6-Aug: AWC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209" authorId="1" shapeId="0" xr:uid="{B669D84F-9CAA-4280-A5F1-25895119846F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2-Aug: AWC</t>
        </r>
      </text>
    </comment>
    <comment ref="Y421" authorId="1" shapeId="0" xr:uid="{0A954A40-1A6D-44D5-BB95-30E345B270B6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31-Jul:AWC</t>
        </r>
      </text>
    </comment>
    <comment ref="Y427" authorId="1" shapeId="0" xr:uid="{EAFCC94A-0CB5-4757-83C7-812731AF9E00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17-Aug:TBE APPR</t>
        </r>
      </text>
    </comment>
    <comment ref="Y433" authorId="1" shapeId="0" xr:uid="{539FE304-005E-47A0-B738-AC69196C882E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20-Aug:TBE APPR</t>
        </r>
      </text>
    </comment>
  </commentList>
</comments>
</file>

<file path=xl/sharedStrings.xml><?xml version="1.0" encoding="utf-8"?>
<sst xmlns="http://schemas.openxmlformats.org/spreadsheetml/2006/main" count="5922" uniqueCount="1098">
  <si>
    <t>L2</t>
  </si>
  <si>
    <t>L3</t>
  </si>
  <si>
    <t>Contract no: 
MMC25-5001</t>
  </si>
  <si>
    <t>L4</t>
  </si>
  <si>
    <t>RFQ No.</t>
  </si>
  <si>
    <t>Package Name</t>
  </si>
  <si>
    <t>CODE</t>
  </si>
  <si>
    <t>DIS</t>
  </si>
  <si>
    <t>LLI
 (Y/N)</t>
  </si>
  <si>
    <t>Owner</t>
  </si>
  <si>
    <t>P/F/A</t>
  </si>
  <si>
    <t>Bidder list Approval</t>
  </si>
  <si>
    <t>MR Approved</t>
  </si>
  <si>
    <t>RFQ Issued</t>
  </si>
  <si>
    <t>RFQ Approved</t>
  </si>
  <si>
    <t>TBE Issued</t>
  </si>
  <si>
    <t>PO Issued</t>
  </si>
  <si>
    <t>Vendor Acknowledgement</t>
  </si>
  <si>
    <t>Delivery Duration (Weeks)</t>
  </si>
  <si>
    <t>days</t>
  </si>
  <si>
    <t>Delivery Date(1st Batch for ZWP21)</t>
  </si>
  <si>
    <t>ROS Date</t>
  </si>
  <si>
    <t>Remarks</t>
  </si>
  <si>
    <t>Matrix</t>
  </si>
  <si>
    <t>PTTEP</t>
  </si>
  <si>
    <t>ENG</t>
  </si>
  <si>
    <t>TJE PRC</t>
  </si>
  <si>
    <t>BIDDER</t>
  </si>
  <si>
    <t>RFQ-MA-001</t>
  </si>
  <si>
    <t>4-2</t>
  </si>
  <si>
    <t>MA</t>
  </si>
  <si>
    <t>Y</t>
  </si>
  <si>
    <t>SH</t>
  </si>
  <si>
    <t>P</t>
  </si>
  <si>
    <t>F</t>
  </si>
  <si>
    <t>A</t>
  </si>
  <si>
    <t>4-6</t>
  </si>
  <si>
    <t>RFQ-MA-003</t>
  </si>
  <si>
    <t>4-10</t>
  </si>
  <si>
    <t>RFQ-MA-004</t>
  </si>
  <si>
    <t>Closed Drain Sump Pump skids</t>
  </si>
  <si>
    <t>4-18</t>
  </si>
  <si>
    <t>4-4</t>
  </si>
  <si>
    <t>RFQ-MA-005</t>
  </si>
  <si>
    <t>4-8</t>
  </si>
  <si>
    <t>RFQ-MA-006</t>
  </si>
  <si>
    <t>Instrument Gas Filter Coalescer</t>
  </si>
  <si>
    <t>4-11</t>
  </si>
  <si>
    <t>Chemical storage tank</t>
  </si>
  <si>
    <t>4-39</t>
  </si>
  <si>
    <t>4-7</t>
  </si>
  <si>
    <t>N</t>
  </si>
  <si>
    <t>RFQ-SA-001</t>
  </si>
  <si>
    <t>4-38</t>
  </si>
  <si>
    <t>SA</t>
  </si>
  <si>
    <t>RFQ-SA-002</t>
  </si>
  <si>
    <t>RFQ-PIP-001</t>
  </si>
  <si>
    <t>4-19</t>
  </si>
  <si>
    <t>PI</t>
  </si>
  <si>
    <t>RFQ-PIP-002</t>
  </si>
  <si>
    <t>4-21</t>
  </si>
  <si>
    <t>RFQ-PIP-003</t>
  </si>
  <si>
    <t>4-22</t>
  </si>
  <si>
    <t>RFQ-PIP-004</t>
  </si>
  <si>
    <t>4-41</t>
  </si>
  <si>
    <t>RFQ-PIP-006</t>
  </si>
  <si>
    <t>5-5</t>
  </si>
  <si>
    <t>RFQ-PIP-007</t>
  </si>
  <si>
    <t>SPECIAL PIPE SUPPORT</t>
  </si>
  <si>
    <t>ZH</t>
  </si>
  <si>
    <t>RFQ-PIP-008</t>
  </si>
  <si>
    <t>CS Fitting</t>
  </si>
  <si>
    <t>RFQ-PIP-009</t>
  </si>
  <si>
    <t>SS &amp; DSS Fitting</t>
  </si>
  <si>
    <t>RFQ-PIP-010</t>
  </si>
  <si>
    <t>CS Flange</t>
  </si>
  <si>
    <t>RFQ-PIP-011</t>
  </si>
  <si>
    <t>SS &amp; DSS Flange</t>
  </si>
  <si>
    <t>RFQ-PIP-012</t>
  </si>
  <si>
    <t>RFQ-PIP-013</t>
  </si>
  <si>
    <t>RFQ-PIP-014</t>
  </si>
  <si>
    <t>RFQ-PIP-015</t>
  </si>
  <si>
    <t>RFQ-EL-001</t>
  </si>
  <si>
    <t>4-25</t>
  </si>
  <si>
    <t>EL</t>
  </si>
  <si>
    <t>RFQ-EL-002</t>
  </si>
  <si>
    <t>AC Distribution Boards</t>
  </si>
  <si>
    <t>4-24</t>
  </si>
  <si>
    <t>RFQ-EL-003</t>
  </si>
  <si>
    <t>4-26</t>
  </si>
  <si>
    <t>RFQ-EL-004</t>
  </si>
  <si>
    <t>EL Cable</t>
  </si>
  <si>
    <t>5-7</t>
  </si>
  <si>
    <t>RFQ-EL-005</t>
  </si>
  <si>
    <t>RFQ-EL-006</t>
  </si>
  <si>
    <t>RFQ-EL-007</t>
  </si>
  <si>
    <t>RFQ-EL-008</t>
  </si>
  <si>
    <t>RFQ-EL-009</t>
  </si>
  <si>
    <t>RFQ-IN-001</t>
  </si>
  <si>
    <t>4-28</t>
  </si>
  <si>
    <t>IN</t>
  </si>
  <si>
    <t>4-40</t>
  </si>
  <si>
    <t>RFQ-IN-003</t>
  </si>
  <si>
    <t>Control valve</t>
  </si>
  <si>
    <t>4-5</t>
  </si>
  <si>
    <t>RFQ-IN-004</t>
  </si>
  <si>
    <t>RFQ-IN-005</t>
  </si>
  <si>
    <t>4-20</t>
  </si>
  <si>
    <t>RFQ-IN-006</t>
  </si>
  <si>
    <t>4-30</t>
  </si>
  <si>
    <t>Coriolis Flow Meters</t>
  </si>
  <si>
    <t>4-32</t>
  </si>
  <si>
    <t>Vortex Flow Meters</t>
  </si>
  <si>
    <t>RFQ-IN-010</t>
  </si>
  <si>
    <t xml:space="preserve"> Pressure Transmitters (Wireless Type)</t>
  </si>
  <si>
    <t>4-35</t>
  </si>
  <si>
    <t>RFQ-IN-011</t>
  </si>
  <si>
    <t xml:space="preserve"> Restriction Orifices</t>
  </si>
  <si>
    <t>4-42</t>
  </si>
  <si>
    <t>RFQ-IN-012</t>
  </si>
  <si>
    <t>Pressure Gauges</t>
  </si>
  <si>
    <t>RFQ-IN-013</t>
  </si>
  <si>
    <t>Pressure Transmitters</t>
  </si>
  <si>
    <t>RFQ-IN-014</t>
  </si>
  <si>
    <t>Temperature Gauges and Thermowells</t>
  </si>
  <si>
    <t>RFQ-IN-015</t>
  </si>
  <si>
    <t>RFQ-IN-016</t>
  </si>
  <si>
    <t>RFQ-IN-017</t>
  </si>
  <si>
    <t>DP Level Transmitters</t>
  </si>
  <si>
    <t>RFQ-IN-018</t>
  </si>
  <si>
    <t xml:space="preserve"> Fire &amp; Gas Detectors</t>
  </si>
  <si>
    <t>RFQ-IN-019</t>
  </si>
  <si>
    <t>4-27</t>
  </si>
  <si>
    <t>RFQ-IN-020</t>
  </si>
  <si>
    <t>Position Limit Switch</t>
  </si>
  <si>
    <t>4-36</t>
  </si>
  <si>
    <t>4-34</t>
  </si>
  <si>
    <t>RFQ-IN-022</t>
  </si>
  <si>
    <t>RFQ-IN-023</t>
  </si>
  <si>
    <t>IN Cable</t>
  </si>
  <si>
    <t>5-8</t>
  </si>
  <si>
    <t>RFQ-IN-024</t>
  </si>
  <si>
    <t>IN Cable Tray</t>
  </si>
  <si>
    <t>RFQ-IN-025</t>
  </si>
  <si>
    <t>IN Junction Box</t>
  </si>
  <si>
    <t>RFQ-IN-026</t>
  </si>
  <si>
    <t>IN Cable Gland</t>
  </si>
  <si>
    <t>RFQ-IN-027</t>
  </si>
  <si>
    <t>RFQ-IN-028</t>
  </si>
  <si>
    <t>TEL</t>
  </si>
  <si>
    <t>RFQ-STR-001</t>
  </si>
  <si>
    <t>Topside Primary Steel- Plate</t>
  </si>
  <si>
    <t>5-1</t>
  </si>
  <si>
    <t>STR</t>
  </si>
  <si>
    <t>RFQ-STR-002</t>
  </si>
  <si>
    <t xml:space="preserve">Topside Primary Steel-Beam </t>
  </si>
  <si>
    <t>RFQ-STR-003</t>
  </si>
  <si>
    <t>Topside Primary Steel- Seamless</t>
  </si>
  <si>
    <t>RFQ-STR-004</t>
  </si>
  <si>
    <t>5-4</t>
  </si>
  <si>
    <t>RFQ-STR-005</t>
  </si>
  <si>
    <t>RFQ-STR-008</t>
  </si>
  <si>
    <t>JKT Anode</t>
  </si>
  <si>
    <t>RFQ-STR-009</t>
  </si>
  <si>
    <t>Coating</t>
  </si>
  <si>
    <t>RFQ-STR-010</t>
  </si>
  <si>
    <t>RFQ-STR-011</t>
  </si>
  <si>
    <t>RFQ-STR-012</t>
  </si>
  <si>
    <t>KOM</t>
  </si>
  <si>
    <t>VDB Submission</t>
  </si>
  <si>
    <t>Main Material Arrived</t>
  </si>
  <si>
    <t>Start Production</t>
  </si>
  <si>
    <t>FAT</t>
  </si>
  <si>
    <t>Ready for Shipment</t>
  </si>
  <si>
    <t>Punch List Clearance(all punch clearance before Tag Equipment Ready for Shipping )</t>
  </si>
  <si>
    <t>Approval of Final Documentation  (To be confirmed later)</t>
  </si>
  <si>
    <t>Vendor</t>
  </si>
  <si>
    <t>TJE QA/QC</t>
  </si>
  <si>
    <t>THE Worksite</t>
  </si>
  <si>
    <t xml:space="preserve">Float </t>
    <phoneticPr fontId="19" type="noConversion"/>
  </si>
  <si>
    <t>Y</t>
    <phoneticPr fontId="19" type="noConversion"/>
  </si>
  <si>
    <t>RFQ-STR-009</t>
    <phoneticPr fontId="19" type="noConversion"/>
  </si>
  <si>
    <t>Instrument Gas Filter Coalescer</t>
    <phoneticPr fontId="19" type="noConversion"/>
  </si>
  <si>
    <t xml:space="preserve">PROVISION OF ENGINEERING, PROCUREMENT, CONSTRUCTION AND COMMISSIONING FOR WELLHEAD PLATFORMS, ASSOCIATED PIPLINES AND BROWNFIELD MODIFICATIONS FOR ZAWTIKA DEVELOPMENT PROJECT PHASE 1F </t>
    <phoneticPr fontId="19" type="noConversion"/>
  </si>
  <si>
    <t>CR</t>
    <phoneticPr fontId="19" type="noConversion"/>
  </si>
  <si>
    <t>RFQ-MA-001</t>
    <phoneticPr fontId="19" type="noConversion"/>
  </si>
  <si>
    <t>Closed Drain Sump Vessel</t>
    <phoneticPr fontId="19" type="noConversion"/>
  </si>
  <si>
    <t>Actuated Compact Ball Valve</t>
    <phoneticPr fontId="19" type="noConversion"/>
  </si>
  <si>
    <t>Chemical storage tank</t>
    <phoneticPr fontId="19" type="noConversion"/>
  </si>
  <si>
    <t>L3</t>
    <phoneticPr fontId="19" type="noConversion"/>
  </si>
  <si>
    <t>L4</t>
    <phoneticPr fontId="19" type="noConversion"/>
  </si>
  <si>
    <t xml:space="preserve">Topside Tertiary Steel </t>
    <phoneticPr fontId="19" type="noConversion"/>
  </si>
  <si>
    <t>L2</t>
    <phoneticPr fontId="19" type="noConversion"/>
  </si>
  <si>
    <t>Offshore Pedestal Crane</t>
  </si>
  <si>
    <t>Offshore Pedestal Crane</t>
    <phoneticPr fontId="19" type="noConversion"/>
  </si>
  <si>
    <t>PO description</t>
    <phoneticPr fontId="19" type="noConversion"/>
  </si>
  <si>
    <t>Grouting System</t>
  </si>
  <si>
    <t>Grouting System</t>
    <phoneticPr fontId="19" type="noConversion"/>
  </si>
  <si>
    <t>Timber for Launch cradle</t>
    <phoneticPr fontId="19" type="noConversion"/>
  </si>
  <si>
    <t>Gripper, Packer and Diaphragm</t>
    <phoneticPr fontId="19" type="noConversion"/>
  </si>
  <si>
    <t>RFQ-STR-014</t>
  </si>
  <si>
    <t>RFQ-STR-015</t>
  </si>
  <si>
    <t>MM-ZTK-1F-GEN-MEC-MR-0001</t>
    <phoneticPr fontId="19" type="noConversion"/>
  </si>
  <si>
    <t>MM-ZTK-1F-GEN-MEC-MR-0002</t>
  </si>
  <si>
    <t>MM-ZTK-1F-GEN-MEC-MR-0002</t>
    <phoneticPr fontId="19" type="noConversion"/>
  </si>
  <si>
    <t>MM-ZTK-1F-GEN-MEC-MR-0003</t>
  </si>
  <si>
    <t>MM-ZTK-1F-GEN-MEC-MR-0003</t>
    <phoneticPr fontId="19" type="noConversion"/>
  </si>
  <si>
    <t>MM-ZTK-1F-GEN-MEC-MR-0004</t>
    <phoneticPr fontId="19" type="noConversion"/>
  </si>
  <si>
    <t>MM-ZTK-1F-GEN-MEC-MR-0005</t>
    <phoneticPr fontId="19" type="noConversion"/>
  </si>
  <si>
    <t>MM-ZTK-1F-GEN-MEC-MR-0006</t>
    <phoneticPr fontId="19" type="noConversion"/>
  </si>
  <si>
    <t>MM-ZTK-1F-GEN-SAF-MR-0001</t>
    <phoneticPr fontId="19" type="noConversion"/>
  </si>
  <si>
    <t>Fire Fighting, Safety Equipment (Including Lifesaving)</t>
    <phoneticPr fontId="19" type="noConversion"/>
  </si>
  <si>
    <t>Safety Signs</t>
  </si>
  <si>
    <t>MM-ZTK-1F-GEN-SAF-MR-0002</t>
  </si>
  <si>
    <t>Solar Power System</t>
    <phoneticPr fontId="19" type="noConversion"/>
  </si>
  <si>
    <t>MM-ZTK-1F-GEN-ELE-MR-0001</t>
    <phoneticPr fontId="19" type="noConversion"/>
  </si>
  <si>
    <t>DC Distribution Boards</t>
    <phoneticPr fontId="19" type="noConversion"/>
  </si>
  <si>
    <t>MM-ZTK-1F-GEN-ELE-MR-0002</t>
  </si>
  <si>
    <t>MM-ZTK-1F-GEN-ELE-MR-0003</t>
  </si>
  <si>
    <t>Navigation Aid, Red Lantern, Flashing Beacon, Warning Siren and Fog Horn</t>
  </si>
  <si>
    <t>Navigation Aid, Red Lantern, Flashing Beacon, Warning Siren and Fog Horn</t>
    <phoneticPr fontId="19" type="noConversion"/>
  </si>
  <si>
    <t>MM-ZTK-1F-GEN-ELE-MR-0004</t>
  </si>
  <si>
    <t>MM-ZTK-1F-GEN-ELE-MR-0005</t>
    <phoneticPr fontId="19" type="noConversion"/>
  </si>
  <si>
    <t>MM-ZTK-1F-GEN-ELE-MR-0006</t>
  </si>
  <si>
    <t>Electrical Lighting Fixtures</t>
  </si>
  <si>
    <t>Electrical Lighting Fixtures</t>
    <phoneticPr fontId="19" type="noConversion"/>
  </si>
  <si>
    <t>MM-ZTK-1F-GEN-ELE-MR-0007</t>
  </si>
  <si>
    <t>MM-ZTK-1F-GEN-ELE-MR-0008</t>
  </si>
  <si>
    <t>MM-ZTK-1F-GEN-ELE-MR-0009</t>
  </si>
  <si>
    <t>RFQ-EL-010</t>
  </si>
  <si>
    <t>MM-ZTK-1F-GEN-INS-MR-0001</t>
    <phoneticPr fontId="19" type="noConversion"/>
  </si>
  <si>
    <t>MM-ZTK-1F-GEN-INS-MR-0002</t>
  </si>
  <si>
    <t>MM-ZTK-1F-GEN-INS-MR-0002</t>
    <phoneticPr fontId="19" type="noConversion"/>
  </si>
  <si>
    <t>RFQ-IN-002</t>
    <phoneticPr fontId="19" type="noConversion"/>
  </si>
  <si>
    <t>MM-ZTK-1F-GEN-INS-MR-0003</t>
  </si>
  <si>
    <t>MM-ZTK-1F-GEN-INS-MR-0004</t>
    <phoneticPr fontId="19" type="noConversion"/>
  </si>
  <si>
    <t>MM-ZTK-1F-GEN-INS-MR-0005</t>
  </si>
  <si>
    <t>MM-ZTK-1F-GEN-INS-MR-0006</t>
  </si>
  <si>
    <t>PLC system</t>
  </si>
  <si>
    <t>PLC system</t>
    <phoneticPr fontId="19" type="noConversion"/>
  </si>
  <si>
    <t>MM-ZTK-1F-GEN-INS-MR-0008</t>
  </si>
  <si>
    <t>MM-ZTK-1F-GEN-INS-MR-0009</t>
  </si>
  <si>
    <t>MM-ZTK-1F-GEN-INS-MR-0010</t>
  </si>
  <si>
    <t>Self-Actuated Pressure Control Valves</t>
    <phoneticPr fontId="19" type="noConversion"/>
  </si>
  <si>
    <t>MM-ZTK-1F-GEN-INS-MR-0011</t>
    <phoneticPr fontId="19" type="noConversion"/>
  </si>
  <si>
    <t>MM-ZTK-1F-GEN-INS-MR-0012</t>
    <phoneticPr fontId="19" type="noConversion"/>
  </si>
  <si>
    <t>MM-ZTK-1F-GEN-INS-MR-0013</t>
    <phoneticPr fontId="19" type="noConversion"/>
  </si>
  <si>
    <t>MM-ZTK-1F-GEN-INS-MR-0014</t>
    <phoneticPr fontId="19" type="noConversion"/>
  </si>
  <si>
    <t>MM-ZTK-1F-GEN-INS-MR-0015</t>
  </si>
  <si>
    <t>MM-ZTK-1F-GEN-INS-MR-0015</t>
    <phoneticPr fontId="19" type="noConversion"/>
  </si>
  <si>
    <t>MM-ZTK-1F-GEN-INS-MR-0016</t>
    <phoneticPr fontId="19" type="noConversion"/>
  </si>
  <si>
    <t>MM-ZTK-1F-GEN-INS-MR-0017</t>
    <phoneticPr fontId="19" type="noConversion"/>
  </si>
  <si>
    <t>Temperature Transmitters and Thermowells</t>
  </si>
  <si>
    <t>MM-ZTK-1F-GEN-INS-MR-0018</t>
  </si>
  <si>
    <t>Temperature Transmitters (Pipe Clamp) Wireless Type</t>
  </si>
  <si>
    <t>MM-ZTK-1F-GEN-INS-MR-0019</t>
  </si>
  <si>
    <t>MM-ZTK-1F-GEN-INS-MR-0020</t>
  </si>
  <si>
    <t>Pressure Gauges</t>
    <phoneticPr fontId="19" type="noConversion"/>
  </si>
  <si>
    <t>Pressure Gauges (Wireless Type)</t>
  </si>
  <si>
    <t>Pressure Gauges (Wireless Type)</t>
    <phoneticPr fontId="19" type="noConversion"/>
  </si>
  <si>
    <t>MM-ZTK-1F-GEN-INS-MR-0021</t>
  </si>
  <si>
    <t>Magnetic Level Gauges and Transmitters</t>
    <phoneticPr fontId="19" type="noConversion"/>
  </si>
  <si>
    <t>MM-ZTK-1F-GEN-INS-MR-0023</t>
  </si>
  <si>
    <t>MM-ZTK-1F-GEN-INS-MR-0024</t>
  </si>
  <si>
    <t>MM-ZTK-1F-GEN-INS-MR-0025</t>
  </si>
  <si>
    <t>Non-Intrusive Sand Monitoring System (Acoustic Type)</t>
  </si>
  <si>
    <t>MM-ZTK-1F-GEN-INS-MR-0026</t>
  </si>
  <si>
    <t>on-Intrusive Wireless Sand Monitoring System (Ultrasonic Type)</t>
  </si>
  <si>
    <t>MM-ZTK-1F-GEN-INS-MR-0033</t>
  </si>
  <si>
    <t>MM-ZTK-1F-GEN-INS-MR-0034</t>
  </si>
  <si>
    <t>MM-ZTK-1F-GEN-PIP-MR-0001</t>
  </si>
  <si>
    <t>MM-ZTK-1F-GEN-PIP-MR-0003</t>
  </si>
  <si>
    <t>MM-ZTK-1F-GEN-PIP-MR-0002</t>
  </si>
  <si>
    <t>MM-ZTK-1F-GEN-PIP-MR-0002</t>
    <phoneticPr fontId="19" type="noConversion"/>
  </si>
  <si>
    <t>RFQ-IN-029</t>
  </si>
  <si>
    <t>RFQ-IN-030</t>
  </si>
  <si>
    <t>MM-ZTK-1F-GEN-STR-MR-1021</t>
  </si>
  <si>
    <t>ButterflyValve</t>
  </si>
  <si>
    <t>ButterflyValve</t>
    <phoneticPr fontId="19" type="noConversion"/>
  </si>
  <si>
    <t>RFQ-PIP-019</t>
  </si>
  <si>
    <t>RFQ-MA-003</t>
    <phoneticPr fontId="19" type="noConversion"/>
  </si>
  <si>
    <t>RFQ-MA-004</t>
    <phoneticPr fontId="19" type="noConversion"/>
  </si>
  <si>
    <t>RFQ-MA-005</t>
    <phoneticPr fontId="19" type="noConversion"/>
  </si>
  <si>
    <t>Test Separator</t>
  </si>
  <si>
    <t>Test Separator</t>
    <phoneticPr fontId="19" type="noConversion"/>
  </si>
  <si>
    <t>Priority Level</t>
  </si>
  <si>
    <t>LA</t>
  </si>
  <si>
    <t>Most complexity RFQ</t>
  </si>
  <si>
    <t>LB</t>
  </si>
  <si>
    <t>High complexity RFQ</t>
  </si>
  <si>
    <t>LC</t>
  </si>
  <si>
    <t>Normal complexity  RFQ</t>
  </si>
  <si>
    <t>LD</t>
  </si>
  <si>
    <t>Low complexity  RFQ</t>
  </si>
  <si>
    <t>Date</t>
  </si>
  <si>
    <t>Holiday Name</t>
  </si>
  <si>
    <t>Father's Day</t>
  </si>
  <si>
    <t>Constitution Day</t>
  </si>
  <si>
    <t>New Year's Day</t>
  </si>
  <si>
    <t>The Buddha Day</t>
  </si>
  <si>
    <t>Kutkuri Dynasty Memorial Day</t>
  </si>
  <si>
    <t>Songkran Festival</t>
  </si>
  <si>
    <t>International Workers' Day</t>
  </si>
  <si>
    <t xml:space="preserve">The anniversary of the King's accession to the throne </t>
  </si>
  <si>
    <t>Mother's Day</t>
  </si>
  <si>
    <t>The anniversary of the death of the 9th King</t>
  </si>
  <si>
    <t>The anniversary of the death of the 5th King Father's Day</t>
  </si>
  <si>
    <t>佛历节日，日期为预测</t>
  </si>
  <si>
    <t>Vesak Festival</t>
  </si>
  <si>
    <t>The Birthday Anniversary of the Queen</t>
  </si>
  <si>
    <r>
      <rPr>
        <sz val="10"/>
        <color rgb="FF0F1115"/>
        <rFont val="宋体"/>
        <family val="3"/>
        <charset val="134"/>
      </rPr>
      <t>宪法纪念日</t>
    </r>
  </si>
  <si>
    <r>
      <rPr>
        <sz val="10"/>
        <color rgb="FF0F1115"/>
        <rFont val="宋体"/>
        <family val="3"/>
        <charset val="134"/>
      </rPr>
      <t>万佛节</t>
    </r>
  </si>
  <si>
    <r>
      <rPr>
        <sz val="10"/>
        <color rgb="FF0F1115"/>
        <rFont val="宋体"/>
        <family val="3"/>
        <charset val="134"/>
      </rPr>
      <t>却克里王朝纪念日</t>
    </r>
  </si>
  <si>
    <r>
      <rPr>
        <sz val="10"/>
        <color rgb="FF0F1115"/>
        <rFont val="宋体"/>
        <family val="3"/>
        <charset val="134"/>
      </rPr>
      <t>卫塞节</t>
    </r>
  </si>
  <si>
    <r>
      <rPr>
        <sz val="10"/>
        <color rgb="FF0F1115"/>
        <rFont val="宋体"/>
        <family val="3"/>
        <charset val="134"/>
      </rPr>
      <t>守夏节</t>
    </r>
  </si>
  <si>
    <t>Qingming Festival</t>
  </si>
  <si>
    <t>Dragon Boat Festival</t>
  </si>
  <si>
    <t>National Day</t>
  </si>
  <si>
    <t>Holiday</t>
  </si>
  <si>
    <t>Thai</t>
  </si>
  <si>
    <t>China</t>
  </si>
  <si>
    <t>LA</t>
    <phoneticPr fontId="19" type="noConversion"/>
  </si>
  <si>
    <t>LC</t>
    <phoneticPr fontId="19" type="noConversion"/>
  </si>
  <si>
    <t>LD</t>
    <phoneticPr fontId="19" type="noConversion"/>
  </si>
  <si>
    <t>LB</t>
    <phoneticPr fontId="19" type="noConversion"/>
  </si>
  <si>
    <t>Receipt at WORKSITE</t>
    <phoneticPr fontId="19" type="noConversion"/>
  </si>
  <si>
    <t>Middle Moon Festival</t>
    <phoneticPr fontId="19" type="noConversion"/>
  </si>
  <si>
    <t>Spring Festival</t>
  </si>
  <si>
    <t>Spring Festival</t>
    <phoneticPr fontId="19" type="noConversion"/>
  </si>
  <si>
    <t>F</t>
    <phoneticPr fontId="19" type="noConversion"/>
  </si>
  <si>
    <t>A</t>
    <phoneticPr fontId="19" type="noConversion"/>
  </si>
  <si>
    <t>RFQ-IN-004</t>
    <phoneticPr fontId="19" type="noConversion"/>
  </si>
  <si>
    <t>PIM</t>
    <phoneticPr fontId="19" type="noConversion"/>
  </si>
  <si>
    <t>RFQ-TEL-001</t>
    <phoneticPr fontId="19" type="noConversion"/>
  </si>
  <si>
    <t>RFQ-TEL--001</t>
    <phoneticPr fontId="19" type="noConversion"/>
  </si>
  <si>
    <t>4-37</t>
    <phoneticPr fontId="19" type="noConversion"/>
  </si>
  <si>
    <t>Wellhead Control Panel</t>
    <phoneticPr fontId="19" type="noConversion"/>
  </si>
  <si>
    <t>RFQ-IN-007</t>
    <phoneticPr fontId="19" type="noConversion"/>
  </si>
  <si>
    <t>RFQ-PIP-021</t>
    <phoneticPr fontId="19" type="noConversion"/>
  </si>
  <si>
    <t>SH</t>
    <phoneticPr fontId="19" type="noConversion"/>
  </si>
  <si>
    <t>RFQ-STR-002</t>
    <phoneticPr fontId="19" type="noConversion"/>
  </si>
  <si>
    <t>RFQ-STR-003</t>
    <phoneticPr fontId="19" type="noConversion"/>
  </si>
  <si>
    <t>No need</t>
    <phoneticPr fontId="19" type="noConversion"/>
  </si>
  <si>
    <t>Telecom materials(SCADA radio, Trunk Radio, Explosion Proof Telephone,Marine Racon,VHF FM Marine Radio System)</t>
  </si>
  <si>
    <t>Telecom materials(SCADA radio, Trunk Radio, Explosion Proof Telephone,Marine Racon,VHF FM Marine Radio System)</t>
    <phoneticPr fontId="19" type="noConversion"/>
  </si>
  <si>
    <t>Actuated Choke Valve</t>
    <phoneticPr fontId="19" type="noConversion"/>
  </si>
  <si>
    <t>Actuated ball valve</t>
    <phoneticPr fontId="19" type="noConversion"/>
  </si>
  <si>
    <t>Temperature Gauges and Thermowells</t>
    <phoneticPr fontId="19" type="noConversion"/>
  </si>
  <si>
    <t>Safety Signs</t>
    <phoneticPr fontId="19" type="noConversion"/>
  </si>
  <si>
    <t>Procurement Plan</t>
    <phoneticPr fontId="19" type="noConversion"/>
  </si>
  <si>
    <t>MM-ZTK-1F-GEN-TEL-MR-0001~0005</t>
  </si>
  <si>
    <t>MM-ZTK-1F-GEN-TEL-MR-0001~0005</t>
    <phoneticPr fontId="19" type="noConversion"/>
  </si>
  <si>
    <t>Seamless SS pipes</t>
    <phoneticPr fontId="19" type="noConversion"/>
  </si>
  <si>
    <t>Special items-Strainers</t>
  </si>
  <si>
    <t>Special items-Strainers</t>
    <phoneticPr fontId="19" type="noConversion"/>
  </si>
  <si>
    <t>Special items-Hoses and Connections</t>
    <phoneticPr fontId="19" type="noConversion"/>
  </si>
  <si>
    <t>Special items-Portable Valve Actuator</t>
  </si>
  <si>
    <t>Special items-Portable Valve Actuator</t>
    <phoneticPr fontId="19" type="noConversion"/>
  </si>
  <si>
    <t>ZH</t>
    <phoneticPr fontId="19" type="noConversion"/>
  </si>
  <si>
    <t>RFQ-PIP-022</t>
  </si>
  <si>
    <t>RFQ-PIP-023</t>
  </si>
  <si>
    <t>RFQ-PIP-024</t>
    <phoneticPr fontId="19" type="noConversion"/>
  </si>
  <si>
    <t>RFQ-EL-001</t>
    <phoneticPr fontId="19" type="noConversion"/>
  </si>
  <si>
    <t>Responder</t>
    <phoneticPr fontId="19" type="noConversion"/>
  </si>
  <si>
    <t>Liu Lei</t>
    <phoneticPr fontId="19" type="noConversion"/>
  </si>
  <si>
    <t>Closed Drain Sump Pump skids</t>
    <phoneticPr fontId="19" type="noConversion"/>
  </si>
  <si>
    <t>N</t>
    <phoneticPr fontId="19" type="noConversion"/>
  </si>
  <si>
    <t>Material Handling Equipment</t>
    <phoneticPr fontId="19" type="noConversion"/>
  </si>
  <si>
    <t>RFQ-EL-002</t>
    <phoneticPr fontId="19" type="noConversion"/>
  </si>
  <si>
    <t>Special items-Liquid trap</t>
  </si>
  <si>
    <t>Special items-Liquid trap</t>
    <phoneticPr fontId="19" type="noConversion"/>
  </si>
  <si>
    <t>Special items-Corrosion Probe &amp; Coupon</t>
  </si>
  <si>
    <t>Special items-Corrosion Probe &amp; Coupon</t>
    <phoneticPr fontId="19" type="noConversion"/>
  </si>
  <si>
    <t>Special items-Chemical Injection Quill</t>
    <phoneticPr fontId="19" type="noConversion"/>
  </si>
  <si>
    <t>Special items-Clamp Type Connector and Target Tee with Clamp Type Connector</t>
  </si>
  <si>
    <t>Special items-Clamp Type Connector and Target Tee with Clamp Type Connector</t>
    <phoneticPr fontId="19" type="noConversion"/>
  </si>
  <si>
    <t>MM-ZTK-1F-GEN-PIP-MR-0003</t>
    <phoneticPr fontId="19" type="noConversion"/>
  </si>
  <si>
    <t>Special items-Barred Tees</t>
  </si>
  <si>
    <t>Special items-Barred Tees</t>
    <phoneticPr fontId="19" type="noConversion"/>
  </si>
  <si>
    <t>RFQ-PIP-025</t>
    <phoneticPr fontId="19" type="noConversion"/>
  </si>
  <si>
    <t>RFQ-PIP-026</t>
    <phoneticPr fontId="19" type="noConversion"/>
  </si>
  <si>
    <t>RFQ-PIP-027</t>
    <phoneticPr fontId="19" type="noConversion"/>
  </si>
  <si>
    <t>MM-ZTK-1F-GEN-STR-MR-0001
MM-ZTK-1F-GEN-STR-MR-0002</t>
  </si>
  <si>
    <t>MM-ZTK-1F-GEN-STR-MR-0001
MM-ZTK-1F-GEN-STR-MR-0002</t>
    <phoneticPr fontId="19" type="noConversion"/>
  </si>
  <si>
    <t>SPECIAL PIPE SUPPORT</t>
    <phoneticPr fontId="19" type="noConversion"/>
  </si>
  <si>
    <t>Ball Valve (Flange End)</t>
  </si>
  <si>
    <t>Ball Valve (Flange End)</t>
    <phoneticPr fontId="19" type="noConversion"/>
  </si>
  <si>
    <t>Ball Valve (Welded End)</t>
  </si>
  <si>
    <t>Ball Valve (Welded End)</t>
    <phoneticPr fontId="19" type="noConversion"/>
  </si>
  <si>
    <t>Check Valve (Swing)</t>
  </si>
  <si>
    <t>Check Valve (Swing)</t>
    <phoneticPr fontId="19" type="noConversion"/>
  </si>
  <si>
    <t>Check Valve (Position)</t>
  </si>
  <si>
    <t>Check Valve (Position)</t>
    <phoneticPr fontId="19" type="noConversion"/>
  </si>
  <si>
    <t>Check Valve (Wafer)</t>
  </si>
  <si>
    <t>Check Valve (Wafer)</t>
    <phoneticPr fontId="19" type="noConversion"/>
  </si>
  <si>
    <t>Check valve (Compact)</t>
  </si>
  <si>
    <t>Check valve (Compact)</t>
    <phoneticPr fontId="19" type="noConversion"/>
  </si>
  <si>
    <t>RFQ-MA-002-1</t>
  </si>
  <si>
    <t>RFQ-MA-002-1</t>
    <phoneticPr fontId="19" type="noConversion"/>
  </si>
  <si>
    <t>RFQ-MA-002-2</t>
  </si>
  <si>
    <t>RFQ-MA-002-2</t>
    <phoneticPr fontId="19" type="noConversion"/>
  </si>
  <si>
    <t>RFQ-MA-002-3</t>
  </si>
  <si>
    <t>RFQ-MA-002-3</t>
    <phoneticPr fontId="19" type="noConversion"/>
  </si>
  <si>
    <t>RFQ-PIP-028</t>
    <phoneticPr fontId="19" type="noConversion"/>
  </si>
  <si>
    <t>RFQ-PIP-029</t>
    <phoneticPr fontId="19" type="noConversion"/>
  </si>
  <si>
    <t>RFQ-PIP-030</t>
    <phoneticPr fontId="19" type="noConversion"/>
  </si>
  <si>
    <t>MM-ZTK-1F-GEN-STR-MR-0003</t>
    <phoneticPr fontId="19" type="noConversion"/>
  </si>
  <si>
    <t>Jacket Barge Bumpers and Fender</t>
  </si>
  <si>
    <t>Jacket Barge Bumpers and Fender</t>
    <phoneticPr fontId="19" type="noConversion"/>
  </si>
  <si>
    <t>MM-ZTK-1F-GEN-STR-MR-0004</t>
  </si>
  <si>
    <t>MM-ZTK-1F-GEN-STR-MR-0004</t>
    <phoneticPr fontId="19" type="noConversion"/>
  </si>
  <si>
    <t xml:space="preserve">MR No.  </t>
    <phoneticPr fontId="19" type="noConversion"/>
  </si>
  <si>
    <t>RFQ-IN-006</t>
    <phoneticPr fontId="19" type="noConversion"/>
  </si>
  <si>
    <t>RFQ-STR-006-1</t>
    <phoneticPr fontId="19" type="noConversion"/>
  </si>
  <si>
    <t>RFQ-STR-006-4</t>
    <phoneticPr fontId="19" type="noConversion"/>
  </si>
  <si>
    <t>RFQ-STR-006-5</t>
    <phoneticPr fontId="19" type="noConversion"/>
  </si>
  <si>
    <t>RFQ-PIP-032</t>
    <phoneticPr fontId="19" type="noConversion"/>
  </si>
  <si>
    <t>RFQ-PIP-031</t>
    <phoneticPr fontId="19" type="noConversion"/>
  </si>
  <si>
    <t>MM-ZTK-1F-GEN-ELE-MR-0006</t>
    <phoneticPr fontId="19" type="noConversion"/>
  </si>
  <si>
    <t>Bid Closing Date</t>
    <phoneticPr fontId="19" type="noConversion"/>
  </si>
  <si>
    <t>HuangWei</t>
  </si>
  <si>
    <t>HuangWei</t>
    <phoneticPr fontId="19" type="noConversion"/>
  </si>
  <si>
    <t>Topside Primary Steel- Tubular</t>
  </si>
  <si>
    <t>Topside Primary Steel- Tubular</t>
    <phoneticPr fontId="19" type="noConversion"/>
  </si>
  <si>
    <t>RFQ-STR-016</t>
  </si>
  <si>
    <t>RFQ-STR-016</t>
    <phoneticPr fontId="19" type="noConversion"/>
  </si>
  <si>
    <t>ZWP23</t>
    <phoneticPr fontId="19" type="noConversion"/>
  </si>
  <si>
    <t>China</t>
    <phoneticPr fontId="19" type="noConversion"/>
  </si>
  <si>
    <t>MR Issued
(IFR)</t>
    <phoneticPr fontId="19" type="noConversion"/>
  </si>
  <si>
    <r>
      <t>2026.5.6</t>
    </r>
    <r>
      <rPr>
        <sz val="6"/>
        <color rgb="FF000000"/>
        <rFont val="Arial"/>
        <family val="2"/>
      </rPr>
      <t xml:space="preserve"> </t>
    </r>
    <r>
      <rPr>
        <sz val="6"/>
        <color indexed="8"/>
        <rFont val="Arial"/>
        <family val="2"/>
      </rPr>
      <t xml:space="preserve">Issued RFQ to Zhuhai yard
</t>
    </r>
    <phoneticPr fontId="19" type="noConversion"/>
  </si>
  <si>
    <t>MM-ZTK-1F-GEN-PIP-MR-0001</t>
    <phoneticPr fontId="19" type="noConversion"/>
  </si>
  <si>
    <t xml:space="preserve">2026.4.30 Issued RFQ
bid due day:22-May
</t>
    <phoneticPr fontId="19" type="noConversion"/>
  </si>
  <si>
    <t>2026.4.30 Issued RFQ
bid due day:22-May</t>
    <phoneticPr fontId="19" type="noConversion"/>
  </si>
  <si>
    <t>2026.5.9 Issued RFQ
2026.5.15 MR issued to bidders
bid due day:20-May</t>
    <phoneticPr fontId="19" type="noConversion"/>
  </si>
  <si>
    <t>2026.5.9 Issued RFQ(No MR)
bid due day:20-May</t>
    <phoneticPr fontId="19" type="noConversion"/>
  </si>
  <si>
    <t>2-Apr-26: Received
ZWP20 /21/22/23 : IFR(2026/4/2)
10-Apr-26:Received
MM-ZTK-1F-GEN-STR-MR-1001 (IFR)
MM-ZTK-1F-GEN-STR-MR-1011 (IFR)
Topside High StrengthTubular steel</t>
  </si>
  <si>
    <t>2026.5.9 MR to yard</t>
  </si>
  <si>
    <t>2026.4.30 Issued RFQ
bid due day:22-May
Bidder 1: Received bid on 17 May</t>
  </si>
  <si>
    <t>2026.5.6 Issued RFQ
 bid due day:22-May</t>
    <phoneticPr fontId="19" type="noConversion"/>
  </si>
  <si>
    <t>Control valve</t>
    <phoneticPr fontId="19" type="noConversion"/>
  </si>
  <si>
    <t>RFQ-STR-010</t>
    <phoneticPr fontId="19" type="noConversion"/>
  </si>
  <si>
    <t>Safety Relief Valves</t>
  </si>
  <si>
    <t>Safety Relief Valves</t>
    <phoneticPr fontId="19" type="noConversion"/>
  </si>
  <si>
    <t>Semitech</t>
    <phoneticPr fontId="19" type="noConversion"/>
  </si>
  <si>
    <t>MDS(ORGA,TIDELAND)</t>
    <phoneticPr fontId="19" type="noConversion"/>
  </si>
  <si>
    <t>RFQ-IN-008-1</t>
  </si>
  <si>
    <t>RFQ-IN-008-1</t>
    <phoneticPr fontId="19" type="noConversion"/>
  </si>
  <si>
    <t>RFQ-IN-008-2</t>
  </si>
  <si>
    <t>RFQ-IN-008-2</t>
    <phoneticPr fontId="19" type="noConversion"/>
  </si>
  <si>
    <t>Lin Yazhen</t>
    <phoneticPr fontId="19" type="noConversion"/>
  </si>
  <si>
    <t>Zhuhai Jutal</t>
  </si>
  <si>
    <t>Zhuhai Jutal</t>
    <phoneticPr fontId="19" type="noConversion"/>
  </si>
  <si>
    <t>RFQ-PIP-022</t>
    <phoneticPr fontId="19" type="noConversion"/>
  </si>
  <si>
    <t>SS &amp; DSS Fitting</t>
    <phoneticPr fontId="19" type="noConversion"/>
  </si>
  <si>
    <t>SS &amp; DSS Flange</t>
    <phoneticPr fontId="19" type="noConversion"/>
  </si>
  <si>
    <t>MM-ZTK-1F-GEN-STR-MR-1011</t>
    <phoneticPr fontId="19" type="noConversion"/>
  </si>
  <si>
    <t>MATERIAL REOUISITION FOR TOPSIDES HIGH STRENGTHSTRTUBULAR STEEL
MATERIAL REQUISITION FOR TOPSIDES SECONDARY ANDTERTIARY TUBULAR STEEL</t>
    <phoneticPr fontId="19" type="noConversion"/>
  </si>
  <si>
    <t>MATERIAL REQUISITION FOR TOPSIDES HIGH STRENGTHHOT-ROLLED STEEL SECTIONS (SHAPE STR)
MATERIAL REQUISITION FOR TOPSIDES SECONDARY ANDTERTIARY HOT-ROLLED STEEL</t>
    <phoneticPr fontId="19" type="noConversion"/>
  </si>
  <si>
    <t>MM-ZTK-1F-GEN-STR-MR-1022</t>
    <phoneticPr fontId="19" type="noConversion"/>
  </si>
  <si>
    <t>MM-ZTK-1F-GEN-STR-MR-1001</t>
    <phoneticPr fontId="19" type="noConversion"/>
  </si>
  <si>
    <t>MM-ZTK-1F-GEN-STR-MR-1021</t>
    <phoneticPr fontId="19" type="noConversion"/>
  </si>
  <si>
    <t>MM-ZTK-1F-GEN-STR-MR-1002</t>
    <phoneticPr fontId="19" type="noConversion"/>
  </si>
  <si>
    <t>Topside Primary Steel- Seamless</t>
    <phoneticPr fontId="19" type="noConversion"/>
  </si>
  <si>
    <t>Topside Tertiary Steel</t>
    <phoneticPr fontId="19" type="noConversion"/>
  </si>
  <si>
    <t>2026.5.6 Issued RFQ
 bid due day:22-May
2025.5.31-6.5 TC</t>
    <phoneticPr fontId="19" type="noConversion"/>
  </si>
  <si>
    <t>2026.5.25 Issued RFQ
bid due day:2-Jun</t>
    <phoneticPr fontId="19" type="noConversion"/>
  </si>
  <si>
    <t>2026.5.25 Issued RFQ
bid due day:2-Jun</t>
  </si>
  <si>
    <t>MM-ZTK-1F-GEN-STR-MR-1001</t>
  </si>
  <si>
    <t>MM-ZTK-1F-ZWP20-STR-MR-2002</t>
  </si>
  <si>
    <t>MM-ZTK-1F-ZWP22-STR-MR-2002</t>
  </si>
  <si>
    <t>MM-ZTK-1F-ZWP23-STR-MR-2002</t>
  </si>
  <si>
    <t>Topside Primary Steel- Plate</t>
    <phoneticPr fontId="19" type="noConversion"/>
  </si>
  <si>
    <t>RFQ-STR-004</t>
    <phoneticPr fontId="19" type="noConversion"/>
  </si>
  <si>
    <t>Combined with control valve (fisher)</t>
    <phoneticPr fontId="19" type="noConversion"/>
  </si>
  <si>
    <t>RFQ-PIP-004</t>
    <phoneticPr fontId="19" type="noConversion"/>
  </si>
  <si>
    <t>Pig launcher and receiver</t>
  </si>
  <si>
    <t>Pig launcher and receiver</t>
    <phoneticPr fontId="19" type="noConversion"/>
  </si>
  <si>
    <t>MM-ZTK-1F-GEN-PIP-SPE-0002</t>
  </si>
  <si>
    <t>MM-ZTK-1F-GEN-PIP-SPE-0002</t>
    <phoneticPr fontId="19" type="noConversion"/>
  </si>
  <si>
    <t>EL Cable</t>
    <phoneticPr fontId="19" type="noConversion"/>
  </si>
  <si>
    <t>2026.5.31 MR issued yard</t>
    <phoneticPr fontId="19" type="noConversion"/>
  </si>
  <si>
    <t>2026.5.15 MR issued yard</t>
    <phoneticPr fontId="19" type="noConversion"/>
  </si>
  <si>
    <t>2026.6.4 MR issued yard</t>
    <phoneticPr fontId="19" type="noConversion"/>
  </si>
  <si>
    <t>Neway</t>
    <phoneticPr fontId="19" type="noConversion"/>
  </si>
  <si>
    <t>Masonilan</t>
    <phoneticPr fontId="19" type="noConversion"/>
  </si>
  <si>
    <t>KCON</t>
    <phoneticPr fontId="19" type="noConversion"/>
  </si>
  <si>
    <t>Combined with Check Wafer</t>
    <phoneticPr fontId="19" type="noConversion"/>
  </si>
  <si>
    <t>RFQ-PIP-001</t>
    <phoneticPr fontId="19" type="noConversion"/>
  </si>
  <si>
    <t>CAMERON &amp; KCON-declined</t>
    <phoneticPr fontId="19" type="noConversion"/>
  </si>
  <si>
    <t>RFQ-PIP-003</t>
    <phoneticPr fontId="19" type="noConversion"/>
  </si>
  <si>
    <t>RFQ-PIP-006</t>
    <phoneticPr fontId="19" type="noConversion"/>
  </si>
  <si>
    <t>RFQ-PIP-019</t>
    <phoneticPr fontId="19" type="noConversion"/>
  </si>
  <si>
    <t>RFQ-EL-005</t>
    <phoneticPr fontId="19" type="noConversion"/>
  </si>
  <si>
    <t>JKT Anode</t>
    <phoneticPr fontId="19" type="noConversion"/>
  </si>
  <si>
    <t>PIPER VALVE</t>
    <phoneticPr fontId="19" type="noConversion"/>
  </si>
  <si>
    <t xml:space="preserve">Topside Primary Steel-Beam </t>
    <phoneticPr fontId="19" type="noConversion"/>
  </si>
  <si>
    <t>Liu Bin</t>
    <phoneticPr fontId="19" type="noConversion"/>
  </si>
  <si>
    <t>Wei kefang</t>
    <phoneticPr fontId="19" type="noConversion"/>
  </si>
  <si>
    <t>Huang liudong</t>
  </si>
  <si>
    <t>Huang liudong</t>
    <phoneticPr fontId="19" type="noConversion"/>
  </si>
  <si>
    <r>
      <t>2026.5</t>
    </r>
    <r>
      <rPr>
        <sz val="6"/>
        <color rgb="FF000000"/>
        <rFont val="宋体"/>
        <family val="2"/>
        <charset val="134"/>
      </rPr>
      <t>.11</t>
    </r>
    <r>
      <rPr>
        <sz val="6"/>
        <color indexed="8"/>
        <rFont val="Arial"/>
        <family val="2"/>
      </rPr>
      <t xml:space="preserve"> MR to yard
2026.6.8 Short bidder list is approved by CPY</t>
    </r>
    <phoneticPr fontId="19" type="noConversion"/>
  </si>
  <si>
    <t>2026.6.8 Short bidder list to CPY for approval</t>
    <phoneticPr fontId="19" type="noConversion"/>
  </si>
  <si>
    <t>Liu Lei</t>
  </si>
  <si>
    <t xml:space="preserve">2026.6.10 Issued RFQ to Zhuhai yard
</t>
    <phoneticPr fontId="19" type="noConversion"/>
  </si>
  <si>
    <t>RFQ-SA-002</t>
    <phoneticPr fontId="19" type="noConversion"/>
  </si>
  <si>
    <t>2026.6.9 MR issued yard</t>
    <phoneticPr fontId="19" type="noConversion"/>
  </si>
  <si>
    <t>2026.6.10 Short bidder list to CPY for approval</t>
  </si>
  <si>
    <t>2026.6.10 Short bidder list to CPY for approval</t>
    <phoneticPr fontId="19" type="noConversion"/>
  </si>
  <si>
    <t>2026.6.8 Short bidder list to CPY for approval</t>
  </si>
  <si>
    <t>2026.6.4 MR to yard
2026.6.4 short vendor list to CPY approval
2026.6.9 Received comments from CPY. Not approved.
2026.6.11 Short bidder list is approved</t>
    <phoneticPr fontId="19" type="noConversion"/>
  </si>
  <si>
    <t>Topside Secondary Steel(W)</t>
  </si>
  <si>
    <t>Topside Secondary Steel(W)</t>
    <phoneticPr fontId="19" type="noConversion"/>
  </si>
  <si>
    <t>Topside Secondary Steel(L,C)</t>
  </si>
  <si>
    <t>Topside Secondary Steel(L,C)</t>
    <phoneticPr fontId="19" type="noConversion"/>
  </si>
  <si>
    <t>Laigang</t>
    <phoneticPr fontId="19" type="noConversion"/>
  </si>
  <si>
    <t>N/A</t>
    <phoneticPr fontId="19" type="noConversion"/>
  </si>
  <si>
    <t>RFQ-PIP-018-1</t>
    <phoneticPr fontId="19" type="noConversion"/>
  </si>
  <si>
    <t>RFQ-PIP-018-2</t>
    <phoneticPr fontId="19" type="noConversion"/>
  </si>
  <si>
    <t>Zhang Xiaorui</t>
  </si>
  <si>
    <t>Zhang Xiaorui</t>
    <phoneticPr fontId="19" type="noConversion"/>
  </si>
  <si>
    <t>Zahng Xiaorui</t>
    <phoneticPr fontId="19" type="noConversion"/>
  </si>
  <si>
    <t>VALVITALIA</t>
  </si>
  <si>
    <t>Rockwell</t>
    <phoneticPr fontId="19" type="noConversion"/>
  </si>
  <si>
    <t>PIBIVIESSE,STARLINE-no reply</t>
    <phoneticPr fontId="19" type="noConversion"/>
  </si>
  <si>
    <t xml:space="preserve">VALVITALIA,STARLINE </t>
    <phoneticPr fontId="19" type="noConversion"/>
  </si>
  <si>
    <t>Emerson</t>
  </si>
  <si>
    <t>As dicussed with ENG, it mabe has no special support. So it will confirm later</t>
    <phoneticPr fontId="19" type="noConversion"/>
  </si>
  <si>
    <t>CS Flange</t>
    <phoneticPr fontId="19" type="noConversion"/>
  </si>
  <si>
    <t>31-Mar-26: Received 
ZWP20 /21/22/23 : IFC(2025/4/11)
2026.6.12: TECHNICAL BID EVALUATION FOR ZWP21 JACKET PRIMARY HIGH-STRENGTH STEEL PLATE(C1)</t>
    <phoneticPr fontId="19" type="noConversion"/>
  </si>
  <si>
    <t>ZWP21 Jacket Piles Sleeve Plate</t>
  </si>
  <si>
    <t>RFQ-STR-006-6</t>
    <phoneticPr fontId="19" type="noConversion"/>
  </si>
  <si>
    <t>RFQ-STR-006-7</t>
    <phoneticPr fontId="19" type="noConversion"/>
  </si>
  <si>
    <t xml:space="preserve">Boteli,STARLINE </t>
    <phoneticPr fontId="19" type="noConversion"/>
  </si>
  <si>
    <t>ZWP20 Jacket Leg Partition/Closure Plates</t>
  </si>
  <si>
    <t>ZWP20 Jacket Piles Sleeve Plate</t>
  </si>
  <si>
    <t>ZWP20 Jacket Launch Cradle Plates+Ring Stiff Plates</t>
  </si>
  <si>
    <t>ZWP21 Jacket Leg Partition/Closure Plates</t>
  </si>
  <si>
    <t>ZWP22 Jacket Leg Partition/Closure Plates</t>
  </si>
  <si>
    <t>ZWP22 Jacket Piles Sleeve Plate</t>
  </si>
  <si>
    <t>ZWP22 Jacket Launch Cradle Plates+Ring Stiff Plates</t>
  </si>
  <si>
    <t>ZWP23 Jacket Leg Partition/Closure Plates</t>
  </si>
  <si>
    <t>ZWP23 Jacket Piles Sleeve Plate</t>
  </si>
  <si>
    <t>ZWP23 Jacket Launch Cradle Plates+Ring Stiff Plates</t>
  </si>
  <si>
    <t>RFQ-IN-001</t>
    <phoneticPr fontId="19" type="noConversion"/>
  </si>
  <si>
    <t>ZWP21</t>
    <phoneticPr fontId="19" type="noConversion"/>
  </si>
  <si>
    <t>ZWP22</t>
    <phoneticPr fontId="19" type="noConversion"/>
  </si>
  <si>
    <t>ZWP20</t>
    <phoneticPr fontId="19" type="noConversion"/>
  </si>
  <si>
    <t>MM-ZTK-1F-ZWP21-STR-MR-2002</t>
    <phoneticPr fontId="19" type="noConversion"/>
  </si>
  <si>
    <t>Jacket Primary Steel-Piles-1st</t>
  </si>
  <si>
    <t>Jacket Primary Steel-Piles-3rd</t>
  </si>
  <si>
    <t>VALVITALIA,DHV</t>
    <phoneticPr fontId="19" type="noConversion"/>
  </si>
  <si>
    <t>DHV</t>
    <phoneticPr fontId="19" type="noConversion"/>
  </si>
  <si>
    <t>Total: 1068T</t>
    <phoneticPr fontId="19" type="noConversion"/>
  </si>
  <si>
    <t xml:space="preserve">Jacket Miscellaneous Steel 
(boatlandings, ACCESS ladder, Riser Clamps, Casing Guides etc) </t>
  </si>
  <si>
    <t xml:space="preserve">Jacket Miscellaneous Steel 
(boatlandings, ACCESS ladder, Riser Clamps, Casing Guides etc) </t>
    <phoneticPr fontId="19" type="noConversion"/>
  </si>
  <si>
    <t>Special items-Barrel Reducer
(For PIG L&amp;R)</t>
  </si>
  <si>
    <t>Special items-Barrel Reducer
(For PIG L&amp;R)</t>
    <phoneticPr fontId="19" type="noConversion"/>
  </si>
  <si>
    <t>E&amp;I Cable Gland</t>
  </si>
  <si>
    <t>E&amp;I Cable Tray</t>
    <phoneticPr fontId="19" type="noConversion"/>
  </si>
  <si>
    <t>E&amp;I Multi-Cable Transits (MCT)</t>
    <phoneticPr fontId="19" type="noConversion"/>
  </si>
  <si>
    <t>Combine with EL Cable Tray</t>
    <phoneticPr fontId="19" type="noConversion"/>
  </si>
  <si>
    <t>IN Bulk Material including of Fitting, Tubing,  isolated valve(small), fusible plug, STAUFF clamps</t>
    <phoneticPr fontId="19" type="noConversion"/>
  </si>
  <si>
    <t>Special irems-Quick Opening Closure
(For PIG L&amp;R)</t>
    <phoneticPr fontId="19" type="noConversion"/>
  </si>
  <si>
    <t xml:space="preserve">no separate procurement item for the Pig Launcher and Receiver. The Pig Launcher/Receiver will be procured as individual components, including loose piping (RFQ-PIP-013), pipeline (Saw Welded Pipe, RFQ-PIP-012), Quick Opening Closure (RFQ-PIP-018), and barrel reducers. </t>
    <phoneticPr fontId="19" type="noConversion"/>
  </si>
  <si>
    <t>MM-ZTK-1F-ZWPX-STR-DWG-2231	JACKET - BOATLANDING ARRANGEMENT	A1	21-May-26	FOR MATERIAL PURCHASE
MM-ZTK-1F-ZWPX-STR-DWG-2232	JACKET - BOATLANDING SECTIONS &amp; DETAILS - SHEET 1	A1	21-May-26	FOR MATERIAL PURCHASE
MM-ZTK-1F-ZWPX-STR-DWG-2233	JACKET - BOATLANDING SECTIONS &amp; DETAILS - SHEET 2	A1	21-May-26	FOR MATERIAL PURCHASE
MM-ZTK-1F-ZWPX-STR-DWG-2234	JACKET - BOATLANDING SECTIONS &amp; DETAILS - SHEET 3	A1	21-May-26	FOR MATERIAL PURCHASE
MM-ZTK-1F-ZWPX-STR-DWG-2235	JACKET - BOATLANDING SECTIONS &amp; DETAILS - SHEET 4	A1	21-May-26	FOR MATERIAL PURCHASE
MM-ZTK-1F-ZWPX-STR-DWG-2236	JACKET - BOATLANDING SECTIONS &amp; DETAILS - SHEET 5	A1	21-May-26	FOR MATERIAL PURCHASE
MM-ZTK-1F-ZWPX-STR-DWG-2237	JACKET - BOATLANDING SECTIONS &amp; DETAILS - SHEET 6	A1	21-May-26	FOR MATERIAL PURCHASE
MM-ZTK-1F-ZWPX-STR-DWG-2238	JACKET - BOATLANDING SECTIONS &amp; DETAILS - SHEET 7	A1	21-May-26	FOR MATERIAL PURCHASE
MM-ZTK-1F-ZWP22-STR-DWG-2241	ZWP22 JACKET - RISER PROTECTOR
MM-ZTK-1F-ZWP23-STR-DWG-2241	ZWP23 JACKET - RISER PROTECTOR
MM-ZTK-1F-ZWP21-STR-DWG-2241	ZWP21 JACKET - RISER PROTECTOR
ZWP21 JACKET - CASING GUIDE DETAILS MM-ZTK-1F-ZWP21-STR-DWG-2301</t>
    <phoneticPr fontId="19" type="noConversion"/>
  </si>
  <si>
    <t>Combine with EL Cable Gland</t>
    <phoneticPr fontId="19" type="noConversion"/>
  </si>
  <si>
    <t xml:space="preserve"> ruputure disc and check valve combine with Gripper</t>
  </si>
  <si>
    <t>grouting pipes combine with seamless pipes</t>
    <phoneticPr fontId="19" type="noConversion"/>
  </si>
  <si>
    <t>Non-Intrusive Sand Monitoring System (Acoustic Type)</t>
    <phoneticPr fontId="19" type="noConversion"/>
  </si>
  <si>
    <t>on-Intrusive Wireless Sand Monitoring System (Ultrasonic Type)</t>
    <phoneticPr fontId="19" type="noConversion"/>
  </si>
  <si>
    <t>Semitech</t>
  </si>
  <si>
    <t>RFQ-STR-007-1</t>
  </si>
  <si>
    <t>RFQ-STR-007-1</t>
    <phoneticPr fontId="19" type="noConversion"/>
  </si>
  <si>
    <t>RFQ-STR-007-2</t>
  </si>
  <si>
    <t>RFQ-STR-007-2</t>
    <phoneticPr fontId="19" type="noConversion"/>
  </si>
  <si>
    <t>Jacket Primary Steel-Tubular-JCOE</t>
  </si>
  <si>
    <t>Jacket Primary Steel-Tubular-JCOE</t>
    <phoneticPr fontId="19" type="noConversion"/>
  </si>
  <si>
    <t>Jacket Primary Steel-Tubular-TRB</t>
  </si>
  <si>
    <t>Jacket Primary Steel-Tubular-TRB</t>
    <phoneticPr fontId="19" type="noConversion"/>
  </si>
  <si>
    <t>Combine with Barred tee</t>
    <phoneticPr fontId="19" type="noConversion"/>
  </si>
  <si>
    <t>CS Fitting</t>
    <phoneticPr fontId="19" type="noConversion"/>
  </si>
  <si>
    <t>TOS</t>
    <phoneticPr fontId="19" type="noConversion"/>
  </si>
  <si>
    <t>Oil State</t>
    <phoneticPr fontId="19" type="noConversion"/>
  </si>
  <si>
    <t>Multipahse</t>
    <phoneticPr fontId="19" type="noConversion"/>
  </si>
  <si>
    <t>CSI</t>
    <phoneticPr fontId="19" type="noConversion"/>
  </si>
  <si>
    <t>Boteli</t>
    <phoneticPr fontId="19" type="noConversion"/>
  </si>
  <si>
    <t xml:space="preserve">DDP 24 weeks after PO </t>
  </si>
  <si>
    <t>DDP: 38 weeks after PO</t>
  </si>
  <si>
    <t>RFQ-STR-006-2</t>
    <phoneticPr fontId="19" type="noConversion"/>
  </si>
  <si>
    <t>RFQ-STR-006-3</t>
    <phoneticPr fontId="19" type="noConversion"/>
  </si>
  <si>
    <t>RFQ-STR-0067</t>
    <phoneticPr fontId="19" type="noConversion"/>
  </si>
  <si>
    <t>ZWP21 Jacket Launch Cradle Plates+Ring Stiff Plates</t>
  </si>
  <si>
    <t>ZWP21 Jacket Primary Steel-Tubular TRB</t>
  </si>
  <si>
    <t>ZWP21 Jacket Primary Steel-Tubular CONE</t>
  </si>
  <si>
    <t>ZWP21 Jacket Primary Steel-Tubular JCOE</t>
  </si>
  <si>
    <t>ZWP21 Jacket Hydro static Ring Stiff Plate</t>
  </si>
  <si>
    <t>ZWP21 Jacket Hydro static Ring Stiff Plate</t>
    <phoneticPr fontId="19" type="noConversion"/>
  </si>
  <si>
    <t>Jacket Primary Steel-Piles-3rd</t>
    <phoneticPr fontId="19" type="noConversion"/>
  </si>
  <si>
    <t>Jacket Primary Steel-Piles-1st</t>
    <phoneticPr fontId="19" type="noConversion"/>
  </si>
  <si>
    <t>Jacket Primary Steel-Piles-2nd</t>
    <phoneticPr fontId="19" type="noConversion"/>
  </si>
  <si>
    <t>RFQ-STR-006-8</t>
  </si>
  <si>
    <t>RFQ-STR-006-9</t>
    <phoneticPr fontId="19" type="noConversion"/>
  </si>
  <si>
    <t>RFQ-STR-006-10</t>
    <phoneticPr fontId="19" type="noConversion"/>
  </si>
  <si>
    <t>ZM169-WP1-PO-IN-001</t>
    <phoneticPr fontId="19" type="noConversion"/>
  </si>
  <si>
    <t>Crosby</t>
    <phoneticPr fontId="19" type="noConversion"/>
  </si>
  <si>
    <t>Weihua, Megaway</t>
    <phoneticPr fontId="19" type="noConversion"/>
  </si>
  <si>
    <t>TOS, Konecranes</t>
    <phoneticPr fontId="19" type="noConversion"/>
  </si>
  <si>
    <t>DHV,Huaying,Boteli,VALVITALIA,</t>
    <phoneticPr fontId="19" type="noConversion"/>
  </si>
  <si>
    <t>Neway</t>
  </si>
  <si>
    <t>Boteli</t>
  </si>
  <si>
    <t>Huaying</t>
  </si>
  <si>
    <t>Huaying</t>
    <phoneticPr fontId="19" type="noConversion"/>
  </si>
  <si>
    <t>PIPER VALVE</t>
  </si>
  <si>
    <t>COMBET</t>
    <phoneticPr fontId="19" type="noConversion"/>
  </si>
  <si>
    <t>KCON, FMC</t>
    <phoneticPr fontId="19" type="noConversion"/>
  </si>
  <si>
    <t>CSI</t>
  </si>
  <si>
    <t>PKK</t>
  </si>
  <si>
    <t>PKK</t>
    <phoneticPr fontId="19" type="noConversion"/>
  </si>
  <si>
    <t>Multipahse</t>
  </si>
  <si>
    <t xml:space="preserve">GALPERTI </t>
  </si>
  <si>
    <t>Roc-Master</t>
  </si>
  <si>
    <t>MELESI</t>
  </si>
  <si>
    <t>G.D.ENGINEERING</t>
    <phoneticPr fontId="19" type="noConversion"/>
  </si>
  <si>
    <t xml:space="preserve"> TDW</t>
    <phoneticPr fontId="19" type="noConversion"/>
  </si>
  <si>
    <t>MDS(ORGA)</t>
  </si>
  <si>
    <t>Swift</t>
  </si>
  <si>
    <t>Swift</t>
    <phoneticPr fontId="19" type="noConversion"/>
  </si>
  <si>
    <t>PHAROS MARINE</t>
    <phoneticPr fontId="19" type="noConversion"/>
  </si>
  <si>
    <t>Combet</t>
    <phoneticPr fontId="19" type="noConversion"/>
  </si>
  <si>
    <t>Wilmax</t>
  </si>
  <si>
    <t>Fisher</t>
  </si>
  <si>
    <t>Fisher</t>
    <phoneticPr fontId="19" type="noConversion"/>
  </si>
  <si>
    <t>Flowserve</t>
  </si>
  <si>
    <t>Flowserve</t>
    <phoneticPr fontId="19" type="noConversion"/>
  </si>
  <si>
    <t>Masonilan</t>
  </si>
  <si>
    <t>ZWP23 Jacket Primary Steel-Tubular TRB</t>
  </si>
  <si>
    <t>ZWP23 Jacket Primary Steel-Tubular CONE</t>
  </si>
  <si>
    <t>ZWP23 Jacket Primary Steel-Tubular JCOE</t>
  </si>
  <si>
    <t>ZWP23 Jacket Hydro static Ring Stiff Plate</t>
  </si>
  <si>
    <t xml:space="preserve">MM-ZTK-1F-ZWP20-STR-MR-2001
MM-ZTK-1F-ZWP23-STR-MR-2001
MM-ZTK-1F-ZWP22-STR-MR-2001
MM-ZTK-1F-ZWP23-STR-MR-2001 </t>
  </si>
  <si>
    <t>Bidder1</t>
    <phoneticPr fontId="19" type="noConversion"/>
  </si>
  <si>
    <t xml:space="preserve">COOEC </t>
    <phoneticPr fontId="19" type="noConversion"/>
  </si>
  <si>
    <t>No.</t>
    <phoneticPr fontId="19" type="noConversion"/>
  </si>
  <si>
    <t>ZWP21 Jacket Piles Sleeve Plate</t>
    <phoneticPr fontId="19" type="noConversion"/>
  </si>
  <si>
    <t>Chris</t>
    <phoneticPr fontId="19" type="noConversion"/>
  </si>
  <si>
    <t xml:space="preserve">Chalmit </t>
  </si>
  <si>
    <t xml:space="preserve">Cooper Crouse-Hinds  </t>
  </si>
  <si>
    <t>TC</t>
    <phoneticPr fontId="19" type="noConversion"/>
  </si>
  <si>
    <t>Price Negotiation</t>
    <phoneticPr fontId="19" type="noConversion"/>
  </si>
  <si>
    <t>Bidders</t>
    <phoneticPr fontId="19" type="noConversion"/>
  </si>
  <si>
    <t>MDS(ORGA,TIDELAND)</t>
  </si>
  <si>
    <t>PHAROS MARINE</t>
  </si>
  <si>
    <t>FZ</t>
  </si>
  <si>
    <t>MASTER FLO</t>
  </si>
  <si>
    <t>Cameron</t>
  </si>
  <si>
    <t>KCON, Neway</t>
  </si>
  <si>
    <t>VALVITALIA,AMPO-declined</t>
  </si>
  <si>
    <t>CAMERON-declined</t>
  </si>
  <si>
    <t>KCON</t>
  </si>
  <si>
    <t>PIPER valve</t>
  </si>
  <si>
    <t>PIPER</t>
  </si>
  <si>
    <t>Neway,KCON</t>
    <phoneticPr fontId="19" type="noConversion"/>
  </si>
  <si>
    <t>FMC,Combet</t>
    <phoneticPr fontId="19" type="noConversion"/>
  </si>
  <si>
    <t>Leser</t>
  </si>
  <si>
    <t>Farris</t>
  </si>
  <si>
    <t>Cobrsby</t>
  </si>
  <si>
    <t>Matorly, FST</t>
  </si>
  <si>
    <t>Matorly</t>
  </si>
  <si>
    <t>Oil State</t>
  </si>
  <si>
    <t>TOS</t>
  </si>
  <si>
    <t>Favelle Favco</t>
    <phoneticPr fontId="19" type="noConversion"/>
  </si>
  <si>
    <t>ZWP21 Jacket Launch Cradle Plates+Ring Stiff Plates</t>
    <phoneticPr fontId="19" type="noConversion"/>
  </si>
  <si>
    <t>Flooding and Venting system</t>
  </si>
  <si>
    <t>Flooding and Venting system</t>
    <phoneticPr fontId="19" type="noConversion"/>
  </si>
  <si>
    <t>Favelle Favco</t>
  </si>
  <si>
    <t>TOS (PVL)</t>
    <phoneticPr fontId="19" type="noConversion"/>
  </si>
  <si>
    <t>TBE</t>
    <phoneticPr fontId="19" type="noConversion"/>
  </si>
  <si>
    <t>ZM169-WP1-PO-MEC-001</t>
    <phoneticPr fontId="19" type="noConversion"/>
  </si>
  <si>
    <t>ZM169-WP1-PO-MEC-002</t>
    <phoneticPr fontId="19" type="noConversion"/>
  </si>
  <si>
    <t>Weihua</t>
    <phoneticPr fontId="19" type="noConversion"/>
  </si>
  <si>
    <t>Megaway(Yale)</t>
    <phoneticPr fontId="19" type="noConversion"/>
  </si>
  <si>
    <t>ZM169-WP1-PO-MEC-005</t>
    <phoneticPr fontId="19" type="noConversion"/>
  </si>
  <si>
    <t>Neway,HDV, Boteli</t>
  </si>
  <si>
    <t>KCON, CAMERON-declined</t>
    <phoneticPr fontId="19" type="noConversion"/>
  </si>
  <si>
    <t>RAIMONDI (BY TYCO VALVE)-declined</t>
    <phoneticPr fontId="19" type="noConversion"/>
  </si>
  <si>
    <t>Huaying, keystone</t>
    <phoneticPr fontId="19" type="noConversion"/>
  </si>
  <si>
    <t>Globe Valve (without equal percentage)</t>
  </si>
  <si>
    <t>Globe Valve (without equal percentage)</t>
    <phoneticPr fontId="19" type="noConversion"/>
  </si>
  <si>
    <t>DHV</t>
  </si>
  <si>
    <t>Globe Valve (withequal percentage)</t>
  </si>
  <si>
    <t>To apply for changing to seamless pipes</t>
    <phoneticPr fontId="19" type="noConversion"/>
  </si>
  <si>
    <t>ZWP23 Jacket Piles Sleeve Plate</t>
    <phoneticPr fontId="19" type="noConversion"/>
  </si>
  <si>
    <t>Baosheng</t>
    <phoneticPr fontId="19" type="noConversion"/>
  </si>
  <si>
    <t>Nexan</t>
    <phoneticPr fontId="19" type="noConversion"/>
  </si>
  <si>
    <t>Remove from Scope of supply</t>
    <phoneticPr fontId="19" type="noConversion"/>
  </si>
  <si>
    <t>Combet-declined</t>
    <phoneticPr fontId="19" type="noConversion"/>
  </si>
  <si>
    <t>KCON-TNA</t>
    <phoneticPr fontId="19" type="noConversion"/>
  </si>
  <si>
    <t>Price bid</t>
    <phoneticPr fontId="19" type="noConversion"/>
  </si>
  <si>
    <t>COMBET-declined</t>
    <phoneticPr fontId="19" type="noConversion"/>
  </si>
  <si>
    <t>MCMURRAY  HUGHES</t>
  </si>
  <si>
    <t>Gestra</t>
  </si>
  <si>
    <t>TFS(LVF)</t>
    <phoneticPr fontId="19" type="noConversion"/>
  </si>
  <si>
    <t>Crane(No product)</t>
    <phoneticPr fontId="19" type="noConversion"/>
  </si>
  <si>
    <t>Pentair</t>
    <phoneticPr fontId="19" type="noConversion"/>
  </si>
  <si>
    <t>Crosby(PVL)</t>
    <phoneticPr fontId="19" type="noConversion"/>
  </si>
  <si>
    <t>Roc-Master(AVL with condition)</t>
    <phoneticPr fontId="19" type="noConversion"/>
  </si>
  <si>
    <t>Semitech(AVL condition)</t>
    <phoneticPr fontId="19" type="noConversion"/>
  </si>
  <si>
    <t>Swift(AVL condition)</t>
    <phoneticPr fontId="19" type="noConversion"/>
  </si>
  <si>
    <t>VALVITALIA(AVL condition)</t>
    <phoneticPr fontId="19" type="noConversion"/>
  </si>
  <si>
    <t>KCON(AVL condition)</t>
    <phoneticPr fontId="19" type="noConversion"/>
  </si>
  <si>
    <t>Matorly(AVL condition)</t>
    <phoneticPr fontId="19" type="noConversion"/>
  </si>
  <si>
    <t>Cosasco</t>
    <phoneticPr fontId="19" type="noConversion"/>
  </si>
  <si>
    <t>PIPER</t>
    <phoneticPr fontId="19" type="noConversion"/>
  </si>
  <si>
    <t>OIL STATE</t>
    <phoneticPr fontId="19" type="noConversion"/>
  </si>
  <si>
    <t>ZM169-WP1-PO-IN-003</t>
    <phoneticPr fontId="19" type="noConversion"/>
  </si>
  <si>
    <t>Wilmax</t>
    <phoneticPr fontId="19" type="noConversion"/>
  </si>
  <si>
    <t>ZM169-WP1-PO-IN-006</t>
    <phoneticPr fontId="19" type="noConversion"/>
  </si>
  <si>
    <t>ZM169-WP1-PO-ELE-001</t>
    <phoneticPr fontId="19" type="noConversion"/>
  </si>
  <si>
    <t>AC Distribution Boards</t>
    <phoneticPr fontId="19" type="noConversion"/>
  </si>
  <si>
    <t>ZM169-WP1-PO-IN-002</t>
    <phoneticPr fontId="19" type="noConversion"/>
  </si>
  <si>
    <t>ZM169-WP1-PO-PIP-004</t>
    <phoneticPr fontId="19" type="noConversion"/>
  </si>
  <si>
    <t>merged with DSS pipes</t>
    <phoneticPr fontId="19" type="noConversion"/>
  </si>
  <si>
    <t>DSS Pipes and Seamless SS pipes</t>
  </si>
  <si>
    <t>DSS Pipes and Seamless SS pipes</t>
    <phoneticPr fontId="19" type="noConversion"/>
  </si>
  <si>
    <t>RFQ-PIP-033</t>
    <phoneticPr fontId="19" type="noConversion"/>
  </si>
  <si>
    <t xml:space="preserve"> PIPELINE BULK (B31.8)-3D Bend</t>
  </si>
  <si>
    <t xml:space="preserve"> PIPELINE BULK (B31.8)-3D Bend</t>
    <phoneticPr fontId="19" type="noConversion"/>
  </si>
  <si>
    <t>MM-ZTK-1F-GEN-PIP-MR-0004</t>
  </si>
  <si>
    <t>MM-ZTK-1F-GEN-PIP-MR-0004</t>
    <phoneticPr fontId="19" type="noConversion"/>
  </si>
  <si>
    <t>RFQ-PIP-025</t>
  </si>
  <si>
    <t>RFQ-PIP-034</t>
  </si>
  <si>
    <t>RFQ-PIP-034</t>
    <phoneticPr fontId="19" type="noConversion"/>
  </si>
  <si>
    <t>UPVC Pipes, Fitting and Flanges</t>
  </si>
  <si>
    <t>UPVC Pipes, Fitting and Flanges</t>
    <phoneticPr fontId="19" type="noConversion"/>
  </si>
  <si>
    <t>2026.7.17 MR issued yard</t>
    <phoneticPr fontId="19" type="noConversion"/>
  </si>
  <si>
    <t>LOA issued</t>
    <phoneticPr fontId="19" type="noConversion"/>
  </si>
  <si>
    <t>POWER SOCKET/PLUG, JUNCTION BOXES, EARH BAR AND CABLE GLAND</t>
  </si>
  <si>
    <t>POWER SOCKET/PLUG, JUNCTION BOXES, EARH BAR AND CABLE GLAND</t>
    <phoneticPr fontId="19" type="noConversion"/>
  </si>
  <si>
    <t>ZWP22 Jacket Primary Steel-Tubular TRB</t>
  </si>
  <si>
    <t>ZWP22 Jacket Primary Steel-Tubular CONE</t>
  </si>
  <si>
    <t>ZWP22 Jacket Primary Steel-Tubular JCOE</t>
  </si>
  <si>
    <t>ZWP22 Jacket Hydro static Ring Stiff Plate</t>
  </si>
  <si>
    <t>ZWP22 Jacket Launch Cradle Plates+Ring Stiff Plates</t>
    <phoneticPr fontId="19" type="noConversion"/>
  </si>
  <si>
    <t>ZWP20 Jacket Primary Steel-Tubular TRB</t>
  </si>
  <si>
    <t>ZWP20 Jacket Primary Steel-Tubular CONE</t>
  </si>
  <si>
    <t>ZWP20 Jacket Primary Steel-Tubular JCOE</t>
  </si>
  <si>
    <t>ZWP20 Jacket Hydro static Ring Stiff Plate</t>
  </si>
  <si>
    <t>Globe Valve (with equal percentage)</t>
    <phoneticPr fontId="19" type="noConversion"/>
  </si>
  <si>
    <t>ZM169-WP1-PO-MEC-003</t>
    <phoneticPr fontId="19" type="noConversion"/>
  </si>
  <si>
    <t>OIL STATES</t>
    <phoneticPr fontId="19" type="noConversion"/>
  </si>
  <si>
    <t>ZM169-WP1-PO-STR-001</t>
    <phoneticPr fontId="19" type="noConversion"/>
  </si>
  <si>
    <t>ZH26FA004(02)</t>
    <phoneticPr fontId="19" type="noConversion"/>
  </si>
  <si>
    <t>Rockwell</t>
  </si>
  <si>
    <t>MAGNETROL</t>
  </si>
  <si>
    <t>K-TEK (ABB)</t>
  </si>
  <si>
    <t xml:space="preserve">WRLEADING </t>
    <phoneticPr fontId="19" type="noConversion"/>
  </si>
  <si>
    <t>KCON(AVL condition)</t>
  </si>
  <si>
    <t>VALVITALIA(AVL condition)</t>
  </si>
  <si>
    <t xml:space="preserve"> Fire &amp; Gas Detectors</t>
    <phoneticPr fontId="19" type="noConversion"/>
  </si>
  <si>
    <t>Farris-8.5</t>
    <phoneticPr fontId="19" type="noConversion"/>
  </si>
  <si>
    <t>Cobrsby-8.5</t>
    <phoneticPr fontId="19" type="noConversion"/>
  </si>
  <si>
    <t>Rockwell-8.7</t>
    <phoneticPr fontId="19" type="noConversion"/>
  </si>
  <si>
    <t>Fisher-8.7</t>
    <phoneticPr fontId="19" type="noConversion"/>
  </si>
  <si>
    <t>Flowserve-8.7</t>
    <phoneticPr fontId="19" type="noConversion"/>
  </si>
  <si>
    <t>Fisher-8.5</t>
    <phoneticPr fontId="19" type="noConversion"/>
  </si>
  <si>
    <t>SCADA</t>
  </si>
  <si>
    <t>SCADA</t>
    <phoneticPr fontId="19" type="noConversion"/>
  </si>
  <si>
    <t>MM-ZTK-1F-ZPQ-INS-MR-0001</t>
  </si>
  <si>
    <t>MM-ZTK-1F-ZPQ-INS-MR-0001</t>
    <phoneticPr fontId="19" type="noConversion"/>
  </si>
  <si>
    <t>RFQ-IN-009</t>
    <phoneticPr fontId="19" type="noConversion"/>
  </si>
  <si>
    <t>CIM</t>
    <phoneticPr fontId="19" type="noConversion"/>
  </si>
  <si>
    <t>CIM-declined</t>
    <phoneticPr fontId="19" type="noConversion"/>
  </si>
  <si>
    <t>CIF Zhuhai Port</t>
    <phoneticPr fontId="19" type="noConversion"/>
  </si>
  <si>
    <t>DDP Yard</t>
    <phoneticPr fontId="19" type="noConversion"/>
  </si>
  <si>
    <t>2026.5.31 MR issued yard
2026.8.9 Domestic sullier cannot meet hot drawn requirement.Sourcing other vendors.</t>
    <phoneticPr fontId="19" type="noConversion"/>
  </si>
  <si>
    <t>2026.5.9 Issued RFQ(no MR)
bid due day:20-May 
2026.6.12:TECHNICAL BID EVALUATION FOR ACTUATED CHOKE VALVES(C1)
2026.8.9 Expedite drawings by e-mail</t>
    <phoneticPr fontId="19" type="noConversion"/>
  </si>
  <si>
    <t>CIF Zhuhai port</t>
    <phoneticPr fontId="19" type="noConversion"/>
  </si>
  <si>
    <t>CIF Zhuhai 
Airport</t>
    <phoneticPr fontId="19" type="noConversion"/>
  </si>
  <si>
    <t>Teflon plate for Launch cradle(Grease)</t>
  </si>
  <si>
    <t>Teflon plate for Launch cradle(Grease)</t>
    <phoneticPr fontId="19" type="noConversion"/>
  </si>
  <si>
    <t>Chemical injection pump skids</t>
    <phoneticPr fontId="19" type="noConversion"/>
  </si>
  <si>
    <t>Pressure Transmitters</t>
    <phoneticPr fontId="19" type="noConversion"/>
  </si>
  <si>
    <t>DP Level Transmitters</t>
    <phoneticPr fontId="19" type="noConversion"/>
  </si>
  <si>
    <t>Globe Valve (withequal percentage)</t>
    <phoneticPr fontId="19" type="noConversion"/>
  </si>
  <si>
    <t xml:space="preserve"> Restriction Orifices</t>
    <phoneticPr fontId="19" type="noConversion"/>
  </si>
  <si>
    <t>Vortex Flow Meters</t>
    <phoneticPr fontId="19" type="noConversion"/>
  </si>
  <si>
    <t>ZM169-WP1-PO-PIP-001</t>
    <phoneticPr fontId="19" type="noConversion"/>
  </si>
  <si>
    <t>BOTELI</t>
    <phoneticPr fontId="19" type="noConversion"/>
  </si>
  <si>
    <t>ZM169-WP1-PO-PIP-002</t>
    <phoneticPr fontId="19" type="noConversion"/>
  </si>
  <si>
    <t>AIG</t>
    <phoneticPr fontId="19" type="noConversion"/>
  </si>
  <si>
    <t>TPI</t>
  </si>
  <si>
    <t>TPI</t>
    <phoneticPr fontId="19" type="noConversion"/>
  </si>
  <si>
    <t>Megaway(Yale)</t>
  </si>
  <si>
    <t>Sofis-Netherlands</t>
    <phoneticPr fontId="19" type="noConversion"/>
  </si>
  <si>
    <t>Modec-France</t>
    <phoneticPr fontId="19" type="noConversion"/>
  </si>
  <si>
    <t>GM</t>
  </si>
  <si>
    <t>Det-Tronics</t>
  </si>
  <si>
    <t xml:space="preserve">Ashcroft </t>
  </si>
  <si>
    <t xml:space="preserve">Wika </t>
  </si>
  <si>
    <t>Emerson</t>
    <phoneticPr fontId="19" type="noConversion"/>
  </si>
  <si>
    <t>Yokogawa</t>
  </si>
  <si>
    <t>Endress+Hauser</t>
  </si>
  <si>
    <t>WIKA</t>
  </si>
  <si>
    <t>WIKA</t>
    <phoneticPr fontId="19" type="noConversion"/>
  </si>
  <si>
    <t>ROSEMOUNT</t>
    <phoneticPr fontId="19" type="noConversion"/>
  </si>
  <si>
    <t>YOKOGAWA</t>
  </si>
  <si>
    <t xml:space="preserve">ROSEMOUNT </t>
    <phoneticPr fontId="19" type="noConversion"/>
  </si>
  <si>
    <t>Clampon</t>
    <phoneticPr fontId="19" type="noConversion"/>
  </si>
  <si>
    <t>TBE Approved</t>
    <phoneticPr fontId="19" type="noConversion"/>
  </si>
  <si>
    <t>Coriolis Flow Meters</t>
    <phoneticPr fontId="19" type="noConversion"/>
  </si>
  <si>
    <t>Temperature Transmitters and Thermowells</t>
    <phoneticPr fontId="19" type="noConversion"/>
  </si>
  <si>
    <t xml:space="preserve"> PIPELINE BULK (B31.8)-Flanges</t>
    <phoneticPr fontId="19" type="noConversion"/>
  </si>
  <si>
    <t xml:space="preserve">include SAW Welded Pipe and seamless pipe </t>
    <phoneticPr fontId="19" type="noConversion"/>
  </si>
  <si>
    <t>CS Pipe</t>
    <phoneticPr fontId="19" type="noConversion"/>
  </si>
  <si>
    <t xml:space="preserve">CS Pipe </t>
    <phoneticPr fontId="19" type="noConversion"/>
  </si>
  <si>
    <t>Coating</t>
    <phoneticPr fontId="19" type="noConversion"/>
  </si>
  <si>
    <t>Kuang Yuena</t>
    <phoneticPr fontId="19" type="noConversion"/>
  </si>
  <si>
    <t>Zhang Jianwei</t>
    <phoneticPr fontId="19" type="noConversion"/>
  </si>
  <si>
    <t>no need</t>
    <phoneticPr fontId="19" type="noConversion"/>
  </si>
  <si>
    <t>121 pic in stock(wait for SRN)</t>
    <phoneticPr fontId="19" type="noConversion"/>
  </si>
  <si>
    <t>Neoprene</t>
    <phoneticPr fontId="19" type="noConversion"/>
  </si>
  <si>
    <t>Kuang Cuichang</t>
    <phoneticPr fontId="19" type="noConversion"/>
  </si>
  <si>
    <t>Kuang Yuanna</t>
  </si>
  <si>
    <t>Kuang Yuanna</t>
    <phoneticPr fontId="19" type="noConversion"/>
  </si>
  <si>
    <t>Zheng Hanliang</t>
    <phoneticPr fontId="19" type="noConversion"/>
  </si>
  <si>
    <t>Tang Jiahe</t>
    <phoneticPr fontId="19" type="noConversion"/>
  </si>
  <si>
    <t>Chen Yang</t>
    <phoneticPr fontId="19" type="noConversion"/>
  </si>
  <si>
    <t>MANN TEK（RIBO）</t>
  </si>
  <si>
    <t>DIXON</t>
  </si>
  <si>
    <t>12 weeks DDP Zhuhai after after drawing approval</t>
  </si>
  <si>
    <t>ARMSTRONG</t>
  </si>
  <si>
    <t>MULTIPHASE</t>
  </si>
  <si>
    <t>Trelleborg-trade sanction</t>
    <phoneticPr fontId="19" type="noConversion"/>
  </si>
  <si>
    <t>Destec(RIBO)</t>
  </si>
  <si>
    <t>BASSI LUIGI</t>
  </si>
  <si>
    <t>COPROSIDER S.R.L.</t>
  </si>
  <si>
    <t>12/14 WORKING WEEKS FROM PIM DATE.(Working weeks means by excluding 2 weeks of August and 2 weeks of Christmas shut-down)</t>
    <phoneticPr fontId="19" type="noConversion"/>
  </si>
  <si>
    <t> 24 weeks FCA from approval of manufacturing drawing and procedures (Summer / Christmas shutdown excluded)</t>
    <phoneticPr fontId="19" type="noConversion"/>
  </si>
  <si>
    <t>VIAR MECCANICA SRL, TECTUBI RACCORDI</t>
    <phoneticPr fontId="19" type="noConversion"/>
  </si>
  <si>
    <t>VIAR MECCANICA SRL,TECTUBI RACCORDI</t>
    <phoneticPr fontId="19" type="noConversion"/>
  </si>
  <si>
    <t>EXW  Italy 24-32 weeks after PO</t>
    <phoneticPr fontId="19" type="noConversion"/>
  </si>
  <si>
    <t>(Summer / Christmas shutdown excluded)</t>
    <phoneticPr fontId="19" type="noConversion"/>
  </si>
  <si>
    <t>FCA SIMAS workshop, 42-44 working weeks after PO receipt and documents approval</t>
    <phoneticPr fontId="19" type="noConversion"/>
  </si>
  <si>
    <t>C1:2026/7/16
C2:2026/8/14</t>
    <phoneticPr fontId="19" type="noConversion"/>
  </si>
  <si>
    <t>Merge with CS pipes</t>
    <phoneticPr fontId="19" type="noConversion"/>
  </si>
  <si>
    <t>C1:2026/7/25
C2:2026/8/17</t>
    <phoneticPr fontId="19" type="noConversion"/>
  </si>
  <si>
    <t>Han Jingxin</t>
    <phoneticPr fontId="19" type="noConversion"/>
  </si>
  <si>
    <t>Position Limit Switch</t>
    <phoneticPr fontId="19" type="noConversion"/>
  </si>
  <si>
    <t>Lin Yazhen</t>
  </si>
  <si>
    <t>Oliver Valves</t>
    <phoneticPr fontId="19" type="noConversion"/>
  </si>
  <si>
    <t>Eaton-no reply</t>
    <phoneticPr fontId="19" type="noConversion"/>
  </si>
  <si>
    <t>Eaton-reply</t>
    <phoneticPr fontId="19" type="noConversion"/>
  </si>
  <si>
    <r>
      <t>Gestra (</t>
    </r>
    <r>
      <rPr>
        <sz val="8"/>
        <color rgb="FF000000"/>
        <rFont val="Arial"/>
        <family val="2"/>
      </rPr>
      <t>RIBO</t>
    </r>
    <r>
      <rPr>
        <sz val="8"/>
        <color rgb="FF000000"/>
        <rFont val="微软雅黑"/>
        <family val="2"/>
        <charset val="134"/>
      </rPr>
      <t>）</t>
    </r>
    <phoneticPr fontId="19" type="noConversion"/>
  </si>
  <si>
    <t>Multiphase(GRAYLOC)</t>
  </si>
  <si>
    <t>Multiphase(GRAYLOC)</t>
    <phoneticPr fontId="19" type="noConversion"/>
  </si>
  <si>
    <t>Valtorx-declined</t>
    <phoneticPr fontId="19" type="noConversion"/>
  </si>
  <si>
    <t>MULTIPHASE</t>
    <phoneticPr fontId="19" type="noConversion"/>
  </si>
  <si>
    <t>Trelleborg</t>
    <phoneticPr fontId="19" type="noConversion"/>
  </si>
  <si>
    <t>COPROSIDER S.R.L.</t>
    <phoneticPr fontId="19" type="noConversion"/>
  </si>
  <si>
    <t>COPROSIDER-holiday</t>
    <phoneticPr fontId="19" type="noConversion"/>
  </si>
  <si>
    <t>BASSI LUIGI</t>
    <phoneticPr fontId="19" type="noConversion"/>
  </si>
  <si>
    <t>ZM169-WP1-PO-PIP-003</t>
    <phoneticPr fontId="19" type="noConversion"/>
  </si>
  <si>
    <t>THS(LVF)</t>
    <phoneticPr fontId="19" type="noConversion"/>
  </si>
  <si>
    <t>Rockwell(Thailand)</t>
    <phoneticPr fontId="19" type="noConversion"/>
  </si>
  <si>
    <t>ZM169-WP1-PO-IN-007</t>
    <phoneticPr fontId="19" type="noConversion"/>
  </si>
  <si>
    <t>Combined with check valve</t>
    <phoneticPr fontId="19" type="noConversion"/>
  </si>
  <si>
    <t>RFQ-PIP-030</t>
  </si>
  <si>
    <t>2026/8/6
2026/8/18</t>
    <phoneticPr fontId="19" type="noConversion"/>
  </si>
  <si>
    <t>2026/8/12
2026/8/20</t>
    <phoneticPr fontId="19" type="noConversion"/>
  </si>
  <si>
    <t>2026/8/11
2026/8/20</t>
    <phoneticPr fontId="19" type="noConversion"/>
  </si>
  <si>
    <t>2026/8/11
2026/8/18</t>
    <phoneticPr fontId="19" type="noConversion"/>
  </si>
  <si>
    <t>2026/8/2
2026/8/17</t>
    <phoneticPr fontId="19" type="noConversion"/>
  </si>
  <si>
    <t>Roc-master (FA)</t>
    <phoneticPr fontId="19" type="noConversion"/>
  </si>
  <si>
    <t>2026/7/24
2026/8/17</t>
    <phoneticPr fontId="19" type="noConversion"/>
  </si>
  <si>
    <t>2026/7/30
2026/8/20</t>
    <phoneticPr fontId="19" type="noConversion"/>
  </si>
  <si>
    <t>ZM169-WP1-PO-IN-004</t>
    <phoneticPr fontId="19" type="noConversion"/>
  </si>
  <si>
    <t>Eastern(Crosby)</t>
    <phoneticPr fontId="19" type="noConversion"/>
  </si>
  <si>
    <t>MGW(Yale)</t>
    <phoneticPr fontId="19" type="noConversion"/>
  </si>
  <si>
    <t>Bourdon Haenni-declined</t>
    <phoneticPr fontId="19" type="noConversion"/>
  </si>
  <si>
    <t>Yokogawa-declined</t>
    <phoneticPr fontId="19" type="noConversion"/>
  </si>
  <si>
    <t>Oliver Valves-22 weeks</t>
    <phoneticPr fontId="19" type="noConversion"/>
  </si>
  <si>
    <t>ARMSTRONG</t>
    <phoneticPr fontId="19" type="noConversion"/>
  </si>
  <si>
    <t>Hebei Shengtian-TC(7 weeks)</t>
    <phoneticPr fontId="19" type="noConversion"/>
  </si>
  <si>
    <t>SATT Inter Supply</t>
    <phoneticPr fontId="19" type="noConversion"/>
  </si>
  <si>
    <t>Endress+Hauser-declined</t>
    <phoneticPr fontId="19" type="noConversion"/>
  </si>
  <si>
    <t>Jiangyin Zhongnan (FA)</t>
    <phoneticPr fontId="19" type="noConversion"/>
  </si>
  <si>
    <t xml:space="preserve"> Concord (Fisher)</t>
    <phoneticPr fontId="19" type="noConversion"/>
  </si>
  <si>
    <t>ZM169-WP1-PO-IN-008</t>
    <phoneticPr fontId="19" type="noConversion"/>
  </si>
  <si>
    <t>Yokogawa</t>
    <phoneticPr fontId="19" type="noConversion"/>
  </si>
  <si>
    <t>Cooper China</t>
    <phoneticPr fontId="19" type="noConversion"/>
  </si>
  <si>
    <t>JJ Advance</t>
    <phoneticPr fontId="19" type="noConversion"/>
  </si>
  <si>
    <t>Tubacex</t>
    <phoneticPr fontId="19" type="noConversion"/>
  </si>
  <si>
    <t>Temperature Transmitters (Pipe Clamp) Wireless Type</t>
    <phoneticPr fontId="19" type="noConversion"/>
  </si>
  <si>
    <t xml:space="preserve"> Pressure Transmitters (Wireless Type)</t>
    <phoneticPr fontId="19" type="noConversion"/>
  </si>
  <si>
    <t>RFQ-IN-030</t>
    <phoneticPr fontId="19" type="noConversion"/>
  </si>
  <si>
    <t>PCK</t>
    <phoneticPr fontId="19" type="noConversion"/>
  </si>
  <si>
    <t>Ziking</t>
    <phoneticPr fontId="19" type="noConversion"/>
  </si>
  <si>
    <t>Palteform</t>
    <phoneticPr fontId="19" type="noConversion"/>
  </si>
  <si>
    <t xml:space="preserve">PO Delivery date </t>
    <phoneticPr fontId="19" type="noConversion"/>
  </si>
  <si>
    <t>MM-ZTK-1F-GEN-MEC-MR-0001</t>
  </si>
  <si>
    <t>Huanan</t>
    <phoneticPr fontId="19" type="noConversion"/>
  </si>
  <si>
    <t>ZWP20-23</t>
  </si>
  <si>
    <t>ZWP20-23</t>
    <phoneticPr fontId="19" type="noConversion"/>
  </si>
  <si>
    <t>CD+7</t>
  </si>
  <si>
    <t>CD+7</t>
    <phoneticPr fontId="19" type="noConversion"/>
  </si>
  <si>
    <t>CD+Spring F+15</t>
    <phoneticPr fontId="19" type="noConversion"/>
  </si>
  <si>
    <t>CIF Zhuhai Port</t>
  </si>
  <si>
    <t>Bidder2</t>
    <phoneticPr fontId="19" type="noConversion"/>
  </si>
  <si>
    <t>Bidder3</t>
    <phoneticPr fontId="19" type="noConversion"/>
  </si>
  <si>
    <t>DDP Zhuhai Yard</t>
    <phoneticPr fontId="19" type="noConversion"/>
  </si>
  <si>
    <t>CD+Spr F+20</t>
    <phoneticPr fontId="19" type="noConversion"/>
  </si>
  <si>
    <t>MULTIPHASE(Barton Firtop)</t>
    <phoneticPr fontId="19" type="noConversion"/>
  </si>
  <si>
    <t>22 weeks</t>
    <phoneticPr fontId="19" type="noConversion"/>
  </si>
  <si>
    <t>DDP Zhuhai yard</t>
    <phoneticPr fontId="19" type="noConversion"/>
  </si>
  <si>
    <t>IN Junction Box</t>
    <phoneticPr fontId="19" type="noConversion"/>
  </si>
  <si>
    <t>Fusion</t>
    <phoneticPr fontId="19" type="noConversion"/>
  </si>
  <si>
    <t>Anode Doubler Plate and Stiffener</t>
  </si>
  <si>
    <t>RFQ-STR-008-1</t>
  </si>
  <si>
    <t>RFQ-STR-008-1</t>
    <phoneticPr fontId="19" type="noConversion"/>
  </si>
  <si>
    <t>Riser Protector</t>
  </si>
  <si>
    <t>RFQ-STR-008-2</t>
  </si>
  <si>
    <t>RFQ-STR-008-2</t>
    <phoneticPr fontId="19" type="noConversion"/>
  </si>
  <si>
    <t>Casing Guide</t>
  </si>
  <si>
    <t>RFQ-STR-008-3</t>
  </si>
  <si>
    <t>RFQ-STR-008-3</t>
    <phoneticPr fontId="19" type="noConversion"/>
  </si>
  <si>
    <t>RFQ-STR-008-4</t>
  </si>
  <si>
    <t>RFQ-STR-008-4</t>
    <phoneticPr fontId="19" type="noConversion"/>
  </si>
  <si>
    <t>Upending</t>
  </si>
  <si>
    <t>RFQ-STR-008-5</t>
    <phoneticPr fontId="19" type="noConversion"/>
  </si>
  <si>
    <t>Access</t>
  </si>
  <si>
    <t>Access</t>
    <phoneticPr fontId="19" type="noConversion"/>
  </si>
  <si>
    <t>Walkway Stair and Landing</t>
  </si>
  <si>
    <t>Walkway Stair and Landing</t>
    <phoneticPr fontId="19" type="noConversion"/>
  </si>
  <si>
    <t>RFQ-STR-008-6</t>
    <phoneticPr fontId="19" type="noConversion"/>
  </si>
  <si>
    <t>RFQ-STR-008-7</t>
    <phoneticPr fontId="19" type="noConversion"/>
  </si>
  <si>
    <t>Boatlanding</t>
  </si>
  <si>
    <t>Sunrui</t>
    <phoneticPr fontId="19" type="noConversion"/>
  </si>
  <si>
    <t>2026/7/31
2026/8/26</t>
    <phoneticPr fontId="19" type="noConversion"/>
  </si>
  <si>
    <t>Gripper, Packer and Diaphragm</t>
  </si>
  <si>
    <t>WRLEADING</t>
    <phoneticPr fontId="19" type="noConversion"/>
  </si>
  <si>
    <t>VIAR, TPI</t>
    <phoneticPr fontId="19" type="noConversion"/>
  </si>
  <si>
    <r>
      <t>Gestra</t>
    </r>
    <r>
      <rPr>
        <sz val="8"/>
        <rFont val="微软雅黑"/>
        <family val="2"/>
        <charset val="134"/>
      </rPr>
      <t>（</t>
    </r>
    <r>
      <rPr>
        <sz val="8"/>
        <rFont val="Arial"/>
        <family val="2"/>
      </rPr>
      <t xml:space="preserve">RIBO), </t>
    </r>
    <r>
      <rPr>
        <sz val="8"/>
        <color rgb="FFFF0000"/>
        <rFont val="Arial"/>
        <family val="2"/>
      </rPr>
      <t>TPI</t>
    </r>
    <phoneticPr fontId="19" type="noConversion"/>
  </si>
  <si>
    <r>
      <t xml:space="preserve">DIXON, </t>
    </r>
    <r>
      <rPr>
        <sz val="8"/>
        <color rgb="FFFF0000"/>
        <rFont val="Arial"/>
        <family val="2"/>
      </rPr>
      <t>TPI</t>
    </r>
    <phoneticPr fontId="19" type="noConversion"/>
  </si>
  <si>
    <t>C1:2026/7/27
C2:2026/8/24</t>
    <phoneticPr fontId="19" type="noConversion"/>
  </si>
  <si>
    <t>MAGNETROL-TC</t>
    <phoneticPr fontId="19" type="noConversion"/>
  </si>
  <si>
    <t>Samart Thailand</t>
    <phoneticPr fontId="19" type="noConversion"/>
  </si>
  <si>
    <t>Gestra</t>
    <phoneticPr fontId="19" type="noConversion"/>
  </si>
  <si>
    <t>C1:2026/7/27
C2:2026/8/17
C3:2026/8/19</t>
    <phoneticPr fontId="19" type="noConversion"/>
  </si>
  <si>
    <t>IN Cable</t>
    <phoneticPr fontId="19" type="noConversion"/>
  </si>
  <si>
    <t>E&amp;I Cable Gland</t>
    <phoneticPr fontId="19" type="noConversion"/>
  </si>
  <si>
    <t>ZM169-WP1-PO-MEC-006</t>
    <phoneticPr fontId="19" type="noConversion"/>
  </si>
  <si>
    <t>Yangzhou Chengde</t>
    <phoneticPr fontId="19" type="noConversion"/>
  </si>
  <si>
    <t>Roc-Master</t>
    <phoneticPr fontId="19" type="noConversion"/>
  </si>
  <si>
    <t>CIF Guangzhou port</t>
    <phoneticPr fontId="19" type="noConversion"/>
  </si>
  <si>
    <t>4-6 weeks</t>
    <phoneticPr fontId="19" type="noConversion"/>
  </si>
  <si>
    <t>10-12 weeks</t>
    <phoneticPr fontId="19" type="noConversion"/>
  </si>
  <si>
    <t>20-22 weeks</t>
    <phoneticPr fontId="19" type="noConversion"/>
  </si>
  <si>
    <t>after drawing approved</t>
    <phoneticPr fontId="19" type="noConversion"/>
  </si>
  <si>
    <t>2026/8/2
C2:2026/9/2</t>
    <phoneticPr fontId="19" type="noConversion"/>
  </si>
  <si>
    <t>FA:2026/8/26
2026/9/1</t>
    <phoneticPr fontId="19" type="noConversion"/>
  </si>
  <si>
    <t>Upending</t>
    <phoneticPr fontId="19" type="noConversion"/>
  </si>
  <si>
    <t>Anode Doubler Plate and Stiffener</t>
    <phoneticPr fontId="19" type="noConversion"/>
  </si>
  <si>
    <t>FA:2026/8/21
PO:1-Sep-26</t>
    <phoneticPr fontId="19" type="noConversion"/>
  </si>
  <si>
    <t xml:space="preserve">ZH26FA020 (01) </t>
    <phoneticPr fontId="19" type="noConversion"/>
  </si>
  <si>
    <t xml:space="preserve">ZH26FA021 (01) </t>
    <phoneticPr fontId="19" type="noConversion"/>
  </si>
  <si>
    <t>ZH/26/FA022(01)</t>
    <phoneticPr fontId="19" type="noConversion"/>
  </si>
  <si>
    <t>ZH26PO0724</t>
    <phoneticPr fontId="19" type="noConversion"/>
  </si>
  <si>
    <t>ZH26PO0691</t>
    <phoneticPr fontId="19" type="noConversion"/>
  </si>
  <si>
    <t>ZH26FA001</t>
    <phoneticPr fontId="19" type="noConversion"/>
  </si>
  <si>
    <t>ZH26FA013</t>
    <phoneticPr fontId="19" type="noConversion"/>
  </si>
  <si>
    <t>MM-ZTK-1F-GEN-STR-MR-0005</t>
    <phoneticPr fontId="19" type="noConversion"/>
  </si>
  <si>
    <t>RFQ-STR-013</t>
  </si>
  <si>
    <t>Shanghai Hongyu</t>
    <phoneticPr fontId="19" type="noConversion"/>
  </si>
  <si>
    <t>Timber for Launch cradle</t>
  </si>
  <si>
    <t>ZH26PO0453</t>
    <phoneticPr fontId="19" type="noConversion"/>
  </si>
  <si>
    <t>ZHJT-SC-2026-100</t>
    <phoneticPr fontId="19" type="noConversion"/>
  </si>
  <si>
    <t>ZHJT-SC-2026-99</t>
    <phoneticPr fontId="19" type="noConversion"/>
  </si>
  <si>
    <t xml:space="preserve"> TDW</t>
  </si>
  <si>
    <t>RFQ-PIP-033</t>
  </si>
  <si>
    <t>CIF Guangzhou and Shenzhen Airport</t>
    <phoneticPr fontId="19" type="noConversion"/>
  </si>
  <si>
    <t>Endress+Hauser-delcined</t>
    <phoneticPr fontId="19" type="noConversion"/>
  </si>
  <si>
    <t>Delivery time FCA Italy : 24-30 weeks, from approval of manufacturing drawing and procedures</t>
    <phoneticPr fontId="19" type="noConversion"/>
  </si>
  <si>
    <t>Special items-Quick Opening Closure
(For PIG L&amp;R)</t>
    <phoneticPr fontId="19" type="noConversion"/>
  </si>
  <si>
    <t>RIBO(McMurray)</t>
  </si>
  <si>
    <t>RIBO(MANN TEK )</t>
  </si>
  <si>
    <t>TECTUBI</t>
  </si>
  <si>
    <t>ZH26FA006(02)</t>
    <phoneticPr fontId="19" type="noConversion"/>
  </si>
  <si>
    <t>ZH26FA006(03)</t>
    <phoneticPr fontId="19" type="noConversion"/>
  </si>
  <si>
    <t>No need</t>
  </si>
  <si>
    <t>2026.5.9 MR to yard
2026.9.11 ITP upload D2 for approval</t>
    <phoneticPr fontId="19" type="noConversion"/>
  </si>
  <si>
    <t>ZM169-WP1-PO-PIP-005</t>
    <phoneticPr fontId="19" type="noConversion"/>
  </si>
  <si>
    <t>Lin yazhen</t>
    <phoneticPr fontId="19" type="noConversion"/>
  </si>
  <si>
    <t>C1:11-Sep</t>
    <phoneticPr fontId="19" type="noConversion"/>
  </si>
  <si>
    <t>C1:2026/8/12
C2:2026/9/11</t>
    <phoneticPr fontId="19" type="noConversion"/>
  </si>
  <si>
    <t>ZH26PO013</t>
  </si>
  <si>
    <t>ZH26PO013</t>
    <phoneticPr fontId="19" type="noConversion"/>
  </si>
  <si>
    <t>Lugang</t>
    <phoneticPr fontId="19" type="noConversion"/>
  </si>
  <si>
    <t>Puchase Qty</t>
    <phoneticPr fontId="19" type="noConversion"/>
  </si>
  <si>
    <t>179 Drums</t>
    <phoneticPr fontId="19" type="noConversion"/>
  </si>
  <si>
    <t>No Need</t>
  </si>
  <si>
    <t>20 days</t>
    <phoneticPr fontId="19" type="noConversion"/>
  </si>
  <si>
    <t>JOTUN</t>
    <phoneticPr fontId="19" type="noConversion"/>
  </si>
  <si>
    <t>RFQ-EL-010</t>
    <phoneticPr fontId="19" type="noConversion"/>
  </si>
  <si>
    <t>combined with RFQ-EL-010</t>
  </si>
  <si>
    <t>2026.9.7 ENG team released MR to Procurement</t>
    <phoneticPr fontId="19" type="noConversion"/>
  </si>
  <si>
    <t xml:space="preserve">Plate:45-60days </t>
    <phoneticPr fontId="19" type="noConversion"/>
  </si>
  <si>
    <t>3.2 certificate: 15days</t>
    <phoneticPr fontId="19" type="noConversion"/>
  </si>
  <si>
    <t>ZH26FA001(08)</t>
    <phoneticPr fontId="19" type="noConversion"/>
  </si>
  <si>
    <t>2026.8.9-25</t>
    <phoneticPr fontId="19" type="noConversion"/>
  </si>
  <si>
    <t>2026.8.17-9.17</t>
    <phoneticPr fontId="19" type="noConversion"/>
  </si>
  <si>
    <t>Wei Kefang</t>
  </si>
  <si>
    <t>Wei Kefang</t>
    <phoneticPr fontId="19" type="noConversion"/>
  </si>
  <si>
    <t>ZH26FA006</t>
    <phoneticPr fontId="19" type="noConversion"/>
  </si>
  <si>
    <t>Lontrin</t>
    <phoneticPr fontId="19" type="noConversion"/>
  </si>
  <si>
    <t>MM-ZTK-1F-GEN-STR-MR-1012</t>
    <phoneticPr fontId="19" type="noConversion"/>
  </si>
  <si>
    <t>ZH26FA001(28)</t>
  </si>
  <si>
    <t>ZH26FA001(37)</t>
  </si>
  <si>
    <t>T</t>
    <phoneticPr fontId="19" type="noConversion"/>
  </si>
  <si>
    <t xml:space="preserve"> pcs</t>
    <phoneticPr fontId="19" type="noConversion"/>
  </si>
  <si>
    <t>ZH26FA001(40)</t>
  </si>
  <si>
    <t>2026.4.16: Issued RFQ
2026.4.28-5.1: Received Bid
2026.5.7: TC
2026.5.19: Vendor will reply TC
2026.2.26-27 Hold TC meeting
(ZWP21)1st Unit of Pedestal Adaptor = 42 Weeks after LOA (3-May-2027) 
(ZWP21)1st Unit of 100RL = 46 Weeks after LOA (31-May-2027) 
(ZWP23)2nd Unit of Pedestal Adaptor = 45 Weeks after LOA (24-May-2027) 
(ZWP23)2nd Unit of 100RL = 49 Weeks after LOA (21-Jun-2027) 
(ZWP22)3rd Unit of Pedestal Adaptor = 48 Weeks after LOA (14-Jun-2027) 
(ZWP22)3rd Unit of 100RL = 52 Weeks after LOA (12-Jul-2027) 
(ZWP20)4th Unit of Pedestal Adaptor = 51 Weeks after LOA (5-Jul-2027) 
(ZWP20)4th Unit of 100RL = 55 Weeks after LOA (2-Aug-2027)
2026.8.9 Expedite drawings by e-mail
2026.9.10: GA drawing submitted to CPY to review</t>
    <phoneticPr fontId="19" type="noConversion"/>
  </si>
  <si>
    <t>Update:11-Sep-2026</t>
    <phoneticPr fontId="19" type="noConversion"/>
  </si>
  <si>
    <t>2026.5.6 Issued RFQ to Zhuhai yard
2026.9.4 GA drawing submitted to D2.</t>
    <phoneticPr fontId="19" type="noConversion"/>
  </si>
  <si>
    <t>Approval of Key VP</t>
    <phoneticPr fontId="19" type="noConversion"/>
  </si>
  <si>
    <t>GA:8-Sep-26
CAL:8-Sep-26</t>
    <phoneticPr fontId="19" type="noConversion"/>
  </si>
  <si>
    <t xml:space="preserve">2026.5.6 Issued RFQ to Zhuhai yard
</t>
    <phoneticPr fontId="19" type="noConversion"/>
  </si>
  <si>
    <t xml:space="preserve">2026.5.6 Issued RFQ to Zhuhai yard
2026.8.24 GA drawing and CAL report are submitted to D2
2026.9.8 GA drawing and CAL report are approved
</t>
    <phoneticPr fontId="19" type="noConversion"/>
  </si>
  <si>
    <t>36 weeks DDP Zhuhai after after drawing approval</t>
    <phoneticPr fontId="19" type="noConversion"/>
  </si>
  <si>
    <t>Delivery time is related with drawing approved within 22 days</t>
    <phoneticPr fontId="19" type="noConversion"/>
  </si>
  <si>
    <t>Delivery time is related with drawing approved within 30 days</t>
    <phoneticPr fontId="19" type="noConversion"/>
  </si>
  <si>
    <t xml:space="preserve">SAW Welded Pipe </t>
    <phoneticPr fontId="19" type="noConversion"/>
  </si>
  <si>
    <t>Seamless</t>
    <phoneticPr fontId="19" type="noConversion"/>
  </si>
  <si>
    <t xml:space="preserve"> PIPELINE BULK (B31.8)-Pipes
(include material B31.8 for PIG L&amp;R) </t>
    <phoneticPr fontId="19" type="noConversion"/>
  </si>
  <si>
    <t xml:space="preserve">LSAW </t>
    <phoneticPr fontId="19" type="noConversion"/>
  </si>
  <si>
    <t>50m</t>
    <phoneticPr fontId="19" type="noConversion"/>
  </si>
  <si>
    <t>24m</t>
    <phoneticPr fontId="19" type="noConversion"/>
  </si>
  <si>
    <t>28 weeks after drawing approved</t>
    <phoneticPr fontId="19" type="noConversion"/>
  </si>
  <si>
    <t>C1:11-Sep-26</t>
    <phoneticPr fontId="19" type="noConversion"/>
  </si>
  <si>
    <t>2026.9.4 ENG team released MR to Procurement</t>
    <phoneticPr fontId="19" type="noConversion"/>
  </si>
  <si>
    <t>Gestra (Shanghai)</t>
    <phoneticPr fontId="19" type="noConversion"/>
  </si>
  <si>
    <t>RIBO(Destec)</t>
    <phoneticPr fontId="19" type="noConversion"/>
  </si>
  <si>
    <t>RIBO(Dexion )</t>
  </si>
  <si>
    <t>RIBO(Dexion )</t>
    <phoneticPr fontId="19" type="noConversion"/>
  </si>
  <si>
    <t>BASSI LUIGI,MERITUS</t>
    <phoneticPr fontId="19" type="noConversion"/>
  </si>
  <si>
    <t>Julong</t>
    <phoneticPr fontId="19" type="noConversion"/>
  </si>
  <si>
    <t>2026.9.17 received MR from ENG.</t>
    <phoneticPr fontId="19" type="noConversion"/>
  </si>
  <si>
    <t>after drawing approved 16 weeks</t>
    <phoneticPr fontId="19" type="noConversion"/>
  </si>
  <si>
    <t>20 weeks DDP Zhuhai after after drawing approval</t>
    <phoneticPr fontId="19" type="noConversion"/>
  </si>
  <si>
    <t>RIBO(Destec)-bundle4# pending</t>
    <phoneticPr fontId="19" type="noConversion"/>
  </si>
  <si>
    <r>
      <t>GRAYLOC(7.10, 9.10)-</t>
    </r>
    <r>
      <rPr>
        <sz val="8"/>
        <rFont val="宋体"/>
        <family val="2"/>
        <charset val="134"/>
      </rPr>
      <t>合规性审查</t>
    </r>
    <phoneticPr fontId="19" type="noConversion"/>
  </si>
  <si>
    <t>Meritus-sourcing</t>
    <phoneticPr fontId="19" type="noConversion"/>
  </si>
  <si>
    <r>
      <t>RIBO (RCSL)-</t>
    </r>
    <r>
      <rPr>
        <sz val="8"/>
        <rFont val="宋体"/>
        <family val="2"/>
        <charset val="134"/>
      </rPr>
      <t>制裁</t>
    </r>
    <phoneticPr fontId="19" type="noConversion"/>
  </si>
  <si>
    <t>RIBO (RCSL)</t>
    <phoneticPr fontId="19" type="noConversion"/>
  </si>
  <si>
    <r>
      <t>Cosasco-TC-</t>
    </r>
    <r>
      <rPr>
        <sz val="8"/>
        <rFont val="宋体"/>
        <family val="2"/>
        <charset val="134"/>
      </rPr>
      <t>用香港代理签</t>
    </r>
    <phoneticPr fontId="19" type="noConversion"/>
  </si>
  <si>
    <t>Reject by vendor</t>
    <phoneticPr fontId="19" type="noConversion"/>
  </si>
  <si>
    <t>Pending</t>
    <phoneticPr fontId="19" type="noConversion"/>
  </si>
  <si>
    <t>MULTIPHASE(Barto)</t>
    <phoneticPr fontId="19" type="noConversion"/>
  </si>
  <si>
    <t>MULTIPHASE(Barton)</t>
    <phoneticPr fontId="19" type="noConversion"/>
  </si>
  <si>
    <t>No Need</t>
    <phoneticPr fontId="19" type="noConversion"/>
  </si>
  <si>
    <t>pending on Bettis</t>
    <phoneticPr fontId="19" type="noConversion"/>
  </si>
  <si>
    <t>2026.5.25 Issued RFQ
bid due day:2-Jun
2026.9.18 Spare parts</t>
    <phoneticPr fontId="19" type="noConversion"/>
  </si>
  <si>
    <t>Ashcroft-TC</t>
    <phoneticPr fontId="19" type="noConversion"/>
  </si>
  <si>
    <t>Wika-TC</t>
    <phoneticPr fontId="19" type="noConversion"/>
  </si>
  <si>
    <t>12-14 weeks</t>
    <phoneticPr fontId="19" type="noConversion"/>
  </si>
  <si>
    <t>Emerson-TC</t>
    <phoneticPr fontId="19" type="noConversion"/>
  </si>
  <si>
    <t>Ashcroft-ENG</t>
    <phoneticPr fontId="19" type="noConversion"/>
  </si>
  <si>
    <t>Wika-ENG</t>
    <phoneticPr fontId="19" type="noConversion"/>
  </si>
  <si>
    <t>Yokogawa_TC</t>
    <phoneticPr fontId="19" type="noConversion"/>
  </si>
  <si>
    <t>Emerson-ENG</t>
    <phoneticPr fontId="19" type="noConversion"/>
  </si>
  <si>
    <t>K-TEK (ABB)-close</t>
    <phoneticPr fontId="19" type="noConversion"/>
  </si>
  <si>
    <t>WIKA- no reply</t>
    <phoneticPr fontId="19" type="noConversion"/>
  </si>
  <si>
    <t>Yokogawa-TC</t>
    <phoneticPr fontId="19" type="noConversion"/>
  </si>
  <si>
    <t>Qtech(Clampon)-TBE,TC</t>
    <phoneticPr fontId="19" type="noConversion"/>
  </si>
  <si>
    <t>SYSTAON(Clampon)-ENG</t>
    <phoneticPr fontId="19" type="noConversion"/>
  </si>
  <si>
    <t>Samart Thailand-ENG</t>
    <phoneticPr fontId="19" type="noConversion"/>
  </si>
  <si>
    <t>Fusion-ENG</t>
    <phoneticPr fontId="19" type="noConversion"/>
  </si>
  <si>
    <t>Emerson-9.16 TC reply</t>
    <phoneticPr fontId="19" type="noConversion"/>
  </si>
  <si>
    <t>WIKA--9.16 TC reply</t>
    <phoneticPr fontId="19" type="noConversion"/>
  </si>
  <si>
    <t>Krohne-TC</t>
    <phoneticPr fontId="19" type="noConversion"/>
  </si>
  <si>
    <t>YOKOGAWA-ENG</t>
    <phoneticPr fontId="19" type="noConversion"/>
  </si>
  <si>
    <t>ROSEMOUNT-ENG</t>
    <phoneticPr fontId="19" type="noConversion"/>
  </si>
  <si>
    <t>KROHNE-ENG</t>
    <phoneticPr fontId="19" type="noConversion"/>
  </si>
  <si>
    <t>MM-ZTK-1F-ZWP8-INS-MR-0001</t>
  </si>
  <si>
    <t>MM-ZTK-1F-ZWP8-INS-MR-0001</t>
    <phoneticPr fontId="19" type="noConversion"/>
  </si>
  <si>
    <t>ESDV MODIFICATION</t>
    <phoneticPr fontId="19" type="noConversion"/>
  </si>
  <si>
    <t>20-22 weeks DDP Zhuhai after after drawing approval</t>
    <phoneticPr fontId="19" type="noConversion"/>
  </si>
  <si>
    <t>C1:2026/8/28
C2:2026/9/18</t>
    <phoneticPr fontId="19" type="noConversion"/>
  </si>
  <si>
    <t>2026.9.20 ENG team released MR to Procurement</t>
    <phoneticPr fontId="19" type="noConversion"/>
  </si>
  <si>
    <t>XISC</t>
    <phoneticPr fontId="19" type="noConversion"/>
  </si>
  <si>
    <t>ZH26FA013</t>
  </si>
  <si>
    <t>RFQ-IN-F01</t>
  </si>
  <si>
    <t>RFQ-IN-F01</t>
    <phoneticPr fontId="19" type="noConversion"/>
  </si>
  <si>
    <t>RFQ-IN-F02</t>
    <phoneticPr fontId="19" type="noConversion"/>
  </si>
  <si>
    <t>RFQ-IN-B01</t>
  </si>
  <si>
    <t>RFQ-IN-B01</t>
    <phoneticPr fontId="19" type="noConversion"/>
  </si>
  <si>
    <t>The estimated delivery schedule for the proposed system is 30 to 34 weeks after acknowledgement of order and receipt of full and final design information.</t>
    <phoneticPr fontId="19" type="noConversion"/>
  </si>
  <si>
    <t>Update:18-Sep-2026</t>
    <phoneticPr fontId="19" type="noConversion"/>
  </si>
  <si>
    <t xml:space="preserve">Galperti 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</si>
</sst>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¥&quot;#,##0.00;&quot;¥&quot;\-#,##0.00"/>
    <numFmt numFmtId="43" formatCode="_ * #,##0.00_ ;_ * \-#,##0.00_ ;_ * &quot;-&quot;??_ ;_ @_ "/>
    <numFmt numFmtId="176" formatCode="yy\.mm\.dd"/>
    <numFmt numFmtId="177" formatCode="0_);[Red]\(0\)"/>
    <numFmt numFmtId="178" formatCode="yy/m/d;@"/>
    <numFmt numFmtId="179" formatCode="[$-409]d\-mmm\-yy;@"/>
    <numFmt numFmtId="180" formatCode="0.0_);[Red]\(0.0\)"/>
    <numFmt numFmtId="181" formatCode="yyyy/m/d;@"/>
    <numFmt numFmtId="182" formatCode="0.00_);[Red]\(0.00\)"/>
  </numFmts>
  <fonts count="86" x14ac:knownFonts="1">
    <font>
      <sz val="11"/>
      <color theme="1"/>
      <name val="等线"/>
      <charset val="134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4"/>
      <name val="宋体"/>
      <family val="3"/>
      <charset val="134"/>
    </font>
    <font>
      <sz val="12"/>
      <name val="Times New Roman"/>
      <family val="1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 Narrow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10"/>
      <color theme="1"/>
      <name val="Arial Narrow"/>
      <family val="2"/>
    </font>
    <font>
      <sz val="8"/>
      <color indexed="8"/>
      <name val="Arial"/>
      <family val="2"/>
    </font>
    <font>
      <sz val="9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6"/>
      <color indexed="8"/>
      <name val="Arial"/>
      <family val="2"/>
    </font>
    <font>
      <sz val="8"/>
      <color theme="1"/>
      <name val="Arial"/>
      <family val="2"/>
    </font>
    <font>
      <sz val="8"/>
      <name val="宋体"/>
      <family val="3"/>
      <charset val="134"/>
    </font>
    <font>
      <sz val="10"/>
      <color rgb="FF000000"/>
      <name val="Arial"/>
      <family val="2"/>
    </font>
    <font>
      <sz val="12"/>
      <name val="Arial"/>
      <family val="2"/>
    </font>
    <font>
      <sz val="10"/>
      <color rgb="FF0F1115"/>
      <name val="Arial"/>
      <family val="2"/>
    </font>
    <font>
      <sz val="10"/>
      <color rgb="FF0F1115"/>
      <name val="Segoe UI"/>
      <family val="2"/>
    </font>
    <font>
      <sz val="10"/>
      <color theme="1"/>
      <name val="等线"/>
      <family val="3"/>
      <charset val="134"/>
      <scheme val="minor"/>
    </font>
    <font>
      <sz val="10"/>
      <color rgb="FF0F1115"/>
      <name val="宋体"/>
      <family val="3"/>
      <charset val="134"/>
    </font>
    <font>
      <sz val="10"/>
      <color rgb="FF000000"/>
      <name val="Times New Roman"/>
      <family val="1"/>
    </font>
    <font>
      <sz val="10"/>
      <name val="Arial Narrow"/>
      <family val="2"/>
    </font>
    <font>
      <sz val="8"/>
      <color rgb="FFFF0000"/>
      <name val="Arial"/>
      <family val="2"/>
    </font>
    <font>
      <sz val="8"/>
      <name val="Times New Roman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name val="Arial"/>
      <family val="2"/>
    </font>
    <font>
      <b/>
      <sz val="6"/>
      <name val="Arial"/>
      <family val="2"/>
    </font>
    <font>
      <sz val="6"/>
      <name val="Times New Roman"/>
      <family val="1"/>
    </font>
    <font>
      <sz val="8"/>
      <color theme="1"/>
      <name val="等线"/>
      <family val="3"/>
      <charset val="134"/>
      <scheme val="minor"/>
    </font>
    <font>
      <u/>
      <sz val="8"/>
      <color theme="1"/>
      <name val="Arial Unicode MS"/>
      <family val="2"/>
      <charset val="134"/>
    </font>
    <font>
      <u/>
      <sz val="8"/>
      <name val="Times New Roman"/>
      <family val="1"/>
    </font>
    <font>
      <sz val="8"/>
      <name val="等线"/>
      <family val="3"/>
      <charset val="134"/>
      <scheme val="minor"/>
    </font>
    <font>
      <b/>
      <u/>
      <sz val="8"/>
      <name val="Times New Roman"/>
      <family val="1"/>
    </font>
    <font>
      <b/>
      <sz val="8"/>
      <color theme="1"/>
      <name val="Arial"/>
      <family val="2"/>
    </font>
    <font>
      <sz val="6"/>
      <color rgb="FF000000"/>
      <name val="Arial"/>
      <family val="2"/>
    </font>
    <font>
      <sz val="6"/>
      <color rgb="FF000000"/>
      <name val="宋体"/>
      <family val="2"/>
      <charset val="134"/>
    </font>
    <font>
      <sz val="8"/>
      <name val="Arial Unicode MS"/>
      <family val="2"/>
      <charset val="134"/>
    </font>
    <font>
      <sz val="7"/>
      <name val="Arial"/>
      <family val="2"/>
    </font>
    <font>
      <sz val="7"/>
      <color indexed="8"/>
      <name val="Arial"/>
      <family val="2"/>
    </font>
    <font>
      <sz val="9"/>
      <name val="Arial Unicode MS"/>
      <family val="2"/>
      <charset val="134"/>
    </font>
    <font>
      <strike/>
      <sz val="8"/>
      <name val="Arial"/>
      <family val="2"/>
    </font>
    <font>
      <strike/>
      <sz val="9"/>
      <name val="Arial"/>
      <family val="2"/>
    </font>
    <font>
      <strike/>
      <sz val="9"/>
      <color indexed="8"/>
      <name val="Arial"/>
      <family val="2"/>
    </font>
    <font>
      <strike/>
      <sz val="9"/>
      <color theme="1"/>
      <name val="Arial"/>
      <family val="2"/>
    </font>
    <font>
      <sz val="7"/>
      <color theme="0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strike/>
      <sz val="9"/>
      <color rgb="FF000000"/>
      <name val="Arial"/>
      <family val="2"/>
    </font>
    <font>
      <strike/>
      <sz val="9"/>
      <color rgb="FFFF0000"/>
      <name val="Arial"/>
      <family val="2"/>
    </font>
    <font>
      <sz val="10"/>
      <color rgb="FFFF0000"/>
      <name val="Arial"/>
      <family val="2"/>
    </font>
    <font>
      <sz val="8"/>
      <color rgb="FF000000"/>
      <name val="Times New Roman"/>
      <family val="1"/>
    </font>
    <font>
      <sz val="9"/>
      <color rgb="FF000000"/>
      <name val="Arial Unicode MS"/>
      <family val="2"/>
      <charset val="134"/>
    </font>
    <font>
      <sz val="7"/>
      <color rgb="FF000000"/>
      <name val="Arial"/>
      <family val="2"/>
    </font>
    <font>
      <sz val="10"/>
      <color indexed="8"/>
      <name val="Arial Unicode MS"/>
      <family val="2"/>
      <charset val="134"/>
    </font>
    <font>
      <sz val="12"/>
      <name val="Arial Unicode MS"/>
      <family val="2"/>
      <charset val="134"/>
    </font>
    <font>
      <sz val="9"/>
      <color indexed="8"/>
      <name val="Arial Unicode MS"/>
      <family val="2"/>
      <charset val="134"/>
    </font>
    <font>
      <sz val="9"/>
      <color rgb="FF000000"/>
      <name val="宋体"/>
      <family val="2"/>
      <charset val="134"/>
    </font>
    <font>
      <sz val="9"/>
      <name val="宋体"/>
      <family val="2"/>
      <charset val="134"/>
    </font>
    <font>
      <strike/>
      <sz val="7"/>
      <name val="Arial"/>
      <family val="2"/>
    </font>
    <font>
      <sz val="8"/>
      <color rgb="FF000000"/>
      <name val="Arial"/>
      <family val="2"/>
    </font>
    <font>
      <sz val="9"/>
      <color indexed="81"/>
      <name val="Arial"/>
      <family val="2"/>
    </font>
    <font>
      <b/>
      <sz val="9"/>
      <color indexed="81"/>
      <name val="Arial Unicode MS"/>
      <family val="2"/>
      <charset val="134"/>
    </font>
    <font>
      <sz val="9"/>
      <color indexed="81"/>
      <name val="Arial Unicode MS"/>
      <family val="2"/>
      <charset val="134"/>
    </font>
    <font>
      <b/>
      <sz val="7"/>
      <name val="Arial Unicode MS"/>
      <family val="2"/>
      <charset val="134"/>
    </font>
    <font>
      <sz val="7"/>
      <color theme="1"/>
      <name val="Arial Unicode MS"/>
      <family val="2"/>
      <charset val="134"/>
    </font>
    <font>
      <b/>
      <sz val="7"/>
      <color theme="1"/>
      <name val="Arial Unicode MS"/>
      <family val="2"/>
      <charset val="134"/>
    </font>
    <font>
      <sz val="7"/>
      <name val="Arial Unicode MS"/>
      <family val="2"/>
      <charset val="134"/>
    </font>
    <font>
      <sz val="9"/>
      <color indexed="8"/>
      <name val="Arial Narrow"/>
      <family val="2"/>
    </font>
    <font>
      <sz val="8"/>
      <color rgb="FF000000"/>
      <name val="微软雅黑"/>
      <family val="2"/>
      <charset val="134"/>
    </font>
    <font>
      <sz val="8"/>
      <color indexed="8"/>
      <name val="Arial Unicode MS"/>
      <family val="2"/>
      <charset val="134"/>
    </font>
    <font>
      <sz val="9"/>
      <color theme="1"/>
      <name val="宋体"/>
      <family val="2"/>
      <charset val="134"/>
    </font>
    <font>
      <sz val="8"/>
      <name val="微软雅黑"/>
      <family val="2"/>
      <charset val="134"/>
    </font>
    <font>
      <sz val="7"/>
      <color rgb="FF000000"/>
      <name val="Arial Unicode MS"/>
      <family val="2"/>
      <charset val="134"/>
    </font>
    <font>
      <sz val="8"/>
      <name val="宋体"/>
      <family val="2"/>
      <charset val="134"/>
    </font>
    <font>
      <sz val="9"/>
      <name val="等线"/>
      <charset val="134"/>
      <scheme val="minor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Down">
        <bgColor indexed="43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</borders>
  <cellStyleXfs count="8">
    <xf numFmtId="0" fontId="0" fillId="0" borderId="0"/>
    <xf numFmtId="0" fontId="24" fillId="0" borderId="0"/>
    <xf numFmtId="0" fontId="18" fillId="0" borderId="0"/>
    <xf numFmtId="43" fontId="18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43" fontId="18" fillId="0" borderId="0" applyFont="0" applyFill="0" applyBorder="0" applyAlignment="0" applyProtection="0">
      <alignment vertical="center"/>
    </xf>
    <xf numFmtId="0" fontId="18" fillId="0" borderId="0"/>
  </cellStyleXfs>
  <cellXfs count="52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176" fontId="6" fillId="0" borderId="0" xfId="0" applyNumberFormat="1" applyFont="1"/>
    <xf numFmtId="176" fontId="6" fillId="2" borderId="0" xfId="0" applyNumberFormat="1" applyFont="1" applyFill="1"/>
    <xf numFmtId="0" fontId="10" fillId="3" borderId="1" xfId="0" applyFont="1" applyFill="1" applyBorder="1" applyAlignment="1">
      <alignment horizontal="center" vertical="center" wrapText="1"/>
    </xf>
    <xf numFmtId="178" fontId="11" fillId="4" borderId="4" xfId="0" applyNumberFormat="1" applyFont="1" applyFill="1" applyBorder="1" applyAlignment="1">
      <alignment horizontal="center"/>
    </xf>
    <xf numFmtId="178" fontId="11" fillId="4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179" fontId="13" fillId="5" borderId="6" xfId="0" applyNumberFormat="1" applyFont="1" applyFill="1" applyBorder="1" applyAlignment="1">
      <alignment horizontal="center" vertical="center"/>
    </xf>
    <xf numFmtId="177" fontId="13" fillId="6" borderId="6" xfId="0" applyNumberFormat="1" applyFont="1" applyFill="1" applyBorder="1" applyAlignment="1">
      <alignment horizontal="center" vertical="center"/>
    </xf>
    <xf numFmtId="10" fontId="12" fillId="2" borderId="8" xfId="0" applyNumberFormat="1" applyFont="1" applyFill="1" applyBorder="1" applyAlignment="1">
      <alignment horizontal="center" vertical="center"/>
    </xf>
    <xf numFmtId="10" fontId="12" fillId="2" borderId="9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 wrapText="1"/>
    </xf>
    <xf numFmtId="177" fontId="8" fillId="4" borderId="11" xfId="0" applyNumberFormat="1" applyFont="1" applyFill="1" applyBorder="1" applyAlignment="1">
      <alignment horizontal="center" vertical="center" wrapText="1"/>
    </xf>
    <xf numFmtId="10" fontId="15" fillId="2" borderId="8" xfId="0" applyNumberFormat="1" applyFont="1" applyFill="1" applyBorder="1" applyAlignment="1">
      <alignment horizontal="center" vertical="center"/>
    </xf>
    <xf numFmtId="10" fontId="15" fillId="2" borderId="9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/>
    </xf>
    <xf numFmtId="179" fontId="13" fillId="3" borderId="14" xfId="0" applyNumberFormat="1" applyFont="1" applyFill="1" applyBorder="1" applyAlignment="1">
      <alignment horizontal="center" vertical="center"/>
    </xf>
    <xf numFmtId="179" fontId="9" fillId="3" borderId="14" xfId="0" applyNumberFormat="1" applyFont="1" applyFill="1" applyBorder="1" applyAlignment="1">
      <alignment horizontal="center" vertical="center"/>
    </xf>
    <xf numFmtId="177" fontId="13" fillId="3" borderId="14" xfId="0" applyNumberFormat="1" applyFont="1" applyFill="1" applyBorder="1" applyAlignment="1">
      <alignment horizontal="center" vertical="center"/>
    </xf>
    <xf numFmtId="10" fontId="12" fillId="2" borderId="16" xfId="0" applyNumberFormat="1" applyFont="1" applyFill="1" applyBorder="1" applyAlignment="1">
      <alignment horizontal="center" vertical="center"/>
    </xf>
    <xf numFmtId="10" fontId="12" fillId="2" borderId="17" xfId="0" applyNumberFormat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180" fontId="6" fillId="0" borderId="0" xfId="0" applyNumberFormat="1" applyFont="1"/>
    <xf numFmtId="177" fontId="6" fillId="0" borderId="0" xfId="0" applyNumberFormat="1" applyFont="1"/>
    <xf numFmtId="180" fontId="10" fillId="3" borderId="1" xfId="0" applyNumberFormat="1" applyFont="1" applyFill="1" applyBorder="1" applyAlignment="1">
      <alignment horizontal="center" vertical="center" wrapText="1"/>
    </xf>
    <xf numFmtId="177" fontId="10" fillId="3" borderId="1" xfId="0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179" fontId="9" fillId="5" borderId="6" xfId="0" applyNumberFormat="1" applyFont="1" applyFill="1" applyBorder="1" applyAlignment="1">
      <alignment horizontal="center" vertical="center"/>
    </xf>
    <xf numFmtId="180" fontId="9" fillId="5" borderId="6" xfId="0" applyNumberFormat="1" applyFont="1" applyFill="1" applyBorder="1" applyAlignment="1">
      <alignment horizontal="center" vertical="center"/>
    </xf>
    <xf numFmtId="177" fontId="9" fillId="5" borderId="6" xfId="0" applyNumberFormat="1" applyFont="1" applyFill="1" applyBorder="1" applyAlignment="1">
      <alignment horizontal="center" vertical="center"/>
    </xf>
    <xf numFmtId="0" fontId="8" fillId="0" borderId="6" xfId="0" quotePrefix="1" applyNumberFormat="1" applyFont="1" applyFill="1" applyBorder="1" applyAlignment="1">
      <alignment horizontal="center" vertical="center" wrapText="1"/>
    </xf>
    <xf numFmtId="0" fontId="9" fillId="0" borderId="6" xfId="0" quotePrefix="1" applyFont="1" applyFill="1" applyBorder="1" applyAlignment="1">
      <alignment horizontal="center" vertical="center" wrapText="1"/>
    </xf>
    <xf numFmtId="0" fontId="9" fillId="0" borderId="11" xfId="0" quotePrefix="1" applyFont="1" applyFill="1" applyBorder="1" applyAlignment="1">
      <alignment horizontal="center" vertical="center"/>
    </xf>
    <xf numFmtId="0" fontId="9" fillId="0" borderId="14" xfId="0" quotePrefix="1" applyFont="1" applyFill="1" applyBorder="1" applyAlignment="1">
      <alignment horizontal="center" vertical="center" wrapText="1"/>
    </xf>
    <xf numFmtId="0" fontId="9" fillId="0" borderId="6" xfId="0" quotePrefix="1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/>
    </xf>
    <xf numFmtId="0" fontId="9" fillId="0" borderId="14" xfId="0" quotePrefix="1" applyFont="1" applyBorder="1" applyAlignment="1">
      <alignment horizontal="center" vertical="center" wrapText="1"/>
    </xf>
    <xf numFmtId="0" fontId="13" fillId="0" borderId="14" xfId="0" quotePrefix="1" applyFont="1" applyBorder="1" applyAlignment="1">
      <alignment horizontal="center" vertical="center" wrapText="1"/>
    </xf>
    <xf numFmtId="58" fontId="9" fillId="0" borderId="6" xfId="0" quotePrefix="1" applyNumberFormat="1" applyFont="1" applyBorder="1" applyAlignment="1">
      <alignment horizontal="center" vertical="center" wrapText="1"/>
    </xf>
    <xf numFmtId="0" fontId="9" fillId="0" borderId="18" xfId="0" quotePrefix="1" applyFon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77" fontId="9" fillId="6" borderId="6" xfId="0" applyNumberFormat="1" applyFont="1" applyFill="1" applyBorder="1" applyAlignment="1">
      <alignment horizontal="center" vertical="center"/>
    </xf>
    <xf numFmtId="179" fontId="9" fillId="6" borderId="6" xfId="0" applyNumberFormat="1" applyFont="1" applyFill="1" applyBorder="1" applyAlignment="1">
      <alignment horizontal="center" vertical="center"/>
    </xf>
    <xf numFmtId="177" fontId="9" fillId="4" borderId="11" xfId="0" applyNumberFormat="1" applyFont="1" applyFill="1" applyBorder="1" applyAlignment="1">
      <alignment horizontal="center" vertical="center" wrapText="1"/>
    </xf>
    <xf numFmtId="177" fontId="9" fillId="3" borderId="14" xfId="0" applyNumberFormat="1" applyFont="1" applyFill="1" applyBorder="1" applyAlignment="1">
      <alignment horizontal="center" vertical="center"/>
    </xf>
    <xf numFmtId="180" fontId="9" fillId="4" borderId="11" xfId="0" applyNumberFormat="1" applyFont="1" applyFill="1" applyBorder="1" applyAlignment="1">
      <alignment horizontal="center" vertical="center" wrapText="1"/>
    </xf>
    <xf numFmtId="180" fontId="9" fillId="3" borderId="14" xfId="0" applyNumberFormat="1" applyFont="1" applyFill="1" applyBorder="1" applyAlignment="1">
      <alignment horizontal="center" vertical="center"/>
    </xf>
    <xf numFmtId="179" fontId="9" fillId="4" borderId="11" xfId="0" applyNumberFormat="1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80" fontId="17" fillId="4" borderId="11" xfId="0" applyNumberFormat="1" applyFont="1" applyFill="1" applyBorder="1" applyAlignment="1">
      <alignment horizontal="center" vertical="center" wrapText="1"/>
    </xf>
    <xf numFmtId="177" fontId="17" fillId="4" borderId="11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11" fillId="0" borderId="6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22" fillId="2" borderId="0" xfId="0" applyFont="1" applyFill="1"/>
    <xf numFmtId="0" fontId="11" fillId="0" borderId="14" xfId="0" applyFont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181" fontId="25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181" fontId="25" fillId="7" borderId="19" xfId="1" applyNumberFormat="1" applyFont="1" applyFill="1" applyBorder="1" applyAlignment="1">
      <alignment horizontal="center" wrapText="1"/>
    </xf>
    <xf numFmtId="0" fontId="25" fillId="7" borderId="20" xfId="1" applyFont="1" applyFill="1" applyBorder="1" applyAlignment="1">
      <alignment wrapText="1"/>
    </xf>
    <xf numFmtId="0" fontId="28" fillId="7" borderId="20" xfId="0" applyFont="1" applyFill="1" applyBorder="1" applyAlignment="1">
      <alignment horizontal="left" vertical="center" wrapText="1"/>
    </xf>
    <xf numFmtId="0" fontId="25" fillId="7" borderId="20" xfId="1" applyFont="1" applyFill="1" applyBorder="1" applyAlignment="1">
      <alignment horizontal="left"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5" fillId="7" borderId="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vertical="center"/>
    </xf>
    <xf numFmtId="181" fontId="26" fillId="7" borderId="19" xfId="0" applyNumberFormat="1" applyFont="1" applyFill="1" applyBorder="1" applyAlignment="1">
      <alignment horizontal="center" wrapText="1"/>
    </xf>
    <xf numFmtId="0" fontId="26" fillId="7" borderId="20" xfId="0" applyFont="1" applyFill="1" applyBorder="1" applyAlignment="1">
      <alignment wrapText="1"/>
    </xf>
    <xf numFmtId="0" fontId="13" fillId="0" borderId="1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77" fontId="10" fillId="3" borderId="2" xfId="0" applyNumberFormat="1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/>
    </xf>
    <xf numFmtId="179" fontId="8" fillId="4" borderId="12" xfId="0" applyNumberFormat="1" applyFont="1" applyFill="1" applyBorder="1" applyAlignment="1">
      <alignment horizontal="center" vertical="center"/>
    </xf>
    <xf numFmtId="179" fontId="8" fillId="4" borderId="18" xfId="0" applyNumberFormat="1" applyFont="1" applyFill="1" applyBorder="1" applyAlignment="1">
      <alignment horizontal="center" vertical="center" wrapText="1"/>
    </xf>
    <xf numFmtId="180" fontId="9" fillId="4" borderId="12" xfId="0" applyNumberFormat="1" applyFont="1" applyFill="1" applyBorder="1" applyAlignment="1">
      <alignment horizontal="center" vertical="center" wrapText="1"/>
    </xf>
    <xf numFmtId="177" fontId="9" fillId="4" borderId="12" xfId="0" applyNumberFormat="1" applyFont="1" applyFill="1" applyBorder="1" applyAlignment="1">
      <alignment horizontal="center" vertical="center" wrapText="1"/>
    </xf>
    <xf numFmtId="179" fontId="9" fillId="4" borderId="12" xfId="0" applyNumberFormat="1" applyFont="1" applyFill="1" applyBorder="1" applyAlignment="1">
      <alignment horizontal="center" vertical="center" wrapText="1"/>
    </xf>
    <xf numFmtId="181" fontId="26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 wrapText="1"/>
    </xf>
    <xf numFmtId="179" fontId="8" fillId="4" borderId="12" xfId="0" applyNumberFormat="1" applyFont="1" applyFill="1" applyBorder="1" applyAlignment="1">
      <alignment horizontal="center" vertical="center" wrapText="1"/>
    </xf>
    <xf numFmtId="179" fontId="9" fillId="3" borderId="14" xfId="0" applyNumberFormat="1" applyFont="1" applyFill="1" applyBorder="1" applyAlignment="1">
      <alignment horizontal="center" vertical="center" wrapText="1"/>
    </xf>
    <xf numFmtId="179" fontId="9" fillId="4" borderId="11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10" fontId="30" fillId="2" borderId="8" xfId="0" applyNumberFormat="1" applyFont="1" applyFill="1" applyBorder="1" applyAlignment="1">
      <alignment horizontal="center" vertical="center"/>
    </xf>
    <xf numFmtId="10" fontId="30" fillId="2" borderId="9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10" fontId="30" fillId="2" borderId="16" xfId="0" applyNumberFormat="1" applyFont="1" applyFill="1" applyBorder="1" applyAlignment="1">
      <alignment horizontal="center" vertical="center"/>
    </xf>
    <xf numFmtId="10" fontId="30" fillId="2" borderId="17" xfId="0" applyNumberFormat="1" applyFont="1" applyFill="1" applyBorder="1" applyAlignment="1">
      <alignment horizontal="center" vertical="center"/>
    </xf>
    <xf numFmtId="179" fontId="9" fillId="4" borderId="18" xfId="0" applyNumberFormat="1" applyFont="1" applyFill="1" applyBorder="1" applyAlignment="1">
      <alignment horizontal="center" vertical="center" wrapText="1"/>
    </xf>
    <xf numFmtId="177" fontId="9" fillId="6" borderId="7" xfId="0" applyNumberFormat="1" applyFont="1" applyFill="1" applyBorder="1" applyAlignment="1">
      <alignment horizontal="center" vertical="center"/>
    </xf>
    <xf numFmtId="177" fontId="8" fillId="4" borderId="12" xfId="0" applyNumberFormat="1" applyFont="1" applyFill="1" applyBorder="1" applyAlignment="1">
      <alignment horizontal="center" vertical="center" wrapText="1"/>
    </xf>
    <xf numFmtId="177" fontId="13" fillId="3" borderId="15" xfId="0" applyNumberFormat="1" applyFont="1" applyFill="1" applyBorder="1" applyAlignment="1">
      <alignment horizontal="center" vertical="center"/>
    </xf>
    <xf numFmtId="177" fontId="13" fillId="6" borderId="7" xfId="0" applyNumberFormat="1" applyFont="1" applyFill="1" applyBorder="1" applyAlignment="1">
      <alignment horizontal="center" vertical="center"/>
    </xf>
    <xf numFmtId="177" fontId="9" fillId="3" borderId="15" xfId="0" applyNumberFormat="1" applyFont="1" applyFill="1" applyBorder="1" applyAlignment="1">
      <alignment horizontal="center" vertical="center"/>
    </xf>
    <xf numFmtId="179" fontId="17" fillId="4" borderId="11" xfId="0" applyNumberFormat="1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31" fillId="0" borderId="1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32" fillId="2" borderId="0" xfId="0" applyFont="1" applyFill="1"/>
    <xf numFmtId="0" fontId="35" fillId="0" borderId="6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176" fontId="37" fillId="0" borderId="0" xfId="0" applyNumberFormat="1" applyFont="1" applyFill="1" applyAlignment="1">
      <alignment horizontal="left" vertical="top"/>
    </xf>
    <xf numFmtId="0" fontId="36" fillId="3" borderId="1" xfId="0" applyFont="1" applyFill="1" applyBorder="1" applyAlignment="1">
      <alignment horizontal="left" vertical="top" wrapText="1"/>
    </xf>
    <xf numFmtId="0" fontId="38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77" fontId="39" fillId="0" borderId="0" xfId="0" applyNumberFormat="1" applyFont="1" applyAlignment="1">
      <alignment vertical="center" wrapText="1"/>
    </xf>
    <xf numFmtId="177" fontId="40" fillId="0" borderId="0" xfId="0" applyNumberFormat="1" applyFont="1" applyAlignment="1">
      <alignment horizontal="right" vertical="center"/>
    </xf>
    <xf numFmtId="180" fontId="40" fillId="0" borderId="0" xfId="0" applyNumberFormat="1" applyFont="1" applyAlignment="1">
      <alignment horizontal="right" vertical="center"/>
    </xf>
    <xf numFmtId="177" fontId="40" fillId="0" borderId="0" xfId="0" applyNumberFormat="1" applyFont="1" applyFill="1" applyAlignment="1">
      <alignment horizontal="left" vertical="top"/>
    </xf>
    <xf numFmtId="14" fontId="38" fillId="0" borderId="0" xfId="0" applyNumberFormat="1" applyFont="1"/>
    <xf numFmtId="177" fontId="39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7" fontId="42" fillId="0" borderId="0" xfId="0" applyNumberFormat="1" applyFont="1" applyAlignment="1">
      <alignment horizontal="right" vertical="center"/>
    </xf>
    <xf numFmtId="177" fontId="42" fillId="0" borderId="0" xfId="0" applyNumberFormat="1" applyFont="1" applyAlignment="1">
      <alignment horizontal="center" vertical="center"/>
    </xf>
    <xf numFmtId="176" fontId="32" fillId="0" borderId="0" xfId="0" applyNumberFormat="1" applyFont="1"/>
    <xf numFmtId="180" fontId="32" fillId="0" borderId="0" xfId="0" applyNumberFormat="1" applyFont="1"/>
    <xf numFmtId="177" fontId="32" fillId="0" borderId="0" xfId="0" applyNumberFormat="1" applyFont="1"/>
    <xf numFmtId="176" fontId="32" fillId="0" borderId="0" xfId="0" applyNumberFormat="1" applyFont="1" applyFill="1" applyAlignment="1">
      <alignment horizontal="left" vertical="top"/>
    </xf>
    <xf numFmtId="0" fontId="43" fillId="0" borderId="0" xfId="0" applyFont="1" applyAlignment="1">
      <alignment vertical="center"/>
    </xf>
    <xf numFmtId="0" fontId="31" fillId="0" borderId="1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8" fillId="9" borderId="2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41" fillId="0" borderId="0" xfId="0" applyFont="1" applyFill="1"/>
    <xf numFmtId="0" fontId="6" fillId="0" borderId="0" xfId="0" applyFont="1" applyFill="1"/>
    <xf numFmtId="0" fontId="8" fillId="9" borderId="6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/>
    </xf>
    <xf numFmtId="176" fontId="46" fillId="0" borderId="0" xfId="0" applyNumberFormat="1" applyFont="1" applyFill="1" applyAlignment="1">
      <alignment horizontal="center" vertical="top"/>
    </xf>
    <xf numFmtId="177" fontId="42" fillId="8" borderId="0" xfId="0" applyNumberFormat="1" applyFont="1" applyFill="1" applyAlignment="1">
      <alignment horizontal="center" vertical="center"/>
    </xf>
    <xf numFmtId="0" fontId="9" fillId="0" borderId="6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 wrapText="1"/>
    </xf>
    <xf numFmtId="0" fontId="47" fillId="0" borderId="0" xfId="0" applyFont="1" applyAlignment="1">
      <alignment vertical="center"/>
    </xf>
    <xf numFmtId="0" fontId="16" fillId="0" borderId="1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2" borderId="0" xfId="0" applyFont="1" applyFill="1" applyAlignment="1">
      <alignment horizontal="left" wrapText="1"/>
    </xf>
    <xf numFmtId="0" fontId="9" fillId="0" borderId="14" xfId="0" applyFont="1" applyFill="1" applyBorder="1" applyAlignment="1">
      <alignment horizontal="left" vertical="center" wrapText="1"/>
    </xf>
    <xf numFmtId="0" fontId="17" fillId="0" borderId="11" xfId="0" applyFont="1" applyFill="1" applyBorder="1" applyAlignment="1">
      <alignment horizontal="left" vertical="center"/>
    </xf>
    <xf numFmtId="0" fontId="9" fillId="10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179" fontId="13" fillId="12" borderId="6" xfId="0" applyNumberFormat="1" applyFont="1" applyFill="1" applyBorder="1" applyAlignment="1">
      <alignment horizontal="center" vertical="center"/>
    </xf>
    <xf numFmtId="179" fontId="16" fillId="3" borderId="14" xfId="0" applyNumberFormat="1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left" vertical="center"/>
    </xf>
    <xf numFmtId="0" fontId="11" fillId="0" borderId="14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 wrapText="1"/>
    </xf>
    <xf numFmtId="0" fontId="31" fillId="0" borderId="6" xfId="0" applyFont="1" applyFill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48" fillId="0" borderId="14" xfId="0" applyFont="1" applyBorder="1" applyAlignment="1">
      <alignment horizontal="left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49" fillId="2" borderId="0" xfId="0" applyFont="1" applyFill="1" applyAlignment="1">
      <alignment vertical="center"/>
    </xf>
    <xf numFmtId="0" fontId="9" fillId="0" borderId="14" xfId="0" applyFont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/>
    </xf>
    <xf numFmtId="0" fontId="50" fillId="0" borderId="6" xfId="0" applyFont="1" applyFill="1" applyBorder="1" applyAlignment="1">
      <alignment horizontal="center" vertical="center" wrapText="1"/>
    </xf>
    <xf numFmtId="0" fontId="51" fillId="2" borderId="6" xfId="0" applyFont="1" applyFill="1" applyBorder="1" applyAlignment="1">
      <alignment horizontal="center" vertical="center" wrapText="1"/>
    </xf>
    <xf numFmtId="0" fontId="51" fillId="0" borderId="6" xfId="0" applyFont="1" applyFill="1" applyBorder="1" applyAlignment="1">
      <alignment horizontal="center" vertical="center" wrapText="1"/>
    </xf>
    <xf numFmtId="0" fontId="50" fillId="0" borderId="11" xfId="0" applyFont="1" applyFill="1" applyBorder="1" applyAlignment="1">
      <alignment horizontal="center" vertical="center"/>
    </xf>
    <xf numFmtId="0" fontId="51" fillId="2" borderId="11" xfId="0" applyFont="1" applyFill="1" applyBorder="1" applyAlignment="1">
      <alignment horizontal="center" vertical="center" wrapText="1"/>
    </xf>
    <xf numFmtId="0" fontId="51" fillId="0" borderId="11" xfId="0" applyFont="1" applyFill="1" applyBorder="1" applyAlignment="1">
      <alignment horizontal="center" vertical="center"/>
    </xf>
    <xf numFmtId="0" fontId="50" fillId="0" borderId="14" xfId="0" applyFont="1" applyFill="1" applyBorder="1" applyAlignment="1">
      <alignment horizontal="center" vertical="center" wrapText="1"/>
    </xf>
    <xf numFmtId="0" fontId="51" fillId="2" borderId="14" xfId="0" applyFont="1" applyFill="1" applyBorder="1" applyAlignment="1">
      <alignment horizontal="center" vertical="center" wrapText="1"/>
    </xf>
    <xf numFmtId="0" fontId="51" fillId="0" borderId="14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179" fontId="17" fillId="4" borderId="11" xfId="0" applyNumberFormat="1" applyFont="1" applyFill="1" applyBorder="1" applyAlignment="1">
      <alignment horizontal="center" vertical="center"/>
    </xf>
    <xf numFmtId="0" fontId="52" fillId="2" borderId="6" xfId="0" applyFont="1" applyFill="1" applyBorder="1" applyAlignment="1">
      <alignment horizontal="center" vertical="center" wrapText="1"/>
    </xf>
    <xf numFmtId="0" fontId="52" fillId="2" borderId="11" xfId="0" applyFont="1" applyFill="1" applyBorder="1" applyAlignment="1">
      <alignment horizontal="center" vertical="center" wrapText="1"/>
    </xf>
    <xf numFmtId="0" fontId="52" fillId="2" borderId="14" xfId="0" applyFont="1" applyFill="1" applyBorder="1" applyAlignment="1">
      <alignment horizontal="center" vertical="center" wrapText="1"/>
    </xf>
    <xf numFmtId="0" fontId="52" fillId="0" borderId="14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51" fillId="0" borderId="6" xfId="0" quotePrefix="1" applyFont="1" applyBorder="1" applyAlignment="1">
      <alignment horizontal="center" vertical="center" wrapText="1"/>
    </xf>
    <xf numFmtId="0" fontId="52" fillId="4" borderId="6" xfId="0" applyFont="1" applyFill="1" applyBorder="1" applyAlignment="1">
      <alignment horizontal="center" vertical="center" wrapText="1"/>
    </xf>
    <xf numFmtId="0" fontId="51" fillId="0" borderId="11" xfId="0" applyFont="1" applyBorder="1" applyAlignment="1">
      <alignment horizontal="center" vertical="center"/>
    </xf>
    <xf numFmtId="0" fontId="52" fillId="4" borderId="11" xfId="0" applyFont="1" applyFill="1" applyBorder="1" applyAlignment="1">
      <alignment horizontal="center" vertical="center" wrapText="1"/>
    </xf>
    <xf numFmtId="0" fontId="53" fillId="2" borderId="11" xfId="0" applyFont="1" applyFill="1" applyBorder="1" applyAlignment="1">
      <alignment horizontal="center" vertical="center" wrapText="1"/>
    </xf>
    <xf numFmtId="0" fontId="52" fillId="0" borderId="14" xfId="0" applyFont="1" applyBorder="1" applyAlignment="1">
      <alignment horizontal="center" vertical="center" wrapText="1"/>
    </xf>
    <xf numFmtId="0" fontId="52" fillId="4" borderId="14" xfId="0" applyFont="1" applyFill="1" applyBorder="1" applyAlignment="1">
      <alignment horizontal="center" vertical="center" wrapText="1"/>
    </xf>
    <xf numFmtId="0" fontId="51" fillId="0" borderId="6" xfId="0" quotePrefix="1" applyFont="1" applyFill="1" applyBorder="1" applyAlignment="1">
      <alignment horizontal="center" vertical="center" wrapText="1"/>
    </xf>
    <xf numFmtId="0" fontId="50" fillId="0" borderId="11" xfId="0" applyFont="1" applyFill="1" applyBorder="1" applyAlignment="1">
      <alignment horizontal="center" vertical="center" wrapText="1"/>
    </xf>
    <xf numFmtId="0" fontId="51" fillId="0" borderId="11" xfId="0" applyFont="1" applyFill="1" applyBorder="1" applyAlignment="1">
      <alignment horizontal="center" vertical="center" wrapText="1"/>
    </xf>
    <xf numFmtId="0" fontId="51" fillId="0" borderId="11" xfId="0" quotePrefix="1" applyFont="1" applyFill="1" applyBorder="1" applyAlignment="1">
      <alignment horizontal="center" vertical="center"/>
    </xf>
    <xf numFmtId="0" fontId="53" fillId="4" borderId="11" xfId="0" applyFont="1" applyFill="1" applyBorder="1" applyAlignment="1">
      <alignment horizontal="center" vertical="center" wrapText="1"/>
    </xf>
    <xf numFmtId="0" fontId="51" fillId="0" borderId="18" xfId="0" applyFont="1" applyFill="1" applyBorder="1" applyAlignment="1">
      <alignment horizontal="center" vertical="center" wrapText="1"/>
    </xf>
    <xf numFmtId="0" fontId="51" fillId="0" borderId="14" xfId="0" quotePrefix="1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54" fillId="0" borderId="14" xfId="0" applyFont="1" applyBorder="1" applyAlignment="1">
      <alignment horizontal="left" vertical="center" wrapText="1"/>
    </xf>
    <xf numFmtId="0" fontId="56" fillId="0" borderId="14" xfId="0" applyFont="1" applyFill="1" applyBorder="1" applyAlignment="1">
      <alignment horizontal="center" vertical="center" wrapText="1"/>
    </xf>
    <xf numFmtId="0" fontId="55" fillId="0" borderId="14" xfId="0" applyFont="1" applyFill="1" applyBorder="1" applyAlignment="1">
      <alignment horizontal="center" vertical="center" wrapText="1"/>
    </xf>
    <xf numFmtId="179" fontId="17" fillId="3" borderId="14" xfId="0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57" fillId="5" borderId="6" xfId="0" applyFont="1" applyFill="1" applyBorder="1" applyAlignment="1">
      <alignment horizontal="center" vertical="center"/>
    </xf>
    <xf numFmtId="179" fontId="52" fillId="5" borderId="6" xfId="0" applyNumberFormat="1" applyFont="1" applyFill="1" applyBorder="1" applyAlignment="1">
      <alignment horizontal="center" vertical="center"/>
    </xf>
    <xf numFmtId="0" fontId="53" fillId="4" borderId="11" xfId="0" applyFont="1" applyFill="1" applyBorder="1" applyAlignment="1">
      <alignment horizontal="center" vertical="center"/>
    </xf>
    <xf numFmtId="179" fontId="53" fillId="4" borderId="11" xfId="0" applyNumberFormat="1" applyFont="1" applyFill="1" applyBorder="1" applyAlignment="1">
      <alignment horizontal="center" vertical="center"/>
    </xf>
    <xf numFmtId="179" fontId="53" fillId="4" borderId="11" xfId="0" applyNumberFormat="1" applyFont="1" applyFill="1" applyBorder="1" applyAlignment="1">
      <alignment horizontal="center" vertical="center" wrapText="1"/>
    </xf>
    <xf numFmtId="180" fontId="51" fillId="5" borderId="6" xfId="0" applyNumberFormat="1" applyFont="1" applyFill="1" applyBorder="1" applyAlignment="1">
      <alignment horizontal="center" vertical="center"/>
    </xf>
    <xf numFmtId="177" fontId="51" fillId="5" borderId="6" xfId="0" applyNumberFormat="1" applyFont="1" applyFill="1" applyBorder="1" applyAlignment="1">
      <alignment horizontal="center" vertical="center"/>
    </xf>
    <xf numFmtId="179" fontId="51" fillId="6" borderId="6" xfId="0" applyNumberFormat="1" applyFont="1" applyFill="1" applyBorder="1" applyAlignment="1">
      <alignment horizontal="center" vertical="center"/>
    </xf>
    <xf numFmtId="180" fontId="58" fillId="4" borderId="11" xfId="0" applyNumberFormat="1" applyFont="1" applyFill="1" applyBorder="1" applyAlignment="1">
      <alignment horizontal="center" vertical="center" wrapText="1"/>
    </xf>
    <xf numFmtId="179" fontId="51" fillId="4" borderId="11" xfId="0" applyNumberFormat="1" applyFont="1" applyFill="1" applyBorder="1" applyAlignment="1">
      <alignment horizontal="center" vertical="center" wrapText="1"/>
    </xf>
    <xf numFmtId="179" fontId="52" fillId="3" borderId="14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79" fontId="11" fillId="3" borderId="14" xfId="0" applyNumberFormat="1" applyFont="1" applyFill="1" applyBorder="1" applyAlignment="1">
      <alignment horizontal="center" vertical="center"/>
    </xf>
    <xf numFmtId="180" fontId="8" fillId="5" borderId="6" xfId="0" applyNumberFormat="1" applyFont="1" applyFill="1" applyBorder="1" applyAlignment="1">
      <alignment horizontal="center" vertical="center"/>
    </xf>
    <xf numFmtId="177" fontId="8" fillId="5" borderId="6" xfId="0" applyNumberFormat="1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left" vertical="center" wrapText="1"/>
    </xf>
    <xf numFmtId="0" fontId="16" fillId="0" borderId="15" xfId="0" applyFont="1" applyFill="1" applyBorder="1" applyAlignment="1">
      <alignment horizontal="left" vertical="center" wrapText="1"/>
    </xf>
    <xf numFmtId="0" fontId="60" fillId="13" borderId="0" xfId="0" applyFont="1" applyFill="1"/>
    <xf numFmtId="0" fontId="29" fillId="13" borderId="0" xfId="0" applyFont="1" applyFill="1" applyAlignment="1">
      <alignment vertical="center"/>
    </xf>
    <xf numFmtId="0" fontId="62" fillId="13" borderId="0" xfId="0" applyFont="1" applyFill="1" applyAlignment="1">
      <alignment vertical="center" wrapText="1"/>
    </xf>
    <xf numFmtId="0" fontId="59" fillId="13" borderId="0" xfId="0" applyFont="1" applyFill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31" fillId="0" borderId="11" xfId="0" applyFont="1" applyFill="1" applyBorder="1" applyAlignment="1">
      <alignment horizontal="left" vertical="center"/>
    </xf>
    <xf numFmtId="0" fontId="11" fillId="11" borderId="11" xfId="0" applyFont="1" applyFill="1" applyBorder="1" applyAlignment="1">
      <alignment horizontal="left" vertical="center"/>
    </xf>
    <xf numFmtId="179" fontId="51" fillId="5" borderId="6" xfId="0" applyNumberFormat="1" applyFont="1" applyFill="1" applyBorder="1" applyAlignment="1">
      <alignment horizontal="center" vertical="center"/>
    </xf>
    <xf numFmtId="179" fontId="51" fillId="4" borderId="11" xfId="0" applyNumberFormat="1" applyFont="1" applyFill="1" applyBorder="1" applyAlignment="1">
      <alignment horizontal="center" vertical="center"/>
    </xf>
    <xf numFmtId="0" fontId="46" fillId="0" borderId="14" xfId="0" applyFont="1" applyFill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11" fillId="11" borderId="6" xfId="0" applyFont="1" applyFill="1" applyBorder="1" applyAlignment="1">
      <alignment horizontal="left" vertical="center" wrapText="1"/>
    </xf>
    <xf numFmtId="0" fontId="46" fillId="2" borderId="0" xfId="0" applyFont="1" applyFill="1" applyAlignment="1">
      <alignment horizontal="center"/>
    </xf>
    <xf numFmtId="0" fontId="64" fillId="2" borderId="0" xfId="0" applyFont="1" applyFill="1" applyAlignment="1">
      <alignment horizontal="center"/>
    </xf>
    <xf numFmtId="0" fontId="9" fillId="0" borderId="11" xfId="0" applyFont="1" applyFill="1" applyBorder="1" applyAlignment="1">
      <alignment vertical="center"/>
    </xf>
    <xf numFmtId="0" fontId="9" fillId="0" borderId="6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11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35" fillId="0" borderId="11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/>
    </xf>
    <xf numFmtId="179" fontId="66" fillId="3" borderId="14" xfId="0" applyNumberFormat="1" applyFont="1" applyFill="1" applyBorder="1" applyAlignment="1">
      <alignment horizontal="center" vertical="center"/>
    </xf>
    <xf numFmtId="0" fontId="46" fillId="0" borderId="6" xfId="0" applyFont="1" applyFill="1" applyBorder="1" applyAlignment="1">
      <alignment horizontal="left" vertical="center" wrapText="1"/>
    </xf>
    <xf numFmtId="0" fontId="46" fillId="0" borderId="11" xfId="0" applyFont="1" applyFill="1" applyBorder="1" applyAlignment="1">
      <alignment horizontal="left" vertical="center"/>
    </xf>
    <xf numFmtId="0" fontId="9" fillId="11" borderId="6" xfId="0" applyFont="1" applyFill="1" applyBorder="1" applyAlignment="1">
      <alignment horizontal="left" vertical="center" wrapText="1"/>
    </xf>
    <xf numFmtId="0" fontId="47" fillId="0" borderId="14" xfId="0" applyFont="1" applyBorder="1" applyAlignment="1">
      <alignment horizontal="left" vertical="center" wrapText="1"/>
    </xf>
    <xf numFmtId="0" fontId="35" fillId="0" borderId="14" xfId="0" applyFont="1" applyBorder="1" applyAlignment="1">
      <alignment horizontal="left" vertical="center" wrapText="1"/>
    </xf>
    <xf numFmtId="0" fontId="35" fillId="0" borderId="11" xfId="0" applyFont="1" applyFill="1" applyBorder="1" applyAlignment="1">
      <alignment horizontal="left" vertical="center"/>
    </xf>
    <xf numFmtId="0" fontId="35" fillId="0" borderId="14" xfId="0" applyFont="1" applyFill="1" applyBorder="1" applyAlignment="1">
      <alignment horizontal="left" vertical="center" wrapText="1"/>
    </xf>
    <xf numFmtId="0" fontId="16" fillId="11" borderId="14" xfId="0" applyFont="1" applyFill="1" applyBorder="1" applyAlignment="1">
      <alignment horizontal="left" vertical="center" wrapText="1"/>
    </xf>
    <xf numFmtId="0" fontId="51" fillId="0" borderId="6" xfId="0" applyFont="1" applyBorder="1" applyAlignment="1">
      <alignment horizontal="center" vertical="center" wrapText="1"/>
    </xf>
    <xf numFmtId="0" fontId="51" fillId="0" borderId="14" xfId="0" applyFont="1" applyBorder="1" applyAlignment="1">
      <alignment horizontal="center" vertical="center" wrapText="1"/>
    </xf>
    <xf numFmtId="0" fontId="51" fillId="0" borderId="6" xfId="0" applyFont="1" applyBorder="1" applyAlignment="1">
      <alignment horizontal="left" vertical="center" wrapText="1"/>
    </xf>
    <xf numFmtId="0" fontId="52" fillId="9" borderId="6" xfId="0" applyFont="1" applyFill="1" applyBorder="1" applyAlignment="1">
      <alignment horizontal="center" vertical="center" wrapText="1"/>
    </xf>
    <xf numFmtId="177" fontId="52" fillId="6" borderId="6" xfId="0" applyNumberFormat="1" applyFont="1" applyFill="1" applyBorder="1" applyAlignment="1">
      <alignment horizontal="center" vertical="center"/>
    </xf>
    <xf numFmtId="177" fontId="52" fillId="6" borderId="7" xfId="0" applyNumberFormat="1" applyFont="1" applyFill="1" applyBorder="1" applyAlignment="1">
      <alignment horizontal="center" vertical="center"/>
    </xf>
    <xf numFmtId="0" fontId="51" fillId="0" borderId="11" xfId="0" applyFont="1" applyBorder="1" applyAlignment="1">
      <alignment horizontal="left" vertical="center"/>
    </xf>
    <xf numFmtId="0" fontId="53" fillId="9" borderId="11" xfId="0" applyFont="1" applyFill="1" applyBorder="1" applyAlignment="1">
      <alignment horizontal="center" vertical="center" wrapText="1"/>
    </xf>
    <xf numFmtId="180" fontId="51" fillId="4" borderId="11" xfId="0" applyNumberFormat="1" applyFont="1" applyFill="1" applyBorder="1" applyAlignment="1">
      <alignment horizontal="center" vertical="center" wrapText="1"/>
    </xf>
    <xf numFmtId="177" fontId="51" fillId="4" borderId="11" xfId="0" applyNumberFormat="1" applyFont="1" applyFill="1" applyBorder="1" applyAlignment="1">
      <alignment horizontal="center" vertical="center" wrapText="1"/>
    </xf>
    <xf numFmtId="177" fontId="53" fillId="4" borderId="11" xfId="0" applyNumberFormat="1" applyFont="1" applyFill="1" applyBorder="1" applyAlignment="1">
      <alignment horizontal="center" vertical="center" wrapText="1"/>
    </xf>
    <xf numFmtId="177" fontId="53" fillId="4" borderId="12" xfId="0" applyNumberFormat="1" applyFont="1" applyFill="1" applyBorder="1" applyAlignment="1">
      <alignment horizontal="center" vertical="center" wrapText="1"/>
    </xf>
    <xf numFmtId="0" fontId="51" fillId="0" borderId="14" xfId="0" applyFont="1" applyBorder="1" applyAlignment="1">
      <alignment horizontal="left" vertical="center" wrapText="1"/>
    </xf>
    <xf numFmtId="0" fontId="52" fillId="9" borderId="14" xfId="0" applyFont="1" applyFill="1" applyBorder="1" applyAlignment="1">
      <alignment horizontal="center" vertical="center" wrapText="1"/>
    </xf>
    <xf numFmtId="0" fontId="57" fillId="3" borderId="14" xfId="0" applyFont="1" applyFill="1" applyBorder="1" applyAlignment="1">
      <alignment horizontal="center" vertical="center"/>
    </xf>
    <xf numFmtId="180" fontId="51" fillId="3" borderId="14" xfId="0" applyNumberFormat="1" applyFont="1" applyFill="1" applyBorder="1" applyAlignment="1">
      <alignment horizontal="center" vertical="center"/>
    </xf>
    <xf numFmtId="177" fontId="51" fillId="3" borderId="14" xfId="0" applyNumberFormat="1" applyFont="1" applyFill="1" applyBorder="1" applyAlignment="1">
      <alignment horizontal="center" vertical="center"/>
    </xf>
    <xf numFmtId="179" fontId="51" fillId="3" borderId="14" xfId="0" applyNumberFormat="1" applyFont="1" applyFill="1" applyBorder="1" applyAlignment="1">
      <alignment horizontal="center" vertical="center"/>
    </xf>
    <xf numFmtId="177" fontId="52" fillId="3" borderId="14" xfId="0" applyNumberFormat="1" applyFont="1" applyFill="1" applyBorder="1" applyAlignment="1">
      <alignment horizontal="center" vertical="center"/>
    </xf>
    <xf numFmtId="177" fontId="52" fillId="3" borderId="15" xfId="0" applyNumberFormat="1" applyFont="1" applyFill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68" fillId="0" borderId="6" xfId="0" applyFont="1" applyBorder="1" applyAlignment="1">
      <alignment horizontal="center" vertical="center" wrapText="1"/>
    </xf>
    <xf numFmtId="0" fontId="11" fillId="11" borderId="6" xfId="0" applyFont="1" applyFill="1" applyBorder="1" applyAlignment="1">
      <alignment vertical="center" wrapText="1"/>
    </xf>
    <xf numFmtId="0" fontId="11" fillId="11" borderId="11" xfId="0" applyFont="1" applyFill="1" applyBorder="1" applyAlignment="1">
      <alignment vertical="center"/>
    </xf>
    <xf numFmtId="0" fontId="9" fillId="15" borderId="6" xfId="0" applyFont="1" applyFill="1" applyBorder="1" applyAlignment="1">
      <alignment horizontal="center" vertical="center" wrapText="1"/>
    </xf>
    <xf numFmtId="0" fontId="31" fillId="11" borderId="11" xfId="0" applyFont="1" applyFill="1" applyBorder="1" applyAlignment="1">
      <alignment horizontal="left" vertical="center"/>
    </xf>
    <xf numFmtId="0" fontId="17" fillId="0" borderId="6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11" xfId="0" applyFont="1" applyFill="1" applyBorder="1" applyAlignment="1">
      <alignment vertical="center"/>
    </xf>
    <xf numFmtId="0" fontId="11" fillId="15" borderId="6" xfId="0" applyFont="1" applyFill="1" applyBorder="1" applyAlignment="1">
      <alignment horizontal="left" vertical="center" wrapText="1"/>
    </xf>
    <xf numFmtId="0" fontId="9" fillId="15" borderId="6" xfId="0" applyFont="1" applyFill="1" applyBorder="1" applyAlignment="1">
      <alignment horizontal="left" vertical="center" wrapText="1"/>
    </xf>
    <xf numFmtId="0" fontId="9" fillId="15" borderId="6" xfId="0" applyFont="1" applyFill="1" applyBorder="1" applyAlignment="1">
      <alignment horizontal="center" vertical="center"/>
    </xf>
    <xf numFmtId="0" fontId="11" fillId="15" borderId="6" xfId="0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77" fontId="13" fillId="3" borderId="12" xfId="0" applyNumberFormat="1" applyFont="1" applyFill="1" applyBorder="1" applyAlignment="1">
      <alignment horizontal="center" vertical="center"/>
    </xf>
    <xf numFmtId="177" fontId="42" fillId="0" borderId="0" xfId="0" applyNumberFormat="1" applyFont="1" applyFill="1" applyAlignment="1">
      <alignment horizontal="center" vertical="center"/>
    </xf>
    <xf numFmtId="0" fontId="9" fillId="0" borderId="21" xfId="0" applyFont="1" applyFill="1" applyBorder="1" applyAlignment="1">
      <alignment horizontal="center" vertical="center" wrapText="1"/>
    </xf>
    <xf numFmtId="0" fontId="9" fillId="11" borderId="11" xfId="0" applyFont="1" applyFill="1" applyBorder="1" applyAlignment="1">
      <alignment vertical="center"/>
    </xf>
    <xf numFmtId="0" fontId="9" fillId="11" borderId="14" xfId="0" applyFont="1" applyFill="1" applyBorder="1" applyAlignment="1">
      <alignment vertical="center" wrapText="1"/>
    </xf>
    <xf numFmtId="0" fontId="9" fillId="0" borderId="6" xfId="0" applyFont="1" applyFill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7" fillId="0" borderId="11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6" fillId="0" borderId="14" xfId="0" applyFont="1" applyFill="1" applyBorder="1" applyAlignment="1">
      <alignment vertical="center" wrapText="1"/>
    </xf>
    <xf numFmtId="0" fontId="9" fillId="11" borderId="6" xfId="0" applyFont="1" applyFill="1" applyBorder="1" applyAlignment="1">
      <alignment vertical="center" wrapText="1"/>
    </xf>
    <xf numFmtId="0" fontId="13" fillId="0" borderId="14" xfId="0" applyFont="1" applyFill="1" applyBorder="1" applyAlignment="1">
      <alignment vertical="center" wrapText="1"/>
    </xf>
    <xf numFmtId="177" fontId="21" fillId="4" borderId="18" xfId="0" applyNumberFormat="1" applyFont="1" applyFill="1" applyBorder="1" applyAlignment="1">
      <alignment horizontal="center" vertical="center" wrapText="1"/>
    </xf>
    <xf numFmtId="177" fontId="8" fillId="4" borderId="18" xfId="0" applyNumberFormat="1" applyFont="1" applyFill="1" applyBorder="1" applyAlignment="1">
      <alignment horizontal="center" vertical="center" wrapText="1"/>
    </xf>
    <xf numFmtId="177" fontId="21" fillId="4" borderId="11" xfId="0" applyNumberFormat="1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0" fontId="11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9" fillId="11" borderId="14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9" fillId="11" borderId="11" xfId="0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horizontal="left" vertical="center" wrapText="1"/>
    </xf>
    <xf numFmtId="179" fontId="16" fillId="3" borderId="14" xfId="0" applyNumberFormat="1" applyFont="1" applyFill="1" applyBorder="1" applyAlignment="1">
      <alignment horizontal="left" vertical="center" wrapText="1"/>
    </xf>
    <xf numFmtId="179" fontId="31" fillId="3" borderId="14" xfId="0" applyNumberFormat="1" applyFont="1" applyFill="1" applyBorder="1" applyAlignment="1">
      <alignment horizontal="left" vertical="center" wrapText="1"/>
    </xf>
    <xf numFmtId="0" fontId="74" fillId="0" borderId="0" xfId="0" applyFont="1"/>
    <xf numFmtId="0" fontId="75" fillId="0" borderId="0" xfId="0" applyFont="1" applyAlignment="1">
      <alignment vertical="center"/>
    </xf>
    <xf numFmtId="0" fontId="76" fillId="2" borderId="0" xfId="0" applyFont="1" applyFill="1"/>
    <xf numFmtId="179" fontId="13" fillId="14" borderId="14" xfId="0" applyNumberFormat="1" applyFont="1" applyFill="1" applyBorder="1" applyAlignment="1">
      <alignment horizontal="center" vertical="center"/>
    </xf>
    <xf numFmtId="0" fontId="16" fillId="11" borderId="14" xfId="0" applyFont="1" applyFill="1" applyBorder="1" applyAlignment="1">
      <alignment vertical="center" wrapText="1"/>
    </xf>
    <xf numFmtId="179" fontId="16" fillId="3" borderId="14" xfId="0" applyNumberFormat="1" applyFont="1" applyFill="1" applyBorder="1" applyAlignment="1">
      <alignment horizontal="center" vertical="center" wrapText="1"/>
    </xf>
    <xf numFmtId="0" fontId="31" fillId="10" borderId="6" xfId="0" applyFont="1" applyFill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center" vertical="center" wrapText="1"/>
    </xf>
    <xf numFmtId="0" fontId="11" fillId="15" borderId="6" xfId="0" applyFont="1" applyFill="1" applyBorder="1" applyAlignment="1">
      <alignment vertical="center" wrapText="1"/>
    </xf>
    <xf numFmtId="179" fontId="13" fillId="3" borderId="14" xfId="0" applyNumberFormat="1" applyFont="1" applyFill="1" applyBorder="1" applyAlignment="1">
      <alignment horizontal="center" vertical="center" wrapText="1"/>
    </xf>
    <xf numFmtId="0" fontId="9" fillId="11" borderId="11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left" vertical="center"/>
    </xf>
    <xf numFmtId="0" fontId="46" fillId="0" borderId="21" xfId="0" applyFont="1" applyFill="1" applyBorder="1" applyAlignment="1">
      <alignment horizontal="left" vertical="center"/>
    </xf>
    <xf numFmtId="179" fontId="8" fillId="4" borderId="21" xfId="0" applyNumberFormat="1" applyFont="1" applyFill="1" applyBorder="1" applyAlignment="1">
      <alignment horizontal="center" vertical="center"/>
    </xf>
    <xf numFmtId="179" fontId="8" fillId="4" borderId="21" xfId="0" applyNumberFormat="1" applyFont="1" applyFill="1" applyBorder="1" applyAlignment="1">
      <alignment horizontal="center" vertical="center" wrapText="1"/>
    </xf>
    <xf numFmtId="180" fontId="9" fillId="4" borderId="21" xfId="0" applyNumberFormat="1" applyFont="1" applyFill="1" applyBorder="1" applyAlignment="1">
      <alignment horizontal="center" vertical="center" wrapText="1"/>
    </xf>
    <xf numFmtId="179" fontId="9" fillId="4" borderId="21" xfId="0" applyNumberFormat="1" applyFont="1" applyFill="1" applyBorder="1" applyAlignment="1">
      <alignment horizontal="center" vertical="center" wrapText="1"/>
    </xf>
    <xf numFmtId="10" fontId="15" fillId="2" borderId="16" xfId="0" applyNumberFormat="1" applyFont="1" applyFill="1" applyBorder="1" applyAlignment="1">
      <alignment horizontal="center" vertical="center"/>
    </xf>
    <xf numFmtId="10" fontId="15" fillId="2" borderId="17" xfId="0" applyNumberFormat="1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179" fontId="13" fillId="3" borderId="15" xfId="0" applyNumberFormat="1" applyFont="1" applyFill="1" applyBorder="1" applyAlignment="1">
      <alignment horizontal="center" vertical="center"/>
    </xf>
    <xf numFmtId="179" fontId="9" fillId="3" borderId="15" xfId="0" applyNumberFormat="1" applyFont="1" applyFill="1" applyBorder="1" applyAlignment="1">
      <alignment horizontal="center" vertical="center"/>
    </xf>
    <xf numFmtId="180" fontId="9" fillId="3" borderId="15" xfId="0" applyNumberFormat="1" applyFont="1" applyFill="1" applyBorder="1" applyAlignment="1">
      <alignment horizontal="center" vertical="center"/>
    </xf>
    <xf numFmtId="0" fontId="46" fillId="0" borderId="15" xfId="0" applyFont="1" applyFill="1" applyBorder="1" applyAlignment="1">
      <alignment horizontal="left" vertical="center" wrapText="1"/>
    </xf>
    <xf numFmtId="0" fontId="13" fillId="9" borderId="15" xfId="0" applyFont="1" applyFill="1" applyBorder="1" applyAlignment="1">
      <alignment horizontal="center" vertical="center" wrapText="1"/>
    </xf>
    <xf numFmtId="10" fontId="12" fillId="2" borderId="22" xfId="0" applyNumberFormat="1" applyFont="1" applyFill="1" applyBorder="1" applyAlignment="1">
      <alignment horizontal="center" vertical="center"/>
    </xf>
    <xf numFmtId="10" fontId="15" fillId="2" borderId="22" xfId="0" applyNumberFormat="1" applyFont="1" applyFill="1" applyBorder="1" applyAlignment="1">
      <alignment horizontal="center" vertical="center"/>
    </xf>
    <xf numFmtId="10" fontId="15" fillId="2" borderId="23" xfId="0" applyNumberFormat="1" applyFont="1" applyFill="1" applyBorder="1" applyAlignment="1">
      <alignment horizontal="center" vertical="center"/>
    </xf>
    <xf numFmtId="10" fontId="12" fillId="2" borderId="23" xfId="0" applyNumberFormat="1" applyFont="1" applyFill="1" applyBorder="1" applyAlignment="1">
      <alignment horizontal="center" vertical="center"/>
    </xf>
    <xf numFmtId="10" fontId="65" fillId="2" borderId="24" xfId="0" applyNumberFormat="1" applyFont="1" applyFill="1" applyBorder="1" applyAlignment="1">
      <alignment horizontal="center" vertical="center" wrapText="1"/>
    </xf>
    <xf numFmtId="14" fontId="61" fillId="13" borderId="24" xfId="0" applyNumberFormat="1" applyFont="1" applyFill="1" applyBorder="1" applyAlignment="1">
      <alignment horizontal="center" vertical="center"/>
    </xf>
    <xf numFmtId="10" fontId="63" fillId="2" borderId="24" xfId="0" applyNumberFormat="1" applyFont="1" applyFill="1" applyBorder="1" applyAlignment="1">
      <alignment horizontal="center" vertical="center"/>
    </xf>
    <xf numFmtId="10" fontId="65" fillId="2" borderId="25" xfId="0" applyNumberFormat="1" applyFont="1" applyFill="1" applyBorder="1" applyAlignment="1">
      <alignment horizontal="center" vertical="center" wrapText="1"/>
    </xf>
    <xf numFmtId="10" fontId="63" fillId="2" borderId="26" xfId="0" applyNumberFormat="1" applyFont="1" applyFill="1" applyBorder="1" applyAlignment="1">
      <alignment horizontal="center" vertical="center"/>
    </xf>
    <xf numFmtId="10" fontId="63" fillId="2" borderId="27" xfId="0" applyNumberFormat="1" applyFont="1" applyFill="1" applyBorder="1" applyAlignment="1">
      <alignment horizontal="center" vertical="center"/>
    </xf>
    <xf numFmtId="10" fontId="63" fillId="2" borderId="28" xfId="0" applyNumberFormat="1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left" vertical="center"/>
    </xf>
    <xf numFmtId="0" fontId="11" fillId="0" borderId="21" xfId="0" applyFont="1" applyFill="1" applyBorder="1" applyAlignment="1">
      <alignment horizontal="left" vertical="center" wrapText="1"/>
    </xf>
    <xf numFmtId="10" fontId="79" fillId="2" borderId="24" xfId="0" applyNumberFormat="1" applyFont="1" applyFill="1" applyBorder="1" applyAlignment="1">
      <alignment horizontal="center" vertical="center"/>
    </xf>
    <xf numFmtId="0" fontId="60" fillId="1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0" fontId="63" fillId="2" borderId="25" xfId="0" applyNumberFormat="1" applyFont="1" applyFill="1" applyBorder="1" applyAlignment="1">
      <alignment horizontal="center" vertical="center"/>
    </xf>
    <xf numFmtId="10" fontId="79" fillId="2" borderId="26" xfId="0" applyNumberFormat="1" applyFont="1" applyFill="1" applyBorder="1" applyAlignment="1">
      <alignment horizontal="center" vertical="center"/>
    </xf>
    <xf numFmtId="10" fontId="79" fillId="2" borderId="28" xfId="0" applyNumberFormat="1" applyFont="1" applyFill="1" applyBorder="1" applyAlignment="1">
      <alignment horizontal="center" vertical="center"/>
    </xf>
    <xf numFmtId="10" fontId="79" fillId="2" borderId="25" xfId="0" applyNumberFormat="1" applyFont="1" applyFill="1" applyBorder="1" applyAlignment="1">
      <alignment horizontal="center" vertical="center"/>
    </xf>
    <xf numFmtId="10" fontId="79" fillId="2" borderId="27" xfId="0" applyNumberFormat="1" applyFont="1" applyFill="1" applyBorder="1" applyAlignment="1">
      <alignment horizontal="center" vertical="center"/>
    </xf>
    <xf numFmtId="10" fontId="79" fillId="2" borderId="29" xfId="0" applyNumberFormat="1" applyFont="1" applyFill="1" applyBorder="1" applyAlignment="1">
      <alignment horizontal="center" vertical="center"/>
    </xf>
    <xf numFmtId="10" fontId="79" fillId="2" borderId="30" xfId="0" applyNumberFormat="1" applyFont="1" applyFill="1" applyBorder="1" applyAlignment="1">
      <alignment horizontal="center" vertical="center"/>
    </xf>
    <xf numFmtId="10" fontId="79" fillId="2" borderId="31" xfId="0" applyNumberFormat="1" applyFont="1" applyFill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80" fillId="4" borderId="11" xfId="0" applyNumberFormat="1" applyFont="1" applyFill="1" applyBorder="1" applyAlignment="1">
      <alignment horizontal="center" vertical="center" wrapText="1"/>
    </xf>
    <xf numFmtId="179" fontId="61" fillId="13" borderId="24" xfId="0" applyNumberFormat="1" applyFont="1" applyFill="1" applyBorder="1" applyAlignment="1">
      <alignment horizontal="center" vertical="center"/>
    </xf>
    <xf numFmtId="179" fontId="61" fillId="13" borderId="25" xfId="0" applyNumberFormat="1" applyFont="1" applyFill="1" applyBorder="1" applyAlignment="1">
      <alignment horizontal="center" vertical="center"/>
    </xf>
    <xf numFmtId="179" fontId="29" fillId="13" borderId="27" xfId="0" applyNumberFormat="1" applyFont="1" applyFill="1" applyBorder="1" applyAlignment="1">
      <alignment horizontal="center" vertical="center"/>
    </xf>
    <xf numFmtId="179" fontId="29" fillId="13" borderId="28" xfId="0" applyNumberFormat="1" applyFont="1" applyFill="1" applyBorder="1" applyAlignment="1">
      <alignment horizontal="center" vertical="center"/>
    </xf>
    <xf numFmtId="179" fontId="29" fillId="13" borderId="26" xfId="0" applyNumberFormat="1" applyFont="1" applyFill="1" applyBorder="1" applyAlignment="1">
      <alignment horizontal="center" vertical="center"/>
    </xf>
    <xf numFmtId="179" fontId="29" fillId="13" borderId="25" xfId="0" applyNumberFormat="1" applyFont="1" applyFill="1" applyBorder="1" applyAlignment="1">
      <alignment horizontal="center" vertical="center"/>
    </xf>
    <xf numFmtId="179" fontId="61" fillId="13" borderId="26" xfId="0" applyNumberFormat="1" applyFont="1" applyFill="1" applyBorder="1" applyAlignment="1">
      <alignment horizontal="center" vertical="center"/>
    </xf>
    <xf numFmtId="179" fontId="61" fillId="13" borderId="27" xfId="0" applyNumberFormat="1" applyFont="1" applyFill="1" applyBorder="1" applyAlignment="1">
      <alignment horizontal="center" vertical="center"/>
    </xf>
    <xf numFmtId="179" fontId="61" fillId="13" borderId="28" xfId="0" applyNumberFormat="1" applyFont="1" applyFill="1" applyBorder="1" applyAlignment="1">
      <alignment horizontal="center" vertical="center"/>
    </xf>
    <xf numFmtId="0" fontId="53" fillId="0" borderId="11" xfId="0" applyFont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/>
    </xf>
    <xf numFmtId="10" fontId="63" fillId="2" borderId="0" xfId="0" applyNumberFormat="1" applyFont="1" applyFill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179" fontId="13" fillId="0" borderId="6" xfId="0" applyNumberFormat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  <xf numFmtId="179" fontId="8" fillId="0" borderId="11" xfId="0" applyNumberFormat="1" applyFont="1" applyFill="1" applyBorder="1" applyAlignment="1">
      <alignment horizontal="center" vertical="center"/>
    </xf>
    <xf numFmtId="179" fontId="8" fillId="0" borderId="11" xfId="0" applyNumberFormat="1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/>
    </xf>
    <xf numFmtId="179" fontId="9" fillId="0" borderId="6" xfId="0" applyNumberFormat="1" applyFont="1" applyFill="1" applyBorder="1" applyAlignment="1">
      <alignment horizontal="center" vertical="center"/>
    </xf>
    <xf numFmtId="179" fontId="9" fillId="0" borderId="11" xfId="0" applyNumberFormat="1" applyFont="1" applyFill="1" applyBorder="1" applyAlignment="1">
      <alignment horizontal="center" vertical="center" wrapText="1"/>
    </xf>
    <xf numFmtId="179" fontId="9" fillId="0" borderId="14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left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left" vertical="center"/>
    </xf>
    <xf numFmtId="0" fontId="8" fillId="0" borderId="21" xfId="0" applyFont="1" applyFill="1" applyBorder="1" applyAlignment="1">
      <alignment horizontal="center" vertical="center" wrapText="1"/>
    </xf>
    <xf numFmtId="179" fontId="8" fillId="0" borderId="21" xfId="0" applyNumberFormat="1" applyFont="1" applyFill="1" applyBorder="1" applyAlignment="1">
      <alignment horizontal="center" vertical="center"/>
    </xf>
    <xf numFmtId="179" fontId="8" fillId="0" borderId="21" xfId="0" applyNumberFormat="1" applyFont="1" applyFill="1" applyBorder="1" applyAlignment="1">
      <alignment horizontal="center" vertical="center" wrapText="1"/>
    </xf>
    <xf numFmtId="177" fontId="9" fillId="4" borderId="21" xfId="0" applyNumberFormat="1" applyFont="1" applyFill="1" applyBorder="1" applyAlignment="1">
      <alignment horizontal="center" vertical="center" wrapText="1"/>
    </xf>
    <xf numFmtId="177" fontId="9" fillId="4" borderId="18" xfId="0" applyNumberFormat="1" applyFont="1" applyFill="1" applyBorder="1" applyAlignment="1">
      <alignment horizontal="center" vertical="center" wrapText="1"/>
    </xf>
    <xf numFmtId="0" fontId="9" fillId="11" borderId="21" xfId="0" applyFont="1" applyFill="1" applyBorder="1" applyAlignment="1">
      <alignment horizontal="center" vertical="center"/>
    </xf>
    <xf numFmtId="179" fontId="17" fillId="4" borderId="21" xfId="0" applyNumberFormat="1" applyFont="1" applyFill="1" applyBorder="1" applyAlignment="1">
      <alignment horizontal="center" vertical="center" wrapText="1"/>
    </xf>
    <xf numFmtId="177" fontId="8" fillId="4" borderId="21" xfId="0" applyNumberFormat="1" applyFont="1" applyFill="1" applyBorder="1" applyAlignment="1">
      <alignment horizontal="center" vertical="center" wrapText="1"/>
    </xf>
    <xf numFmtId="177" fontId="21" fillId="4" borderId="12" xfId="0" applyNumberFormat="1" applyFont="1" applyFill="1" applyBorder="1" applyAlignment="1">
      <alignment horizontal="center" vertical="center" wrapText="1"/>
    </xf>
    <xf numFmtId="10" fontId="79" fillId="2" borderId="24" xfId="0" applyNumberFormat="1" applyFont="1" applyFill="1" applyBorder="1" applyAlignment="1">
      <alignment horizontal="center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67" fillId="0" borderId="6" xfId="0" applyFont="1" applyBorder="1" applyAlignment="1">
      <alignment horizontal="center" vertical="center" wrapText="1"/>
    </xf>
    <xf numFmtId="0" fontId="31" fillId="11" borderId="6" xfId="0" applyFont="1" applyFill="1" applyBorder="1" applyAlignment="1">
      <alignment horizontal="left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82" fontId="61" fillId="13" borderId="24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77" fontId="61" fillId="13" borderId="24" xfId="0" applyNumberFormat="1" applyFont="1" applyFill="1" applyBorder="1" applyAlignment="1">
      <alignment horizontal="center" vertical="center"/>
    </xf>
    <xf numFmtId="179" fontId="48" fillId="3" borderId="14" xfId="0" applyNumberFormat="1" applyFont="1" applyFill="1" applyBorder="1" applyAlignment="1">
      <alignment horizontal="left" vertical="center" wrapText="1"/>
    </xf>
    <xf numFmtId="179" fontId="82" fillId="13" borderId="24" xfId="0" applyNumberFormat="1" applyFont="1" applyFill="1" applyBorder="1" applyAlignment="1">
      <alignment horizontal="left" vertical="center" wrapText="1"/>
    </xf>
    <xf numFmtId="0" fontId="31" fillId="0" borderId="21" xfId="0" applyFont="1" applyBorder="1" applyAlignment="1">
      <alignment horizontal="left" vertical="center" wrapText="1"/>
    </xf>
    <xf numFmtId="0" fontId="31" fillId="0" borderId="14" xfId="0" applyFont="1" applyFill="1" applyBorder="1" applyAlignment="1">
      <alignment horizontal="left" vertical="center" wrapText="1"/>
    </xf>
    <xf numFmtId="7" fontId="50" fillId="0" borderId="6" xfId="0" applyNumberFormat="1" applyFont="1" applyFill="1" applyBorder="1" applyAlignment="1">
      <alignment horizontal="center" vertical="center" wrapText="1"/>
    </xf>
    <xf numFmtId="7" fontId="52" fillId="2" borderId="6" xfId="0" applyNumberFormat="1" applyFont="1" applyFill="1" applyBorder="1" applyAlignment="1">
      <alignment horizontal="center" vertical="center" wrapText="1"/>
    </xf>
    <xf numFmtId="7" fontId="51" fillId="0" borderId="6" xfId="0" applyNumberFormat="1" applyFont="1" applyFill="1" applyBorder="1" applyAlignment="1">
      <alignment horizontal="center" vertical="center" wrapText="1"/>
    </xf>
    <xf numFmtId="7" fontId="50" fillId="0" borderId="11" xfId="0" applyNumberFormat="1" applyFont="1" applyFill="1" applyBorder="1" applyAlignment="1">
      <alignment horizontal="center" vertical="center"/>
    </xf>
    <xf numFmtId="7" fontId="52" fillId="2" borderId="11" xfId="0" applyNumberFormat="1" applyFont="1" applyFill="1" applyBorder="1" applyAlignment="1">
      <alignment horizontal="center" vertical="center" wrapText="1"/>
    </xf>
    <xf numFmtId="7" fontId="51" fillId="0" borderId="11" xfId="0" applyNumberFormat="1" applyFont="1" applyBorder="1" applyAlignment="1">
      <alignment horizontal="center" vertical="center" wrapText="1"/>
    </xf>
    <xf numFmtId="7" fontId="50" fillId="0" borderId="14" xfId="0" applyNumberFormat="1" applyFont="1" applyFill="1" applyBorder="1" applyAlignment="1">
      <alignment horizontal="center" vertical="center" wrapText="1"/>
    </xf>
    <xf numFmtId="7" fontId="52" fillId="2" borderId="14" xfId="0" applyNumberFormat="1" applyFont="1" applyFill="1" applyBorder="1" applyAlignment="1">
      <alignment horizontal="center" vertical="center" wrapText="1"/>
    </xf>
    <xf numFmtId="7" fontId="51" fillId="0" borderId="14" xfId="0" applyNumberFormat="1" applyFont="1" applyBorder="1" applyAlignment="1">
      <alignment horizontal="center" vertical="center" wrapText="1"/>
    </xf>
    <xf numFmtId="0" fontId="9" fillId="0" borderId="21" xfId="0" applyFont="1" applyBorder="1" applyAlignment="1">
      <alignment vertical="center"/>
    </xf>
    <xf numFmtId="180" fontId="17" fillId="4" borderId="21" xfId="0" applyNumberFormat="1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14" fontId="61" fillId="13" borderId="24" xfId="0" applyNumberFormat="1" applyFont="1" applyFill="1" applyBorder="1" applyAlignment="1">
      <alignment horizontal="left" vertical="center" wrapText="1"/>
    </xf>
    <xf numFmtId="0" fontId="9" fillId="16" borderId="6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left" vertical="center" wrapText="1"/>
    </xf>
    <xf numFmtId="179" fontId="61" fillId="13" borderId="24" xfId="0" applyNumberFormat="1" applyFont="1" applyFill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179" fontId="61" fillId="13" borderId="24" xfId="0" applyNumberFormat="1" applyFont="1" applyFill="1" applyBorder="1" applyAlignment="1">
      <alignment horizontal="left" vertical="center" wrapText="1"/>
    </xf>
    <xf numFmtId="0" fontId="9" fillId="14" borderId="6" xfId="0" applyFont="1" applyFill="1" applyBorder="1" applyAlignment="1">
      <alignment horizontal="center" vertical="center" wrapText="1"/>
    </xf>
    <xf numFmtId="0" fontId="85" fillId="15" borderId="6" xfId="0" applyFont="1" applyFill="1" applyBorder="1" applyAlignment="1">
      <alignment vertical="center" wrapText="1"/>
    </xf>
    <xf numFmtId="179" fontId="9" fillId="17" borderId="6" xfId="0" applyNumberFormat="1" applyFont="1" applyFill="1" applyBorder="1" applyAlignment="1">
      <alignment horizontal="center" vertical="center"/>
    </xf>
    <xf numFmtId="179" fontId="61" fillId="6" borderId="24" xfId="0" applyNumberFormat="1" applyFont="1" applyFill="1" applyBorder="1" applyAlignment="1">
      <alignment horizontal="center" vertical="center"/>
    </xf>
    <xf numFmtId="0" fontId="65" fillId="2" borderId="5" xfId="0" applyFont="1" applyFill="1" applyBorder="1" applyAlignment="1">
      <alignment horizontal="center" vertical="center" wrapText="1"/>
    </xf>
    <xf numFmtId="0" fontId="65" fillId="2" borderId="10" xfId="0" applyFont="1" applyFill="1" applyBorder="1" applyAlignment="1">
      <alignment horizontal="center" vertical="center" wrapText="1"/>
    </xf>
    <xf numFmtId="0" fontId="65" fillId="2" borderId="13" xfId="0" applyFont="1" applyFill="1" applyBorder="1" applyAlignment="1">
      <alignment horizontal="center" vertical="center" wrapText="1"/>
    </xf>
    <xf numFmtId="181" fontId="20" fillId="0" borderId="7" xfId="0" applyNumberFormat="1" applyFont="1" applyFill="1" applyBorder="1" applyAlignment="1">
      <alignment horizontal="left" vertical="top" wrapText="1"/>
    </xf>
    <xf numFmtId="181" fontId="20" fillId="0" borderId="12" xfId="0" applyNumberFormat="1" applyFont="1" applyFill="1" applyBorder="1" applyAlignment="1">
      <alignment horizontal="left" vertical="top" wrapText="1"/>
    </xf>
    <xf numFmtId="181" fontId="20" fillId="0" borderId="15" xfId="0" applyNumberFormat="1" applyFont="1" applyFill="1" applyBorder="1" applyAlignment="1">
      <alignment horizontal="left" vertical="top" wrapText="1"/>
    </xf>
    <xf numFmtId="181" fontId="20" fillId="0" borderId="7" xfId="0" applyNumberFormat="1" applyFont="1" applyFill="1" applyBorder="1" applyAlignment="1">
      <alignment horizontal="left" vertical="top"/>
    </xf>
    <xf numFmtId="181" fontId="20" fillId="0" borderId="12" xfId="0" applyNumberFormat="1" applyFont="1" applyFill="1" applyBorder="1" applyAlignment="1">
      <alignment horizontal="left" vertical="top"/>
    </xf>
    <xf numFmtId="181" fontId="20" fillId="0" borderId="15" xfId="0" applyNumberFormat="1" applyFont="1" applyFill="1" applyBorder="1" applyAlignment="1">
      <alignment horizontal="left" vertical="top"/>
    </xf>
    <xf numFmtId="181" fontId="20" fillId="0" borderId="7" xfId="0" applyNumberFormat="1" applyFont="1" applyBorder="1" applyAlignment="1">
      <alignment horizontal="left" vertical="top" wrapText="1"/>
    </xf>
    <xf numFmtId="181" fontId="20" fillId="0" borderId="12" xfId="0" applyNumberFormat="1" applyFont="1" applyBorder="1" applyAlignment="1">
      <alignment horizontal="left" vertical="top" wrapText="1"/>
    </xf>
    <xf numFmtId="181" fontId="20" fillId="0" borderId="15" xfId="0" applyNumberFormat="1" applyFont="1" applyBorder="1" applyAlignment="1">
      <alignment horizontal="left" vertical="top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10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181" fontId="20" fillId="0" borderId="7" xfId="0" applyNumberFormat="1" applyFont="1" applyFill="1" applyBorder="1" applyAlignment="1">
      <alignment vertical="top" wrapText="1"/>
    </xf>
    <xf numFmtId="181" fontId="20" fillId="0" borderId="12" xfId="0" applyNumberFormat="1" applyFont="1" applyFill="1" applyBorder="1" applyAlignment="1">
      <alignment vertical="top"/>
    </xf>
    <xf numFmtId="181" fontId="20" fillId="0" borderId="15" xfId="0" applyNumberFormat="1" applyFont="1" applyFill="1" applyBorder="1" applyAlignment="1">
      <alignment vertical="top"/>
    </xf>
    <xf numFmtId="181" fontId="20" fillId="0" borderId="12" xfId="0" applyNumberFormat="1" applyFont="1" applyBorder="1" applyAlignment="1">
      <alignment horizontal="left" vertical="top"/>
    </xf>
    <xf numFmtId="181" fontId="20" fillId="0" borderId="15" xfId="0" applyNumberFormat="1" applyFont="1" applyBorder="1" applyAlignment="1">
      <alignment horizontal="left" vertical="top"/>
    </xf>
    <xf numFmtId="181" fontId="35" fillId="0" borderId="7" xfId="0" applyNumberFormat="1" applyFont="1" applyFill="1" applyBorder="1" applyAlignment="1">
      <alignment horizontal="left" vertical="top"/>
    </xf>
    <xf numFmtId="181" fontId="35" fillId="0" borderId="12" xfId="0" applyNumberFormat="1" applyFont="1" applyFill="1" applyBorder="1" applyAlignment="1">
      <alignment horizontal="left" vertical="top"/>
    </xf>
    <xf numFmtId="181" fontId="35" fillId="0" borderId="15" xfId="0" applyNumberFormat="1" applyFont="1" applyFill="1" applyBorder="1" applyAlignment="1">
      <alignment horizontal="left" vertical="top"/>
    </xf>
    <xf numFmtId="0" fontId="7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1" fontId="20" fillId="0" borderId="7" xfId="0" applyNumberFormat="1" applyFont="1" applyBorder="1" applyAlignment="1">
      <alignment horizontal="left" vertical="top"/>
    </xf>
  </cellXfs>
  <cellStyles count="8">
    <cellStyle name="Normal 2" xfId="7" xr:uid="{C39FE879-D8CF-4CC4-8D2F-23021DE3DB81}"/>
    <cellStyle name="常规" xfId="0" builtinId="0"/>
    <cellStyle name="常规 2" xfId="1" xr:uid="{6EC1E971-ABA2-4E8A-9902-135C2284D490}"/>
    <cellStyle name="常规 2 2" xfId="4" xr:uid="{813BCC13-1852-48A7-A67A-9CF495510596}"/>
    <cellStyle name="常规 3" xfId="5" xr:uid="{99750287-2E03-4CE2-BDE7-8A23B4302BC1}"/>
    <cellStyle name="常规 4" xfId="2" xr:uid="{AFE0AB3B-6971-4180-8B6B-68A26D5225FA}"/>
    <cellStyle name="千位分隔 2" xfId="3" xr:uid="{466944D4-B4E8-4369-81BC-B70AABA52F03}"/>
    <cellStyle name="千位分隔 2 2" xfId="6" xr:uid="{DB058236-2C60-48B6-9706-1CC25A6A76EB}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37042</xdr:rowOff>
    </xdr:from>
    <xdr:to>
      <xdr:col>1</xdr:col>
      <xdr:colOff>1027669</xdr:colOff>
      <xdr:row>5</xdr:row>
      <xdr:rowOff>72154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134" y="37042"/>
          <a:ext cx="822324" cy="740833"/>
        </a:xfrm>
        <a:prstGeom prst="rect">
          <a:avLst/>
        </a:prstGeom>
      </xdr:spPr>
    </xdr:pic>
    <xdr:clientData/>
  </xdr:twoCellAnchor>
  <xdr:twoCellAnchor editAs="oneCell">
    <xdr:from>
      <xdr:col>45</xdr:col>
      <xdr:colOff>58208</xdr:colOff>
      <xdr:row>1</xdr:row>
      <xdr:rowOff>68791</xdr:rowOff>
    </xdr:from>
    <xdr:to>
      <xdr:col>45</xdr:col>
      <xdr:colOff>1389249</xdr:colOff>
      <xdr:row>5</xdr:row>
      <xdr:rowOff>71439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6714A64-4F9C-4D73-9510-5AA4E869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185783" y="211666"/>
          <a:ext cx="1331041" cy="5741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37043</xdr:rowOff>
    </xdr:from>
    <xdr:to>
      <xdr:col>1</xdr:col>
      <xdr:colOff>1141969</xdr:colOff>
      <xdr:row>5</xdr:row>
      <xdr:rowOff>85726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CF669D2-E942-4D6B-8565-89FBAD305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192" y="37043"/>
          <a:ext cx="943002" cy="763058"/>
        </a:xfrm>
        <a:prstGeom prst="rect">
          <a:avLst/>
        </a:prstGeom>
      </xdr:spPr>
    </xdr:pic>
    <xdr:clientData/>
  </xdr:twoCellAnchor>
  <xdr:twoCellAnchor editAs="oneCell">
    <xdr:from>
      <xdr:col>45</xdr:col>
      <xdr:colOff>58208</xdr:colOff>
      <xdr:row>1</xdr:row>
      <xdr:rowOff>68791</xdr:rowOff>
    </xdr:from>
    <xdr:to>
      <xdr:col>45</xdr:col>
      <xdr:colOff>1617849</xdr:colOff>
      <xdr:row>4</xdr:row>
      <xdr:rowOff>114302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D11E6D2-ABD2-4E2D-B043-EAC26E5BE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61983" y="211666"/>
          <a:ext cx="1331041" cy="5741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37043</xdr:rowOff>
    </xdr:from>
    <xdr:to>
      <xdr:col>1</xdr:col>
      <xdr:colOff>1256269</xdr:colOff>
      <xdr:row>5</xdr:row>
      <xdr:rowOff>90488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0E4A43E-A845-4E9D-BCF1-3966546BC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192" y="37043"/>
          <a:ext cx="1057302" cy="767820"/>
        </a:xfrm>
        <a:prstGeom prst="rect">
          <a:avLst/>
        </a:prstGeom>
      </xdr:spPr>
    </xdr:pic>
    <xdr:clientData/>
  </xdr:twoCellAnchor>
  <xdr:twoCellAnchor editAs="oneCell">
    <xdr:from>
      <xdr:col>45</xdr:col>
      <xdr:colOff>58208</xdr:colOff>
      <xdr:row>1</xdr:row>
      <xdr:rowOff>68791</xdr:rowOff>
    </xdr:from>
    <xdr:to>
      <xdr:col>45</xdr:col>
      <xdr:colOff>1846449</xdr:colOff>
      <xdr:row>4</xdr:row>
      <xdr:rowOff>14290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C968CBC-8C79-42D2-A6B1-6588B96E9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61983" y="211666"/>
          <a:ext cx="1559641" cy="4741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juan\Desktop\Procurement%20Plan-Z1F_20260612-internal(10%20day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heet1"/>
    </sheetNames>
    <sheetDataSet>
      <sheetData sheetId="0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446"/>
  <sheetViews>
    <sheetView tabSelected="1" zoomScale="90" zoomScaleNormal="90" workbookViewId="0">
      <pane xSplit="5" ySplit="12" topLeftCell="Q13" activePane="bottomRight" state="frozen"/>
      <selection pane="topRight"/>
      <selection pane="bottomLeft"/>
      <selection pane="bottomRight" activeCell="X22" sqref="X22"/>
    </sheetView>
  </sheetViews>
  <sheetFormatPr defaultColWidth="10.6640625" defaultRowHeight="19.149999999999999" outlineLevelCol="1" x14ac:dyDescent="0.6"/>
  <cols>
    <col min="1" max="1" width="3.86328125" style="376" customWidth="1"/>
    <col min="2" max="2" width="23.19921875" style="94" customWidth="1"/>
    <col min="3" max="3" width="13.73046875" style="5" customWidth="1"/>
    <col min="4" max="4" width="32.86328125" style="6" customWidth="1"/>
    <col min="5" max="5" width="6.9296875" style="6" hidden="1" customWidth="1"/>
    <col min="6" max="6" width="6.73046875" customWidth="1"/>
    <col min="7" max="7" width="5.73046875" style="6" customWidth="1"/>
    <col min="8" max="9" width="5.59765625" style="6" customWidth="1"/>
    <col min="10" max="10" width="20" style="200" customWidth="1"/>
    <col min="11" max="11" width="14.9296875" style="200" hidden="1" customWidth="1" outlineLevel="1"/>
    <col min="12" max="12" width="16.53125" style="200" hidden="1" customWidth="1" outlineLevel="1"/>
    <col min="13" max="13" width="18.3984375" style="200" hidden="1" customWidth="1" outlineLevel="1"/>
    <col min="14" max="14" width="14.59765625" style="200" hidden="1" customWidth="1" outlineLevel="1"/>
    <col min="15" max="15" width="14" style="200" hidden="1" customWidth="1" outlineLevel="1"/>
    <col min="16" max="16" width="5.73046875" style="183" customWidth="1" collapsed="1"/>
    <col min="17" max="17" width="6.86328125" style="6" customWidth="1"/>
    <col min="18" max="25" width="10.53125" style="7" customWidth="1"/>
    <col min="26" max="26" width="11.59765625" style="7" customWidth="1"/>
    <col min="27" max="27" width="11.53125" style="7" customWidth="1"/>
    <col min="28" max="32" width="10.53125" style="7" customWidth="1"/>
    <col min="33" max="33" width="9.796875" style="7" customWidth="1"/>
    <col min="34" max="39" width="10.53125" style="7" customWidth="1"/>
    <col min="40" max="40" width="7.1328125" style="48" customWidth="1"/>
    <col min="41" max="41" width="5.9296875" style="49" customWidth="1"/>
    <col min="42" max="42" width="13.3984375" style="8" customWidth="1"/>
    <col min="43" max="43" width="11.86328125" style="8" customWidth="1"/>
    <col min="44" max="44" width="7.59765625" style="8" customWidth="1"/>
    <col min="45" max="45" width="13.86328125" style="8" customWidth="1"/>
    <col min="46" max="46" width="35.86328125" style="152" customWidth="1"/>
    <col min="47" max="57" width="10.6640625" style="6" hidden="1" customWidth="1"/>
    <col min="58" max="58" width="13.46484375" style="295" customWidth="1"/>
    <col min="59" max="59" width="24.9296875" style="417" customWidth="1"/>
    <col min="60" max="16384" width="10.6640625" style="6"/>
  </cols>
  <sheetData>
    <row r="1" spans="1:60" s="148" customFormat="1" ht="11.25" x14ac:dyDescent="0.4">
      <c r="A1" s="518" t="s">
        <v>183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  <c r="AD1" s="519"/>
      <c r="AE1" s="519"/>
      <c r="AF1" s="519"/>
      <c r="AG1" s="519"/>
      <c r="AH1" s="519"/>
      <c r="AI1" s="519"/>
      <c r="AJ1" s="519"/>
      <c r="AK1" s="519"/>
      <c r="AL1" s="519"/>
      <c r="AM1" s="519"/>
      <c r="AN1" s="519"/>
      <c r="AO1" s="519"/>
      <c r="AP1" s="519"/>
      <c r="AQ1" s="519"/>
      <c r="AR1" s="519"/>
      <c r="AS1" s="519"/>
      <c r="AT1" s="519"/>
      <c r="BF1" s="294"/>
      <c r="BG1" s="416"/>
      <c r="BH1" s="280"/>
    </row>
    <row r="2" spans="1:60" s="148" customFormat="1" ht="11.25" x14ac:dyDescent="0.4">
      <c r="A2" s="518" t="s">
        <v>349</v>
      </c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  <c r="R2" s="519"/>
      <c r="S2" s="519"/>
      <c r="T2" s="519"/>
      <c r="U2" s="519"/>
      <c r="V2" s="519"/>
      <c r="W2" s="519"/>
      <c r="X2" s="519"/>
      <c r="Y2" s="519"/>
      <c r="Z2" s="519"/>
      <c r="AA2" s="519"/>
      <c r="AB2" s="519"/>
      <c r="AC2" s="519"/>
      <c r="AD2" s="519"/>
      <c r="AE2" s="519"/>
      <c r="AF2" s="519"/>
      <c r="AG2" s="519"/>
      <c r="AH2" s="519"/>
      <c r="AI2" s="519"/>
      <c r="AJ2" s="519"/>
      <c r="AK2" s="519"/>
      <c r="AL2" s="519"/>
      <c r="AM2" s="519"/>
      <c r="AN2" s="519"/>
      <c r="AO2" s="519"/>
      <c r="AP2" s="519"/>
      <c r="AQ2" s="519"/>
      <c r="AR2" s="519"/>
      <c r="AS2" s="519"/>
      <c r="AT2" s="519"/>
      <c r="BF2" s="294"/>
      <c r="BG2" s="416"/>
      <c r="BH2" s="280"/>
    </row>
    <row r="3" spans="1:60" s="148" customFormat="1" ht="11.25" x14ac:dyDescent="0.4">
      <c r="A3" s="374"/>
      <c r="B3" s="90"/>
      <c r="C3" s="90"/>
      <c r="D3" s="147"/>
      <c r="E3" s="154"/>
      <c r="F3" s="154"/>
      <c r="G3" s="155"/>
      <c r="H3" s="156"/>
      <c r="I3" s="156"/>
      <c r="J3" s="155"/>
      <c r="K3" s="299"/>
      <c r="L3" s="155"/>
      <c r="M3" s="155"/>
      <c r="N3" s="155"/>
      <c r="O3" s="155"/>
      <c r="P3" s="181"/>
      <c r="Q3" s="157"/>
      <c r="R3" s="155"/>
      <c r="S3" s="158"/>
      <c r="T3" s="158"/>
      <c r="U3" s="158"/>
      <c r="V3" s="158"/>
      <c r="W3" s="158"/>
      <c r="X3" s="158"/>
      <c r="Y3" s="158"/>
      <c r="Z3" s="158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60"/>
      <c r="AO3" s="159"/>
      <c r="AP3" s="159"/>
      <c r="AQ3" s="159"/>
      <c r="AR3" s="159"/>
      <c r="AS3" s="159"/>
      <c r="AT3" s="161"/>
      <c r="BF3" s="294"/>
      <c r="BG3" s="416"/>
      <c r="BH3" s="280"/>
    </row>
    <row r="4" spans="1:60" s="148" customFormat="1" ht="11.25" x14ac:dyDescent="0.4">
      <c r="A4" s="374"/>
      <c r="B4" s="90"/>
      <c r="C4" s="90"/>
      <c r="D4" s="147"/>
      <c r="E4" s="162"/>
      <c r="F4" s="154"/>
      <c r="G4" s="155"/>
      <c r="H4" s="156"/>
      <c r="I4" s="156"/>
      <c r="J4" s="155"/>
      <c r="K4" s="299"/>
      <c r="L4" s="155"/>
      <c r="M4" s="155"/>
      <c r="N4" s="155"/>
      <c r="O4" s="155"/>
      <c r="P4" s="181"/>
      <c r="Q4" s="157"/>
      <c r="R4" s="155"/>
      <c r="S4" s="158"/>
      <c r="T4" s="158"/>
      <c r="U4" s="158"/>
      <c r="V4" s="158"/>
      <c r="W4" s="158"/>
      <c r="X4" s="158"/>
      <c r="Y4" s="158"/>
      <c r="Z4" s="158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60"/>
      <c r="AO4" s="159"/>
      <c r="AP4" s="159"/>
      <c r="AQ4" s="159"/>
      <c r="AR4" s="159"/>
      <c r="AS4" s="159"/>
      <c r="AT4" s="161"/>
      <c r="BF4" s="294"/>
      <c r="BG4" s="416"/>
      <c r="BH4" s="280"/>
    </row>
    <row r="5" spans="1:60" s="148" customFormat="1" ht="11.25" x14ac:dyDescent="0.4">
      <c r="A5" s="374"/>
      <c r="B5" s="90"/>
      <c r="C5" s="90"/>
      <c r="D5" s="147"/>
      <c r="E5" s="162"/>
      <c r="F5" s="154"/>
      <c r="G5" s="155"/>
      <c r="H5" s="156"/>
      <c r="I5" s="156"/>
      <c r="J5" s="155"/>
      <c r="K5" s="299"/>
      <c r="L5" s="155"/>
      <c r="M5" s="155"/>
      <c r="N5" s="155"/>
      <c r="O5" s="155"/>
      <c r="P5" s="181"/>
      <c r="Q5" s="157"/>
      <c r="R5" s="155"/>
      <c r="S5" s="163"/>
      <c r="T5" s="163"/>
      <c r="U5" s="163"/>
      <c r="V5" s="163"/>
      <c r="W5" s="163"/>
      <c r="X5" s="163"/>
      <c r="Y5" s="163"/>
      <c r="Z5" s="163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60"/>
      <c r="AO5" s="159"/>
      <c r="AP5" s="159"/>
      <c r="AQ5" s="159"/>
      <c r="AR5" s="159"/>
      <c r="AS5" s="159"/>
      <c r="AT5" s="161"/>
      <c r="BF5" s="294"/>
      <c r="BG5" s="416"/>
      <c r="BH5" s="280"/>
    </row>
    <row r="6" spans="1:60" s="148" customFormat="1" ht="11.25" x14ac:dyDescent="0.4">
      <c r="A6" s="374"/>
      <c r="B6" s="90"/>
      <c r="C6" s="90"/>
      <c r="D6" s="147"/>
      <c r="E6" s="162"/>
      <c r="F6" s="154"/>
      <c r="G6" s="155"/>
      <c r="H6" s="156"/>
      <c r="I6" s="164" t="s">
        <v>286</v>
      </c>
      <c r="J6" s="196" t="s">
        <v>287</v>
      </c>
      <c r="K6" s="300"/>
      <c r="L6" s="196"/>
      <c r="M6" s="196"/>
      <c r="N6" s="196"/>
      <c r="O6" s="196"/>
      <c r="P6" s="182"/>
      <c r="Q6" s="157"/>
      <c r="R6" s="165"/>
      <c r="S6" s="166">
        <v>1</v>
      </c>
      <c r="T6" s="190">
        <v>10</v>
      </c>
      <c r="U6" s="166">
        <v>0</v>
      </c>
      <c r="V6" s="166">
        <v>0</v>
      </c>
      <c r="W6" s="166">
        <v>10</v>
      </c>
      <c r="X6" s="166">
        <v>17</v>
      </c>
      <c r="Y6" s="190">
        <v>10</v>
      </c>
      <c r="Z6" s="350"/>
      <c r="AA6" s="166">
        <v>9</v>
      </c>
      <c r="AB6" s="166">
        <v>2</v>
      </c>
      <c r="AC6" s="166">
        <v>5</v>
      </c>
      <c r="AD6" s="166">
        <v>20</v>
      </c>
      <c r="AE6" s="166">
        <v>10</v>
      </c>
      <c r="AF6" s="167"/>
      <c r="AG6" s="167"/>
      <c r="AH6" s="166"/>
      <c r="AI6" s="166"/>
      <c r="AJ6" s="166"/>
      <c r="AK6" s="166"/>
      <c r="AL6" s="166"/>
      <c r="AM6" s="166"/>
      <c r="AN6" s="168"/>
      <c r="AO6" s="169"/>
      <c r="AP6" s="159"/>
      <c r="AQ6" s="159"/>
      <c r="AR6" s="159"/>
      <c r="AS6" s="159"/>
      <c r="AT6" s="170"/>
      <c r="AU6" s="165">
        <v>3</v>
      </c>
      <c r="AV6" s="165"/>
      <c r="AW6" s="165">
        <v>10</v>
      </c>
      <c r="AX6" s="148">
        <v>2</v>
      </c>
      <c r="BF6" s="294"/>
      <c r="BG6" s="416"/>
      <c r="BH6" s="280"/>
    </row>
    <row r="7" spans="1:60" s="148" customFormat="1" ht="11.25" x14ac:dyDescent="0.4">
      <c r="A7" s="374"/>
      <c r="B7" s="90"/>
      <c r="C7" s="90"/>
      <c r="D7" s="147"/>
      <c r="E7" s="162"/>
      <c r="F7" s="154"/>
      <c r="G7" s="155"/>
      <c r="H7" s="156"/>
      <c r="I7" s="156" t="s">
        <v>288</v>
      </c>
      <c r="J7" s="196" t="s">
        <v>289</v>
      </c>
      <c r="K7" s="300"/>
      <c r="L7" s="196"/>
      <c r="M7" s="196"/>
      <c r="N7" s="196"/>
      <c r="O7" s="196"/>
      <c r="P7" s="182"/>
      <c r="Q7" s="157"/>
      <c r="R7" s="165"/>
      <c r="S7" s="166">
        <v>1</v>
      </c>
      <c r="T7" s="190">
        <v>10</v>
      </c>
      <c r="U7" s="166">
        <v>0</v>
      </c>
      <c r="V7" s="166">
        <v>0</v>
      </c>
      <c r="W7" s="166">
        <v>10</v>
      </c>
      <c r="X7" s="166">
        <v>17</v>
      </c>
      <c r="Y7" s="190">
        <v>10</v>
      </c>
      <c r="Z7" s="350"/>
      <c r="AA7" s="166">
        <v>9</v>
      </c>
      <c r="AB7" s="166">
        <v>2</v>
      </c>
      <c r="AC7" s="166">
        <v>5</v>
      </c>
      <c r="AD7" s="166">
        <v>20</v>
      </c>
      <c r="AE7" s="166">
        <v>10</v>
      </c>
      <c r="AF7" s="167"/>
      <c r="AG7" s="167"/>
      <c r="AH7" s="166"/>
      <c r="AI7" s="166"/>
      <c r="AJ7" s="166"/>
      <c r="AK7" s="166"/>
      <c r="AL7" s="166"/>
      <c r="AM7" s="166"/>
      <c r="AN7" s="168"/>
      <c r="AO7" s="169"/>
      <c r="AP7" s="159"/>
      <c r="AQ7" s="159"/>
      <c r="AR7" s="159"/>
      <c r="AS7" s="159"/>
      <c r="AT7" s="170"/>
      <c r="AU7" s="165">
        <v>3</v>
      </c>
      <c r="AV7" s="165"/>
      <c r="AW7" s="165">
        <v>10</v>
      </c>
      <c r="AX7" s="148">
        <v>2</v>
      </c>
      <c r="BF7" s="294"/>
      <c r="BG7" s="416"/>
      <c r="BH7" s="280"/>
    </row>
    <row r="8" spans="1:60" s="148" customFormat="1" ht="11.25" x14ac:dyDescent="0.4">
      <c r="A8" s="374"/>
      <c r="B8" s="90"/>
      <c r="C8" s="90"/>
      <c r="D8" s="147"/>
      <c r="E8" s="162"/>
      <c r="F8" s="154"/>
      <c r="G8" s="155"/>
      <c r="H8" s="156"/>
      <c r="I8" s="156" t="s">
        <v>290</v>
      </c>
      <c r="J8" s="196" t="s">
        <v>291</v>
      </c>
      <c r="K8" s="300"/>
      <c r="L8" s="196"/>
      <c r="M8" s="196"/>
      <c r="N8" s="196"/>
      <c r="O8" s="196"/>
      <c r="P8" s="182"/>
      <c r="Q8" s="157"/>
      <c r="R8" s="165"/>
      <c r="S8" s="166">
        <v>1</v>
      </c>
      <c r="T8" s="190">
        <v>10</v>
      </c>
      <c r="U8" s="166">
        <v>0</v>
      </c>
      <c r="V8" s="166">
        <v>0</v>
      </c>
      <c r="W8" s="166">
        <v>10</v>
      </c>
      <c r="X8" s="166">
        <v>13</v>
      </c>
      <c r="Y8" s="190">
        <v>10</v>
      </c>
      <c r="Z8" s="350"/>
      <c r="AA8" s="166">
        <v>9</v>
      </c>
      <c r="AB8" s="166">
        <v>2</v>
      </c>
      <c r="AC8" s="166">
        <v>5</v>
      </c>
      <c r="AD8" s="166">
        <v>15</v>
      </c>
      <c r="AE8" s="166">
        <v>10</v>
      </c>
      <c r="AF8" s="167"/>
      <c r="AG8" s="167"/>
      <c r="AH8" s="166"/>
      <c r="AI8" s="166"/>
      <c r="AJ8" s="166"/>
      <c r="AK8" s="166"/>
      <c r="AL8" s="166"/>
      <c r="AM8" s="166"/>
      <c r="AN8" s="168"/>
      <c r="AO8" s="169"/>
      <c r="AP8" s="159"/>
      <c r="AQ8" s="159"/>
      <c r="AR8" s="159"/>
      <c r="AS8" s="159"/>
      <c r="AT8" s="170"/>
      <c r="AU8" s="165">
        <v>3</v>
      </c>
      <c r="AV8" s="165"/>
      <c r="AW8" s="165">
        <v>10</v>
      </c>
      <c r="AX8" s="148">
        <v>2</v>
      </c>
      <c r="BF8" s="294"/>
      <c r="BG8" s="416"/>
      <c r="BH8" s="280"/>
    </row>
    <row r="9" spans="1:60" s="148" customFormat="1" ht="11.25" x14ac:dyDescent="0.4">
      <c r="A9" s="375" t="s">
        <v>2</v>
      </c>
      <c r="B9" s="171"/>
      <c r="C9" s="90"/>
      <c r="D9" s="147"/>
      <c r="E9" s="162"/>
      <c r="F9" s="154"/>
      <c r="G9" s="155"/>
      <c r="H9" s="156"/>
      <c r="I9" s="156" t="s">
        <v>292</v>
      </c>
      <c r="J9" s="196" t="s">
        <v>293</v>
      </c>
      <c r="K9" s="300"/>
      <c r="L9" s="196"/>
      <c r="M9" s="196"/>
      <c r="N9" s="196"/>
      <c r="O9" s="196"/>
      <c r="P9" s="182"/>
      <c r="Q9" s="157"/>
      <c r="R9" s="165"/>
      <c r="S9" s="166">
        <v>1</v>
      </c>
      <c r="T9" s="190">
        <v>10</v>
      </c>
      <c r="U9" s="166">
        <v>0</v>
      </c>
      <c r="V9" s="166">
        <v>0</v>
      </c>
      <c r="W9" s="166">
        <v>5</v>
      </c>
      <c r="X9" s="166">
        <v>7</v>
      </c>
      <c r="Y9" s="190">
        <v>10</v>
      </c>
      <c r="Z9" s="350"/>
      <c r="AA9" s="166">
        <v>5</v>
      </c>
      <c r="AB9" s="166">
        <v>2</v>
      </c>
      <c r="AC9" s="166">
        <v>5</v>
      </c>
      <c r="AD9" s="166">
        <v>10</v>
      </c>
      <c r="AE9" s="166">
        <v>10</v>
      </c>
      <c r="AF9" s="167"/>
      <c r="AG9" s="167"/>
      <c r="AH9" s="166"/>
      <c r="AI9" s="166"/>
      <c r="AJ9" s="166"/>
      <c r="AK9" s="166"/>
      <c r="AL9" s="166"/>
      <c r="AM9" s="166"/>
      <c r="AN9" s="168"/>
      <c r="AO9" s="169"/>
      <c r="AP9" s="159"/>
      <c r="AQ9" s="159"/>
      <c r="AR9" s="159"/>
      <c r="AS9" s="159"/>
      <c r="AT9" s="189" t="s">
        <v>1096</v>
      </c>
      <c r="AU9" s="165">
        <v>2</v>
      </c>
      <c r="AV9" s="165"/>
      <c r="AW9" s="165">
        <v>5</v>
      </c>
      <c r="AX9" s="148">
        <v>2</v>
      </c>
      <c r="BF9" s="294"/>
      <c r="BG9" s="416"/>
      <c r="BH9" s="280"/>
    </row>
    <row r="10" spans="1:60" s="1" customFormat="1" ht="34.5" customHeight="1" x14ac:dyDescent="0.3">
      <c r="A10" s="72" t="s">
        <v>642</v>
      </c>
      <c r="B10" s="72" t="s">
        <v>411</v>
      </c>
      <c r="C10" s="72" t="s">
        <v>4</v>
      </c>
      <c r="D10" s="72" t="s">
        <v>5</v>
      </c>
      <c r="E10" s="114" t="s">
        <v>6</v>
      </c>
      <c r="F10" s="72" t="s">
        <v>7</v>
      </c>
      <c r="G10" s="72" t="s">
        <v>8</v>
      </c>
      <c r="H10" s="72" t="s">
        <v>184</v>
      </c>
      <c r="I10" s="72" t="s">
        <v>285</v>
      </c>
      <c r="J10" s="72" t="s">
        <v>195</v>
      </c>
      <c r="K10" s="72" t="s">
        <v>649</v>
      </c>
      <c r="L10" s="72" t="s">
        <v>647</v>
      </c>
      <c r="M10" s="72" t="s">
        <v>676</v>
      </c>
      <c r="N10" s="72" t="s">
        <v>697</v>
      </c>
      <c r="O10" s="72" t="s">
        <v>648</v>
      </c>
      <c r="P10" s="173" t="s">
        <v>9</v>
      </c>
      <c r="Q10" s="72" t="s">
        <v>10</v>
      </c>
      <c r="R10" s="72" t="s">
        <v>11</v>
      </c>
      <c r="S10" s="72" t="s">
        <v>428</v>
      </c>
      <c r="T10" s="72" t="s">
        <v>12</v>
      </c>
      <c r="U10" s="72" t="s">
        <v>13</v>
      </c>
      <c r="V10" s="72" t="s">
        <v>14</v>
      </c>
      <c r="W10" s="72" t="s">
        <v>419</v>
      </c>
      <c r="X10" s="72" t="s">
        <v>15</v>
      </c>
      <c r="Y10" s="72" t="s">
        <v>808</v>
      </c>
      <c r="Z10" s="72" t="s">
        <v>735</v>
      </c>
      <c r="AA10" s="72" t="s">
        <v>16</v>
      </c>
      <c r="AB10" s="72" t="s">
        <v>17</v>
      </c>
      <c r="AC10" s="73" t="s">
        <v>168</v>
      </c>
      <c r="AD10" s="74" t="s">
        <v>169</v>
      </c>
      <c r="AE10" s="74" t="s">
        <v>1023</v>
      </c>
      <c r="AF10" s="73" t="s">
        <v>170</v>
      </c>
      <c r="AG10" s="73" t="s">
        <v>332</v>
      </c>
      <c r="AH10" s="73" t="s">
        <v>171</v>
      </c>
      <c r="AI10" s="73" t="s">
        <v>172</v>
      </c>
      <c r="AJ10" s="75" t="s">
        <v>173</v>
      </c>
      <c r="AK10" s="73" t="s">
        <v>325</v>
      </c>
      <c r="AL10" s="72" t="s">
        <v>174</v>
      </c>
      <c r="AM10" s="72" t="s">
        <v>175</v>
      </c>
      <c r="AN10" s="50" t="s">
        <v>18</v>
      </c>
      <c r="AO10" s="115" t="s">
        <v>19</v>
      </c>
      <c r="AP10" s="50" t="s">
        <v>20</v>
      </c>
      <c r="AQ10" s="50" t="s">
        <v>21</v>
      </c>
      <c r="AR10" s="72" t="s">
        <v>179</v>
      </c>
      <c r="AS10" s="72" t="s">
        <v>363</v>
      </c>
      <c r="AT10" s="72" t="s">
        <v>22</v>
      </c>
      <c r="AU10" s="10">
        <v>40329</v>
      </c>
      <c r="AV10" s="11">
        <v>40359</v>
      </c>
      <c r="AW10" s="11">
        <v>40390</v>
      </c>
      <c r="AX10" s="11">
        <v>40421</v>
      </c>
      <c r="AY10" s="11">
        <v>40451</v>
      </c>
      <c r="AZ10" s="11">
        <v>40482</v>
      </c>
      <c r="BA10" s="11">
        <v>40512</v>
      </c>
      <c r="BB10" s="11">
        <v>40543</v>
      </c>
      <c r="BC10" s="11">
        <v>40574</v>
      </c>
      <c r="BD10" s="11">
        <v>40602</v>
      </c>
      <c r="BE10" s="11">
        <f ca="1">TODAY()</f>
        <v>46287</v>
      </c>
      <c r="BF10" s="72" t="s">
        <v>897</v>
      </c>
      <c r="BG10" s="72" t="s">
        <v>898</v>
      </c>
      <c r="BH10" s="72" t="s">
        <v>997</v>
      </c>
    </row>
    <row r="11" spans="1:60" s="2" customFormat="1" ht="10.15" x14ac:dyDescent="0.4">
      <c r="A11" s="12"/>
      <c r="B11" s="12"/>
      <c r="C11" s="9"/>
      <c r="D11" s="9"/>
      <c r="E11" s="9"/>
      <c r="F11" s="9"/>
      <c r="G11" s="9"/>
      <c r="H11" s="9"/>
      <c r="I11" s="72"/>
      <c r="J11" s="9"/>
      <c r="K11" s="301"/>
      <c r="L11" s="72"/>
      <c r="M11" s="72"/>
      <c r="N11" s="72"/>
      <c r="O11" s="72"/>
      <c r="P11" s="173"/>
      <c r="Q11" s="9" t="s">
        <v>23</v>
      </c>
      <c r="R11" s="9" t="s">
        <v>24</v>
      </c>
      <c r="S11" s="9" t="s">
        <v>25</v>
      </c>
      <c r="T11" s="72" t="s">
        <v>24</v>
      </c>
      <c r="U11" s="72" t="s">
        <v>26</v>
      </c>
      <c r="V11" s="72" t="s">
        <v>24</v>
      </c>
      <c r="W11" s="72" t="s">
        <v>26</v>
      </c>
      <c r="X11" s="72" t="s">
        <v>25</v>
      </c>
      <c r="Y11" s="72" t="s">
        <v>24</v>
      </c>
      <c r="Z11" s="72" t="s">
        <v>26</v>
      </c>
      <c r="AA11" s="9" t="s">
        <v>26</v>
      </c>
      <c r="AB11" s="9" t="s">
        <v>27</v>
      </c>
      <c r="AC11" s="72" t="s">
        <v>26</v>
      </c>
      <c r="AD11" s="72" t="s">
        <v>176</v>
      </c>
      <c r="AE11" s="72" t="s">
        <v>25</v>
      </c>
      <c r="AF11" s="72" t="s">
        <v>176</v>
      </c>
      <c r="AG11" s="72" t="s">
        <v>177</v>
      </c>
      <c r="AH11" s="72" t="s">
        <v>176</v>
      </c>
      <c r="AI11" s="72" t="s">
        <v>177</v>
      </c>
      <c r="AJ11" s="72" t="s">
        <v>176</v>
      </c>
      <c r="AK11" s="72" t="s">
        <v>178</v>
      </c>
      <c r="AL11" s="72" t="s">
        <v>177</v>
      </c>
      <c r="AM11" s="72" t="s">
        <v>26</v>
      </c>
      <c r="AN11" s="50"/>
      <c r="AO11" s="51"/>
      <c r="AP11" s="72" t="s">
        <v>26</v>
      </c>
      <c r="AQ11" s="72"/>
      <c r="AR11" s="9"/>
      <c r="AS11" s="72"/>
      <c r="AT11" s="153"/>
      <c r="BF11" s="72"/>
      <c r="BG11" s="72"/>
      <c r="BH11" s="72"/>
    </row>
    <row r="12" spans="1:60" s="2" customFormat="1" ht="10.5" thickBot="1" x14ac:dyDescent="0.45">
      <c r="A12" s="12"/>
      <c r="B12" s="12"/>
      <c r="C12" s="72"/>
      <c r="D12" s="72"/>
      <c r="E12" s="72"/>
      <c r="F12" s="72"/>
      <c r="G12" s="72"/>
      <c r="H12" s="72"/>
      <c r="I12" s="72"/>
      <c r="J12" s="72"/>
      <c r="K12" s="301"/>
      <c r="L12" s="72"/>
      <c r="M12" s="72"/>
      <c r="N12" s="72"/>
      <c r="O12" s="72"/>
      <c r="P12" s="173"/>
      <c r="Q12" s="72" t="s">
        <v>318</v>
      </c>
      <c r="R12" s="72" t="s">
        <v>320</v>
      </c>
      <c r="S12" s="72" t="s">
        <v>319</v>
      </c>
      <c r="T12" s="72" t="s">
        <v>319</v>
      </c>
      <c r="U12" s="72" t="s">
        <v>320</v>
      </c>
      <c r="V12" s="72" t="s">
        <v>319</v>
      </c>
      <c r="W12" s="72" t="s">
        <v>320</v>
      </c>
      <c r="X12" s="72" t="s">
        <v>319</v>
      </c>
      <c r="Y12" s="72" t="s">
        <v>319</v>
      </c>
      <c r="Z12" s="72" t="s">
        <v>320</v>
      </c>
      <c r="AA12" s="72" t="s">
        <v>320</v>
      </c>
      <c r="AB12" s="72" t="s">
        <v>427</v>
      </c>
      <c r="AC12" s="72" t="s">
        <v>427</v>
      </c>
      <c r="AD12" s="72" t="s">
        <v>427</v>
      </c>
      <c r="AE12" s="72" t="s">
        <v>319</v>
      </c>
      <c r="AF12" s="72"/>
      <c r="AG12" s="72"/>
      <c r="AH12" s="72"/>
      <c r="AI12" s="72"/>
      <c r="AJ12" s="72"/>
      <c r="AK12" s="72"/>
      <c r="AL12" s="72"/>
      <c r="AM12" s="72"/>
      <c r="AN12" s="50"/>
      <c r="AO12" s="51"/>
      <c r="AP12" s="72"/>
      <c r="AQ12" s="72"/>
      <c r="AR12" s="72"/>
      <c r="AS12" s="72"/>
      <c r="AT12" s="153"/>
      <c r="AU12" s="2" t="s">
        <v>319</v>
      </c>
      <c r="AW12" s="2" t="s">
        <v>320</v>
      </c>
      <c r="AX12" s="2" t="s">
        <v>320</v>
      </c>
      <c r="BF12" s="72"/>
      <c r="BG12" s="72"/>
      <c r="BH12" s="72"/>
    </row>
    <row r="13" spans="1:60" s="3" customFormat="1" ht="20.65" customHeight="1" thickTop="1" thickBot="1" x14ac:dyDescent="0.45">
      <c r="A13" s="507">
        <v>1</v>
      </c>
      <c r="B13" s="91" t="s">
        <v>202</v>
      </c>
      <c r="C13" s="13" t="s">
        <v>185</v>
      </c>
      <c r="D13" s="338" t="s">
        <v>194</v>
      </c>
      <c r="E13" s="59" t="s">
        <v>29</v>
      </c>
      <c r="F13" s="15" t="s">
        <v>30</v>
      </c>
      <c r="G13" s="13" t="s">
        <v>31</v>
      </c>
      <c r="H13" s="13" t="s">
        <v>0</v>
      </c>
      <c r="I13" s="13" t="s">
        <v>286</v>
      </c>
      <c r="J13" s="344" t="s">
        <v>670</v>
      </c>
      <c r="K13" s="191" t="s">
        <v>668</v>
      </c>
      <c r="L13" s="191" t="s">
        <v>668</v>
      </c>
      <c r="M13" s="191" t="s">
        <v>668</v>
      </c>
      <c r="N13" s="191" t="s">
        <v>668</v>
      </c>
      <c r="O13" s="306" t="s">
        <v>582</v>
      </c>
      <c r="P13" s="174" t="s">
        <v>32</v>
      </c>
      <c r="Q13" s="17" t="s">
        <v>33</v>
      </c>
      <c r="R13" s="18">
        <v>46133</v>
      </c>
      <c r="S13" s="18">
        <v>46133</v>
      </c>
      <c r="T13" s="18">
        <v>46136</v>
      </c>
      <c r="U13" s="18">
        <v>46139</v>
      </c>
      <c r="V13" s="18">
        <v>46148</v>
      </c>
      <c r="W13" s="18">
        <v>46159</v>
      </c>
      <c r="X13" s="18">
        <v>46184</v>
      </c>
      <c r="Y13" s="18">
        <v>46198</v>
      </c>
      <c r="Z13" s="18"/>
      <c r="AA13" s="18">
        <v>46211</v>
      </c>
      <c r="AB13" s="18">
        <v>46213</v>
      </c>
      <c r="AC13" s="18">
        <v>46220</v>
      </c>
      <c r="AD13" s="18">
        <v>46248</v>
      </c>
      <c r="AE13" s="18">
        <v>46262</v>
      </c>
      <c r="AF13" s="206">
        <v>46352</v>
      </c>
      <c r="AG13" s="18">
        <v>46357</v>
      </c>
      <c r="AH13" s="18">
        <v>46360</v>
      </c>
      <c r="AI13" s="18">
        <v>46501</v>
      </c>
      <c r="AJ13" s="18">
        <v>46531</v>
      </c>
      <c r="AK13" s="18">
        <v>46561</v>
      </c>
      <c r="AL13" s="18">
        <v>46564</v>
      </c>
      <c r="AM13" s="18">
        <v>46591</v>
      </c>
      <c r="AN13" s="57">
        <v>50</v>
      </c>
      <c r="AO13" s="58">
        <v>350</v>
      </c>
      <c r="AP13" s="77">
        <v>46561</v>
      </c>
      <c r="AQ13" s="77"/>
      <c r="AR13" s="76"/>
      <c r="AS13" s="139" t="s">
        <v>644</v>
      </c>
      <c r="AT13" s="498" t="s">
        <v>1020</v>
      </c>
      <c r="AU13" s="20">
        <f>IF(ISERROR(LOOKUP(AU$10,$R13:$AT13,#REF!)),0,(LOOKUP(AU$10,$R13:$AT13,#REF!)))</f>
        <v>0</v>
      </c>
      <c r="AV13" s="21">
        <f>IF(ISERROR(LOOKUP(AV$10,$R13:$AT13,#REF!)),0,(LOOKUP(AV$10,$R13:$AT13,#REF!)))</f>
        <v>0</v>
      </c>
      <c r="AW13" s="21">
        <f>IF(ISERROR(LOOKUP(AW$10,$R13:$AT13,#REF!)),0,(LOOKUP(AW$10,$R13:$AT13,#REF!)))</f>
        <v>0</v>
      </c>
      <c r="AX13" s="21">
        <f>IF(ISERROR(LOOKUP(AX$10,$R13:$AT13,#REF!)),0,(LOOKUP(AX$10,$R13:$AT13,#REF!)))</f>
        <v>0</v>
      </c>
      <c r="AY13" s="21">
        <f>IF(ISERROR(LOOKUP(AY$10,$R13:$AT13,#REF!)),0,(LOOKUP(AY$10,$R13:$AT13,#REF!)))</f>
        <v>0</v>
      </c>
      <c r="AZ13" s="21">
        <f>IF(ISERROR(LOOKUP(AZ$10,$R13:$AT13,#REF!)),0,(LOOKUP(AZ$10,$R13:$AT13,#REF!)))</f>
        <v>0</v>
      </c>
      <c r="BA13" s="21">
        <f>IF(ISERROR(LOOKUP(BA$10,$R13:$AT13,#REF!)),0,(LOOKUP(BA$10,$R13:$AT13,#REF!)))</f>
        <v>0</v>
      </c>
      <c r="BB13" s="21">
        <f>IF(ISERROR(LOOKUP(BB$10,$R13:$AT13,#REF!)),0,(LOOKUP(BB$10,$R13:$AT13,#REF!)))</f>
        <v>0</v>
      </c>
      <c r="BC13" s="21">
        <f>IF(ISERROR(LOOKUP(BC$10,$R13:$AT13,#REF!)),0,(LOOKUP(BC$10,$R13:$AT13,#REF!)))</f>
        <v>0</v>
      </c>
      <c r="BD13" s="21">
        <f>IF(ISERROR(LOOKUP(BD$10,$R13:$AT13,#REF!)),0,(LOOKUP(BD$10,$R13:$AT13,#REF!)))</f>
        <v>0</v>
      </c>
      <c r="BE13" s="402">
        <f ca="1">IF(ISERROR(LOOKUP(BE$10,$R13:$AT13,#REF!)),0,(LOOKUP(BE$10,$R13:$AT13,#REF!)))</f>
        <v>0</v>
      </c>
      <c r="BF13" s="406"/>
      <c r="BG13" s="407"/>
      <c r="BH13" s="407"/>
    </row>
    <row r="14" spans="1:60" s="4" customFormat="1" ht="17.649999999999999" customHeight="1" thickTop="1" thickBot="1" x14ac:dyDescent="0.45">
      <c r="A14" s="508"/>
      <c r="B14" s="92" t="s">
        <v>202</v>
      </c>
      <c r="C14" s="22" t="s">
        <v>28</v>
      </c>
      <c r="D14" s="23" t="s">
        <v>193</v>
      </c>
      <c r="E14" s="52" t="s">
        <v>29</v>
      </c>
      <c r="F14" s="24" t="s">
        <v>30</v>
      </c>
      <c r="G14" s="22" t="s">
        <v>31</v>
      </c>
      <c r="H14" s="22" t="s">
        <v>0</v>
      </c>
      <c r="I14" s="22" t="s">
        <v>286</v>
      </c>
      <c r="J14" s="208" t="s">
        <v>677</v>
      </c>
      <c r="K14" s="202" t="s">
        <v>675</v>
      </c>
      <c r="L14" s="192" t="s">
        <v>669</v>
      </c>
      <c r="M14" s="192" t="s">
        <v>669</v>
      </c>
      <c r="N14" s="192" t="s">
        <v>669</v>
      </c>
      <c r="O14" s="307" t="s">
        <v>581</v>
      </c>
      <c r="P14" s="175" t="s">
        <v>32</v>
      </c>
      <c r="Q14" s="25" t="s">
        <v>34</v>
      </c>
      <c r="R14" s="26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>
        <v>46289</v>
      </c>
      <c r="AF14" s="27">
        <v>46301</v>
      </c>
      <c r="AG14" s="27">
        <v>46301</v>
      </c>
      <c r="AH14" s="27">
        <v>46360</v>
      </c>
      <c r="AI14" s="27">
        <v>46501</v>
      </c>
      <c r="AJ14" s="27">
        <f>AK14-14</f>
        <v>46538</v>
      </c>
      <c r="AK14" s="27">
        <f>AP14+7</f>
        <v>46552</v>
      </c>
      <c r="AL14" s="27">
        <f>AP13+3</f>
        <v>46564</v>
      </c>
      <c r="AM14" s="27">
        <f>AP13+30</f>
        <v>46591</v>
      </c>
      <c r="AN14" s="80">
        <v>46</v>
      </c>
      <c r="AO14" s="80">
        <f>AN14*7</f>
        <v>322</v>
      </c>
      <c r="AP14" s="82">
        <f>BG14+7</f>
        <v>46545</v>
      </c>
      <c r="AQ14" s="82">
        <v>46560</v>
      </c>
      <c r="AR14" s="28">
        <f>AQ14-AP14</f>
        <v>15</v>
      </c>
      <c r="AS14" s="361" t="s">
        <v>772</v>
      </c>
      <c r="AT14" s="502"/>
      <c r="AU14" s="29">
        <f>IF(ISERROR(LOOKUP(AU$10,$R14:$AT14,#REF!)),0,(LOOKUP(AU$10,$R14:$AT14,#REF!)))</f>
        <v>0</v>
      </c>
      <c r="AV14" s="30">
        <f>IF(ISERROR(LOOKUP(AV$10,$R14:$AT14,#REF!)),0,(LOOKUP(AV$10,$R14:$AT14,#REF!)))</f>
        <v>0</v>
      </c>
      <c r="AW14" s="30">
        <f>IF(ISERROR(LOOKUP(AW$10,$R14:$AT14,#REF!)),0,(LOOKUP(AW$10,$R14:$AT14,#REF!)))</f>
        <v>0</v>
      </c>
      <c r="AX14" s="30">
        <f>IF(ISERROR(LOOKUP(AX$10,$R14:$AT14,#REF!)),0,(LOOKUP(AX$10,$R14:$AT14,#REF!)))</f>
        <v>0</v>
      </c>
      <c r="AY14" s="30">
        <f>IF(ISERROR(LOOKUP(AY$10,$R14:$AT14,#REF!)),0,(LOOKUP(AY$10,$R14:$AT14,#REF!)))</f>
        <v>0</v>
      </c>
      <c r="AZ14" s="30">
        <f>IF(ISERROR(LOOKUP(AZ$10,$R14:$AT14,#REF!)),0,(LOOKUP(AZ$10,$R14:$AT14,#REF!)))</f>
        <v>0</v>
      </c>
      <c r="BA14" s="30">
        <f>IF(ISERROR(LOOKUP(BA$10,$R14:$AT14,#REF!)),0,(LOOKUP(BA$10,$R14:$AT14,#REF!)))</f>
        <v>0</v>
      </c>
      <c r="BB14" s="30">
        <f>IF(ISERROR(LOOKUP(BB$10,$R14:$AT14,#REF!)),0,(LOOKUP(BB$10,$R14:$AT14,#REF!)))</f>
        <v>0</v>
      </c>
      <c r="BC14" s="30">
        <f>IF(ISERROR(LOOKUP(BC$10,$R14:$AT14,#REF!)),0,(LOOKUP(BC$10,$R14:$AT14,#REF!)))</f>
        <v>0</v>
      </c>
      <c r="BD14" s="30">
        <f>IF(ISERROR(LOOKUP(BD$10,$R14:$AT14,#REF!)),0,(LOOKUP(BD$10,$R14:$AT14,#REF!)))</f>
        <v>0</v>
      </c>
      <c r="BE14" s="403">
        <f ca="1">IF(ISERROR(LOOKUP(BE$10,$R14:$AT14,#REF!)),0,(LOOKUP(BE$10,$R14:$AT14,#REF!)))</f>
        <v>0</v>
      </c>
      <c r="BF14" s="406" t="s">
        <v>544</v>
      </c>
      <c r="BG14" s="428">
        <v>46538</v>
      </c>
      <c r="BH14" s="428"/>
    </row>
    <row r="15" spans="1:60" s="4" customFormat="1" ht="17.649999999999999" customHeight="1" thickTop="1" thickBot="1" x14ac:dyDescent="0.45">
      <c r="A15" s="508"/>
      <c r="B15" s="385" t="s">
        <v>899</v>
      </c>
      <c r="C15" s="119" t="s">
        <v>28</v>
      </c>
      <c r="D15" s="239" t="s">
        <v>193</v>
      </c>
      <c r="E15" s="386"/>
      <c r="F15" s="387" t="s">
        <v>30</v>
      </c>
      <c r="G15" s="119" t="s">
        <v>31</v>
      </c>
      <c r="H15" s="119" t="s">
        <v>0</v>
      </c>
      <c r="I15" s="119" t="s">
        <v>286</v>
      </c>
      <c r="J15" s="413"/>
      <c r="K15" s="414" t="s">
        <v>670</v>
      </c>
      <c r="L15" s="388" t="s">
        <v>674</v>
      </c>
      <c r="M15" s="388" t="s">
        <v>674</v>
      </c>
      <c r="N15" s="388" t="s">
        <v>674</v>
      </c>
      <c r="O15" s="389" t="s">
        <v>674</v>
      </c>
      <c r="P15" s="175" t="s">
        <v>32</v>
      </c>
      <c r="Q15" s="25" t="s">
        <v>34</v>
      </c>
      <c r="R15" s="26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80">
        <v>49</v>
      </c>
      <c r="AO15" s="80">
        <f>AN15*7</f>
        <v>343</v>
      </c>
      <c r="AP15" s="82">
        <f t="shared" ref="AP15:AP16" si="0">BG15+7</f>
        <v>46566</v>
      </c>
      <c r="AQ15" s="82">
        <v>46569</v>
      </c>
      <c r="AR15" s="28">
        <f t="shared" ref="AR15:AR17" si="1">AQ15-AP15</f>
        <v>3</v>
      </c>
      <c r="AS15" s="361" t="s">
        <v>772</v>
      </c>
      <c r="AT15" s="502"/>
      <c r="AU15" s="394"/>
      <c r="AV15" s="395"/>
      <c r="AW15" s="395"/>
      <c r="AX15" s="395"/>
      <c r="AY15" s="395"/>
      <c r="AZ15" s="395"/>
      <c r="BA15" s="395"/>
      <c r="BB15" s="395"/>
      <c r="BC15" s="395"/>
      <c r="BD15" s="395"/>
      <c r="BE15" s="404"/>
      <c r="BF15" s="406" t="s">
        <v>426</v>
      </c>
      <c r="BG15" s="428">
        <v>46559</v>
      </c>
      <c r="BH15" s="428"/>
    </row>
    <row r="16" spans="1:60" s="4" customFormat="1" ht="17.649999999999999" customHeight="1" thickBot="1" x14ac:dyDescent="0.45">
      <c r="A16" s="508"/>
      <c r="B16" s="385" t="s">
        <v>899</v>
      </c>
      <c r="C16" s="119" t="s">
        <v>28</v>
      </c>
      <c r="D16" s="239" t="s">
        <v>193</v>
      </c>
      <c r="E16" s="386"/>
      <c r="F16" s="387" t="s">
        <v>30</v>
      </c>
      <c r="G16" s="119" t="s">
        <v>31</v>
      </c>
      <c r="H16" s="119" t="s">
        <v>0</v>
      </c>
      <c r="I16" s="119" t="s">
        <v>286</v>
      </c>
      <c r="J16" s="413"/>
      <c r="K16" s="414" t="s">
        <v>900</v>
      </c>
      <c r="L16" s="388"/>
      <c r="M16" s="388"/>
      <c r="N16" s="388"/>
      <c r="O16" s="389"/>
      <c r="P16" s="175" t="s">
        <v>32</v>
      </c>
      <c r="Q16" s="25" t="s">
        <v>34</v>
      </c>
      <c r="R16" s="26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80">
        <v>52</v>
      </c>
      <c r="AO16" s="80">
        <f t="shared" ref="AO16" si="2">AN16*7</f>
        <v>364</v>
      </c>
      <c r="AP16" s="82">
        <f t="shared" si="0"/>
        <v>46587</v>
      </c>
      <c r="AQ16" s="82">
        <v>46609</v>
      </c>
      <c r="AR16" s="28">
        <f t="shared" si="1"/>
        <v>22</v>
      </c>
      <c r="AS16" s="361" t="s">
        <v>772</v>
      </c>
      <c r="AT16" s="502"/>
      <c r="AU16" s="394"/>
      <c r="AV16" s="395"/>
      <c r="AW16" s="395"/>
      <c r="AX16" s="395"/>
      <c r="AY16" s="395"/>
      <c r="AZ16" s="395"/>
      <c r="BA16" s="395"/>
      <c r="BB16" s="395"/>
      <c r="BC16" s="395"/>
      <c r="BD16" s="395"/>
      <c r="BE16" s="404"/>
      <c r="BF16" s="406" t="s">
        <v>545</v>
      </c>
      <c r="BG16" s="428">
        <v>46580</v>
      </c>
      <c r="BH16" s="428"/>
    </row>
    <row r="17" spans="1:61" s="4" customFormat="1" ht="17.649999999999999" customHeight="1" thickBot="1" x14ac:dyDescent="0.45">
      <c r="A17" s="508"/>
      <c r="B17" s="385" t="s">
        <v>899</v>
      </c>
      <c r="C17" s="119" t="s">
        <v>28</v>
      </c>
      <c r="D17" s="239" t="s">
        <v>193</v>
      </c>
      <c r="E17" s="386"/>
      <c r="F17" s="387" t="s">
        <v>30</v>
      </c>
      <c r="G17" s="119" t="s">
        <v>31</v>
      </c>
      <c r="H17" s="119" t="s">
        <v>0</v>
      </c>
      <c r="I17" s="119" t="s">
        <v>286</v>
      </c>
      <c r="J17" s="208"/>
      <c r="K17" s="202"/>
      <c r="L17" s="192"/>
      <c r="M17" s="192"/>
      <c r="N17" s="192"/>
      <c r="O17" s="307"/>
      <c r="P17" s="175" t="s">
        <v>32</v>
      </c>
      <c r="Q17" s="25" t="s">
        <v>34</v>
      </c>
      <c r="R17" s="26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80">
        <v>55</v>
      </c>
      <c r="AO17" s="80">
        <f>AN17*7</f>
        <v>385</v>
      </c>
      <c r="AP17" s="82">
        <f>BG17+7</f>
        <v>46608</v>
      </c>
      <c r="AQ17" s="82">
        <v>46625</v>
      </c>
      <c r="AR17" s="28">
        <f t="shared" si="1"/>
        <v>17</v>
      </c>
      <c r="AS17" s="361" t="s">
        <v>772</v>
      </c>
      <c r="AT17" s="502"/>
      <c r="AU17" s="394"/>
      <c r="AV17" s="395"/>
      <c r="AW17" s="395"/>
      <c r="AX17" s="395"/>
      <c r="AY17" s="395"/>
      <c r="AZ17" s="395"/>
      <c r="BA17" s="395"/>
      <c r="BB17" s="395"/>
      <c r="BC17" s="395"/>
      <c r="BD17" s="395"/>
      <c r="BE17" s="404"/>
      <c r="BF17" s="406" t="s">
        <v>546</v>
      </c>
      <c r="BG17" s="428">
        <v>46601</v>
      </c>
      <c r="BH17" s="428"/>
    </row>
    <row r="18" spans="1:61" s="3" customFormat="1" ht="19.899999999999999" customHeight="1" thickBot="1" x14ac:dyDescent="0.45">
      <c r="A18" s="509"/>
      <c r="B18" s="93" t="s">
        <v>202</v>
      </c>
      <c r="C18" s="31" t="s">
        <v>28</v>
      </c>
      <c r="D18" s="32" t="s">
        <v>194</v>
      </c>
      <c r="E18" s="53" t="s">
        <v>29</v>
      </c>
      <c r="F18" s="33" t="s">
        <v>30</v>
      </c>
      <c r="G18" s="31" t="s">
        <v>31</v>
      </c>
      <c r="H18" s="31" t="s">
        <v>0</v>
      </c>
      <c r="I18" s="31" t="s">
        <v>286</v>
      </c>
      <c r="J18" s="341"/>
      <c r="K18" s="341"/>
      <c r="L18" s="341"/>
      <c r="M18" s="341"/>
      <c r="N18" s="341"/>
      <c r="O18" s="400"/>
      <c r="P18" s="401" t="s">
        <v>32</v>
      </c>
      <c r="Q18" s="396" t="s">
        <v>35</v>
      </c>
      <c r="R18" s="397">
        <v>46120</v>
      </c>
      <c r="S18" s="398">
        <v>46125</v>
      </c>
      <c r="T18" s="397">
        <v>46135</v>
      </c>
      <c r="U18" s="397">
        <v>46136</v>
      </c>
      <c r="V18" s="397">
        <v>46136</v>
      </c>
      <c r="W18" s="397">
        <v>46143</v>
      </c>
      <c r="X18" s="397">
        <v>46192</v>
      </c>
      <c r="Y18" s="397">
        <v>46216</v>
      </c>
      <c r="Z18" s="397">
        <v>46216</v>
      </c>
      <c r="AA18" s="397">
        <v>46220</v>
      </c>
      <c r="AB18" s="397">
        <v>46227</v>
      </c>
      <c r="AC18" s="397">
        <v>46220</v>
      </c>
      <c r="AD18" s="397">
        <v>46248</v>
      </c>
      <c r="AE18" s="397"/>
      <c r="AF18" s="397"/>
      <c r="AG18" s="397"/>
      <c r="AH18" s="397"/>
      <c r="AI18" s="397"/>
      <c r="AJ18" s="397"/>
      <c r="AK18" s="397"/>
      <c r="AL18" s="397"/>
      <c r="AM18" s="397"/>
      <c r="AN18" s="399"/>
      <c r="AO18" s="399"/>
      <c r="AP18" s="398" t="s">
        <v>904</v>
      </c>
      <c r="AQ18" s="398"/>
      <c r="AR18" s="141"/>
      <c r="AS18" s="141"/>
      <c r="AT18" s="503"/>
      <c r="AU18" s="38">
        <f>IF(ISERROR(LOOKUP(AU$10,$R18:$AT18,#REF!)),0,(LOOKUP(AU$10,$R18:$AT18,#REF!)))</f>
        <v>0</v>
      </c>
      <c r="AV18" s="39">
        <f>IF(ISERROR(LOOKUP(AV$10,$R18:$AT18,#REF!)),0,(LOOKUP(AV$10,$R18:$AT18,#REF!)))</f>
        <v>0</v>
      </c>
      <c r="AW18" s="39">
        <f>IF(ISERROR(LOOKUP(AW$10,$R18:$AT18,#REF!)),0,(LOOKUP(AW$10,$R18:$AT18,#REF!)))</f>
        <v>0</v>
      </c>
      <c r="AX18" s="39">
        <f>IF(ISERROR(LOOKUP(AX$10,$R18:$AT18,#REF!)),0,(LOOKUP(AX$10,$R18:$AT18,#REF!)))</f>
        <v>0</v>
      </c>
      <c r="AY18" s="39">
        <f>IF(ISERROR(LOOKUP(AY$10,$R18:$AT18,#REF!)),0,(LOOKUP(AY$10,$R18:$AT18,#REF!)))</f>
        <v>0</v>
      </c>
      <c r="AZ18" s="39">
        <f>IF(ISERROR(LOOKUP(AZ$10,$R18:$AT18,#REF!)),0,(LOOKUP(AZ$10,$R18:$AT18,#REF!)))</f>
        <v>0</v>
      </c>
      <c r="BA18" s="39">
        <f>IF(ISERROR(LOOKUP(BA$10,$R18:$AT18,#REF!)),0,(LOOKUP(BA$10,$R18:$AT18,#REF!)))</f>
        <v>0</v>
      </c>
      <c r="BB18" s="39">
        <f>IF(ISERROR(LOOKUP(BB$10,$R18:$AT18,#REF!)),0,(LOOKUP(BB$10,$R18:$AT18,#REF!)))</f>
        <v>0</v>
      </c>
      <c r="BC18" s="39">
        <f>IF(ISERROR(LOOKUP(BC$10,$R18:$AT18,#REF!)),0,(LOOKUP(BC$10,$R18:$AT18,#REF!)))</f>
        <v>0</v>
      </c>
      <c r="BD18" s="39">
        <f>IF(ISERROR(LOOKUP(BD$10,$R18:$AT18,#REF!)),0,(LOOKUP(BD$10,$R18:$AT18,#REF!)))</f>
        <v>0</v>
      </c>
      <c r="BE18" s="405">
        <f ca="1">IF(ISERROR(LOOKUP(BE$10,$R18:$AT18,#REF!)),0,(LOOKUP(BE$10,$R18:$AT18,#REF!)))</f>
        <v>0</v>
      </c>
      <c r="BF18" s="409"/>
      <c r="BG18" s="429"/>
      <c r="BH18" s="429"/>
    </row>
    <row r="19" spans="1:61" s="3" customFormat="1" ht="15.4" customHeight="1" thickTop="1" thickBot="1" x14ac:dyDescent="0.45">
      <c r="A19" s="507">
        <f>A13+1</f>
        <v>2</v>
      </c>
      <c r="B19" s="91" t="s">
        <v>204</v>
      </c>
      <c r="C19" s="13" t="s">
        <v>398</v>
      </c>
      <c r="D19" s="338" t="s">
        <v>186</v>
      </c>
      <c r="E19" s="60" t="s">
        <v>38</v>
      </c>
      <c r="F19" s="15" t="s">
        <v>30</v>
      </c>
      <c r="G19" s="13" t="s">
        <v>31</v>
      </c>
      <c r="H19" s="13" t="s">
        <v>189</v>
      </c>
      <c r="I19" s="13" t="s">
        <v>321</v>
      </c>
      <c r="J19" s="345" t="s">
        <v>451</v>
      </c>
      <c r="K19" s="193" t="s">
        <v>450</v>
      </c>
      <c r="L19" s="193"/>
      <c r="M19" s="193"/>
      <c r="N19" s="193"/>
      <c r="O19" s="193"/>
      <c r="P19" s="177" t="s">
        <v>339</v>
      </c>
      <c r="Q19" s="17" t="s">
        <v>33</v>
      </c>
      <c r="R19" s="18">
        <v>46167</v>
      </c>
      <c r="S19" s="18">
        <v>46168</v>
      </c>
      <c r="T19" s="18">
        <v>46177</v>
      </c>
      <c r="U19" s="18">
        <v>46178</v>
      </c>
      <c r="V19" s="18">
        <v>46185</v>
      </c>
      <c r="W19" s="18">
        <v>46197</v>
      </c>
      <c r="X19" s="18">
        <v>46197</v>
      </c>
      <c r="Y19" s="18">
        <v>46211</v>
      </c>
      <c r="Z19" s="18"/>
      <c r="AA19" s="18">
        <v>46218</v>
      </c>
      <c r="AB19" s="18">
        <v>46220</v>
      </c>
      <c r="AC19" s="18">
        <v>46227</v>
      </c>
      <c r="AD19" s="18">
        <v>46255</v>
      </c>
      <c r="AE19" s="206">
        <v>46269</v>
      </c>
      <c r="AF19" s="18">
        <v>46329</v>
      </c>
      <c r="AG19" s="18">
        <v>46331</v>
      </c>
      <c r="AH19" s="18">
        <v>46333</v>
      </c>
      <c r="AI19" s="18">
        <v>46408</v>
      </c>
      <c r="AJ19" s="18">
        <v>46423</v>
      </c>
      <c r="AK19" s="18">
        <v>46433</v>
      </c>
      <c r="AL19" s="18">
        <v>46436</v>
      </c>
      <c r="AM19" s="18">
        <v>46463</v>
      </c>
      <c r="AN19" s="57">
        <v>26</v>
      </c>
      <c r="AO19" s="58">
        <v>182</v>
      </c>
      <c r="AP19" s="77">
        <v>46433</v>
      </c>
      <c r="AQ19" s="77">
        <v>46448</v>
      </c>
      <c r="AR19" s="76">
        <f>AQ19-AP20</f>
        <v>15</v>
      </c>
      <c r="AS19" s="139" t="s">
        <v>421</v>
      </c>
      <c r="AT19" s="498" t="s">
        <v>429</v>
      </c>
      <c r="AU19" s="20">
        <f>IF(ISERROR(LOOKUP(AU$10,$R19:$AT19,#REF!)),0,(LOOKUP(AU$10,$R19:$AT19,#REF!)))</f>
        <v>0</v>
      </c>
      <c r="AV19" s="21">
        <f>IF(ISERROR(LOOKUP(AV$10,$R19:$AT19,#REF!)),0,(LOOKUP(AV$10,$R19:$AT19,#REF!)))</f>
        <v>0</v>
      </c>
      <c r="AW19" s="21">
        <f>IF(ISERROR(LOOKUP(AW$10,$R19:$AT19,#REF!)),0,(LOOKUP(AW$10,$R19:$AT19,#REF!)))</f>
        <v>0</v>
      </c>
      <c r="AX19" s="21">
        <f>IF(ISERROR(LOOKUP(AX$10,$R19:$AT19,#REF!)),0,(LOOKUP(AX$10,$R19:$AT19,#REF!)))</f>
        <v>0</v>
      </c>
      <c r="AY19" s="21">
        <f>IF(ISERROR(LOOKUP(AY$10,$R19:$AT19,#REF!)),0,(LOOKUP(AY$10,$R19:$AT19,#REF!)))</f>
        <v>0</v>
      </c>
      <c r="AZ19" s="21">
        <f>IF(ISERROR(LOOKUP(AZ$10,$R19:$AT19,#REF!)),0,(LOOKUP(AZ$10,$R19:$AT19,#REF!)))</f>
        <v>0</v>
      </c>
      <c r="BA19" s="21">
        <f>IF(ISERROR(LOOKUP(BA$10,$R19:$AT19,#REF!)),0,(LOOKUP(BA$10,$R19:$AT19,#REF!)))</f>
        <v>0</v>
      </c>
      <c r="BB19" s="21">
        <f>IF(ISERROR(LOOKUP(BB$10,$R19:$AT19,#REF!)),0,(LOOKUP(BB$10,$R19:$AT19,#REF!)))</f>
        <v>0</v>
      </c>
      <c r="BC19" s="21">
        <f>IF(ISERROR(LOOKUP(BC$10,$R19:$AT19,#REF!)),0,(LOOKUP(BC$10,$R19:$AT19,#REF!)))</f>
        <v>0</v>
      </c>
      <c r="BD19" s="21">
        <f>IF(ISERROR(LOOKUP(BD$10,$R19:$AT19,#REF!)),0,(LOOKUP(BD$10,$R19:$AT19,#REF!)))</f>
        <v>0</v>
      </c>
      <c r="BE19" s="402">
        <f ca="1">IF(ISERROR(LOOKUP(BE$10,$R19:$AT19,#REF!)),0,(LOOKUP(BE$10,$R19:$AT19,#REF!)))</f>
        <v>0</v>
      </c>
      <c r="BF19" s="411"/>
      <c r="BG19" s="430"/>
      <c r="BH19" s="430"/>
      <c r="BI19" s="217" t="s">
        <v>1005</v>
      </c>
    </row>
    <row r="20" spans="1:61" s="3" customFormat="1" ht="15.4" thickTop="1" thickBot="1" x14ac:dyDescent="0.45">
      <c r="A20" s="508"/>
      <c r="B20" s="92" t="s">
        <v>203</v>
      </c>
      <c r="C20" s="40" t="s">
        <v>397</v>
      </c>
      <c r="D20" s="23" t="s">
        <v>186</v>
      </c>
      <c r="E20" s="61" t="s">
        <v>38</v>
      </c>
      <c r="F20" s="24" t="s">
        <v>30</v>
      </c>
      <c r="G20" s="22" t="s">
        <v>31</v>
      </c>
      <c r="H20" s="22" t="s">
        <v>189</v>
      </c>
      <c r="I20" s="22" t="s">
        <v>321</v>
      </c>
      <c r="J20" s="208" t="s">
        <v>678</v>
      </c>
      <c r="K20" s="202"/>
      <c r="L20" s="202"/>
      <c r="M20" s="202"/>
      <c r="N20" s="202"/>
      <c r="O20" s="202"/>
      <c r="P20" s="178" t="s">
        <v>32</v>
      </c>
      <c r="Q20" s="25" t="s">
        <v>34</v>
      </c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7">
        <v>46289</v>
      </c>
      <c r="AF20" s="27">
        <f>AE20+60</f>
        <v>46349</v>
      </c>
      <c r="AG20" s="27">
        <f>AF20+2</f>
        <v>46351</v>
      </c>
      <c r="AH20" s="27">
        <f>AG20+2</f>
        <v>46353</v>
      </c>
      <c r="AI20" s="27">
        <f>AJ20-15</f>
        <v>46417</v>
      </c>
      <c r="AJ20" s="27">
        <f>AK20-1</f>
        <v>46432</v>
      </c>
      <c r="AK20" s="27">
        <f>AP20</f>
        <v>46433</v>
      </c>
      <c r="AL20" s="27">
        <f>AP19+3</f>
        <v>46436</v>
      </c>
      <c r="AM20" s="27">
        <f>AP19+30</f>
        <v>46463</v>
      </c>
      <c r="AN20" s="88"/>
      <c r="AO20" s="88"/>
      <c r="AP20" s="82">
        <f>AP19</f>
        <v>46433</v>
      </c>
      <c r="AQ20" s="82"/>
      <c r="AR20" s="28"/>
      <c r="AS20" s="361" t="s">
        <v>773</v>
      </c>
      <c r="AT20" s="502"/>
      <c r="AU20" s="20">
        <f>IF(ISERROR(LOOKUP(AU$10,$R20:$AT20,#REF!)),0,(LOOKUP(AU$10,$R20:$AT20,#REF!)))</f>
        <v>0</v>
      </c>
      <c r="AV20" s="21">
        <f>IF(ISERROR(LOOKUP(AV$10,$R20:$AT20,#REF!)),0,(LOOKUP(AV$10,$R20:$AT20,#REF!)))</f>
        <v>0</v>
      </c>
      <c r="AW20" s="21">
        <f>IF(ISERROR(LOOKUP(AW$10,$R20:$AT20,#REF!)),0,(LOOKUP(AW$10,$R20:$AT20,#REF!)))</f>
        <v>0</v>
      </c>
      <c r="AX20" s="21">
        <f>IF(ISERROR(LOOKUP(AX$10,$R20:$AT20,#REF!)),0,(LOOKUP(AX$10,$R20:$AT20,#REF!)))</f>
        <v>0</v>
      </c>
      <c r="AY20" s="21">
        <f>IF(ISERROR(LOOKUP(AY$10,$R20:$AT20,#REF!)),0,(LOOKUP(AY$10,$R20:$AT20,#REF!)))</f>
        <v>0</v>
      </c>
      <c r="AZ20" s="21">
        <f>IF(ISERROR(LOOKUP(AZ$10,$R20:$AT20,#REF!)),0,(LOOKUP(AZ$10,$R20:$AT20,#REF!)))</f>
        <v>0</v>
      </c>
      <c r="BA20" s="21">
        <f>IF(ISERROR(LOOKUP(BA$10,$R20:$AT20,#REF!)),0,(LOOKUP(BA$10,$R20:$AT20,#REF!)))</f>
        <v>0</v>
      </c>
      <c r="BB20" s="21">
        <f>IF(ISERROR(LOOKUP(BB$10,$R20:$AT20,#REF!)),0,(LOOKUP(BB$10,$R20:$AT20,#REF!)))</f>
        <v>0</v>
      </c>
      <c r="BC20" s="21">
        <f>IF(ISERROR(LOOKUP(BC$10,$R20:$AT20,#REF!)),0,(LOOKUP(BC$10,$R20:$AT20,#REF!)))</f>
        <v>0</v>
      </c>
      <c r="BD20" s="21">
        <f>IF(ISERROR(LOOKUP(BD$10,$R20:$AT20,#REF!)),0,(LOOKUP(BD$10,$R20:$AT20,#REF!)))</f>
        <v>0</v>
      </c>
      <c r="BE20" s="402">
        <f ca="1">IF(ISERROR(LOOKUP(BE$10,$R20:$AT20,#REF!)),0,(LOOKUP(BE$10,$R20:$AT20,#REF!)))</f>
        <v>0</v>
      </c>
      <c r="BF20" s="408"/>
      <c r="BG20" s="428">
        <v>46433</v>
      </c>
      <c r="BH20" s="428"/>
      <c r="BI20" s="217" t="s">
        <v>1006</v>
      </c>
    </row>
    <row r="21" spans="1:61" s="3" customFormat="1" ht="15.4" thickTop="1" thickBot="1" x14ac:dyDescent="0.45">
      <c r="A21" s="509"/>
      <c r="B21" s="93" t="s">
        <v>203</v>
      </c>
      <c r="C21" s="31" t="s">
        <v>397</v>
      </c>
      <c r="D21" s="32" t="s">
        <v>186</v>
      </c>
      <c r="E21" s="62" t="s">
        <v>38</v>
      </c>
      <c r="F21" s="33" t="s">
        <v>30</v>
      </c>
      <c r="G21" s="31" t="s">
        <v>31</v>
      </c>
      <c r="H21" s="31" t="s">
        <v>189</v>
      </c>
      <c r="I21" s="31" t="s">
        <v>321</v>
      </c>
      <c r="J21" s="32"/>
      <c r="K21" s="201"/>
      <c r="L21" s="32"/>
      <c r="M21" s="32"/>
      <c r="N21" s="32"/>
      <c r="O21" s="32"/>
      <c r="P21" s="179" t="s">
        <v>32</v>
      </c>
      <c r="Q21" s="34" t="s">
        <v>35</v>
      </c>
      <c r="R21" s="35"/>
      <c r="S21" s="35">
        <v>46129</v>
      </c>
      <c r="T21" s="35">
        <v>46143</v>
      </c>
      <c r="U21" s="35">
        <v>46148</v>
      </c>
      <c r="V21" s="35">
        <f>U21</f>
        <v>46148</v>
      </c>
      <c r="W21" s="35">
        <v>46183</v>
      </c>
      <c r="X21" s="35">
        <v>46200</v>
      </c>
      <c r="Y21" s="35">
        <v>46211</v>
      </c>
      <c r="Z21" s="35" t="s">
        <v>515</v>
      </c>
      <c r="AA21" s="35">
        <v>46217</v>
      </c>
      <c r="AB21" s="35">
        <v>46218</v>
      </c>
      <c r="AC21" s="35">
        <v>46220</v>
      </c>
      <c r="AD21" s="35">
        <v>46244</v>
      </c>
      <c r="AE21" s="35"/>
      <c r="AF21" s="35"/>
      <c r="AG21" s="35"/>
      <c r="AH21" s="35"/>
      <c r="AI21" s="35"/>
      <c r="AJ21" s="35"/>
      <c r="AK21" s="35"/>
      <c r="AL21" s="35"/>
      <c r="AM21" s="35"/>
      <c r="AN21" s="81"/>
      <c r="AO21" s="81"/>
      <c r="AP21" s="259"/>
      <c r="AQ21" s="36"/>
      <c r="AR21" s="37"/>
      <c r="AS21" s="141"/>
      <c r="AT21" s="503"/>
      <c r="AU21" s="38">
        <f>IF(ISERROR(LOOKUP(AU$10,$R21:$AT21,#REF!)),0,(LOOKUP(AU$10,$R21:$AT21,#REF!)))</f>
        <v>0</v>
      </c>
      <c r="AV21" s="39">
        <f>IF(ISERROR(LOOKUP(AV$10,$R21:$AT21,#REF!)),0,(LOOKUP(AV$10,$R21:$AT21,#REF!)))</f>
        <v>0</v>
      </c>
      <c r="AW21" s="39">
        <f>IF(ISERROR(LOOKUP(AW$10,$R21:$AT21,#REF!)),0,(LOOKUP(AW$10,$R21:$AT21,#REF!)))</f>
        <v>0</v>
      </c>
      <c r="AX21" s="39">
        <f>IF(ISERROR(LOOKUP(AX$10,$R21:$AT21,#REF!)),0,(LOOKUP(AX$10,$R21:$AT21,#REF!)))</f>
        <v>0</v>
      </c>
      <c r="AY21" s="39">
        <f>IF(ISERROR(LOOKUP(AY$10,$R21:$AT21,#REF!)),0,(LOOKUP(AY$10,$R21:$AT21,#REF!)))</f>
        <v>0</v>
      </c>
      <c r="AZ21" s="39">
        <f>IF(ISERROR(LOOKUP(AZ$10,$R21:$AT21,#REF!)),0,(LOOKUP(AZ$10,$R21:$AT21,#REF!)))</f>
        <v>0</v>
      </c>
      <c r="BA21" s="39">
        <f>IF(ISERROR(LOOKUP(BA$10,$R21:$AT21,#REF!)),0,(LOOKUP(BA$10,$R21:$AT21,#REF!)))</f>
        <v>0</v>
      </c>
      <c r="BB21" s="39">
        <f>IF(ISERROR(LOOKUP(BB$10,$R21:$AT21,#REF!)),0,(LOOKUP(BB$10,$R21:$AT21,#REF!)))</f>
        <v>0</v>
      </c>
      <c r="BC21" s="39">
        <f>IF(ISERROR(LOOKUP(BC$10,$R21:$AT21,#REF!)),0,(LOOKUP(BC$10,$R21:$AT21,#REF!)))</f>
        <v>0</v>
      </c>
      <c r="BD21" s="39">
        <f>IF(ISERROR(LOOKUP(BD$10,$R21:$AT21,#REF!)),0,(LOOKUP(BD$10,$R21:$AT21,#REF!)))</f>
        <v>0</v>
      </c>
      <c r="BE21" s="405">
        <f ca="1">IF(ISERROR(LOOKUP(BE$10,$R21:$AT21,#REF!)),0,(LOOKUP(BE$10,$R21:$AT21,#REF!)))</f>
        <v>0</v>
      </c>
      <c r="BF21" s="412"/>
      <c r="BG21" s="431"/>
      <c r="BH21" s="431"/>
    </row>
    <row r="22" spans="1:61" s="3" customFormat="1" ht="17.649999999999999" customHeight="1" thickTop="1" thickBot="1" x14ac:dyDescent="0.45">
      <c r="A22" s="507">
        <f t="shared" ref="A22" si="3">A19+1</f>
        <v>3</v>
      </c>
      <c r="B22" s="91" t="s">
        <v>204</v>
      </c>
      <c r="C22" s="13" t="s">
        <v>400</v>
      </c>
      <c r="D22" s="338" t="s">
        <v>284</v>
      </c>
      <c r="E22" s="63" t="s">
        <v>44</v>
      </c>
      <c r="F22" s="15" t="s">
        <v>30</v>
      </c>
      <c r="G22" s="13" t="s">
        <v>31</v>
      </c>
      <c r="H22" s="13" t="s">
        <v>0</v>
      </c>
      <c r="I22" s="13" t="s">
        <v>286</v>
      </c>
      <c r="J22" s="345" t="s">
        <v>450</v>
      </c>
      <c r="K22" s="193" t="s">
        <v>450</v>
      </c>
      <c r="L22" s="193"/>
      <c r="M22" s="193"/>
      <c r="N22" s="193"/>
      <c r="O22" s="193"/>
      <c r="P22" s="177" t="s">
        <v>32</v>
      </c>
      <c r="Q22" s="17" t="s">
        <v>33</v>
      </c>
      <c r="R22" s="18">
        <v>46135</v>
      </c>
      <c r="S22" s="18">
        <v>46136</v>
      </c>
      <c r="T22" s="18">
        <v>46147</v>
      </c>
      <c r="U22" s="18">
        <v>46148</v>
      </c>
      <c r="V22" s="18">
        <v>46155</v>
      </c>
      <c r="W22" s="18">
        <v>46197</v>
      </c>
      <c r="X22" s="18">
        <v>46197</v>
      </c>
      <c r="Y22" s="18">
        <v>46211</v>
      </c>
      <c r="Z22" s="18"/>
      <c r="AA22" s="18">
        <v>46218</v>
      </c>
      <c r="AB22" s="18">
        <v>46220</v>
      </c>
      <c r="AC22" s="18">
        <v>46227</v>
      </c>
      <c r="AD22" s="18">
        <v>46255</v>
      </c>
      <c r="AE22" s="206">
        <v>46269</v>
      </c>
      <c r="AF22" s="18">
        <v>46329</v>
      </c>
      <c r="AG22" s="18">
        <v>46331</v>
      </c>
      <c r="AH22" s="18">
        <v>46333</v>
      </c>
      <c r="AI22" s="18">
        <v>46429</v>
      </c>
      <c r="AJ22" s="18">
        <v>46444</v>
      </c>
      <c r="AK22" s="18">
        <v>46449</v>
      </c>
      <c r="AL22" s="18">
        <v>46452</v>
      </c>
      <c r="AM22" s="18">
        <v>46479</v>
      </c>
      <c r="AN22" s="57">
        <v>33</v>
      </c>
      <c r="AO22" s="58">
        <v>231</v>
      </c>
      <c r="AP22" s="77">
        <v>46449</v>
      </c>
      <c r="AQ22" s="494">
        <v>46489</v>
      </c>
      <c r="AR22" s="76">
        <f>AQ22-AP23</f>
        <v>14</v>
      </c>
      <c r="AS22" s="139" t="s">
        <v>420</v>
      </c>
      <c r="AT22" s="498" t="s">
        <v>1026</v>
      </c>
      <c r="AU22" s="20">
        <f>IF(ISERROR(LOOKUP(AU$10,$R22:$AT22,#REF!)),0,(LOOKUP(AU$10,$R22:$AT22,#REF!)))</f>
        <v>0</v>
      </c>
      <c r="AV22" s="21">
        <f>IF(ISERROR(LOOKUP(AV$10,$R22:$AT22,#REF!)),0,(LOOKUP(AV$10,$R22:$AT22,#REF!)))</f>
        <v>0</v>
      </c>
      <c r="AW22" s="21">
        <f>IF(ISERROR(LOOKUP(AW$10,$R22:$AT22,#REF!)),0,(LOOKUP(AW$10,$R22:$AT22,#REF!)))</f>
        <v>0</v>
      </c>
      <c r="AX22" s="21">
        <f>IF(ISERROR(LOOKUP(AX$10,$R22:$AT22,#REF!)),0,(LOOKUP(AX$10,$R22:$AT22,#REF!)))</f>
        <v>0</v>
      </c>
      <c r="AY22" s="21">
        <f>IF(ISERROR(LOOKUP(AY$10,$R22:$AT22,#REF!)),0,(LOOKUP(AY$10,$R22:$AT22,#REF!)))</f>
        <v>0</v>
      </c>
      <c r="AZ22" s="21">
        <f>IF(ISERROR(LOOKUP(AZ$10,$R22:$AT22,#REF!)),0,(LOOKUP(AZ$10,$R22:$AT22,#REF!)))</f>
        <v>0</v>
      </c>
      <c r="BA22" s="21">
        <f>IF(ISERROR(LOOKUP(BA$10,$R22:$AT22,#REF!)),0,(LOOKUP(BA$10,$R22:$AT22,#REF!)))</f>
        <v>0</v>
      </c>
      <c r="BB22" s="21">
        <f>IF(ISERROR(LOOKUP(BB$10,$R22:$AT22,#REF!)),0,(LOOKUP(BB$10,$R22:$AT22,#REF!)))</f>
        <v>0</v>
      </c>
      <c r="BC22" s="21">
        <f>IF(ISERROR(LOOKUP(BC$10,$R22:$AT22,#REF!)),0,(LOOKUP(BC$10,$R22:$AT22,#REF!)))</f>
        <v>0</v>
      </c>
      <c r="BD22" s="21">
        <f>IF(ISERROR(LOOKUP(BD$10,$R22:$AT22,#REF!)),0,(LOOKUP(BD$10,$R22:$AT22,#REF!)))</f>
        <v>0</v>
      </c>
      <c r="BE22" s="402">
        <f ca="1">IF(ISERROR(LOOKUP(BE$10,$R22:$AT22,#REF!)),0,(LOOKUP(BE$10,$R22:$AT22,#REF!)))</f>
        <v>0</v>
      </c>
      <c r="BF22" s="410"/>
      <c r="BG22" s="432"/>
      <c r="BH22" s="432"/>
    </row>
    <row r="23" spans="1:61" s="3" customFormat="1" ht="15.4" thickTop="1" thickBot="1" x14ac:dyDescent="0.45">
      <c r="A23" s="508"/>
      <c r="B23" s="92" t="s">
        <v>203</v>
      </c>
      <c r="C23" s="40" t="s">
        <v>399</v>
      </c>
      <c r="D23" s="42" t="s">
        <v>283</v>
      </c>
      <c r="E23" s="64" t="s">
        <v>44</v>
      </c>
      <c r="F23" s="24" t="s">
        <v>30</v>
      </c>
      <c r="G23" s="22" t="s">
        <v>31</v>
      </c>
      <c r="H23" s="22" t="s">
        <v>0</v>
      </c>
      <c r="I23" s="22" t="s">
        <v>286</v>
      </c>
      <c r="J23" s="208" t="s">
        <v>678</v>
      </c>
      <c r="K23" s="194"/>
      <c r="L23" s="194"/>
      <c r="M23" s="194"/>
      <c r="N23" s="194"/>
      <c r="O23" s="194"/>
      <c r="P23" s="178" t="s">
        <v>32</v>
      </c>
      <c r="Q23" s="25" t="s">
        <v>34</v>
      </c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7">
        <v>46289</v>
      </c>
      <c r="AF23" s="27">
        <f>AE23+60</f>
        <v>46349</v>
      </c>
      <c r="AG23" s="27">
        <f>AF23+2</f>
        <v>46351</v>
      </c>
      <c r="AH23" s="27">
        <f>AG23+2</f>
        <v>46353</v>
      </c>
      <c r="AI23" s="27">
        <f>AJ23-15</f>
        <v>46460</v>
      </c>
      <c r="AJ23" s="27">
        <f>AK23</f>
        <v>46475</v>
      </c>
      <c r="AK23" s="27">
        <f>AP23</f>
        <v>46475</v>
      </c>
      <c r="AL23" s="27">
        <f>AP22+3</f>
        <v>46452</v>
      </c>
      <c r="AM23" s="27">
        <f>AP22+30</f>
        <v>46479</v>
      </c>
      <c r="AN23" s="88"/>
      <c r="AO23" s="89"/>
      <c r="AP23" s="82">
        <v>46475</v>
      </c>
      <c r="AQ23" s="82"/>
      <c r="AR23" s="28"/>
      <c r="AS23" s="361" t="s">
        <v>773</v>
      </c>
      <c r="AT23" s="502"/>
      <c r="AU23" s="20">
        <f>IF(ISERROR(LOOKUP(AU$10,$R23:$AT23,#REF!)),0,(LOOKUP(AU$10,$R23:$AT23,#REF!)))</f>
        <v>0</v>
      </c>
      <c r="AV23" s="21">
        <f>IF(ISERROR(LOOKUP(AV$10,$R23:$AT23,#REF!)),0,(LOOKUP(AV$10,$R23:$AT23,#REF!)))</f>
        <v>0</v>
      </c>
      <c r="AW23" s="21">
        <f>IF(ISERROR(LOOKUP(AW$10,$R23:$AT23,#REF!)),0,(LOOKUP(AW$10,$R23:$AT23,#REF!)))</f>
        <v>0</v>
      </c>
      <c r="AX23" s="21">
        <f>IF(ISERROR(LOOKUP(AX$10,$R23:$AT23,#REF!)),0,(LOOKUP(AX$10,$R23:$AT23,#REF!)))</f>
        <v>0</v>
      </c>
      <c r="AY23" s="21">
        <f>IF(ISERROR(LOOKUP(AY$10,$R23:$AT23,#REF!)),0,(LOOKUP(AY$10,$R23:$AT23,#REF!)))</f>
        <v>0</v>
      </c>
      <c r="AZ23" s="21">
        <f>IF(ISERROR(LOOKUP(AZ$10,$R23:$AT23,#REF!)),0,(LOOKUP(AZ$10,$R23:$AT23,#REF!)))</f>
        <v>0</v>
      </c>
      <c r="BA23" s="21">
        <f>IF(ISERROR(LOOKUP(BA$10,$R23:$AT23,#REF!)),0,(LOOKUP(BA$10,$R23:$AT23,#REF!)))</f>
        <v>0</v>
      </c>
      <c r="BB23" s="21">
        <f>IF(ISERROR(LOOKUP(BB$10,$R23:$AT23,#REF!)),0,(LOOKUP(BB$10,$R23:$AT23,#REF!)))</f>
        <v>0</v>
      </c>
      <c r="BC23" s="21">
        <f>IF(ISERROR(LOOKUP(BC$10,$R23:$AT23,#REF!)),0,(LOOKUP(BC$10,$R23:$AT23,#REF!)))</f>
        <v>0</v>
      </c>
      <c r="BD23" s="21">
        <f>IF(ISERROR(LOOKUP(BD$10,$R23:$AT23,#REF!)),0,(LOOKUP(BD$10,$R23:$AT23,#REF!)))</f>
        <v>0</v>
      </c>
      <c r="BE23" s="402">
        <f ca="1">IF(ISERROR(LOOKUP(BE$10,$R23:$AT23,#REF!)),0,(LOOKUP(BE$10,$R23:$AT23,#REF!)))</f>
        <v>0</v>
      </c>
      <c r="BF23" s="408"/>
      <c r="BG23" s="428">
        <v>46475</v>
      </c>
      <c r="BH23" s="428"/>
    </row>
    <row r="24" spans="1:61" s="3" customFormat="1" ht="18.75" thickTop="1" thickBot="1" x14ac:dyDescent="0.45">
      <c r="A24" s="509"/>
      <c r="B24" s="93" t="s">
        <v>203</v>
      </c>
      <c r="C24" s="31" t="s">
        <v>399</v>
      </c>
      <c r="D24" s="43" t="s">
        <v>283</v>
      </c>
      <c r="E24" s="66" t="s">
        <v>44</v>
      </c>
      <c r="F24" s="33" t="s">
        <v>30</v>
      </c>
      <c r="G24" s="31" t="s">
        <v>31</v>
      </c>
      <c r="H24" s="31" t="s">
        <v>0</v>
      </c>
      <c r="I24" s="31" t="s">
        <v>286</v>
      </c>
      <c r="J24" s="195"/>
      <c r="K24" s="195"/>
      <c r="L24" s="195"/>
      <c r="M24" s="195"/>
      <c r="N24" s="195"/>
      <c r="O24" s="195"/>
      <c r="P24" s="179" t="s">
        <v>32</v>
      </c>
      <c r="Q24" s="34" t="s">
        <v>35</v>
      </c>
      <c r="R24" s="35"/>
      <c r="S24" s="35">
        <v>46129</v>
      </c>
      <c r="T24" s="35">
        <v>46143</v>
      </c>
      <c r="U24" s="35">
        <v>46148</v>
      </c>
      <c r="V24" s="35">
        <f>U24</f>
        <v>46148</v>
      </c>
      <c r="W24" s="35">
        <v>46183</v>
      </c>
      <c r="X24" s="35">
        <v>46200</v>
      </c>
      <c r="Y24" s="35">
        <v>46211</v>
      </c>
      <c r="Z24" s="35" t="s">
        <v>515</v>
      </c>
      <c r="AA24" s="35">
        <v>46217</v>
      </c>
      <c r="AB24" s="35">
        <v>46218</v>
      </c>
      <c r="AC24" s="35">
        <v>46220</v>
      </c>
      <c r="AD24" s="35">
        <v>46240</v>
      </c>
      <c r="AE24" s="469" t="s">
        <v>1024</v>
      </c>
      <c r="AF24" s="35"/>
      <c r="AG24" s="35"/>
      <c r="AH24" s="35"/>
      <c r="AI24" s="35"/>
      <c r="AJ24" s="35"/>
      <c r="AK24" s="35"/>
      <c r="AL24" s="35"/>
      <c r="AM24" s="35"/>
      <c r="AN24" s="81"/>
      <c r="AO24" s="79"/>
      <c r="AP24" s="259"/>
      <c r="AQ24" s="36"/>
      <c r="AR24" s="37"/>
      <c r="AS24" s="141"/>
      <c r="AT24" s="503"/>
      <c r="AU24" s="38">
        <f>IF(ISERROR(LOOKUP(AU$10,$R24:$AT24,#REF!)),0,(LOOKUP(AU$10,$R24:$AT24,#REF!)))</f>
        <v>0</v>
      </c>
      <c r="AV24" s="39">
        <f>IF(ISERROR(LOOKUP(AV$10,$R24:$AT24,#REF!)),0,(LOOKUP(AV$10,$R24:$AT24,#REF!)))</f>
        <v>0</v>
      </c>
      <c r="AW24" s="39">
        <f>IF(ISERROR(LOOKUP(AW$10,$R24:$AT24,#REF!)),0,(LOOKUP(AW$10,$R24:$AT24,#REF!)))</f>
        <v>0</v>
      </c>
      <c r="AX24" s="39">
        <f>IF(ISERROR(LOOKUP(AX$10,$R24:$AT24,#REF!)),0,(LOOKUP(AX$10,$R24:$AT24,#REF!)))</f>
        <v>0</v>
      </c>
      <c r="AY24" s="39">
        <f>IF(ISERROR(LOOKUP(AY$10,$R24:$AT24,#REF!)),0,(LOOKUP(AY$10,$R24:$AT24,#REF!)))</f>
        <v>0</v>
      </c>
      <c r="AZ24" s="39">
        <f>IF(ISERROR(LOOKUP(AZ$10,$R24:$AT24,#REF!)),0,(LOOKUP(AZ$10,$R24:$AT24,#REF!)))</f>
        <v>0</v>
      </c>
      <c r="BA24" s="39">
        <f>IF(ISERROR(LOOKUP(BA$10,$R24:$AT24,#REF!)),0,(LOOKUP(BA$10,$R24:$AT24,#REF!)))</f>
        <v>0</v>
      </c>
      <c r="BB24" s="39">
        <f>IF(ISERROR(LOOKUP(BB$10,$R24:$AT24,#REF!)),0,(LOOKUP(BB$10,$R24:$AT24,#REF!)))</f>
        <v>0</v>
      </c>
      <c r="BC24" s="39">
        <f>IF(ISERROR(LOOKUP(BC$10,$R24:$AT24,#REF!)),0,(LOOKUP(BC$10,$R24:$AT24,#REF!)))</f>
        <v>0</v>
      </c>
      <c r="BD24" s="39">
        <f>IF(ISERROR(LOOKUP(BD$10,$R24:$AT24,#REF!)),0,(LOOKUP(BD$10,$R24:$AT24,#REF!)))</f>
        <v>0</v>
      </c>
      <c r="BE24" s="405">
        <f ca="1">IF(ISERROR(LOOKUP(BE$10,$R24:$AT24,#REF!)),0,(LOOKUP(BE$10,$R24:$AT24,#REF!)))</f>
        <v>0</v>
      </c>
      <c r="BF24" s="418"/>
      <c r="BG24" s="433"/>
      <c r="BH24" s="433"/>
    </row>
    <row r="25" spans="1:61" s="3" customFormat="1" ht="17.25" customHeight="1" thickTop="1" thickBot="1" x14ac:dyDescent="0.45">
      <c r="A25" s="507">
        <f t="shared" ref="A25" si="4">A22+1</f>
        <v>4</v>
      </c>
      <c r="B25" s="91" t="s">
        <v>204</v>
      </c>
      <c r="C25" s="13" t="s">
        <v>402</v>
      </c>
      <c r="D25" s="338" t="s">
        <v>182</v>
      </c>
      <c r="E25" s="63" t="s">
        <v>47</v>
      </c>
      <c r="F25" s="15" t="s">
        <v>30</v>
      </c>
      <c r="G25" s="13" t="s">
        <v>31</v>
      </c>
      <c r="H25" s="13" t="s">
        <v>0</v>
      </c>
      <c r="I25" s="13" t="s">
        <v>286</v>
      </c>
      <c r="J25" s="345" t="s">
        <v>450</v>
      </c>
      <c r="K25" s="193" t="s">
        <v>450</v>
      </c>
      <c r="L25" s="193"/>
      <c r="M25" s="193"/>
      <c r="N25" s="193"/>
      <c r="O25" s="193"/>
      <c r="P25" s="177" t="s">
        <v>32</v>
      </c>
      <c r="Q25" s="17" t="s">
        <v>33</v>
      </c>
      <c r="R25" s="18">
        <v>46177</v>
      </c>
      <c r="S25" s="18">
        <v>46178</v>
      </c>
      <c r="T25" s="18">
        <v>46185</v>
      </c>
      <c r="U25" s="18">
        <v>46188</v>
      </c>
      <c r="V25" s="18">
        <v>46195</v>
      </c>
      <c r="W25" s="18">
        <v>46197</v>
      </c>
      <c r="X25" s="18">
        <v>46197</v>
      </c>
      <c r="Y25" s="18">
        <v>46211</v>
      </c>
      <c r="Z25" s="18"/>
      <c r="AA25" s="18">
        <v>46218</v>
      </c>
      <c r="AB25" s="18">
        <v>46220</v>
      </c>
      <c r="AC25" s="18">
        <v>46227</v>
      </c>
      <c r="AD25" s="18">
        <v>46255</v>
      </c>
      <c r="AE25" s="206">
        <v>46269</v>
      </c>
      <c r="AF25" s="18">
        <v>46329</v>
      </c>
      <c r="AG25" s="18">
        <v>46331</v>
      </c>
      <c r="AH25" s="18">
        <v>46333</v>
      </c>
      <c r="AI25" s="18">
        <v>46408</v>
      </c>
      <c r="AJ25" s="18">
        <v>46423</v>
      </c>
      <c r="AK25" s="18">
        <v>46438</v>
      </c>
      <c r="AL25" s="18">
        <v>46441</v>
      </c>
      <c r="AM25" s="18">
        <v>46468</v>
      </c>
      <c r="AN25" s="276">
        <v>26</v>
      </c>
      <c r="AO25" s="277">
        <v>180</v>
      </c>
      <c r="AP25" s="77">
        <v>46438</v>
      </c>
      <c r="AQ25" s="494">
        <v>46491</v>
      </c>
      <c r="AR25" s="76">
        <f>AQ25-AP26</f>
        <v>53</v>
      </c>
      <c r="AS25" s="139" t="s">
        <v>420</v>
      </c>
      <c r="AT25" s="498" t="s">
        <v>1025</v>
      </c>
      <c r="AU25" s="20">
        <f>IF(ISERROR(LOOKUP(AU$10,$R25:$AT25,#REF!)),0,(LOOKUP(AU$10,$R25:$AT25,#REF!)))</f>
        <v>0</v>
      </c>
      <c r="AV25" s="21">
        <f>IF(ISERROR(LOOKUP(AV$10,$R25:$AT25,#REF!)),0,(LOOKUP(AV$10,$R25:$AT25,#REF!)))</f>
        <v>0</v>
      </c>
      <c r="AW25" s="21">
        <f>IF(ISERROR(LOOKUP(AW$10,$R25:$AT25,#REF!)),0,(LOOKUP(AW$10,$R25:$AT25,#REF!)))</f>
        <v>0</v>
      </c>
      <c r="AX25" s="21">
        <f>IF(ISERROR(LOOKUP(AX$10,$R25:$AT25,#REF!)),0,(LOOKUP(AX$10,$R25:$AT25,#REF!)))</f>
        <v>0</v>
      </c>
      <c r="AY25" s="21">
        <f>IF(ISERROR(LOOKUP(AY$10,$R25:$AT25,#REF!)),0,(LOOKUP(AY$10,$R25:$AT25,#REF!)))</f>
        <v>0</v>
      </c>
      <c r="AZ25" s="21">
        <f>IF(ISERROR(LOOKUP(AZ$10,$R25:$AT25,#REF!)),0,(LOOKUP(AZ$10,$R25:$AT25,#REF!)))</f>
        <v>0</v>
      </c>
      <c r="BA25" s="21">
        <f>IF(ISERROR(LOOKUP(BA$10,$R25:$AT25,#REF!)),0,(LOOKUP(BA$10,$R25:$AT25,#REF!)))</f>
        <v>0</v>
      </c>
      <c r="BB25" s="21">
        <f>IF(ISERROR(LOOKUP(BB$10,$R25:$AT25,#REF!)),0,(LOOKUP(BB$10,$R25:$AT25,#REF!)))</f>
        <v>0</v>
      </c>
      <c r="BC25" s="21">
        <f>IF(ISERROR(LOOKUP(BC$10,$R25:$AT25,#REF!)),0,(LOOKUP(BC$10,$R25:$AT25,#REF!)))</f>
        <v>0</v>
      </c>
      <c r="BD25" s="21">
        <f>IF(ISERROR(LOOKUP(BD$10,$R25:$AT25,#REF!)),0,(LOOKUP(BD$10,$R25:$AT25,#REF!)))</f>
        <v>0</v>
      </c>
      <c r="BE25" s="402">
        <f ca="1">IF(ISERROR(LOOKUP(BE$10,$R25:$AT25,#REF!)),0,(LOOKUP(BE$10,$R25:$AT25,#REF!)))</f>
        <v>0</v>
      </c>
      <c r="BF25" s="411"/>
      <c r="BG25" s="430"/>
      <c r="BH25" s="430"/>
    </row>
    <row r="26" spans="1:61" s="3" customFormat="1" ht="15.4" thickTop="1" thickBot="1" x14ac:dyDescent="0.45">
      <c r="A26" s="508"/>
      <c r="B26" s="92" t="s">
        <v>203</v>
      </c>
      <c r="C26" s="40" t="s">
        <v>401</v>
      </c>
      <c r="D26" s="42" t="s">
        <v>46</v>
      </c>
      <c r="E26" s="42" t="s">
        <v>47</v>
      </c>
      <c r="F26" s="24" t="s">
        <v>30</v>
      </c>
      <c r="G26" s="22" t="s">
        <v>31</v>
      </c>
      <c r="H26" s="22" t="s">
        <v>0</v>
      </c>
      <c r="I26" s="22" t="s">
        <v>286</v>
      </c>
      <c r="J26" s="208" t="s">
        <v>678</v>
      </c>
      <c r="K26" s="194"/>
      <c r="L26" s="42"/>
      <c r="M26" s="42"/>
      <c r="N26" s="42"/>
      <c r="O26" s="42"/>
      <c r="P26" s="178" t="s">
        <v>32</v>
      </c>
      <c r="Q26" s="25" t="s">
        <v>34</v>
      </c>
      <c r="R26" s="26"/>
      <c r="S26" s="27"/>
      <c r="T26" s="27"/>
      <c r="U26" s="27"/>
      <c r="V26" s="27"/>
      <c r="W26" s="233"/>
      <c r="X26" s="26"/>
      <c r="Y26" s="26"/>
      <c r="Z26" s="26"/>
      <c r="AA26" s="26"/>
      <c r="AB26" s="26"/>
      <c r="AC26" s="26"/>
      <c r="AD26" s="233"/>
      <c r="AE26" s="27">
        <f>WORKDAY(AD27, 20, IF(AE12="China",'China Holidays'!$A$2:$A$84,'Thai Holidays'!$A$2:$A$65))</f>
        <v>46297</v>
      </c>
      <c r="AF26" s="27">
        <f>AE26+60</f>
        <v>46357</v>
      </c>
      <c r="AG26" s="27">
        <f>AF26+2</f>
        <v>46359</v>
      </c>
      <c r="AH26" s="27">
        <f>AG26+2</f>
        <v>46361</v>
      </c>
      <c r="AI26" s="27">
        <f>AJ26-15</f>
        <v>46408</v>
      </c>
      <c r="AJ26" s="27">
        <v>46423</v>
      </c>
      <c r="AK26" s="27">
        <f>AP25</f>
        <v>46438</v>
      </c>
      <c r="AL26" s="27">
        <f>AP25+3</f>
        <v>46441</v>
      </c>
      <c r="AM26" s="27">
        <f>AP25+30</f>
        <v>46468</v>
      </c>
      <c r="AN26" s="88"/>
      <c r="AO26" s="89"/>
      <c r="AP26" s="82">
        <f>AP25</f>
        <v>46438</v>
      </c>
      <c r="AQ26" s="82"/>
      <c r="AR26" s="28"/>
      <c r="AS26" s="361" t="s">
        <v>773</v>
      </c>
      <c r="AT26" s="502"/>
      <c r="AU26" s="20">
        <f>IF(ISERROR(LOOKUP(AU$10,$R26:$AT26,#REF!)),0,(LOOKUP(AU$10,$R26:$AT26,#REF!)))</f>
        <v>0</v>
      </c>
      <c r="AV26" s="21">
        <f>IF(ISERROR(LOOKUP(AV$10,$R26:$AT26,#REF!)),0,(LOOKUP(AV$10,$R26:$AT26,#REF!)))</f>
        <v>0</v>
      </c>
      <c r="AW26" s="21">
        <f>IF(ISERROR(LOOKUP(AW$10,$R26:$AT26,#REF!)),0,(LOOKUP(AW$10,$R26:$AT26,#REF!)))</f>
        <v>0</v>
      </c>
      <c r="AX26" s="21">
        <f>IF(ISERROR(LOOKUP(AX$10,$R26:$AT26,#REF!)),0,(LOOKUP(AX$10,$R26:$AT26,#REF!)))</f>
        <v>0</v>
      </c>
      <c r="AY26" s="21">
        <f>IF(ISERROR(LOOKUP(AY$10,$R26:$AT26,#REF!)),0,(LOOKUP(AY$10,$R26:$AT26,#REF!)))</f>
        <v>0</v>
      </c>
      <c r="AZ26" s="21">
        <f>IF(ISERROR(LOOKUP(AZ$10,$R26:$AT26,#REF!)),0,(LOOKUP(AZ$10,$R26:$AT26,#REF!)))</f>
        <v>0</v>
      </c>
      <c r="BA26" s="21">
        <f>IF(ISERROR(LOOKUP(BA$10,$R26:$AT26,#REF!)),0,(LOOKUP(BA$10,$R26:$AT26,#REF!)))</f>
        <v>0</v>
      </c>
      <c r="BB26" s="21">
        <f>IF(ISERROR(LOOKUP(BB$10,$R26:$AT26,#REF!)),0,(LOOKUP(BB$10,$R26:$AT26,#REF!)))</f>
        <v>0</v>
      </c>
      <c r="BC26" s="21">
        <f>IF(ISERROR(LOOKUP(BC$10,$R26:$AT26,#REF!)),0,(LOOKUP(BC$10,$R26:$AT26,#REF!)))</f>
        <v>0</v>
      </c>
      <c r="BD26" s="21">
        <f>IF(ISERROR(LOOKUP(BD$10,$R26:$AT26,#REF!)),0,(LOOKUP(BD$10,$R26:$AT26,#REF!)))</f>
        <v>0</v>
      </c>
      <c r="BE26" s="402">
        <f ca="1">IF(ISERROR(LOOKUP(BE$10,$R26:$AT26,#REF!)),0,(LOOKUP(BE$10,$R26:$AT26,#REF!)))</f>
        <v>0</v>
      </c>
      <c r="BF26" s="408"/>
      <c r="BG26" s="428">
        <v>46438</v>
      </c>
      <c r="BH26" s="428"/>
    </row>
    <row r="27" spans="1:61" s="3" customFormat="1" ht="15.4" thickTop="1" thickBot="1" x14ac:dyDescent="0.45">
      <c r="A27" s="509"/>
      <c r="B27" s="93" t="s">
        <v>203</v>
      </c>
      <c r="C27" s="31" t="s">
        <v>401</v>
      </c>
      <c r="D27" s="43" t="s">
        <v>46</v>
      </c>
      <c r="E27" s="65" t="s">
        <v>47</v>
      </c>
      <c r="F27" s="33" t="s">
        <v>30</v>
      </c>
      <c r="G27" s="31" t="s">
        <v>31</v>
      </c>
      <c r="H27" s="31" t="s">
        <v>0</v>
      </c>
      <c r="I27" s="31" t="s">
        <v>286</v>
      </c>
      <c r="J27" s="43"/>
      <c r="K27" s="218"/>
      <c r="L27" s="43"/>
      <c r="M27" s="43"/>
      <c r="N27" s="43"/>
      <c r="O27" s="43"/>
      <c r="P27" s="179" t="s">
        <v>32</v>
      </c>
      <c r="Q27" s="34" t="s">
        <v>35</v>
      </c>
      <c r="R27" s="35"/>
      <c r="S27" s="35">
        <v>46141</v>
      </c>
      <c r="T27" s="35">
        <v>46143</v>
      </c>
      <c r="U27" s="35">
        <v>46148</v>
      </c>
      <c r="V27" s="35">
        <v>46148</v>
      </c>
      <c r="W27" s="35">
        <v>46191</v>
      </c>
      <c r="X27" s="35">
        <v>46200</v>
      </c>
      <c r="Y27" s="35">
        <v>46211</v>
      </c>
      <c r="Z27" s="35" t="s">
        <v>515</v>
      </c>
      <c r="AA27" s="35">
        <v>46217</v>
      </c>
      <c r="AB27" s="35">
        <v>46218</v>
      </c>
      <c r="AC27" s="35">
        <v>46220</v>
      </c>
      <c r="AD27" s="35">
        <v>46269</v>
      </c>
      <c r="AE27" s="35"/>
      <c r="AF27" s="35"/>
      <c r="AG27" s="35"/>
      <c r="AH27" s="35"/>
      <c r="AI27" s="35"/>
      <c r="AJ27" s="35"/>
      <c r="AK27" s="35"/>
      <c r="AL27" s="35"/>
      <c r="AM27" s="35"/>
      <c r="AN27" s="81"/>
      <c r="AO27" s="79"/>
      <c r="AP27" s="259"/>
      <c r="AQ27" s="36"/>
      <c r="AR27" s="37"/>
      <c r="AS27" s="141"/>
      <c r="AT27" s="503"/>
      <c r="AU27" s="38">
        <f>IF(ISERROR(LOOKUP(AU$10,$R27:$AT27,#REF!)),0,(LOOKUP(AU$10,$R27:$AT27,#REF!)))</f>
        <v>0</v>
      </c>
      <c r="AV27" s="39">
        <f>IF(ISERROR(LOOKUP(AV$10,$R27:$AT27,#REF!)),0,(LOOKUP(AV$10,$R27:$AT27,#REF!)))</f>
        <v>0</v>
      </c>
      <c r="AW27" s="39">
        <f>IF(ISERROR(LOOKUP(AW$10,$R27:$AT27,#REF!)),0,(LOOKUP(AW$10,$R27:$AT27,#REF!)))</f>
        <v>0</v>
      </c>
      <c r="AX27" s="39">
        <f>IF(ISERROR(LOOKUP(AX$10,$R27:$AT27,#REF!)),0,(LOOKUP(AX$10,$R27:$AT27,#REF!)))</f>
        <v>0</v>
      </c>
      <c r="AY27" s="39">
        <f>IF(ISERROR(LOOKUP(AY$10,$R27:$AT27,#REF!)),0,(LOOKUP(AY$10,$R27:$AT27,#REF!)))</f>
        <v>0</v>
      </c>
      <c r="AZ27" s="39">
        <f>IF(ISERROR(LOOKUP(AZ$10,$R27:$AT27,#REF!)),0,(LOOKUP(AZ$10,$R27:$AT27,#REF!)))</f>
        <v>0</v>
      </c>
      <c r="BA27" s="39">
        <f>IF(ISERROR(LOOKUP(BA$10,$R27:$AT27,#REF!)),0,(LOOKUP(BA$10,$R27:$AT27,#REF!)))</f>
        <v>0</v>
      </c>
      <c r="BB27" s="39">
        <f>IF(ISERROR(LOOKUP(BB$10,$R27:$AT27,#REF!)),0,(LOOKUP(BB$10,$R27:$AT27,#REF!)))</f>
        <v>0</v>
      </c>
      <c r="BC27" s="39">
        <f>IF(ISERROR(LOOKUP(BC$10,$R27:$AT27,#REF!)),0,(LOOKUP(BC$10,$R27:$AT27,#REF!)))</f>
        <v>0</v>
      </c>
      <c r="BD27" s="39">
        <f>IF(ISERROR(LOOKUP(BD$10,$R27:$AT27,#REF!)),0,(LOOKUP(BD$10,$R27:$AT27,#REF!)))</f>
        <v>0</v>
      </c>
      <c r="BE27" s="405">
        <f ca="1">IF(ISERROR(LOOKUP(BE$10,$R27:$AT27,#REF!)),0,(LOOKUP(BE$10,$R27:$AT27,#REF!)))</f>
        <v>0</v>
      </c>
      <c r="BF27" s="412"/>
      <c r="BG27" s="431"/>
      <c r="BH27" s="431"/>
    </row>
    <row r="28" spans="1:61" s="3" customFormat="1" ht="19.149999999999999" customHeight="1" thickTop="1" thickBot="1" x14ac:dyDescent="0.45">
      <c r="A28" s="507">
        <f t="shared" ref="A28" si="5">A25+1</f>
        <v>5</v>
      </c>
      <c r="B28" s="91" t="s">
        <v>206</v>
      </c>
      <c r="C28" s="13" t="s">
        <v>280</v>
      </c>
      <c r="D28" s="338" t="s">
        <v>365</v>
      </c>
      <c r="E28" s="63" t="s">
        <v>41</v>
      </c>
      <c r="F28" s="15" t="s">
        <v>30</v>
      </c>
      <c r="G28" s="13" t="s">
        <v>31</v>
      </c>
      <c r="H28" s="13" t="s">
        <v>189</v>
      </c>
      <c r="I28" s="13" t="s">
        <v>286</v>
      </c>
      <c r="J28" s="345" t="s">
        <v>618</v>
      </c>
      <c r="K28" s="191" t="s">
        <v>618</v>
      </c>
      <c r="L28" s="191" t="s">
        <v>583</v>
      </c>
      <c r="M28" s="191"/>
      <c r="N28" s="306" t="s">
        <v>583</v>
      </c>
      <c r="O28" s="191" t="s">
        <v>618</v>
      </c>
      <c r="P28" s="174" t="s">
        <v>32</v>
      </c>
      <c r="Q28" s="17" t="s">
        <v>33</v>
      </c>
      <c r="R28" s="18">
        <v>46140</v>
      </c>
      <c r="S28" s="18">
        <v>46141</v>
      </c>
      <c r="T28" s="18">
        <v>46150</v>
      </c>
      <c r="U28" s="18">
        <v>46153</v>
      </c>
      <c r="V28" s="18">
        <v>46160</v>
      </c>
      <c r="W28" s="18">
        <v>46168</v>
      </c>
      <c r="X28" s="18">
        <v>46195</v>
      </c>
      <c r="Y28" s="18">
        <v>46209</v>
      </c>
      <c r="Z28" s="18"/>
      <c r="AA28" s="18">
        <v>46220</v>
      </c>
      <c r="AB28" s="18">
        <v>46224</v>
      </c>
      <c r="AC28" s="18">
        <v>46231</v>
      </c>
      <c r="AD28" s="18">
        <v>46259</v>
      </c>
      <c r="AE28" s="206">
        <v>46273</v>
      </c>
      <c r="AF28" s="18">
        <v>46363</v>
      </c>
      <c r="AG28" s="18">
        <v>46363</v>
      </c>
      <c r="AH28" s="18">
        <v>46366</v>
      </c>
      <c r="AI28" s="18">
        <v>46401</v>
      </c>
      <c r="AJ28" s="18">
        <v>46416</v>
      </c>
      <c r="AK28" s="18">
        <v>46444</v>
      </c>
      <c r="AL28" s="18">
        <v>46447</v>
      </c>
      <c r="AM28" s="18">
        <v>46474</v>
      </c>
      <c r="AN28" s="57">
        <v>32</v>
      </c>
      <c r="AO28" s="58">
        <v>224</v>
      </c>
      <c r="AP28" s="77">
        <v>46444</v>
      </c>
      <c r="AQ28" s="77">
        <v>46467</v>
      </c>
      <c r="AR28" s="76">
        <f>AQ28-AP29</f>
        <v>-4</v>
      </c>
      <c r="AS28" s="139" t="s">
        <v>644</v>
      </c>
      <c r="AT28" s="498" t="s">
        <v>438</v>
      </c>
      <c r="AU28" s="20">
        <f>IF(ISERROR(LOOKUP(AU$10,$R28:$AT28,#REF!)),0,(LOOKUP(AU$10,$R28:$AT28,#REF!)))</f>
        <v>0</v>
      </c>
      <c r="AV28" s="21">
        <f>IF(ISERROR(LOOKUP(AV$10,$R28:$AT28,#REF!)),0,(LOOKUP(AV$10,$R28:$AT28,#REF!)))</f>
        <v>0</v>
      </c>
      <c r="AW28" s="21">
        <f>IF(ISERROR(LOOKUP(AW$10,$R28:$AT28,#REF!)),0,(LOOKUP(AW$10,$R28:$AT28,#REF!)))</f>
        <v>0</v>
      </c>
      <c r="AX28" s="21">
        <f>IF(ISERROR(LOOKUP(AX$10,$R28:$AT28,#REF!)),0,(LOOKUP(AX$10,$R28:$AT28,#REF!)))</f>
        <v>0</v>
      </c>
      <c r="AY28" s="21">
        <f>IF(ISERROR(LOOKUP(AY$10,$R28:$AT28,#REF!)),0,(LOOKUP(AY$10,$R28:$AT28,#REF!)))</f>
        <v>0</v>
      </c>
      <c r="AZ28" s="21">
        <f>IF(ISERROR(LOOKUP(AZ$10,$R28:$AT28,#REF!)),0,(LOOKUP(AZ$10,$R28:$AT28,#REF!)))</f>
        <v>0</v>
      </c>
      <c r="BA28" s="21">
        <f>IF(ISERROR(LOOKUP(BA$10,$R28:$AT28,#REF!)),0,(LOOKUP(BA$10,$R28:$AT28,#REF!)))</f>
        <v>0</v>
      </c>
      <c r="BB28" s="21">
        <f>IF(ISERROR(LOOKUP(BB$10,$R28:$AT28,#REF!)),0,(LOOKUP(BB$10,$R28:$AT28,#REF!)))</f>
        <v>0</v>
      </c>
      <c r="BC28" s="21">
        <f>IF(ISERROR(LOOKUP(BC$10,$R28:$AT28,#REF!)),0,(LOOKUP(BC$10,$R28:$AT28,#REF!)))</f>
        <v>0</v>
      </c>
      <c r="BD28" s="21">
        <f>IF(ISERROR(LOOKUP(BD$10,$R28:$AT28,#REF!)),0,(LOOKUP(BD$10,$R28:$AT28,#REF!)))</f>
        <v>0</v>
      </c>
      <c r="BE28" s="402">
        <f ca="1">IF(ISERROR(LOOKUP(BE$10,$R28:$AT28,#REF!)),0,(LOOKUP(BE$10,$R28:$AT28,#REF!)))</f>
        <v>0</v>
      </c>
      <c r="BF28" s="410"/>
      <c r="BG28" s="434"/>
      <c r="BH28" s="434"/>
    </row>
    <row r="29" spans="1:61" s="3" customFormat="1" ht="14.25" thickTop="1" thickBot="1" x14ac:dyDescent="0.45">
      <c r="A29" s="508"/>
      <c r="B29" s="92" t="s">
        <v>205</v>
      </c>
      <c r="C29" s="40" t="s">
        <v>37</v>
      </c>
      <c r="D29" s="42" t="s">
        <v>365</v>
      </c>
      <c r="E29" s="64" t="s">
        <v>41</v>
      </c>
      <c r="F29" s="24" t="s">
        <v>30</v>
      </c>
      <c r="G29" s="22" t="s">
        <v>31</v>
      </c>
      <c r="H29" s="22" t="s">
        <v>189</v>
      </c>
      <c r="I29" s="22" t="s">
        <v>286</v>
      </c>
      <c r="J29" s="208" t="s">
        <v>748</v>
      </c>
      <c r="K29" s="192" t="s">
        <v>616</v>
      </c>
      <c r="L29" s="192" t="s">
        <v>616</v>
      </c>
      <c r="M29" s="192"/>
      <c r="N29" s="307" t="s">
        <v>617</v>
      </c>
      <c r="O29" s="192" t="s">
        <v>616</v>
      </c>
      <c r="P29" s="175" t="s">
        <v>32</v>
      </c>
      <c r="Q29" s="25" t="s">
        <v>34</v>
      </c>
      <c r="R29" s="26"/>
      <c r="S29" s="26"/>
      <c r="T29" s="130"/>
      <c r="U29" s="26"/>
      <c r="V29" s="26"/>
      <c r="W29" s="26"/>
      <c r="X29" s="130"/>
      <c r="Y29" s="26"/>
      <c r="Z29" s="26"/>
      <c r="AA29" s="26"/>
      <c r="AB29" s="26"/>
      <c r="AC29" s="26"/>
      <c r="AD29" s="130"/>
      <c r="AE29" s="27">
        <v>46289</v>
      </c>
      <c r="AF29" s="27">
        <f>AE29+90</f>
        <v>46379</v>
      </c>
      <c r="AG29" s="27">
        <f>AF29</f>
        <v>46379</v>
      </c>
      <c r="AH29" s="27">
        <f>AG29+3</f>
        <v>46382</v>
      </c>
      <c r="AI29" s="27">
        <f>AJ29-15</f>
        <v>46435</v>
      </c>
      <c r="AJ29" s="27">
        <f>AK29-28</f>
        <v>46450</v>
      </c>
      <c r="AK29" s="27">
        <f>AP29+7</f>
        <v>46478</v>
      </c>
      <c r="AL29" s="27">
        <f>AP28+3</f>
        <v>46447</v>
      </c>
      <c r="AM29" s="27">
        <f>AP28+30</f>
        <v>46474</v>
      </c>
      <c r="AN29" s="80">
        <v>32</v>
      </c>
      <c r="AO29" s="80">
        <f>AN29*7</f>
        <v>224</v>
      </c>
      <c r="AP29" s="82">
        <f>BG29+7</f>
        <v>46471</v>
      </c>
      <c r="AQ29" s="82"/>
      <c r="AR29" s="28"/>
      <c r="AS29" s="361" t="s">
        <v>772</v>
      </c>
      <c r="AT29" s="502"/>
      <c r="AU29" s="20">
        <f>IF(ISERROR(LOOKUP(AU$10,$R29:$AT29,#REF!)),0,(LOOKUP(AU$10,$R29:$AT29,#REF!)))</f>
        <v>0</v>
      </c>
      <c r="AV29" s="21">
        <f>IF(ISERROR(LOOKUP(AV$10,$R29:$AT29,#REF!)),0,(LOOKUP(AV$10,$R29:$AT29,#REF!)))</f>
        <v>0</v>
      </c>
      <c r="AW29" s="21">
        <f>IF(ISERROR(LOOKUP(AW$10,$R29:$AT29,#REF!)),0,(LOOKUP(AW$10,$R29:$AT29,#REF!)))</f>
        <v>0</v>
      </c>
      <c r="AX29" s="21">
        <f>IF(ISERROR(LOOKUP(AX$10,$R29:$AT29,#REF!)),0,(LOOKUP(AX$10,$R29:$AT29,#REF!)))</f>
        <v>0</v>
      </c>
      <c r="AY29" s="21">
        <f>IF(ISERROR(LOOKUP(AY$10,$R29:$AT29,#REF!)),0,(LOOKUP(AY$10,$R29:$AT29,#REF!)))</f>
        <v>0</v>
      </c>
      <c r="AZ29" s="21">
        <f>IF(ISERROR(LOOKUP(AZ$10,$R29:$AT29,#REF!)),0,(LOOKUP(AZ$10,$R29:$AT29,#REF!)))</f>
        <v>0</v>
      </c>
      <c r="BA29" s="21">
        <f>IF(ISERROR(LOOKUP(BA$10,$R29:$AT29,#REF!)),0,(LOOKUP(BA$10,$R29:$AT29,#REF!)))</f>
        <v>0</v>
      </c>
      <c r="BB29" s="21">
        <f>IF(ISERROR(LOOKUP(BB$10,$R29:$AT29,#REF!)),0,(LOOKUP(BB$10,$R29:$AT29,#REF!)))</f>
        <v>0</v>
      </c>
      <c r="BC29" s="21">
        <f>IF(ISERROR(LOOKUP(BC$10,$R29:$AT29,#REF!)),0,(LOOKUP(BC$10,$R29:$AT29,#REF!)))</f>
        <v>0</v>
      </c>
      <c r="BD29" s="21">
        <f>IF(ISERROR(LOOKUP(BD$10,$R29:$AT29,#REF!)),0,(LOOKUP(BD$10,$R29:$AT29,#REF!)))</f>
        <v>0</v>
      </c>
      <c r="BE29" s="402">
        <f ca="1">IF(ISERROR(LOOKUP(BE$10,$R29:$AT29,#REF!)),0,(LOOKUP(BE$10,$R29:$AT29,#REF!)))</f>
        <v>0</v>
      </c>
      <c r="BF29" s="415" t="s">
        <v>902</v>
      </c>
      <c r="BG29" s="428">
        <v>46464</v>
      </c>
      <c r="BH29" s="428"/>
    </row>
    <row r="30" spans="1:61" s="3" customFormat="1" ht="15.4" thickTop="1" thickBot="1" x14ac:dyDescent="0.45">
      <c r="A30" s="509"/>
      <c r="B30" s="93" t="s">
        <v>205</v>
      </c>
      <c r="C30" s="31" t="s">
        <v>37</v>
      </c>
      <c r="D30" s="43" t="s">
        <v>40</v>
      </c>
      <c r="E30" s="65" t="s">
        <v>41</v>
      </c>
      <c r="F30" s="33" t="s">
        <v>30</v>
      </c>
      <c r="G30" s="31" t="s">
        <v>31</v>
      </c>
      <c r="H30" s="31" t="s">
        <v>189</v>
      </c>
      <c r="I30" s="31" t="s">
        <v>286</v>
      </c>
      <c r="J30" s="32"/>
      <c r="K30" s="201" t="s">
        <v>615</v>
      </c>
      <c r="L30" s="201" t="s">
        <v>615</v>
      </c>
      <c r="M30" s="201"/>
      <c r="N30" s="289" t="s">
        <v>584</v>
      </c>
      <c r="O30" s="32"/>
      <c r="P30" s="176" t="s">
        <v>32</v>
      </c>
      <c r="Q30" s="34" t="s">
        <v>35</v>
      </c>
      <c r="R30" s="35">
        <v>46133</v>
      </c>
      <c r="S30" s="35">
        <v>46130</v>
      </c>
      <c r="T30" s="35">
        <v>46149</v>
      </c>
      <c r="U30" s="35">
        <v>46150</v>
      </c>
      <c r="V30" s="35">
        <v>46150</v>
      </c>
      <c r="W30" s="35">
        <v>46164</v>
      </c>
      <c r="X30" s="35">
        <v>46206</v>
      </c>
      <c r="Y30" s="35">
        <v>46220</v>
      </c>
      <c r="Z30" s="35">
        <v>46238</v>
      </c>
      <c r="AA30" s="35">
        <v>46245</v>
      </c>
      <c r="AB30" s="35">
        <v>46267</v>
      </c>
      <c r="AC30" s="35">
        <v>46241</v>
      </c>
      <c r="AD30" s="35">
        <v>46262</v>
      </c>
      <c r="AE30" s="35"/>
      <c r="AF30" s="35"/>
      <c r="AG30" s="35"/>
      <c r="AH30" s="35"/>
      <c r="AI30" s="35"/>
      <c r="AJ30" s="35"/>
      <c r="AK30" s="35"/>
      <c r="AL30" s="35"/>
      <c r="AM30" s="35"/>
      <c r="AN30" s="81"/>
      <c r="AO30" s="81"/>
      <c r="AP30" s="36" t="s">
        <v>904</v>
      </c>
      <c r="AQ30" s="36"/>
      <c r="AR30" s="37"/>
      <c r="AS30" s="141"/>
      <c r="AT30" s="503"/>
      <c r="AU30" s="38">
        <f>IF(ISERROR(LOOKUP(AU$10,$R30:$AT30,#REF!)),0,(LOOKUP(AU$10,$R30:$AT30,#REF!)))</f>
        <v>0</v>
      </c>
      <c r="AV30" s="39">
        <f>IF(ISERROR(LOOKUP(AV$10,$R30:$AT30,#REF!)),0,(LOOKUP(AV$10,$R30:$AT30,#REF!)))</f>
        <v>0</v>
      </c>
      <c r="AW30" s="39">
        <f>IF(ISERROR(LOOKUP(AW$10,$R30:$AT30,#REF!)),0,(LOOKUP(AW$10,$R30:$AT30,#REF!)))</f>
        <v>0</v>
      </c>
      <c r="AX30" s="39">
        <f>IF(ISERROR(LOOKUP(AX$10,$R30:$AT30,#REF!)),0,(LOOKUP(AX$10,$R30:$AT30,#REF!)))</f>
        <v>0</v>
      </c>
      <c r="AY30" s="39">
        <f>IF(ISERROR(LOOKUP(AY$10,$R30:$AT30,#REF!)),0,(LOOKUP(AY$10,$R30:$AT30,#REF!)))</f>
        <v>0</v>
      </c>
      <c r="AZ30" s="39">
        <f>IF(ISERROR(LOOKUP(AZ$10,$R30:$AT30,#REF!)),0,(LOOKUP(AZ$10,$R30:$AT30,#REF!)))</f>
        <v>0</v>
      </c>
      <c r="BA30" s="39">
        <f>IF(ISERROR(LOOKUP(BA$10,$R30:$AT30,#REF!)),0,(LOOKUP(BA$10,$R30:$AT30,#REF!)))</f>
        <v>0</v>
      </c>
      <c r="BB30" s="39">
        <f>IF(ISERROR(LOOKUP(BB$10,$R30:$AT30,#REF!)),0,(LOOKUP(BB$10,$R30:$AT30,#REF!)))</f>
        <v>0</v>
      </c>
      <c r="BC30" s="39">
        <f>IF(ISERROR(LOOKUP(BC$10,$R30:$AT30,#REF!)),0,(LOOKUP(BC$10,$R30:$AT30,#REF!)))</f>
        <v>0</v>
      </c>
      <c r="BD30" s="39">
        <f>IF(ISERROR(LOOKUP(BD$10,$R30:$AT30,#REF!)),0,(LOOKUP(BD$10,$R30:$AT30,#REF!)))</f>
        <v>0</v>
      </c>
      <c r="BE30" s="405">
        <f ca="1">IF(ISERROR(LOOKUP(BE$10,$R30:$AT30,#REF!)),0,(LOOKUP(BE$10,$R30:$AT30,#REF!)))</f>
        <v>0</v>
      </c>
      <c r="BF30" s="418"/>
      <c r="BG30" s="433"/>
      <c r="BH30" s="433"/>
    </row>
    <row r="31" spans="1:61" s="3" customFormat="1" ht="19.899999999999999" customHeight="1" thickTop="1" thickBot="1" x14ac:dyDescent="0.45">
      <c r="A31" s="507">
        <f t="shared" ref="A31" si="6">A28+1</f>
        <v>6</v>
      </c>
      <c r="B31" s="91" t="s">
        <v>207</v>
      </c>
      <c r="C31" s="13" t="s">
        <v>281</v>
      </c>
      <c r="D31" s="338" t="s">
        <v>780</v>
      </c>
      <c r="E31" s="63" t="s">
        <v>42</v>
      </c>
      <c r="F31" s="15" t="s">
        <v>30</v>
      </c>
      <c r="G31" s="13" t="s">
        <v>31</v>
      </c>
      <c r="H31" s="13" t="s">
        <v>189</v>
      </c>
      <c r="I31" s="13" t="s">
        <v>286</v>
      </c>
      <c r="J31" s="345" t="s">
        <v>618</v>
      </c>
      <c r="K31" s="191" t="s">
        <v>618</v>
      </c>
      <c r="L31" s="191" t="s">
        <v>618</v>
      </c>
      <c r="M31" s="191"/>
      <c r="N31" s="306" t="s">
        <v>583</v>
      </c>
      <c r="O31" s="191" t="s">
        <v>618</v>
      </c>
      <c r="P31" s="174" t="s">
        <v>32</v>
      </c>
      <c r="Q31" s="17" t="s">
        <v>33</v>
      </c>
      <c r="R31" s="18">
        <v>46140</v>
      </c>
      <c r="S31" s="18">
        <v>46141</v>
      </c>
      <c r="T31" s="18">
        <v>46150</v>
      </c>
      <c r="U31" s="18">
        <v>46153</v>
      </c>
      <c r="V31" s="18">
        <v>46160</v>
      </c>
      <c r="W31" s="18">
        <v>46168</v>
      </c>
      <c r="X31" s="18">
        <v>46195</v>
      </c>
      <c r="Y31" s="18">
        <v>46209</v>
      </c>
      <c r="Z31" s="18"/>
      <c r="AA31" s="18">
        <v>46220</v>
      </c>
      <c r="AB31" s="18">
        <v>46224</v>
      </c>
      <c r="AC31" s="18">
        <v>46231</v>
      </c>
      <c r="AD31" s="18">
        <v>46259</v>
      </c>
      <c r="AE31" s="206">
        <v>46273</v>
      </c>
      <c r="AF31" s="18">
        <v>46363</v>
      </c>
      <c r="AG31" s="18">
        <v>46363</v>
      </c>
      <c r="AH31" s="18">
        <v>46366</v>
      </c>
      <c r="AI31" s="18">
        <v>46424</v>
      </c>
      <c r="AJ31" s="18">
        <v>46439</v>
      </c>
      <c r="AK31" s="18">
        <v>46444</v>
      </c>
      <c r="AL31" s="18">
        <v>46447</v>
      </c>
      <c r="AM31" s="18">
        <v>46474</v>
      </c>
      <c r="AN31" s="57">
        <v>34</v>
      </c>
      <c r="AO31" s="58">
        <v>238</v>
      </c>
      <c r="AP31" s="77">
        <v>46458</v>
      </c>
      <c r="AQ31" s="77">
        <v>46490</v>
      </c>
      <c r="AR31" s="76">
        <f>AQ31-AP32</f>
        <v>39</v>
      </c>
      <c r="AS31" s="139" t="s">
        <v>644</v>
      </c>
      <c r="AT31" s="498" t="s">
        <v>464</v>
      </c>
      <c r="AU31" s="20">
        <f>IF(ISERROR(LOOKUP(AU$10,$R31:$AT31,#REF!)),0,(LOOKUP(AU$10,$R31:$AT31,#REF!)))</f>
        <v>0</v>
      </c>
      <c r="AV31" s="21">
        <f>IF(ISERROR(LOOKUP(AV$10,$R31:$AT31,#REF!)),0,(LOOKUP(AV$10,$R31:$AT31,#REF!)))</f>
        <v>0</v>
      </c>
      <c r="AW31" s="21">
        <f>IF(ISERROR(LOOKUP(AW$10,$R31:$AT31,#REF!)),0,(LOOKUP(AW$10,$R31:$AT31,#REF!)))</f>
        <v>0</v>
      </c>
      <c r="AX31" s="21">
        <f>IF(ISERROR(LOOKUP(AX$10,$R31:$AT31,#REF!)),0,(LOOKUP(AX$10,$R31:$AT31,#REF!)))</f>
        <v>0</v>
      </c>
      <c r="AY31" s="21">
        <f>IF(ISERROR(LOOKUP(AY$10,$R31:$AT31,#REF!)),0,(LOOKUP(AY$10,$R31:$AT31,#REF!)))</f>
        <v>0</v>
      </c>
      <c r="AZ31" s="21">
        <f>IF(ISERROR(LOOKUP(AZ$10,$R31:$AT31,#REF!)),0,(LOOKUP(AZ$10,$R31:$AT31,#REF!)))</f>
        <v>0</v>
      </c>
      <c r="BA31" s="21">
        <f>IF(ISERROR(LOOKUP(BA$10,$R31:$AT31,#REF!)),0,(LOOKUP(BA$10,$R31:$AT31,#REF!)))</f>
        <v>0</v>
      </c>
      <c r="BB31" s="21">
        <f>IF(ISERROR(LOOKUP(BB$10,$R31:$AT31,#REF!)),0,(LOOKUP(BB$10,$R31:$AT31,#REF!)))</f>
        <v>0</v>
      </c>
      <c r="BC31" s="21">
        <f>IF(ISERROR(LOOKUP(BC$10,$R31:$AT31,#REF!)),0,(LOOKUP(BC$10,$R31:$AT31,#REF!)))</f>
        <v>0</v>
      </c>
      <c r="BD31" s="21">
        <f>IF(ISERROR(LOOKUP(BD$10,$R31:$AT31,#REF!)),0,(LOOKUP(BD$10,$R31:$AT31,#REF!)))</f>
        <v>0</v>
      </c>
      <c r="BE31" s="402">
        <f ca="1">IF(ISERROR(LOOKUP(BE$10,$R31:$AT31,#REF!)),0,(LOOKUP(BE$10,$R31:$AT31,#REF!)))</f>
        <v>0</v>
      </c>
      <c r="BF31" s="411"/>
      <c r="BG31" s="435"/>
      <c r="BH31" s="435"/>
    </row>
    <row r="32" spans="1:61" s="3" customFormat="1" ht="14.25" thickTop="1" thickBot="1" x14ac:dyDescent="0.45">
      <c r="A32" s="508"/>
      <c r="B32" s="92" t="s">
        <v>207</v>
      </c>
      <c r="C32" s="40" t="s">
        <v>39</v>
      </c>
      <c r="D32" s="42" t="s">
        <v>780</v>
      </c>
      <c r="E32" s="64" t="s">
        <v>42</v>
      </c>
      <c r="F32" s="24" t="s">
        <v>30</v>
      </c>
      <c r="G32" s="22" t="s">
        <v>31</v>
      </c>
      <c r="H32" s="22" t="s">
        <v>189</v>
      </c>
      <c r="I32" s="22" t="s">
        <v>286</v>
      </c>
      <c r="J32" s="208" t="s">
        <v>748</v>
      </c>
      <c r="K32" s="192" t="s">
        <v>616</v>
      </c>
      <c r="L32" s="192" t="s">
        <v>616</v>
      </c>
      <c r="M32" s="192"/>
      <c r="N32" s="307" t="s">
        <v>617</v>
      </c>
      <c r="O32" s="192" t="s">
        <v>616</v>
      </c>
      <c r="P32" s="175" t="s">
        <v>32</v>
      </c>
      <c r="Q32" s="25" t="s">
        <v>34</v>
      </c>
      <c r="R32" s="26"/>
      <c r="S32" s="26"/>
      <c r="T32" s="130"/>
      <c r="U32" s="26"/>
      <c r="V32" s="26"/>
      <c r="W32" s="26"/>
      <c r="X32" s="130"/>
      <c r="Y32" s="26"/>
      <c r="Z32" s="26"/>
      <c r="AA32" s="26"/>
      <c r="AB32" s="26"/>
      <c r="AC32" s="26"/>
      <c r="AD32" s="130"/>
      <c r="AE32" s="27">
        <v>46289</v>
      </c>
      <c r="AF32" s="27">
        <f>AE32+90</f>
        <v>46379</v>
      </c>
      <c r="AG32" s="27">
        <f>AF32</f>
        <v>46379</v>
      </c>
      <c r="AH32" s="27">
        <f>AG32+3</f>
        <v>46382</v>
      </c>
      <c r="AI32" s="27">
        <f>AJ32-15</f>
        <v>46415</v>
      </c>
      <c r="AJ32" s="27">
        <f>AK32-28</f>
        <v>46430</v>
      </c>
      <c r="AK32" s="27">
        <f>AP32+7</f>
        <v>46458</v>
      </c>
      <c r="AL32" s="27">
        <f>AP31+3</f>
        <v>46461</v>
      </c>
      <c r="AM32" s="27">
        <f>AP31+30</f>
        <v>46488</v>
      </c>
      <c r="AN32" s="80">
        <v>28</v>
      </c>
      <c r="AO32" s="80">
        <f>AN32*7</f>
        <v>196</v>
      </c>
      <c r="AP32" s="82">
        <f>BG32+15</f>
        <v>46451</v>
      </c>
      <c r="AQ32" s="82"/>
      <c r="AR32" s="28"/>
      <c r="AS32" s="361" t="s">
        <v>772</v>
      </c>
      <c r="AT32" s="502"/>
      <c r="AU32" s="20">
        <f>IF(ISERROR(LOOKUP(AU$10,$R32:$AT32,#REF!)),0,(LOOKUP(AU$10,$R32:$AT32,#REF!)))</f>
        <v>0</v>
      </c>
      <c r="AV32" s="21">
        <f>IF(ISERROR(LOOKUP(AV$10,$R32:$AT32,#REF!)),0,(LOOKUP(AV$10,$R32:$AT32,#REF!)))</f>
        <v>0</v>
      </c>
      <c r="AW32" s="21">
        <f>IF(ISERROR(LOOKUP(AW$10,$R32:$AT32,#REF!)),0,(LOOKUP(AW$10,$R32:$AT32,#REF!)))</f>
        <v>0</v>
      </c>
      <c r="AX32" s="21">
        <f>IF(ISERROR(LOOKUP(AX$10,$R32:$AT32,#REF!)),0,(LOOKUP(AX$10,$R32:$AT32,#REF!)))</f>
        <v>0</v>
      </c>
      <c r="AY32" s="21">
        <f>IF(ISERROR(LOOKUP(AY$10,$R32:$AT32,#REF!)),0,(LOOKUP(AY$10,$R32:$AT32,#REF!)))</f>
        <v>0</v>
      </c>
      <c r="AZ32" s="21">
        <f>IF(ISERROR(LOOKUP(AZ$10,$R32:$AT32,#REF!)),0,(LOOKUP(AZ$10,$R32:$AT32,#REF!)))</f>
        <v>0</v>
      </c>
      <c r="BA32" s="21">
        <f>IF(ISERROR(LOOKUP(BA$10,$R32:$AT32,#REF!)),0,(LOOKUP(BA$10,$R32:$AT32,#REF!)))</f>
        <v>0</v>
      </c>
      <c r="BB32" s="21">
        <f>IF(ISERROR(LOOKUP(BB$10,$R32:$AT32,#REF!)),0,(LOOKUP(BB$10,$R32:$AT32,#REF!)))</f>
        <v>0</v>
      </c>
      <c r="BC32" s="21">
        <f>IF(ISERROR(LOOKUP(BC$10,$R32:$AT32,#REF!)),0,(LOOKUP(BC$10,$R32:$AT32,#REF!)))</f>
        <v>0</v>
      </c>
      <c r="BD32" s="21">
        <f>IF(ISERROR(LOOKUP(BD$10,$R32:$AT32,#REF!)),0,(LOOKUP(BD$10,$R32:$AT32,#REF!)))</f>
        <v>0</v>
      </c>
      <c r="BE32" s="402">
        <f ca="1">IF(ISERROR(LOOKUP(BE$10,$R32:$AT32,#REF!)),0,(LOOKUP(BE$10,$R32:$AT32,#REF!)))</f>
        <v>0</v>
      </c>
      <c r="BF32" s="415" t="s">
        <v>902</v>
      </c>
      <c r="BG32" s="428">
        <v>46436</v>
      </c>
      <c r="BH32" s="428"/>
    </row>
    <row r="33" spans="1:60" s="3" customFormat="1" ht="14.25" thickTop="1" thickBot="1" x14ac:dyDescent="0.45">
      <c r="A33" s="509"/>
      <c r="B33" s="93" t="s">
        <v>207</v>
      </c>
      <c r="C33" s="31" t="s">
        <v>39</v>
      </c>
      <c r="D33" s="43" t="s">
        <v>780</v>
      </c>
      <c r="E33" s="65" t="s">
        <v>42</v>
      </c>
      <c r="F33" s="33" t="s">
        <v>30</v>
      </c>
      <c r="G33" s="31" t="s">
        <v>31</v>
      </c>
      <c r="H33" s="31" t="s">
        <v>189</v>
      </c>
      <c r="I33" s="31" t="s">
        <v>286</v>
      </c>
      <c r="J33" s="201"/>
      <c r="K33" s="201" t="s">
        <v>615</v>
      </c>
      <c r="L33" s="218" t="s">
        <v>615</v>
      </c>
      <c r="M33" s="218"/>
      <c r="N33" s="289" t="s">
        <v>615</v>
      </c>
      <c r="O33" s="218" t="s">
        <v>615</v>
      </c>
      <c r="P33" s="176" t="s">
        <v>32</v>
      </c>
      <c r="Q33" s="34" t="s">
        <v>35</v>
      </c>
      <c r="R33" s="35">
        <v>46133</v>
      </c>
      <c r="S33" s="35">
        <v>46130</v>
      </c>
      <c r="T33" s="35">
        <v>46149</v>
      </c>
      <c r="U33" s="35">
        <v>46150</v>
      </c>
      <c r="V33" s="35">
        <v>46150</v>
      </c>
      <c r="W33" s="35">
        <v>46164</v>
      </c>
      <c r="X33" s="35">
        <v>46202</v>
      </c>
      <c r="Y33" s="35">
        <v>46241</v>
      </c>
      <c r="Z33" s="35">
        <v>46238</v>
      </c>
      <c r="AA33" s="35">
        <v>46245</v>
      </c>
      <c r="AB33" s="35">
        <v>46267</v>
      </c>
      <c r="AC33" s="35">
        <v>46241</v>
      </c>
      <c r="AD33" s="35">
        <v>46268</v>
      </c>
      <c r="AE33" s="35"/>
      <c r="AF33" s="35"/>
      <c r="AG33" s="35"/>
      <c r="AH33" s="35"/>
      <c r="AI33" s="35"/>
      <c r="AJ33" s="35"/>
      <c r="AK33" s="35"/>
      <c r="AL33" s="35"/>
      <c r="AM33" s="35"/>
      <c r="AN33" s="81"/>
      <c r="AO33" s="81"/>
      <c r="AP33" s="275" t="s">
        <v>905</v>
      </c>
      <c r="AQ33" s="36"/>
      <c r="AR33" s="37"/>
      <c r="AS33" s="141"/>
      <c r="AT33" s="503"/>
      <c r="AU33" s="38">
        <f>IF(ISERROR(LOOKUP(AU$10,$R33:$AT33,#REF!)),0,(LOOKUP(AU$10,$R33:$AT33,#REF!)))</f>
        <v>0</v>
      </c>
      <c r="AV33" s="39">
        <f>IF(ISERROR(LOOKUP(AV$10,$R33:$AT33,#REF!)),0,(LOOKUP(AV$10,$R33:$AT33,#REF!)))</f>
        <v>0</v>
      </c>
      <c r="AW33" s="39">
        <f>IF(ISERROR(LOOKUP(AW$10,$R33:$AT33,#REF!)),0,(LOOKUP(AW$10,$R33:$AT33,#REF!)))</f>
        <v>0</v>
      </c>
      <c r="AX33" s="39">
        <f>IF(ISERROR(LOOKUP(AX$10,$R33:$AT33,#REF!)),0,(LOOKUP(AX$10,$R33:$AT33,#REF!)))</f>
        <v>0</v>
      </c>
      <c r="AY33" s="39">
        <f>IF(ISERROR(LOOKUP(AY$10,$R33:$AT33,#REF!)),0,(LOOKUP(AY$10,$R33:$AT33,#REF!)))</f>
        <v>0</v>
      </c>
      <c r="AZ33" s="39">
        <f>IF(ISERROR(LOOKUP(AZ$10,$R33:$AT33,#REF!)),0,(LOOKUP(AZ$10,$R33:$AT33,#REF!)))</f>
        <v>0</v>
      </c>
      <c r="BA33" s="39">
        <f>IF(ISERROR(LOOKUP(BA$10,$R33:$AT33,#REF!)),0,(LOOKUP(BA$10,$R33:$AT33,#REF!)))</f>
        <v>0</v>
      </c>
      <c r="BB33" s="39">
        <f>IF(ISERROR(LOOKUP(BB$10,$R33:$AT33,#REF!)),0,(LOOKUP(BB$10,$R33:$AT33,#REF!)))</f>
        <v>0</v>
      </c>
      <c r="BC33" s="39">
        <f>IF(ISERROR(LOOKUP(BC$10,$R33:$AT33,#REF!)),0,(LOOKUP(BC$10,$R33:$AT33,#REF!)))</f>
        <v>0</v>
      </c>
      <c r="BD33" s="39">
        <f>IF(ISERROR(LOOKUP(BD$10,$R33:$AT33,#REF!)),0,(LOOKUP(BD$10,$R33:$AT33,#REF!)))</f>
        <v>0</v>
      </c>
      <c r="BE33" s="405">
        <f ca="1">IF(ISERROR(LOOKUP(BE$10,$R33:$AT33,#REF!)),0,(LOOKUP(BE$10,$R33:$AT33,#REF!)))</f>
        <v>0</v>
      </c>
      <c r="BF33" s="420"/>
      <c r="BG33" s="436"/>
      <c r="BH33" s="436"/>
    </row>
    <row r="34" spans="1:60" s="3" customFormat="1" ht="17.25" customHeight="1" thickTop="1" thickBot="1" x14ac:dyDescent="0.45">
      <c r="A34" s="507">
        <f t="shared" ref="A34" si="7">A31+1</f>
        <v>7</v>
      </c>
      <c r="B34" s="91" t="s">
        <v>208</v>
      </c>
      <c r="C34" s="13" t="s">
        <v>282</v>
      </c>
      <c r="D34" s="338" t="s">
        <v>188</v>
      </c>
      <c r="E34" s="63" t="s">
        <v>49</v>
      </c>
      <c r="F34" s="15" t="s">
        <v>30</v>
      </c>
      <c r="G34" s="13" t="s">
        <v>31</v>
      </c>
      <c r="H34" s="13" t="s">
        <v>1</v>
      </c>
      <c r="I34" s="13" t="s">
        <v>286</v>
      </c>
      <c r="J34" s="345" t="s">
        <v>450</v>
      </c>
      <c r="K34" s="193" t="s">
        <v>450</v>
      </c>
      <c r="L34" s="193"/>
      <c r="M34" s="193"/>
      <c r="N34" s="193"/>
      <c r="O34" s="193"/>
      <c r="P34" s="184" t="s">
        <v>32</v>
      </c>
      <c r="Q34" s="17" t="s">
        <v>33</v>
      </c>
      <c r="R34" s="18">
        <v>46153</v>
      </c>
      <c r="S34" s="18">
        <v>46154</v>
      </c>
      <c r="T34" s="18">
        <v>46166</v>
      </c>
      <c r="U34" s="18">
        <v>46166</v>
      </c>
      <c r="V34" s="18">
        <v>46166</v>
      </c>
      <c r="W34" s="18">
        <v>46203</v>
      </c>
      <c r="X34" s="18">
        <v>46203</v>
      </c>
      <c r="Y34" s="18">
        <v>46217</v>
      </c>
      <c r="Z34" s="18"/>
      <c r="AA34" s="18">
        <v>46230</v>
      </c>
      <c r="AB34" s="18">
        <v>46232</v>
      </c>
      <c r="AC34" s="18">
        <v>46239</v>
      </c>
      <c r="AD34" s="18">
        <v>46267</v>
      </c>
      <c r="AE34" s="206">
        <v>46281</v>
      </c>
      <c r="AF34" s="18">
        <v>46311</v>
      </c>
      <c r="AG34" s="18">
        <v>46314</v>
      </c>
      <c r="AH34" s="18">
        <v>46317</v>
      </c>
      <c r="AI34" s="18">
        <v>46387</v>
      </c>
      <c r="AJ34" s="18">
        <v>46397</v>
      </c>
      <c r="AK34" s="18">
        <v>46398</v>
      </c>
      <c r="AL34" s="18">
        <v>46401</v>
      </c>
      <c r="AM34" s="18">
        <v>46428</v>
      </c>
      <c r="AN34" s="57">
        <v>24</v>
      </c>
      <c r="AO34" s="58">
        <v>168</v>
      </c>
      <c r="AP34" s="77">
        <v>46398</v>
      </c>
      <c r="AQ34" s="77">
        <v>46492</v>
      </c>
      <c r="AR34" s="76">
        <f>AQ34-AP35</f>
        <v>55</v>
      </c>
      <c r="AS34" s="139" t="s">
        <v>420</v>
      </c>
      <c r="AT34" s="498" t="s">
        <v>1022</v>
      </c>
      <c r="AU34" s="20">
        <f>IF(ISERROR(LOOKUP(AU$10,$R34:$AT34,#REF!)),0,(LOOKUP(AU$10,$R34:$AT34,#REF!)))</f>
        <v>0</v>
      </c>
      <c r="AV34" s="21">
        <f>IF(ISERROR(LOOKUP(AV$10,$R34:$AT34,#REF!)),0,(LOOKUP(AV$10,$R34:$AT34,#REF!)))</f>
        <v>0</v>
      </c>
      <c r="AW34" s="21">
        <f>IF(ISERROR(LOOKUP(AW$10,$R34:$AT34,#REF!)),0,(LOOKUP(AW$10,$R34:$AT34,#REF!)))</f>
        <v>0</v>
      </c>
      <c r="AX34" s="21">
        <f>IF(ISERROR(LOOKUP(AX$10,$R34:$AT34,#REF!)),0,(LOOKUP(AX$10,$R34:$AT34,#REF!)))</f>
        <v>0</v>
      </c>
      <c r="AY34" s="21">
        <f>IF(ISERROR(LOOKUP(AY$10,$R34:$AT34,#REF!)),0,(LOOKUP(AY$10,$R34:$AT34,#REF!)))</f>
        <v>0</v>
      </c>
      <c r="AZ34" s="21">
        <f>IF(ISERROR(LOOKUP(AZ$10,$R34:$AT34,#REF!)),0,(LOOKUP(AZ$10,$R34:$AT34,#REF!)))</f>
        <v>0</v>
      </c>
      <c r="BA34" s="21">
        <f>IF(ISERROR(LOOKUP(BA$10,$R34:$AT34,#REF!)),0,(LOOKUP(BA$10,$R34:$AT34,#REF!)))</f>
        <v>0</v>
      </c>
      <c r="BB34" s="21">
        <f>IF(ISERROR(LOOKUP(BB$10,$R34:$AT34,#REF!)),0,(LOOKUP(BB$10,$R34:$AT34,#REF!)))</f>
        <v>0</v>
      </c>
      <c r="BC34" s="21">
        <f>IF(ISERROR(LOOKUP(BC$10,$R34:$AT34,#REF!)),0,(LOOKUP(BC$10,$R34:$AT34,#REF!)))</f>
        <v>0</v>
      </c>
      <c r="BD34" s="21">
        <f>IF(ISERROR(LOOKUP(BD$10,$R34:$AT34,#REF!)),0,(LOOKUP(BD$10,$R34:$AT34,#REF!)))</f>
        <v>0</v>
      </c>
      <c r="BE34" s="402">
        <f ca="1">IF(ISERROR(LOOKUP(BE$10,$R34:$AT34,#REF!)),0,(LOOKUP(BE$10,$R34:$AT34,#REF!)))</f>
        <v>0</v>
      </c>
      <c r="BF34" s="419"/>
      <c r="BG34" s="434"/>
      <c r="BH34" s="434"/>
    </row>
    <row r="35" spans="1:60" s="3" customFormat="1" ht="14.25" thickTop="1" thickBot="1" x14ac:dyDescent="0.45">
      <c r="A35" s="508"/>
      <c r="B35" s="92" t="s">
        <v>208</v>
      </c>
      <c r="C35" s="40" t="s">
        <v>43</v>
      </c>
      <c r="D35" s="54" t="s">
        <v>188</v>
      </c>
      <c r="E35" s="64" t="s">
        <v>49</v>
      </c>
      <c r="F35" s="24" t="s">
        <v>30</v>
      </c>
      <c r="G35" s="22" t="s">
        <v>31</v>
      </c>
      <c r="H35" s="22" t="s">
        <v>1</v>
      </c>
      <c r="I35" s="22" t="s">
        <v>286</v>
      </c>
      <c r="J35" s="208" t="s">
        <v>681</v>
      </c>
      <c r="K35" s="194"/>
      <c r="L35" s="42"/>
      <c r="M35" s="42"/>
      <c r="N35" s="42"/>
      <c r="O35" s="42"/>
      <c r="P35" s="175" t="s">
        <v>32</v>
      </c>
      <c r="Q35" s="25" t="s">
        <v>34</v>
      </c>
      <c r="R35" s="26"/>
      <c r="S35" s="27"/>
      <c r="T35" s="144"/>
      <c r="U35" s="27"/>
      <c r="V35" s="27"/>
      <c r="W35" s="27"/>
      <c r="X35" s="27"/>
      <c r="Y35" s="26"/>
      <c r="Z35" s="26"/>
      <c r="AA35" s="26"/>
      <c r="AB35" s="26"/>
      <c r="AC35" s="26"/>
      <c r="AD35" s="27"/>
      <c r="AE35" s="27">
        <v>46289</v>
      </c>
      <c r="AF35" s="27">
        <f>AF34</f>
        <v>46311</v>
      </c>
      <c r="AG35" s="27">
        <f>AF35+3</f>
        <v>46314</v>
      </c>
      <c r="AH35" s="27">
        <f>AG35+3</f>
        <v>46317</v>
      </c>
      <c r="AI35" s="27">
        <f>AJ35-10</f>
        <v>46427</v>
      </c>
      <c r="AJ35" s="27">
        <f>AK35</f>
        <v>46437</v>
      </c>
      <c r="AK35" s="27">
        <f>AP35</f>
        <v>46437</v>
      </c>
      <c r="AL35" s="27">
        <f>AP34+3</f>
        <v>46401</v>
      </c>
      <c r="AM35" s="27">
        <f>AP34+30</f>
        <v>46428</v>
      </c>
      <c r="AN35" s="88"/>
      <c r="AO35" s="89"/>
      <c r="AP35" s="82">
        <v>46437</v>
      </c>
      <c r="AQ35" s="82"/>
      <c r="AR35" s="28"/>
      <c r="AS35" s="361" t="s">
        <v>773</v>
      </c>
      <c r="AT35" s="502"/>
      <c r="AU35" s="20">
        <f>IF(ISERROR(LOOKUP(AU$10,$R35:$AT35,#REF!)),0,(LOOKUP(AU$10,$R35:$AT35,#REF!)))</f>
        <v>0</v>
      </c>
      <c r="AV35" s="21">
        <f>IF(ISERROR(LOOKUP(AV$10,$R35:$AT35,#REF!)),0,(LOOKUP(AV$10,$R35:$AT35,#REF!)))</f>
        <v>0</v>
      </c>
      <c r="AW35" s="21">
        <f>IF(ISERROR(LOOKUP(AW$10,$R35:$AT35,#REF!)),0,(LOOKUP(AW$10,$R35:$AT35,#REF!)))</f>
        <v>0</v>
      </c>
      <c r="AX35" s="21">
        <f>IF(ISERROR(LOOKUP(AX$10,$R35:$AT35,#REF!)),0,(LOOKUP(AX$10,$R35:$AT35,#REF!)))</f>
        <v>0</v>
      </c>
      <c r="AY35" s="21">
        <f>IF(ISERROR(LOOKUP(AY$10,$R35:$AT35,#REF!)),0,(LOOKUP(AY$10,$R35:$AT35,#REF!)))</f>
        <v>0</v>
      </c>
      <c r="AZ35" s="21">
        <f>IF(ISERROR(LOOKUP(AZ$10,$R35:$AT35,#REF!)),0,(LOOKUP(AZ$10,$R35:$AT35,#REF!)))</f>
        <v>0</v>
      </c>
      <c r="BA35" s="21">
        <f>IF(ISERROR(LOOKUP(BA$10,$R35:$AT35,#REF!)),0,(LOOKUP(BA$10,$R35:$AT35,#REF!)))</f>
        <v>0</v>
      </c>
      <c r="BB35" s="21">
        <f>IF(ISERROR(LOOKUP(BB$10,$R35:$AT35,#REF!)),0,(LOOKUP(BB$10,$R35:$AT35,#REF!)))</f>
        <v>0</v>
      </c>
      <c r="BC35" s="21">
        <f>IF(ISERROR(LOOKUP(BC$10,$R35:$AT35,#REF!)),0,(LOOKUP(BC$10,$R35:$AT35,#REF!)))</f>
        <v>0</v>
      </c>
      <c r="BD35" s="21">
        <f>IF(ISERROR(LOOKUP(BD$10,$R35:$AT35,#REF!)),0,(LOOKUP(BD$10,$R35:$AT35,#REF!)))</f>
        <v>0</v>
      </c>
      <c r="BE35" s="402">
        <f ca="1">IF(ISERROR(LOOKUP(BE$10,$R35:$AT35,#REF!)),0,(LOOKUP(BE$10,$R35:$AT35,#REF!)))</f>
        <v>0</v>
      </c>
      <c r="BF35" s="415"/>
      <c r="BG35" s="428"/>
      <c r="BH35" s="428"/>
    </row>
    <row r="36" spans="1:60" s="3" customFormat="1" ht="14.25" thickTop="1" thickBot="1" x14ac:dyDescent="0.45">
      <c r="A36" s="509"/>
      <c r="B36" s="93" t="s">
        <v>208</v>
      </c>
      <c r="C36" s="31" t="s">
        <v>43</v>
      </c>
      <c r="D36" s="55" t="s">
        <v>48</v>
      </c>
      <c r="E36" s="43" t="s">
        <v>49</v>
      </c>
      <c r="F36" s="33" t="s">
        <v>30</v>
      </c>
      <c r="G36" s="31" t="s">
        <v>31</v>
      </c>
      <c r="H36" s="31" t="s">
        <v>1</v>
      </c>
      <c r="I36" s="31" t="s">
        <v>286</v>
      </c>
      <c r="J36" s="43"/>
      <c r="K36" s="218"/>
      <c r="L36" s="43"/>
      <c r="M36" s="43"/>
      <c r="N36" s="43"/>
      <c r="O36" s="43"/>
      <c r="P36" s="185" t="s">
        <v>32</v>
      </c>
      <c r="Q36" s="34" t="s">
        <v>35</v>
      </c>
      <c r="R36" s="35"/>
      <c r="S36" s="35">
        <v>46133</v>
      </c>
      <c r="T36" s="35">
        <v>46150</v>
      </c>
      <c r="U36" s="35">
        <v>46150</v>
      </c>
      <c r="V36" s="35">
        <v>46150</v>
      </c>
      <c r="W36" s="35">
        <v>46181</v>
      </c>
      <c r="X36" s="35">
        <v>46204</v>
      </c>
      <c r="Y36" s="35">
        <v>46211</v>
      </c>
      <c r="Z36" s="35" t="s">
        <v>515</v>
      </c>
      <c r="AA36" s="35">
        <v>46217</v>
      </c>
      <c r="AB36" s="35">
        <v>46218</v>
      </c>
      <c r="AC36" s="35">
        <v>46220</v>
      </c>
      <c r="AD36" s="35">
        <v>46241</v>
      </c>
      <c r="AE36" s="35"/>
      <c r="AF36" s="35"/>
      <c r="AG36" s="35"/>
      <c r="AH36" s="35"/>
      <c r="AI36" s="35"/>
      <c r="AJ36" s="35"/>
      <c r="AK36" s="35"/>
      <c r="AL36" s="35"/>
      <c r="AM36" s="35"/>
      <c r="AN36" s="81"/>
      <c r="AO36" s="79"/>
      <c r="AP36" s="36"/>
      <c r="AQ36" s="36"/>
      <c r="AR36" s="37"/>
      <c r="AS36" s="141"/>
      <c r="AT36" s="503"/>
      <c r="AU36" s="38">
        <f>IF(ISERROR(LOOKUP(AU$10,$R36:$AT36,#REF!)),0,(LOOKUP(AU$10,$R36:$AT36,#REF!)))</f>
        <v>0</v>
      </c>
      <c r="AV36" s="39">
        <f>IF(ISERROR(LOOKUP(AV$10,$R36:$AT36,#REF!)),0,(LOOKUP(AV$10,$R36:$AT36,#REF!)))</f>
        <v>0</v>
      </c>
      <c r="AW36" s="39">
        <f>IF(ISERROR(LOOKUP(AW$10,$R36:$AT36,#REF!)),0,(LOOKUP(AW$10,$R36:$AT36,#REF!)))</f>
        <v>0</v>
      </c>
      <c r="AX36" s="39">
        <f>IF(ISERROR(LOOKUP(AX$10,$R36:$AT36,#REF!)),0,(LOOKUP(AX$10,$R36:$AT36,#REF!)))</f>
        <v>0</v>
      </c>
      <c r="AY36" s="39">
        <f>IF(ISERROR(LOOKUP(AY$10,$R36:$AT36,#REF!)),0,(LOOKUP(AY$10,$R36:$AT36,#REF!)))</f>
        <v>0</v>
      </c>
      <c r="AZ36" s="39">
        <f>IF(ISERROR(LOOKUP(AZ$10,$R36:$AT36,#REF!)),0,(LOOKUP(AZ$10,$R36:$AT36,#REF!)))</f>
        <v>0</v>
      </c>
      <c r="BA36" s="39">
        <f>IF(ISERROR(LOOKUP(BA$10,$R36:$AT36,#REF!)),0,(LOOKUP(BA$10,$R36:$AT36,#REF!)))</f>
        <v>0</v>
      </c>
      <c r="BB36" s="39">
        <f>IF(ISERROR(LOOKUP(BB$10,$R36:$AT36,#REF!)),0,(LOOKUP(BB$10,$R36:$AT36,#REF!)))</f>
        <v>0</v>
      </c>
      <c r="BC36" s="39">
        <f>IF(ISERROR(LOOKUP(BC$10,$R36:$AT36,#REF!)),0,(LOOKUP(BC$10,$R36:$AT36,#REF!)))</f>
        <v>0</v>
      </c>
      <c r="BD36" s="39">
        <f>IF(ISERROR(LOOKUP(BD$10,$R36:$AT36,#REF!)),0,(LOOKUP(BD$10,$R36:$AT36,#REF!)))</f>
        <v>0</v>
      </c>
      <c r="BE36" s="405">
        <f ca="1">IF(ISERROR(LOOKUP(BE$10,$R36:$AT36,#REF!)),0,(LOOKUP(BE$10,$R36:$AT36,#REF!)))</f>
        <v>0</v>
      </c>
      <c r="BF36" s="421"/>
      <c r="BG36" s="429"/>
      <c r="BH36" s="429"/>
    </row>
    <row r="37" spans="1:60" s="3" customFormat="1" ht="17.649999999999999" customHeight="1" thickTop="1" thickBot="1" x14ac:dyDescent="0.45">
      <c r="A37" s="507">
        <f t="shared" ref="A37" si="8">A34+1</f>
        <v>8</v>
      </c>
      <c r="B37" s="91" t="s">
        <v>209</v>
      </c>
      <c r="C37" s="13" t="s">
        <v>45</v>
      </c>
      <c r="D37" s="338" t="s">
        <v>367</v>
      </c>
      <c r="E37" s="67" t="s">
        <v>50</v>
      </c>
      <c r="F37" s="15" t="s">
        <v>30</v>
      </c>
      <c r="G37" s="13" t="s">
        <v>51</v>
      </c>
      <c r="H37" s="13" t="s">
        <v>190</v>
      </c>
      <c r="I37" s="13" t="s">
        <v>322</v>
      </c>
      <c r="J37" s="345" t="s">
        <v>877</v>
      </c>
      <c r="K37" s="220" t="s">
        <v>605</v>
      </c>
      <c r="L37" s="219" t="s">
        <v>679</v>
      </c>
      <c r="M37" s="219"/>
      <c r="N37" s="219"/>
      <c r="O37" s="41"/>
      <c r="P37" s="174" t="s">
        <v>32</v>
      </c>
      <c r="Q37" s="17" t="s">
        <v>33</v>
      </c>
      <c r="R37" s="18">
        <v>46182</v>
      </c>
      <c r="S37" s="18">
        <v>46182</v>
      </c>
      <c r="T37" s="56">
        <v>46196</v>
      </c>
      <c r="U37" s="56">
        <v>46196</v>
      </c>
      <c r="V37" s="56">
        <v>46196</v>
      </c>
      <c r="W37" s="56">
        <v>46203</v>
      </c>
      <c r="X37" s="56">
        <v>46212</v>
      </c>
      <c r="Y37" s="56">
        <v>46226</v>
      </c>
      <c r="Z37" s="56"/>
      <c r="AA37" s="18">
        <v>46259</v>
      </c>
      <c r="AB37" s="18">
        <v>46261</v>
      </c>
      <c r="AC37" s="206">
        <f>AB37</f>
        <v>46261</v>
      </c>
      <c r="AD37" s="18">
        <v>46275</v>
      </c>
      <c r="AE37" s="18">
        <v>46295</v>
      </c>
      <c r="AF37" s="18">
        <v>46325</v>
      </c>
      <c r="AG37" s="18">
        <v>46328</v>
      </c>
      <c r="AH37" s="18">
        <v>46331</v>
      </c>
      <c r="AI37" s="18">
        <v>46391</v>
      </c>
      <c r="AJ37" s="18">
        <v>46406</v>
      </c>
      <c r="AK37" s="18">
        <v>46434</v>
      </c>
      <c r="AL37" s="18">
        <v>46437</v>
      </c>
      <c r="AM37" s="18">
        <v>46464</v>
      </c>
      <c r="AN37" s="57">
        <v>25</v>
      </c>
      <c r="AO37" s="58">
        <v>175</v>
      </c>
      <c r="AP37" s="77">
        <v>46434</v>
      </c>
      <c r="AQ37" s="77">
        <v>46521</v>
      </c>
      <c r="AR37" s="76">
        <f>AQ37-AP38</f>
        <v>73</v>
      </c>
      <c r="AS37" s="139" t="s">
        <v>644</v>
      </c>
      <c r="AT37" s="501"/>
      <c r="AU37" s="20">
        <f>IF(ISERROR(LOOKUP(AU$10,$R37:$AT37,#REF!)),0,(LOOKUP(AU$10,$R37:$AT37,#REF!)))</f>
        <v>0</v>
      </c>
      <c r="AV37" s="21">
        <f>IF(ISERROR(LOOKUP(AV$10,$R37:$AT37,#REF!)),0,(LOOKUP(AV$10,$R37:$AT37,#REF!)))</f>
        <v>0</v>
      </c>
      <c r="AW37" s="21">
        <f>IF(ISERROR(LOOKUP(AW$10,$R37:$AT37,#REF!)),0,(LOOKUP(AW$10,$R37:$AT37,#REF!)))</f>
        <v>0</v>
      </c>
      <c r="AX37" s="21">
        <f>IF(ISERROR(LOOKUP(AX$10,$R37:$AT37,#REF!)),0,(LOOKUP(AX$10,$R37:$AT37,#REF!)))</f>
        <v>0</v>
      </c>
      <c r="AY37" s="21">
        <f>IF(ISERROR(LOOKUP(AY$10,$R37:$AT37,#REF!)),0,(LOOKUP(AY$10,$R37:$AT37,#REF!)))</f>
        <v>0</v>
      </c>
      <c r="AZ37" s="21">
        <f>IF(ISERROR(LOOKUP(AZ$10,$R37:$AT37,#REF!)),0,(LOOKUP(AZ$10,$R37:$AT37,#REF!)))</f>
        <v>0</v>
      </c>
      <c r="BA37" s="21">
        <f>IF(ISERROR(LOOKUP(BA$10,$R37:$AT37,#REF!)),0,(LOOKUP(BA$10,$R37:$AT37,#REF!)))</f>
        <v>0</v>
      </c>
      <c r="BB37" s="21">
        <f>IF(ISERROR(LOOKUP(BB$10,$R37:$AT37,#REF!)),0,(LOOKUP(BB$10,$R37:$AT37,#REF!)))</f>
        <v>0</v>
      </c>
      <c r="BC37" s="21">
        <f>IF(ISERROR(LOOKUP(BC$10,$R37:$AT37,#REF!)),0,(LOOKUP(BC$10,$R37:$AT37,#REF!)))</f>
        <v>0</v>
      </c>
      <c r="BD37" s="21">
        <f>IF(ISERROR(LOOKUP(BD$10,$R37:$AT37,#REF!)),0,(LOOKUP(BD$10,$R37:$AT37,#REF!)))</f>
        <v>0</v>
      </c>
      <c r="BE37" s="402">
        <f ca="1">IF(ISERROR(LOOKUP(BE$10,$R37:$AT37,#REF!)),0,(LOOKUP(BE$10,$R37:$AT37,#REF!)))</f>
        <v>0</v>
      </c>
      <c r="BF37" s="422"/>
      <c r="BG37" s="435"/>
      <c r="BH37" s="435"/>
    </row>
    <row r="38" spans="1:60" s="3" customFormat="1" ht="14.25" thickTop="1" thickBot="1" x14ac:dyDescent="0.45">
      <c r="A38" s="508"/>
      <c r="B38" s="92" t="s">
        <v>209</v>
      </c>
      <c r="C38" s="40" t="s">
        <v>45</v>
      </c>
      <c r="D38" s="23" t="s">
        <v>367</v>
      </c>
      <c r="E38" s="64" t="s">
        <v>50</v>
      </c>
      <c r="F38" s="24" t="s">
        <v>30</v>
      </c>
      <c r="G38" s="22" t="s">
        <v>51</v>
      </c>
      <c r="H38" s="22" t="s">
        <v>190</v>
      </c>
      <c r="I38" s="22" t="s">
        <v>322</v>
      </c>
      <c r="J38" s="208" t="s">
        <v>950</v>
      </c>
      <c r="K38" s="213" t="s">
        <v>604</v>
      </c>
      <c r="L38" s="208" t="s">
        <v>604</v>
      </c>
      <c r="M38" s="208" t="s">
        <v>704</v>
      </c>
      <c r="N38" s="208" t="s">
        <v>704</v>
      </c>
      <c r="O38" s="42"/>
      <c r="P38" s="175" t="s">
        <v>32</v>
      </c>
      <c r="Q38" s="25" t="s">
        <v>34</v>
      </c>
      <c r="R38" s="26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>
        <v>46287</v>
      </c>
      <c r="AD38" s="27">
        <v>46289</v>
      </c>
      <c r="AE38" s="27">
        <f>AE37</f>
        <v>46295</v>
      </c>
      <c r="AF38" s="27">
        <f>AE38+30</f>
        <v>46325</v>
      </c>
      <c r="AG38" s="27">
        <f>AF38+3</f>
        <v>46328</v>
      </c>
      <c r="AH38" s="27">
        <f>AG38+3</f>
        <v>46331</v>
      </c>
      <c r="AI38" s="27">
        <f>AJ38-15</f>
        <v>46391</v>
      </c>
      <c r="AJ38" s="27">
        <f>AK38-28</f>
        <v>46406</v>
      </c>
      <c r="AK38" s="27">
        <f>AP37</f>
        <v>46434</v>
      </c>
      <c r="AL38" s="27">
        <f>AP37+3</f>
        <v>46437</v>
      </c>
      <c r="AM38" s="27">
        <f>AP37+30</f>
        <v>46464</v>
      </c>
      <c r="AN38" s="80">
        <v>25</v>
      </c>
      <c r="AO38" s="78">
        <f>AN38*7</f>
        <v>175</v>
      </c>
      <c r="AP38" s="82">
        <f>BG38+7</f>
        <v>46448</v>
      </c>
      <c r="AQ38" s="82"/>
      <c r="AR38" s="28"/>
      <c r="AS38" s="361" t="s">
        <v>906</v>
      </c>
      <c r="AT38" s="502"/>
      <c r="AU38" s="20">
        <f>IF(ISERROR(LOOKUP(AU$10,$R38:$AT38,#REF!)),0,(LOOKUP(AU$10,$R38:$AT38,#REF!)))</f>
        <v>0</v>
      </c>
      <c r="AV38" s="21">
        <f>IF(ISERROR(LOOKUP(AV$10,$R38:$AT38,#REF!)),0,(LOOKUP(AV$10,$R38:$AT38,#REF!)))</f>
        <v>0</v>
      </c>
      <c r="AW38" s="21">
        <f>IF(ISERROR(LOOKUP(AW$10,$R38:$AT38,#REF!)),0,(LOOKUP(AW$10,$R38:$AT38,#REF!)))</f>
        <v>0</v>
      </c>
      <c r="AX38" s="21">
        <f>IF(ISERROR(LOOKUP(AX$10,$R38:$AT38,#REF!)),0,(LOOKUP(AX$10,$R38:$AT38,#REF!)))</f>
        <v>0</v>
      </c>
      <c r="AY38" s="21">
        <f>IF(ISERROR(LOOKUP(AY$10,$R38:$AT38,#REF!)),0,(LOOKUP(AY$10,$R38:$AT38,#REF!)))</f>
        <v>0</v>
      </c>
      <c r="AZ38" s="21">
        <f>IF(ISERROR(LOOKUP(AZ$10,$R38:$AT38,#REF!)),0,(LOOKUP(AZ$10,$R38:$AT38,#REF!)))</f>
        <v>0</v>
      </c>
      <c r="BA38" s="21">
        <f>IF(ISERROR(LOOKUP(BA$10,$R38:$AT38,#REF!)),0,(LOOKUP(BA$10,$R38:$AT38,#REF!)))</f>
        <v>0</v>
      </c>
      <c r="BB38" s="21">
        <f>IF(ISERROR(LOOKUP(BB$10,$R38:$AT38,#REF!)),0,(LOOKUP(BB$10,$R38:$AT38,#REF!)))</f>
        <v>0</v>
      </c>
      <c r="BC38" s="21">
        <f>IF(ISERROR(LOOKUP(BC$10,$R38:$AT38,#REF!)),0,(LOOKUP(BC$10,$R38:$AT38,#REF!)))</f>
        <v>0</v>
      </c>
      <c r="BD38" s="21">
        <f>IF(ISERROR(LOOKUP(BD$10,$R38:$AT38,#REF!)),0,(LOOKUP(BD$10,$R38:$AT38,#REF!)))</f>
        <v>0</v>
      </c>
      <c r="BE38" s="402">
        <f ca="1">IF(ISERROR(LOOKUP(BE$10,$R38:$AT38,#REF!)),0,(LOOKUP(BE$10,$R38:$AT38,#REF!)))</f>
        <v>0</v>
      </c>
      <c r="BF38" s="415" t="s">
        <v>902</v>
      </c>
      <c r="BG38" s="428">
        <v>46441</v>
      </c>
      <c r="BH38" s="428"/>
    </row>
    <row r="39" spans="1:60" s="3" customFormat="1" ht="24" thickTop="1" thickBot="1" x14ac:dyDescent="0.45">
      <c r="A39" s="509"/>
      <c r="B39" s="93" t="s">
        <v>209</v>
      </c>
      <c r="C39" s="31" t="s">
        <v>45</v>
      </c>
      <c r="D39" s="32" t="s">
        <v>367</v>
      </c>
      <c r="E39" s="65" t="s">
        <v>50</v>
      </c>
      <c r="F39" s="33" t="s">
        <v>30</v>
      </c>
      <c r="G39" s="31" t="s">
        <v>51</v>
      </c>
      <c r="H39" s="31" t="s">
        <v>190</v>
      </c>
      <c r="I39" s="31" t="s">
        <v>322</v>
      </c>
      <c r="J39" s="43"/>
      <c r="K39" s="291" t="s">
        <v>606</v>
      </c>
      <c r="L39" s="209" t="s">
        <v>680</v>
      </c>
      <c r="M39" s="209" t="s">
        <v>680</v>
      </c>
      <c r="N39" s="209" t="s">
        <v>680</v>
      </c>
      <c r="O39" s="367" t="s">
        <v>792</v>
      </c>
      <c r="P39" s="176" t="s">
        <v>32</v>
      </c>
      <c r="Q39" s="34" t="s">
        <v>35</v>
      </c>
      <c r="R39" s="35">
        <v>46192</v>
      </c>
      <c r="S39" s="35">
        <v>46154</v>
      </c>
      <c r="T39" s="35">
        <v>46170</v>
      </c>
      <c r="U39" s="35">
        <v>46196</v>
      </c>
      <c r="V39" s="35">
        <v>46196</v>
      </c>
      <c r="W39" s="35">
        <v>46203</v>
      </c>
      <c r="X39" s="35">
        <v>46220</v>
      </c>
      <c r="Y39" s="383" t="s">
        <v>993</v>
      </c>
      <c r="Z39" s="35">
        <v>46262</v>
      </c>
      <c r="AA39" s="35">
        <v>46276</v>
      </c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81"/>
      <c r="AO39" s="79"/>
      <c r="AP39" s="275" t="s">
        <v>904</v>
      </c>
      <c r="AQ39" s="36"/>
      <c r="AR39" s="37"/>
      <c r="AS39" s="141"/>
      <c r="AT39" s="503"/>
      <c r="AU39" s="38">
        <f>IF(ISERROR(LOOKUP(AU$10,$R39:$AT39,#REF!)),0,(LOOKUP(AU$10,$R39:$AT39,#REF!)))</f>
        <v>0</v>
      </c>
      <c r="AV39" s="39">
        <f>IF(ISERROR(LOOKUP(AV$10,$R39:$AT39,#REF!)),0,(LOOKUP(AV$10,$R39:$AT39,#REF!)))</f>
        <v>0</v>
      </c>
      <c r="AW39" s="39">
        <f>IF(ISERROR(LOOKUP(AW$10,$R39:$AT39,#REF!)),0,(LOOKUP(AW$10,$R39:$AT39,#REF!)))</f>
        <v>0</v>
      </c>
      <c r="AX39" s="39">
        <f>IF(ISERROR(LOOKUP(AX$10,$R39:$AT39,#REF!)),0,(LOOKUP(AX$10,$R39:$AT39,#REF!)))</f>
        <v>0</v>
      </c>
      <c r="AY39" s="39">
        <f>IF(ISERROR(LOOKUP(AY$10,$R39:$AT39,#REF!)),0,(LOOKUP(AY$10,$R39:$AT39,#REF!)))</f>
        <v>0</v>
      </c>
      <c r="AZ39" s="39">
        <f>IF(ISERROR(LOOKUP(AZ$10,$R39:$AT39,#REF!)),0,(LOOKUP(AZ$10,$R39:$AT39,#REF!)))</f>
        <v>0</v>
      </c>
      <c r="BA39" s="39">
        <f>IF(ISERROR(LOOKUP(BA$10,$R39:$AT39,#REF!)),0,(LOOKUP(BA$10,$R39:$AT39,#REF!)))</f>
        <v>0</v>
      </c>
      <c r="BB39" s="39">
        <f>IF(ISERROR(LOOKUP(BB$10,$R39:$AT39,#REF!)),0,(LOOKUP(BB$10,$R39:$AT39,#REF!)))</f>
        <v>0</v>
      </c>
      <c r="BC39" s="39">
        <f>IF(ISERROR(LOOKUP(BC$10,$R39:$AT39,#REF!)),0,(LOOKUP(BC$10,$R39:$AT39,#REF!)))</f>
        <v>0</v>
      </c>
      <c r="BD39" s="39">
        <f>IF(ISERROR(LOOKUP(BD$10,$R39:$AT39,#REF!)),0,(LOOKUP(BD$10,$R39:$AT39,#REF!)))</f>
        <v>0</v>
      </c>
      <c r="BE39" s="405">
        <f ca="1">IF(ISERROR(LOOKUP(BE$10,$R39:$AT39,#REF!)),0,(LOOKUP(BE$10,$R39:$AT39,#REF!)))</f>
        <v>0</v>
      </c>
      <c r="BF39" s="420"/>
      <c r="BG39" s="436"/>
      <c r="BH39" s="436"/>
    </row>
    <row r="40" spans="1:60" s="3" customFormat="1" ht="24" thickTop="1" thickBot="1" x14ac:dyDescent="0.45">
      <c r="A40" s="507">
        <f t="shared" ref="A40" si="9">A37+1</f>
        <v>9</v>
      </c>
      <c r="B40" s="91" t="s">
        <v>210</v>
      </c>
      <c r="C40" s="13" t="s">
        <v>52</v>
      </c>
      <c r="D40" s="204" t="s">
        <v>211</v>
      </c>
      <c r="E40" s="63" t="s">
        <v>53</v>
      </c>
      <c r="F40" s="15" t="s">
        <v>54</v>
      </c>
      <c r="G40" s="13" t="s">
        <v>51</v>
      </c>
      <c r="H40" s="260" t="s">
        <v>189</v>
      </c>
      <c r="I40" s="13" t="s">
        <v>323</v>
      </c>
      <c r="J40" s="41"/>
      <c r="K40" s="220" t="s">
        <v>789</v>
      </c>
      <c r="L40" s="293" t="s">
        <v>789</v>
      </c>
      <c r="M40" s="41"/>
      <c r="N40" s="41"/>
      <c r="O40" s="41"/>
      <c r="P40" s="174" t="s">
        <v>32</v>
      </c>
      <c r="Q40" s="17" t="s">
        <v>33</v>
      </c>
      <c r="R40" s="18">
        <v>46213</v>
      </c>
      <c r="S40" s="18">
        <v>46201</v>
      </c>
      <c r="T40" s="18">
        <v>46213</v>
      </c>
      <c r="U40" s="18">
        <v>46283</v>
      </c>
      <c r="V40" s="18">
        <v>46283</v>
      </c>
      <c r="W40" s="18">
        <v>46290</v>
      </c>
      <c r="X40" s="206">
        <v>46303</v>
      </c>
      <c r="Y40" s="18">
        <v>46318</v>
      </c>
      <c r="Z40" s="18"/>
      <c r="AA40" s="18">
        <v>46325</v>
      </c>
      <c r="AB40" s="18">
        <v>46329</v>
      </c>
      <c r="AC40" s="18">
        <v>46329</v>
      </c>
      <c r="AD40" s="18">
        <v>46343</v>
      </c>
      <c r="AE40" s="18">
        <v>46357</v>
      </c>
      <c r="AF40" s="18">
        <v>46417</v>
      </c>
      <c r="AG40" s="18">
        <v>46417</v>
      </c>
      <c r="AH40" s="18">
        <v>46420</v>
      </c>
      <c r="AI40" s="18">
        <v>46490</v>
      </c>
      <c r="AJ40" s="18">
        <v>46505</v>
      </c>
      <c r="AK40" s="18">
        <v>46535</v>
      </c>
      <c r="AL40" s="18">
        <v>46538</v>
      </c>
      <c r="AM40" s="18">
        <v>46565</v>
      </c>
      <c r="AN40" s="57">
        <v>30</v>
      </c>
      <c r="AO40" s="58">
        <v>210</v>
      </c>
      <c r="AP40" s="77">
        <v>46535</v>
      </c>
      <c r="AQ40" s="77">
        <v>46546</v>
      </c>
      <c r="AR40" s="19">
        <f>AQ40-AP41</f>
        <v>4</v>
      </c>
      <c r="AS40" s="139" t="s">
        <v>846</v>
      </c>
      <c r="AT40" s="501"/>
      <c r="AU40" s="20">
        <f>IF(ISERROR(LOOKUP(AU$10,$R40:$AT40,#REF!)),0,(LOOKUP(AU$10,$R40:$AT40,#REF!)))</f>
        <v>0</v>
      </c>
      <c r="AV40" s="21">
        <f>IF(ISERROR(LOOKUP(AV$10,$R40:$AT40,#REF!)),0,(LOOKUP(AV$10,$R40:$AT40,#REF!)))</f>
        <v>0</v>
      </c>
      <c r="AW40" s="21">
        <f>IF(ISERROR(LOOKUP(AW$10,$R40:$AT40,#REF!)),0,(LOOKUP(AW$10,$R40:$AT40,#REF!)))</f>
        <v>0</v>
      </c>
      <c r="AX40" s="21">
        <f>IF(ISERROR(LOOKUP(AX$10,$R40:$AT40,#REF!)),0,(LOOKUP(AX$10,$R40:$AT40,#REF!)))</f>
        <v>0</v>
      </c>
      <c r="AY40" s="21">
        <f>IF(ISERROR(LOOKUP(AY$10,$R40:$AT40,#REF!)),0,(LOOKUP(AY$10,$R40:$AT40,#REF!)))</f>
        <v>0</v>
      </c>
      <c r="AZ40" s="21">
        <f>IF(ISERROR(LOOKUP(AZ$10,$R40:$AT40,#REF!)),0,(LOOKUP(AZ$10,$R40:$AT40,#REF!)))</f>
        <v>0</v>
      </c>
      <c r="BA40" s="21">
        <f>IF(ISERROR(LOOKUP(BA$10,$R40:$AT40,#REF!)),0,(LOOKUP(BA$10,$R40:$AT40,#REF!)))</f>
        <v>0</v>
      </c>
      <c r="BB40" s="21">
        <f>IF(ISERROR(LOOKUP(BB$10,$R40:$AT40,#REF!)),0,(LOOKUP(BB$10,$R40:$AT40,#REF!)))</f>
        <v>0</v>
      </c>
      <c r="BC40" s="21">
        <f>IF(ISERROR(LOOKUP(BC$10,$R40:$AT40,#REF!)),0,(LOOKUP(BC$10,$R40:$AT40,#REF!)))</f>
        <v>0</v>
      </c>
      <c r="BD40" s="21">
        <f>IF(ISERROR(LOOKUP(BD$10,$R40:$AT40,#REF!)),0,(LOOKUP(BD$10,$R40:$AT40,#REF!)))</f>
        <v>0</v>
      </c>
      <c r="BE40" s="402">
        <f ca="1">IF(ISERROR(LOOKUP(BE$10,$R40:$AT40,#REF!)),0,(LOOKUP(BE$10,$R40:$AT40,#REF!)))</f>
        <v>0</v>
      </c>
      <c r="BF40" s="419"/>
      <c r="BG40" s="434"/>
      <c r="BH40" s="434"/>
    </row>
    <row r="41" spans="1:60" s="3" customFormat="1" ht="21" thickTop="1" thickBot="1" x14ac:dyDescent="0.45">
      <c r="A41" s="508"/>
      <c r="B41" s="92" t="s">
        <v>210</v>
      </c>
      <c r="C41" s="40" t="s">
        <v>52</v>
      </c>
      <c r="D41" s="97" t="s">
        <v>211</v>
      </c>
      <c r="E41" s="42" t="s">
        <v>53</v>
      </c>
      <c r="F41" s="45" t="s">
        <v>54</v>
      </c>
      <c r="G41" s="22" t="s">
        <v>51</v>
      </c>
      <c r="H41" s="261" t="s">
        <v>189</v>
      </c>
      <c r="I41" s="22" t="s">
        <v>292</v>
      </c>
      <c r="J41" s="42"/>
      <c r="K41" s="213" t="s">
        <v>755</v>
      </c>
      <c r="L41" s="286" t="s">
        <v>939</v>
      </c>
      <c r="M41" s="42"/>
      <c r="N41" s="42"/>
      <c r="O41" s="42"/>
      <c r="P41" s="175" t="s">
        <v>32</v>
      </c>
      <c r="Q41" s="25" t="s">
        <v>34</v>
      </c>
      <c r="R41" s="26"/>
      <c r="S41" s="27"/>
      <c r="T41" s="27"/>
      <c r="U41" s="27"/>
      <c r="V41" s="27"/>
      <c r="W41" s="27"/>
      <c r="X41" s="27">
        <f>X40</f>
        <v>46303</v>
      </c>
      <c r="Y41" s="27">
        <f>WORKDAY(X41, Y6, IF(Y12="China",'China Holidays'!$A$2:$A$84,'Thai Holidays'!$A$2:$A$65))</f>
        <v>46321</v>
      </c>
      <c r="Z41" s="27"/>
      <c r="AA41" s="27">
        <f>WORKDAY(Y41, AA6, IF(AA12="China",'China Holidays'!$A$2:$A$84,'Thai Holidays'!$A$2:$A$65))</f>
        <v>46332</v>
      </c>
      <c r="AB41" s="27">
        <f>WORKDAY(AA41, AB6, IF(AB12="China",'China Holidays'!$A$2:$A$84,'Thai Holidays'!$A$2:$A$65))</f>
        <v>46336</v>
      </c>
      <c r="AC41" s="27">
        <f>WORKDAY(AB41, AC6, IF(AC12="China",'China Holidays'!$A$2:$A$84,'Thai Holidays'!$A$2:$A$65))</f>
        <v>46343</v>
      </c>
      <c r="AD41" s="27">
        <f>WORKDAY(AC41, AD6, IF(AD12="China",'China Holidays'!$A$2:$A$84,'Thai Holidays'!$A$2:$A$65))</f>
        <v>46371</v>
      </c>
      <c r="AE41" s="27">
        <f>WORKDAY(AD41, AE6, IF(AE12="China",'China Holidays'!$A$2:$A$84,'Thai Holidays'!$A$2:$A$65))</f>
        <v>46385</v>
      </c>
      <c r="AF41" s="27">
        <v>46417</v>
      </c>
      <c r="AG41" s="27">
        <v>46417</v>
      </c>
      <c r="AH41" s="27">
        <v>46420</v>
      </c>
      <c r="AI41" s="27">
        <v>46490</v>
      </c>
      <c r="AJ41" s="27">
        <v>46505</v>
      </c>
      <c r="AK41" s="27">
        <v>46535</v>
      </c>
      <c r="AL41" s="27">
        <v>46538</v>
      </c>
      <c r="AM41" s="27">
        <v>46565</v>
      </c>
      <c r="AN41" s="80"/>
      <c r="AO41" s="78"/>
      <c r="AP41" s="82">
        <f>AA41+AO40</f>
        <v>46542</v>
      </c>
      <c r="AQ41" s="82"/>
      <c r="AR41" s="28"/>
      <c r="AS41" s="362"/>
      <c r="AT41" s="502"/>
      <c r="AU41" s="20">
        <f>IF(ISERROR(LOOKUP(AU$10,$R41:$AT41,#REF!)),0,(LOOKUP(AU$10,$R41:$AT41,#REF!)))</f>
        <v>0</v>
      </c>
      <c r="AV41" s="21">
        <f>IF(ISERROR(LOOKUP(AV$10,$R41:$AT41,#REF!)),0,(LOOKUP(AV$10,$R41:$AT41,#REF!)))</f>
        <v>0</v>
      </c>
      <c r="AW41" s="21">
        <f>IF(ISERROR(LOOKUP(AW$10,$R41:$AT41,#REF!)),0,(LOOKUP(AW$10,$R41:$AT41,#REF!)))</f>
        <v>0</v>
      </c>
      <c r="AX41" s="21">
        <f>IF(ISERROR(LOOKUP(AX$10,$R41:$AT41,#REF!)),0,(LOOKUP(AX$10,$R41:$AT41,#REF!)))</f>
        <v>0</v>
      </c>
      <c r="AY41" s="21">
        <f>IF(ISERROR(LOOKUP(AY$10,$R41:$AT41,#REF!)),0,(LOOKUP(AY$10,$R41:$AT41,#REF!)))</f>
        <v>0</v>
      </c>
      <c r="AZ41" s="21">
        <f>IF(ISERROR(LOOKUP(AZ$10,$R41:$AT41,#REF!)),0,(LOOKUP(AZ$10,$R41:$AT41,#REF!)))</f>
        <v>0</v>
      </c>
      <c r="BA41" s="21">
        <f>IF(ISERROR(LOOKUP(BA$10,$R41:$AT41,#REF!)),0,(LOOKUP(BA$10,$R41:$AT41,#REF!)))</f>
        <v>0</v>
      </c>
      <c r="BB41" s="21">
        <f>IF(ISERROR(LOOKUP(BB$10,$R41:$AT41,#REF!)),0,(LOOKUP(BB$10,$R41:$AT41,#REF!)))</f>
        <v>0</v>
      </c>
      <c r="BC41" s="21">
        <f>IF(ISERROR(LOOKUP(BC$10,$R41:$AT41,#REF!)),0,(LOOKUP(BC$10,$R41:$AT41,#REF!)))</f>
        <v>0</v>
      </c>
      <c r="BD41" s="21">
        <f>IF(ISERROR(LOOKUP(BD$10,$R41:$AT41,#REF!)),0,(LOOKUP(BD$10,$R41:$AT41,#REF!)))</f>
        <v>0</v>
      </c>
      <c r="BE41" s="402">
        <f ca="1">IF(ISERROR(LOOKUP(BE$10,$R41:$AT41,#REF!)),0,(LOOKUP(BE$10,$R41:$AT41,#REF!)))</f>
        <v>0</v>
      </c>
      <c r="BF41" s="415"/>
      <c r="BG41" s="428"/>
      <c r="BH41" s="428"/>
    </row>
    <row r="42" spans="1:60" s="3" customFormat="1" ht="20.65" customHeight="1" thickTop="1" thickBot="1" x14ac:dyDescent="0.45">
      <c r="A42" s="509"/>
      <c r="B42" s="93" t="s">
        <v>210</v>
      </c>
      <c r="C42" s="31" t="s">
        <v>52</v>
      </c>
      <c r="D42" s="93" t="s">
        <v>211</v>
      </c>
      <c r="E42" s="43" t="s">
        <v>53</v>
      </c>
      <c r="F42" s="33" t="s">
        <v>54</v>
      </c>
      <c r="G42" s="31" t="s">
        <v>51</v>
      </c>
      <c r="H42" s="262" t="s">
        <v>189</v>
      </c>
      <c r="I42" s="31" t="s">
        <v>292</v>
      </c>
      <c r="J42" s="43"/>
      <c r="K42" s="214" t="s">
        <v>791</v>
      </c>
      <c r="L42" s="487" t="s">
        <v>790</v>
      </c>
      <c r="M42" s="43"/>
      <c r="N42" s="43"/>
      <c r="O42" s="43"/>
      <c r="P42" s="176" t="s">
        <v>32</v>
      </c>
      <c r="Q42" s="34" t="s">
        <v>35</v>
      </c>
      <c r="R42" s="35">
        <v>46230</v>
      </c>
      <c r="S42" s="35">
        <v>46183</v>
      </c>
      <c r="T42" s="35">
        <v>46197</v>
      </c>
      <c r="U42" s="35">
        <v>46231</v>
      </c>
      <c r="V42" s="35">
        <v>46231</v>
      </c>
      <c r="W42" s="35">
        <v>46248</v>
      </c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81"/>
      <c r="AO42" s="79"/>
      <c r="AP42" s="36"/>
      <c r="AQ42" s="36"/>
      <c r="AR42" s="37"/>
      <c r="AS42" s="141"/>
      <c r="AT42" s="503"/>
      <c r="AU42" s="38">
        <f>IF(ISERROR(LOOKUP(AU$10,$R42:$AT42,#REF!)),0,(LOOKUP(AU$10,$R42:$AT42,#REF!)))</f>
        <v>0</v>
      </c>
      <c r="AV42" s="39">
        <f>IF(ISERROR(LOOKUP(AV$10,$R42:$AT42,#REF!)),0,(LOOKUP(AV$10,$R42:$AT42,#REF!)))</f>
        <v>0</v>
      </c>
      <c r="AW42" s="39">
        <f>IF(ISERROR(LOOKUP(AW$10,$R42:$AT42,#REF!)),0,(LOOKUP(AW$10,$R42:$AT42,#REF!)))</f>
        <v>0</v>
      </c>
      <c r="AX42" s="39">
        <f>IF(ISERROR(LOOKUP(AX$10,$R42:$AT42,#REF!)),0,(LOOKUP(AX$10,$R42:$AT42,#REF!)))</f>
        <v>0</v>
      </c>
      <c r="AY42" s="39">
        <f>IF(ISERROR(LOOKUP(AY$10,$R42:$AT42,#REF!)),0,(LOOKUP(AY$10,$R42:$AT42,#REF!)))</f>
        <v>0</v>
      </c>
      <c r="AZ42" s="39">
        <f>IF(ISERROR(LOOKUP(AZ$10,$R42:$AT42,#REF!)),0,(LOOKUP(AZ$10,$R42:$AT42,#REF!)))</f>
        <v>0</v>
      </c>
      <c r="BA42" s="39">
        <f>IF(ISERROR(LOOKUP(BA$10,$R42:$AT42,#REF!)),0,(LOOKUP(BA$10,$R42:$AT42,#REF!)))</f>
        <v>0</v>
      </c>
      <c r="BB42" s="39">
        <f>IF(ISERROR(LOOKUP(BB$10,$R42:$AT42,#REF!)),0,(LOOKUP(BB$10,$R42:$AT42,#REF!)))</f>
        <v>0</v>
      </c>
      <c r="BC42" s="39">
        <f>IF(ISERROR(LOOKUP(BC$10,$R42:$AT42,#REF!)),0,(LOOKUP(BC$10,$R42:$AT42,#REF!)))</f>
        <v>0</v>
      </c>
      <c r="BD42" s="39">
        <f>IF(ISERROR(LOOKUP(BD$10,$R42:$AT42,#REF!)),0,(LOOKUP(BD$10,$R42:$AT42,#REF!)))</f>
        <v>0</v>
      </c>
      <c r="BE42" s="405">
        <f ca="1">IF(ISERROR(LOOKUP(BE$10,$R42:$AT42,#REF!)),0,(LOOKUP(BE$10,$R42:$AT42,#REF!)))</f>
        <v>0</v>
      </c>
      <c r="BF42" s="421"/>
      <c r="BG42" s="429"/>
      <c r="BH42" s="429"/>
    </row>
    <row r="43" spans="1:60" s="3" customFormat="1" ht="18.399999999999999" customHeight="1" thickTop="1" thickBot="1" x14ac:dyDescent="0.45">
      <c r="A43" s="495">
        <f t="shared" ref="A43" si="10">A40+1</f>
        <v>10</v>
      </c>
      <c r="B43" s="91" t="s">
        <v>213</v>
      </c>
      <c r="C43" s="13" t="s">
        <v>504</v>
      </c>
      <c r="D43" s="204" t="s">
        <v>348</v>
      </c>
      <c r="E43" s="63" t="s">
        <v>53</v>
      </c>
      <c r="F43" s="15" t="s">
        <v>54</v>
      </c>
      <c r="G43" s="13" t="s">
        <v>51</v>
      </c>
      <c r="H43" s="260" t="s">
        <v>1</v>
      </c>
      <c r="I43" s="13" t="s">
        <v>292</v>
      </c>
      <c r="J43" s="41"/>
      <c r="K43" s="193"/>
      <c r="L43" s="41"/>
      <c r="M43" s="41"/>
      <c r="N43" s="41"/>
      <c r="O43" s="41"/>
      <c r="P43" s="174" t="s">
        <v>358</v>
      </c>
      <c r="Q43" s="17" t="s">
        <v>33</v>
      </c>
      <c r="R43" s="18">
        <f>S43</f>
        <v>46381</v>
      </c>
      <c r="S43" s="18">
        <v>46381</v>
      </c>
      <c r="T43" s="18">
        <v>46399</v>
      </c>
      <c r="U43" s="18">
        <v>46399</v>
      </c>
      <c r="V43" s="18">
        <v>46399</v>
      </c>
      <c r="W43" s="18">
        <v>46406</v>
      </c>
      <c r="X43" s="206">
        <v>46415</v>
      </c>
      <c r="Y43" s="18">
        <v>46429</v>
      </c>
      <c r="Z43" s="18"/>
      <c r="AA43" s="18">
        <v>46437</v>
      </c>
      <c r="AB43" s="18">
        <v>46441</v>
      </c>
      <c r="AC43" s="18">
        <v>46448</v>
      </c>
      <c r="AD43" s="18">
        <v>46462</v>
      </c>
      <c r="AE43" s="18">
        <v>46476</v>
      </c>
      <c r="AF43" s="18">
        <v>46491</v>
      </c>
      <c r="AG43" s="18">
        <v>46491</v>
      </c>
      <c r="AH43" s="18">
        <v>46493</v>
      </c>
      <c r="AI43" s="18">
        <v>46523</v>
      </c>
      <c r="AJ43" s="18">
        <v>46525</v>
      </c>
      <c r="AK43" s="18">
        <v>46530</v>
      </c>
      <c r="AL43" s="18">
        <v>46533</v>
      </c>
      <c r="AM43" s="18">
        <v>46560</v>
      </c>
      <c r="AN43" s="57">
        <v>5</v>
      </c>
      <c r="AO43" s="58">
        <v>35</v>
      </c>
      <c r="AP43" s="77">
        <v>46530</v>
      </c>
      <c r="AQ43" s="77">
        <v>46546</v>
      </c>
      <c r="AR43" s="76">
        <f>AQ43-AP44</f>
        <v>74</v>
      </c>
      <c r="AS43" s="139" t="s">
        <v>821</v>
      </c>
      <c r="AT43" s="498" t="s">
        <v>503</v>
      </c>
      <c r="AU43" s="20">
        <f>IF(ISERROR(LOOKUP(AU$10,$R43:$AT43,#REF!)),0,(LOOKUP(AU$10,$R43:$AT43,#REF!)))</f>
        <v>0</v>
      </c>
      <c r="AV43" s="21">
        <f>IF(ISERROR(LOOKUP(AV$10,$R43:$AT43,#REF!)),0,(LOOKUP(AV$10,$R43:$AT43,#REF!)))</f>
        <v>0</v>
      </c>
      <c r="AW43" s="21">
        <f>IF(ISERROR(LOOKUP(AW$10,$R43:$AT43,#REF!)),0,(LOOKUP(AW$10,$R43:$AT43,#REF!)))</f>
        <v>0</v>
      </c>
      <c r="AX43" s="21">
        <f>IF(ISERROR(LOOKUP(AX$10,$R43:$AT43,#REF!)),0,(LOOKUP(AX$10,$R43:$AT43,#REF!)))</f>
        <v>0</v>
      </c>
      <c r="AY43" s="21">
        <f>IF(ISERROR(LOOKUP(AY$10,$R43:$AT43,#REF!)),0,(LOOKUP(AY$10,$R43:$AT43,#REF!)))</f>
        <v>0</v>
      </c>
      <c r="AZ43" s="21">
        <f>IF(ISERROR(LOOKUP(AZ$10,$R43:$AT43,#REF!)),0,(LOOKUP(AZ$10,$R43:$AT43,#REF!)))</f>
        <v>0</v>
      </c>
      <c r="BA43" s="21">
        <f>IF(ISERROR(LOOKUP(BA$10,$R43:$AT43,#REF!)),0,(LOOKUP(BA$10,$R43:$AT43,#REF!)))</f>
        <v>0</v>
      </c>
      <c r="BB43" s="21">
        <f>IF(ISERROR(LOOKUP(BB$10,$R43:$AT43,#REF!)),0,(LOOKUP(BB$10,$R43:$AT43,#REF!)))</f>
        <v>0</v>
      </c>
      <c r="BC43" s="21">
        <f>IF(ISERROR(LOOKUP(BC$10,$R43:$AT43,#REF!)),0,(LOOKUP(BC$10,$R43:$AT43,#REF!)))</f>
        <v>0</v>
      </c>
      <c r="BD43" s="21">
        <f>IF(ISERROR(LOOKUP(BD$10,$R43:$AT43,#REF!)),0,(LOOKUP(BD$10,$R43:$AT43,#REF!)))</f>
        <v>0</v>
      </c>
      <c r="BE43" s="21">
        <f ca="1">IF(ISERROR(LOOKUP(BE$10,$R43:$AT43,#REF!)),0,(LOOKUP(BE$10,$R43:$AT43,#REF!)))</f>
        <v>0</v>
      </c>
      <c r="BF43" s="423"/>
      <c r="BG43" s="435"/>
      <c r="BH43" s="435"/>
    </row>
    <row r="44" spans="1:60" s="3" customFormat="1" ht="20.25" customHeight="1" thickTop="1" thickBot="1" x14ac:dyDescent="0.45">
      <c r="A44" s="496"/>
      <c r="B44" s="92" t="s">
        <v>213</v>
      </c>
      <c r="C44" s="40" t="s">
        <v>55</v>
      </c>
      <c r="D44" s="87" t="s">
        <v>348</v>
      </c>
      <c r="E44" s="42" t="s">
        <v>53</v>
      </c>
      <c r="F44" s="45" t="s">
        <v>54</v>
      </c>
      <c r="G44" s="22" t="s">
        <v>51</v>
      </c>
      <c r="H44" s="261" t="s">
        <v>1</v>
      </c>
      <c r="I44" s="22" t="s">
        <v>292</v>
      </c>
      <c r="J44" s="42"/>
      <c r="K44" s="194"/>
      <c r="L44" s="42"/>
      <c r="M44" s="42"/>
      <c r="N44" s="42"/>
      <c r="O44" s="42"/>
      <c r="P44" s="175" t="s">
        <v>358</v>
      </c>
      <c r="Q44" s="25" t="s">
        <v>34</v>
      </c>
      <c r="R44" s="26"/>
      <c r="S44" s="27"/>
      <c r="T44" s="27"/>
      <c r="U44" s="27"/>
      <c r="V44" s="27"/>
      <c r="W44" s="27"/>
      <c r="X44" s="27">
        <f>X43</f>
        <v>46415</v>
      </c>
      <c r="Y44" s="27">
        <f>WORKDAY(X44, Y9, IF(Y12="China",'China Holidays'!$A$2:$A$84,'Thai Holidays'!$A$2:$A$65))</f>
        <v>46429</v>
      </c>
      <c r="Z44" s="27"/>
      <c r="AA44" s="27">
        <f>WORKDAY(Y44, AA9, IF(AA12="China",'China Holidays'!$A$2:$A$84,'Thai Holidays'!$A$2:$A$65))</f>
        <v>46437</v>
      </c>
      <c r="AB44" s="27">
        <f>WORKDAY(AA44, AB9, IF(AB12="China",'China Holidays'!$A$2:$A$84,'Thai Holidays'!$A$2:$A$65))</f>
        <v>46441</v>
      </c>
      <c r="AC44" s="27">
        <f>WORKDAY(AB44, AC9, IF(AC12="China",'China Holidays'!$A$2:$A$84,'Thai Holidays'!$A$2:$A$65))</f>
        <v>46448</v>
      </c>
      <c r="AD44" s="27">
        <f>WORKDAY(AC44, AD9, IF(AD12="China",'China Holidays'!$A$2:$A$84,'Thai Holidays'!$A$2:$A$65))</f>
        <v>46462</v>
      </c>
      <c r="AE44" s="27">
        <f>WORKDAY(AD44, AE9, IF(AE12="China",'China Holidays'!$A$2:$A$84,'Thai Holidays'!$A$2:$A$65))</f>
        <v>46476</v>
      </c>
      <c r="AF44" s="27">
        <f>AE44+15</f>
        <v>46491</v>
      </c>
      <c r="AG44" s="27">
        <f>AF44</f>
        <v>46491</v>
      </c>
      <c r="AH44" s="27">
        <f>AG44+2</f>
        <v>46493</v>
      </c>
      <c r="AI44" s="27">
        <f>AH44+30</f>
        <v>46523</v>
      </c>
      <c r="AJ44" s="27">
        <f>AI44+2</f>
        <v>46525</v>
      </c>
      <c r="AK44" s="27">
        <f>AJ44+5</f>
        <v>46530</v>
      </c>
      <c r="AL44" s="27">
        <f>AP43+3</f>
        <v>46533</v>
      </c>
      <c r="AM44" s="27">
        <f>AP43+30</f>
        <v>46560</v>
      </c>
      <c r="AN44" s="80"/>
      <c r="AO44" s="78"/>
      <c r="AP44" s="82">
        <f>AA44+AO43</f>
        <v>46472</v>
      </c>
      <c r="AQ44" s="82"/>
      <c r="AR44" s="28"/>
      <c r="AS44" s="362"/>
      <c r="AT44" s="502"/>
      <c r="AU44" s="20">
        <f>IF(ISERROR(LOOKUP(AU$10,$R44:$AT44,#REF!)),0,(LOOKUP(AU$10,$R44:$AT44,#REF!)))</f>
        <v>0</v>
      </c>
      <c r="AV44" s="21">
        <f>IF(ISERROR(LOOKUP(AV$10,$R44:$AT44,#REF!)),0,(LOOKUP(AV$10,$R44:$AT44,#REF!)))</f>
        <v>0</v>
      </c>
      <c r="AW44" s="21">
        <f>IF(ISERROR(LOOKUP(AW$10,$R44:$AT44,#REF!)),0,(LOOKUP(AW$10,$R44:$AT44,#REF!)))</f>
        <v>0</v>
      </c>
      <c r="AX44" s="21">
        <f>IF(ISERROR(LOOKUP(AX$10,$R44:$AT44,#REF!)),0,(LOOKUP(AX$10,$R44:$AT44,#REF!)))</f>
        <v>0</v>
      </c>
      <c r="AY44" s="21">
        <f>IF(ISERROR(LOOKUP(AY$10,$R44:$AT44,#REF!)),0,(LOOKUP(AY$10,$R44:$AT44,#REF!)))</f>
        <v>0</v>
      </c>
      <c r="AZ44" s="21">
        <f>IF(ISERROR(LOOKUP(AZ$10,$R44:$AT44,#REF!)),0,(LOOKUP(AZ$10,$R44:$AT44,#REF!)))</f>
        <v>0</v>
      </c>
      <c r="BA44" s="21">
        <f>IF(ISERROR(LOOKUP(BA$10,$R44:$AT44,#REF!)),0,(LOOKUP(BA$10,$R44:$AT44,#REF!)))</f>
        <v>0</v>
      </c>
      <c r="BB44" s="21">
        <f>IF(ISERROR(LOOKUP(BB$10,$R44:$AT44,#REF!)),0,(LOOKUP(BB$10,$R44:$AT44,#REF!)))</f>
        <v>0</v>
      </c>
      <c r="BC44" s="21">
        <f>IF(ISERROR(LOOKUP(BC$10,$R44:$AT44,#REF!)),0,(LOOKUP(BC$10,$R44:$AT44,#REF!)))</f>
        <v>0</v>
      </c>
      <c r="BD44" s="21">
        <f>IF(ISERROR(LOOKUP(BD$10,$R44:$AT44,#REF!)),0,(LOOKUP(BD$10,$R44:$AT44,#REF!)))</f>
        <v>0</v>
      </c>
      <c r="BE44" s="21">
        <f ca="1">IF(ISERROR(LOOKUP(BE$10,$R44:$AT44,#REF!)),0,(LOOKUP(BE$10,$R44:$AT44,#REF!)))</f>
        <v>0</v>
      </c>
      <c r="BF44" s="424"/>
      <c r="BG44" s="428"/>
      <c r="BH44" s="428"/>
    </row>
    <row r="45" spans="1:60" s="3" customFormat="1" ht="16.149999999999999" customHeight="1" thickTop="1" thickBot="1" x14ac:dyDescent="0.45">
      <c r="A45" s="497"/>
      <c r="B45" s="93" t="s">
        <v>213</v>
      </c>
      <c r="C45" s="31" t="s">
        <v>55</v>
      </c>
      <c r="D45" s="43" t="s">
        <v>212</v>
      </c>
      <c r="E45" s="44" t="s">
        <v>53</v>
      </c>
      <c r="F45" s="33" t="s">
        <v>54</v>
      </c>
      <c r="G45" s="31" t="s">
        <v>51</v>
      </c>
      <c r="H45" s="262" t="s">
        <v>1</v>
      </c>
      <c r="I45" s="31" t="s">
        <v>292</v>
      </c>
      <c r="J45" s="44"/>
      <c r="K45" s="195"/>
      <c r="L45" s="44"/>
      <c r="M45" s="44"/>
      <c r="N45" s="44"/>
      <c r="O45" s="44"/>
      <c r="P45" s="176" t="s">
        <v>358</v>
      </c>
      <c r="Q45" s="34" t="s">
        <v>35</v>
      </c>
      <c r="R45" s="35">
        <v>46217</v>
      </c>
      <c r="S45" s="35">
        <v>46174</v>
      </c>
      <c r="T45" s="35">
        <v>46182</v>
      </c>
      <c r="U45" s="35">
        <v>46230</v>
      </c>
      <c r="V45" s="35">
        <v>46230</v>
      </c>
      <c r="W45" s="35">
        <v>46240</v>
      </c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81"/>
      <c r="AO45" s="79"/>
      <c r="AP45" s="36"/>
      <c r="AQ45" s="36"/>
      <c r="AR45" s="37"/>
      <c r="AS45" s="141"/>
      <c r="AT45" s="503"/>
      <c r="AU45" s="38">
        <f>IF(ISERROR(LOOKUP(AU$10,$R45:$AT45,#REF!)),0,(LOOKUP(AU$10,$R45:$AT45,#REF!)))</f>
        <v>0</v>
      </c>
      <c r="AV45" s="39">
        <f>IF(ISERROR(LOOKUP(AV$10,$R45:$AT45,#REF!)),0,(LOOKUP(AV$10,$R45:$AT45,#REF!)))</f>
        <v>0</v>
      </c>
      <c r="AW45" s="39">
        <f>IF(ISERROR(LOOKUP(AW$10,$R45:$AT45,#REF!)),0,(LOOKUP(AW$10,$R45:$AT45,#REF!)))</f>
        <v>0</v>
      </c>
      <c r="AX45" s="39">
        <f>IF(ISERROR(LOOKUP(AX$10,$R45:$AT45,#REF!)),0,(LOOKUP(AX$10,$R45:$AT45,#REF!)))</f>
        <v>0</v>
      </c>
      <c r="AY45" s="39">
        <f>IF(ISERROR(LOOKUP(AY$10,$R45:$AT45,#REF!)),0,(LOOKUP(AY$10,$R45:$AT45,#REF!)))</f>
        <v>0</v>
      </c>
      <c r="AZ45" s="39">
        <f>IF(ISERROR(LOOKUP(AZ$10,$R45:$AT45,#REF!)),0,(LOOKUP(AZ$10,$R45:$AT45,#REF!)))</f>
        <v>0</v>
      </c>
      <c r="BA45" s="39">
        <f>IF(ISERROR(LOOKUP(BA$10,$R45:$AT45,#REF!)),0,(LOOKUP(BA$10,$R45:$AT45,#REF!)))</f>
        <v>0</v>
      </c>
      <c r="BB45" s="39">
        <f>IF(ISERROR(LOOKUP(BB$10,$R45:$AT45,#REF!)),0,(LOOKUP(BB$10,$R45:$AT45,#REF!)))</f>
        <v>0</v>
      </c>
      <c r="BC45" s="39">
        <f>IF(ISERROR(LOOKUP(BC$10,$R45:$AT45,#REF!)),0,(LOOKUP(BC$10,$R45:$AT45,#REF!)))</f>
        <v>0</v>
      </c>
      <c r="BD45" s="39">
        <f>IF(ISERROR(LOOKUP(BD$10,$R45:$AT45,#REF!)),0,(LOOKUP(BD$10,$R45:$AT45,#REF!)))</f>
        <v>0</v>
      </c>
      <c r="BE45" s="39">
        <f ca="1">IF(ISERROR(LOOKUP(BE$10,$R45:$AT45,#REF!)),0,(LOOKUP(BE$10,$R45:$AT45,#REF!)))</f>
        <v>0</v>
      </c>
      <c r="BF45" s="425"/>
      <c r="BG45" s="436"/>
      <c r="BH45" s="436"/>
    </row>
    <row r="46" spans="1:60" s="3" customFormat="1" ht="15.75" thickTop="1" thickBot="1" x14ac:dyDescent="0.45">
      <c r="A46" s="507">
        <f t="shared" ref="A46" si="11">A43+1</f>
        <v>11</v>
      </c>
      <c r="B46" s="91" t="s">
        <v>430</v>
      </c>
      <c r="C46" s="13" t="s">
        <v>487</v>
      </c>
      <c r="D46" s="338" t="s">
        <v>386</v>
      </c>
      <c r="E46" s="63" t="s">
        <v>57</v>
      </c>
      <c r="F46" s="15" t="s">
        <v>58</v>
      </c>
      <c r="G46" s="13" t="s">
        <v>51</v>
      </c>
      <c r="H46" s="13" t="s">
        <v>189</v>
      </c>
      <c r="I46" s="13" t="s">
        <v>322</v>
      </c>
      <c r="J46" s="382" t="s">
        <v>787</v>
      </c>
      <c r="K46" s="232" t="s">
        <v>607</v>
      </c>
      <c r="L46" s="278" t="s">
        <v>483</v>
      </c>
      <c r="M46" s="278" t="s">
        <v>483</v>
      </c>
      <c r="N46" s="278" t="s">
        <v>483</v>
      </c>
      <c r="O46" s="368" t="s">
        <v>609</v>
      </c>
      <c r="P46" s="174" t="s">
        <v>32</v>
      </c>
      <c r="Q46" s="17" t="s">
        <v>33</v>
      </c>
      <c r="R46" s="18">
        <v>46174</v>
      </c>
      <c r="S46" s="18">
        <v>46177</v>
      </c>
      <c r="T46" s="18">
        <v>46185</v>
      </c>
      <c r="U46" s="18">
        <v>46185</v>
      </c>
      <c r="V46" s="18">
        <v>46185</v>
      </c>
      <c r="W46" s="18">
        <v>46202</v>
      </c>
      <c r="X46" s="18">
        <v>46219</v>
      </c>
      <c r="Y46" s="18">
        <v>46237</v>
      </c>
      <c r="Z46" s="18"/>
      <c r="AA46" s="18">
        <v>46248</v>
      </c>
      <c r="AB46" s="18">
        <v>46252</v>
      </c>
      <c r="AC46" s="18">
        <v>46259</v>
      </c>
      <c r="AD46" s="18">
        <v>46280</v>
      </c>
      <c r="AE46" s="206">
        <v>46294</v>
      </c>
      <c r="AF46" s="18">
        <v>46324</v>
      </c>
      <c r="AG46" s="18">
        <v>46327</v>
      </c>
      <c r="AH46" s="18">
        <v>46330</v>
      </c>
      <c r="AI46" s="18">
        <v>46422</v>
      </c>
      <c r="AJ46" s="18">
        <v>46437</v>
      </c>
      <c r="AK46" s="18">
        <v>46444</v>
      </c>
      <c r="AL46" s="18">
        <v>46447</v>
      </c>
      <c r="AM46" s="18">
        <v>46474</v>
      </c>
      <c r="AN46" s="57">
        <v>28</v>
      </c>
      <c r="AO46" s="58">
        <v>196</v>
      </c>
      <c r="AP46" s="77">
        <v>46444</v>
      </c>
      <c r="AQ46" s="77">
        <v>46521</v>
      </c>
      <c r="AR46" s="19">
        <f>AQ46-AP47</f>
        <v>148</v>
      </c>
      <c r="AS46" s="142" t="s">
        <v>449</v>
      </c>
      <c r="AT46" s="501"/>
      <c r="AU46" s="20">
        <f>IF(ISERROR(LOOKUP(AU$10,$R46:$AT46,#REF!)),0,(LOOKUP(AU$10,$R46:$AT46,#REF!)))</f>
        <v>0</v>
      </c>
      <c r="AV46" s="21">
        <f>IF(ISERROR(LOOKUP(AV$10,$R46:$AT46,#REF!)),0,(LOOKUP(AV$10,$R46:$AT46,#REF!)))</f>
        <v>0</v>
      </c>
      <c r="AW46" s="21">
        <f>IF(ISERROR(LOOKUP(AW$10,$R46:$AT46,#REF!)),0,(LOOKUP(AW$10,$R46:$AT46,#REF!)))</f>
        <v>0</v>
      </c>
      <c r="AX46" s="21">
        <f>IF(ISERROR(LOOKUP(AX$10,$R46:$AT46,#REF!)),0,(LOOKUP(AX$10,$R46:$AT46,#REF!)))</f>
        <v>0</v>
      </c>
      <c r="AY46" s="21">
        <f>IF(ISERROR(LOOKUP(AY$10,$R46:$AT46,#REF!)),0,(LOOKUP(AY$10,$R46:$AT46,#REF!)))</f>
        <v>0</v>
      </c>
      <c r="AZ46" s="21">
        <f>IF(ISERROR(LOOKUP(AZ$10,$R46:$AT46,#REF!)),0,(LOOKUP(AZ$10,$R46:$AT46,#REF!)))</f>
        <v>0</v>
      </c>
      <c r="BA46" s="21">
        <f>IF(ISERROR(LOOKUP(BA$10,$R46:$AT46,#REF!)),0,(LOOKUP(BA$10,$R46:$AT46,#REF!)))</f>
        <v>0</v>
      </c>
      <c r="BB46" s="21">
        <f>IF(ISERROR(LOOKUP(BB$10,$R46:$AT46,#REF!)),0,(LOOKUP(BB$10,$R46:$AT46,#REF!)))</f>
        <v>0</v>
      </c>
      <c r="BC46" s="21">
        <f>IF(ISERROR(LOOKUP(BC$10,$R46:$AT46,#REF!)),0,(LOOKUP(BC$10,$R46:$AT46,#REF!)))</f>
        <v>0</v>
      </c>
      <c r="BD46" s="21">
        <f>IF(ISERROR(LOOKUP(BD$10,$R46:$AT46,#REF!)),0,(LOOKUP(BD$10,$R46:$AT46,#REF!)))</f>
        <v>0</v>
      </c>
      <c r="BE46" s="402">
        <f ca="1">IF(ISERROR(LOOKUP(BE$10,$R46:$AT46,#REF!)),0,(LOOKUP(BE$10,$R46:$AT46,#REF!)))</f>
        <v>0</v>
      </c>
      <c r="BF46" s="419"/>
      <c r="BG46" s="434"/>
      <c r="BH46" s="434"/>
    </row>
    <row r="47" spans="1:60" s="3" customFormat="1" ht="14.25" thickTop="1" thickBot="1" x14ac:dyDescent="0.45">
      <c r="A47" s="508"/>
      <c r="B47" s="92" t="s">
        <v>270</v>
      </c>
      <c r="C47" s="40" t="s">
        <v>56</v>
      </c>
      <c r="D47" s="23" t="s">
        <v>385</v>
      </c>
      <c r="E47" s="42" t="s">
        <v>57</v>
      </c>
      <c r="F47" s="45" t="s">
        <v>58</v>
      </c>
      <c r="G47" s="22" t="s">
        <v>51</v>
      </c>
      <c r="H47" s="22" t="s">
        <v>189</v>
      </c>
      <c r="I47" s="22" t="s">
        <v>290</v>
      </c>
      <c r="J47" s="343" t="s">
        <v>786</v>
      </c>
      <c r="K47" s="302" t="s">
        <v>523</v>
      </c>
      <c r="L47" s="208" t="s">
        <v>585</v>
      </c>
      <c r="M47" s="208" t="s">
        <v>585</v>
      </c>
      <c r="N47" s="208" t="s">
        <v>585</v>
      </c>
      <c r="O47" s="208" t="s">
        <v>611</v>
      </c>
      <c r="P47" s="175" t="s">
        <v>32</v>
      </c>
      <c r="Q47" s="25" t="s">
        <v>34</v>
      </c>
      <c r="R47" s="26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>
        <f>AE46</f>
        <v>46294</v>
      </c>
      <c r="AF47" s="27">
        <f>AE47+40</f>
        <v>46334</v>
      </c>
      <c r="AG47" s="27">
        <f>AF47+3</f>
        <v>46337</v>
      </c>
      <c r="AH47" s="27">
        <f>AG47+3</f>
        <v>46340</v>
      </c>
      <c r="AI47" s="27">
        <f>AJ47-15</f>
        <v>46351</v>
      </c>
      <c r="AJ47" s="27">
        <f>AK47-7</f>
        <v>46366</v>
      </c>
      <c r="AK47" s="27">
        <f>AP47</f>
        <v>46373</v>
      </c>
      <c r="AL47" s="27">
        <f>AP46+3</f>
        <v>46447</v>
      </c>
      <c r="AM47" s="27">
        <f>AP46+30</f>
        <v>46474</v>
      </c>
      <c r="AN47" s="80"/>
      <c r="AO47" s="78"/>
      <c r="AP47" s="82">
        <f>BG47</f>
        <v>46373</v>
      </c>
      <c r="AQ47" s="82"/>
      <c r="AR47" s="28"/>
      <c r="AS47" s="361" t="s">
        <v>909</v>
      </c>
      <c r="AT47" s="502"/>
      <c r="AU47" s="20">
        <f>IF(ISERROR(LOOKUP(AU$10,$R47:$AT47,#REF!)),0,(LOOKUP(AU$10,$R47:$AT47,#REF!)))</f>
        <v>0</v>
      </c>
      <c r="AV47" s="21">
        <f>IF(ISERROR(LOOKUP(AV$10,$R47:$AT47,#REF!)),0,(LOOKUP(AV$10,$R47:$AT47,#REF!)))</f>
        <v>0</v>
      </c>
      <c r="AW47" s="21">
        <f>IF(ISERROR(LOOKUP(AW$10,$R47:$AT47,#REF!)),0,(LOOKUP(AW$10,$R47:$AT47,#REF!)))</f>
        <v>0</v>
      </c>
      <c r="AX47" s="21">
        <f>IF(ISERROR(LOOKUP(AX$10,$R47:$AT47,#REF!)),0,(LOOKUP(AX$10,$R47:$AT47,#REF!)))</f>
        <v>0</v>
      </c>
      <c r="AY47" s="21">
        <f>IF(ISERROR(LOOKUP(AY$10,$R47:$AT47,#REF!)),0,(LOOKUP(AY$10,$R47:$AT47,#REF!)))</f>
        <v>0</v>
      </c>
      <c r="AZ47" s="21">
        <f>IF(ISERROR(LOOKUP(AZ$10,$R47:$AT47,#REF!)),0,(LOOKUP(AZ$10,$R47:$AT47,#REF!)))</f>
        <v>0</v>
      </c>
      <c r="BA47" s="21">
        <f>IF(ISERROR(LOOKUP(BA$10,$R47:$AT47,#REF!)),0,(LOOKUP(BA$10,$R47:$AT47,#REF!)))</f>
        <v>0</v>
      </c>
      <c r="BB47" s="21">
        <f>IF(ISERROR(LOOKUP(BB$10,$R47:$AT47,#REF!)),0,(LOOKUP(BB$10,$R47:$AT47,#REF!)))</f>
        <v>0</v>
      </c>
      <c r="BC47" s="21">
        <f>IF(ISERROR(LOOKUP(BC$10,$R47:$AT47,#REF!)),0,(LOOKUP(BC$10,$R47:$AT47,#REF!)))</f>
        <v>0</v>
      </c>
      <c r="BD47" s="21">
        <f>IF(ISERROR(LOOKUP(BD$10,$R47:$AT47,#REF!)),0,(LOOKUP(BD$10,$R47:$AT47,#REF!)))</f>
        <v>0</v>
      </c>
      <c r="BE47" s="402">
        <f ca="1">IF(ISERROR(LOOKUP(BE$10,$R47:$AT47,#REF!)),0,(LOOKUP(BE$10,$R47:$AT47,#REF!)))</f>
        <v>0</v>
      </c>
      <c r="BF47" s="415" t="s">
        <v>902</v>
      </c>
      <c r="BG47" s="428">
        <v>46373</v>
      </c>
      <c r="BH47" s="428"/>
    </row>
    <row r="48" spans="1:60" s="3" customFormat="1" ht="21" thickTop="1" thickBot="1" x14ac:dyDescent="0.45">
      <c r="A48" s="509"/>
      <c r="B48" s="93" t="s">
        <v>270</v>
      </c>
      <c r="C48" s="31" t="s">
        <v>56</v>
      </c>
      <c r="D48" s="47" t="s">
        <v>385</v>
      </c>
      <c r="E48" s="44" t="s">
        <v>57</v>
      </c>
      <c r="F48" s="33" t="s">
        <v>58</v>
      </c>
      <c r="G48" s="31" t="s">
        <v>51</v>
      </c>
      <c r="H48" s="31" t="s">
        <v>189</v>
      </c>
      <c r="I48" s="31" t="s">
        <v>290</v>
      </c>
      <c r="J48" s="215"/>
      <c r="K48" s="303" t="s">
        <v>488</v>
      </c>
      <c r="L48" s="279" t="s">
        <v>611</v>
      </c>
      <c r="M48" s="279" t="s">
        <v>611</v>
      </c>
      <c r="N48" s="279" t="s">
        <v>611</v>
      </c>
      <c r="O48" s="369"/>
      <c r="P48" s="176" t="s">
        <v>32</v>
      </c>
      <c r="Q48" s="34" t="s">
        <v>35</v>
      </c>
      <c r="R48" s="35">
        <v>46174</v>
      </c>
      <c r="S48" s="35">
        <v>46148</v>
      </c>
      <c r="T48" s="35">
        <v>46165</v>
      </c>
      <c r="U48" s="35">
        <v>46174</v>
      </c>
      <c r="V48" s="35">
        <v>46174</v>
      </c>
      <c r="W48" s="35">
        <v>46191</v>
      </c>
      <c r="X48" s="379" t="s">
        <v>843</v>
      </c>
      <c r="Y48" s="35">
        <v>46252</v>
      </c>
      <c r="Z48" s="35">
        <v>46252</v>
      </c>
      <c r="AA48" s="35">
        <v>46258</v>
      </c>
      <c r="AB48" s="35">
        <v>46265</v>
      </c>
      <c r="AC48" s="35">
        <v>46259</v>
      </c>
      <c r="AD48" s="35">
        <v>46274</v>
      </c>
      <c r="AE48" s="35"/>
      <c r="AF48" s="35"/>
      <c r="AG48" s="35"/>
      <c r="AH48" s="35"/>
      <c r="AI48" s="35"/>
      <c r="AJ48" s="35"/>
      <c r="AK48" s="35"/>
      <c r="AL48" s="35"/>
      <c r="AM48" s="35"/>
      <c r="AN48" s="81"/>
      <c r="AO48" s="79"/>
      <c r="AP48" s="36"/>
      <c r="AQ48" s="36"/>
      <c r="AR48" s="37"/>
      <c r="AS48" s="141"/>
      <c r="AT48" s="503"/>
      <c r="AU48" s="38">
        <f>IF(ISERROR(LOOKUP(AU$10,$R48:$AT48,#REF!)),0,(LOOKUP(AU$10,$R48:$AT48,#REF!)))</f>
        <v>0</v>
      </c>
      <c r="AV48" s="39">
        <f>IF(ISERROR(LOOKUP(AV$10,$R48:$AT48,#REF!)),0,(LOOKUP(AV$10,$R48:$AT48,#REF!)))</f>
        <v>0</v>
      </c>
      <c r="AW48" s="39">
        <f>IF(ISERROR(LOOKUP(AW$10,$R48:$AT48,#REF!)),0,(LOOKUP(AW$10,$R48:$AT48,#REF!)))</f>
        <v>0</v>
      </c>
      <c r="AX48" s="39">
        <f>IF(ISERROR(LOOKUP(AX$10,$R48:$AT48,#REF!)),0,(LOOKUP(AX$10,$R48:$AT48,#REF!)))</f>
        <v>0</v>
      </c>
      <c r="AY48" s="39">
        <f>IF(ISERROR(LOOKUP(AY$10,$R48:$AT48,#REF!)),0,(LOOKUP(AY$10,$R48:$AT48,#REF!)))</f>
        <v>0</v>
      </c>
      <c r="AZ48" s="39">
        <f>IF(ISERROR(LOOKUP(AZ$10,$R48:$AT48,#REF!)),0,(LOOKUP(AZ$10,$R48:$AT48,#REF!)))</f>
        <v>0</v>
      </c>
      <c r="BA48" s="39">
        <f>IF(ISERROR(LOOKUP(BA$10,$R48:$AT48,#REF!)),0,(LOOKUP(BA$10,$R48:$AT48,#REF!)))</f>
        <v>0</v>
      </c>
      <c r="BB48" s="39">
        <f>IF(ISERROR(LOOKUP(BB$10,$R48:$AT48,#REF!)),0,(LOOKUP(BB$10,$R48:$AT48,#REF!)))</f>
        <v>0</v>
      </c>
      <c r="BC48" s="39">
        <f>IF(ISERROR(LOOKUP(BC$10,$R48:$AT48,#REF!)),0,(LOOKUP(BC$10,$R48:$AT48,#REF!)))</f>
        <v>0</v>
      </c>
      <c r="BD48" s="39">
        <f>IF(ISERROR(LOOKUP(BD$10,$R48:$AT48,#REF!)),0,(LOOKUP(BD$10,$R48:$AT48,#REF!)))</f>
        <v>0</v>
      </c>
      <c r="BE48" s="405">
        <f ca="1">IF(ISERROR(LOOKUP(BE$10,$R48:$AT48,#REF!)),0,(LOOKUP(BE$10,$R48:$AT48,#REF!)))</f>
        <v>0</v>
      </c>
      <c r="BF48" s="421"/>
      <c r="BG48" s="429"/>
      <c r="BH48" s="429"/>
    </row>
    <row r="49" spans="1:60" s="3" customFormat="1" ht="14.25" thickTop="1" thickBot="1" x14ac:dyDescent="0.45">
      <c r="A49" s="507">
        <f t="shared" ref="A49" si="12">A46+1</f>
        <v>12</v>
      </c>
      <c r="B49" s="91" t="s">
        <v>270</v>
      </c>
      <c r="C49" s="46" t="s">
        <v>338</v>
      </c>
      <c r="D49" s="338" t="s">
        <v>388</v>
      </c>
      <c r="E49" s="63" t="s">
        <v>57</v>
      </c>
      <c r="F49" s="15" t="s">
        <v>58</v>
      </c>
      <c r="G49" s="13" t="s">
        <v>51</v>
      </c>
      <c r="H49" s="13" t="s">
        <v>189</v>
      </c>
      <c r="I49" s="13" t="s">
        <v>290</v>
      </c>
      <c r="J49" s="382" t="s">
        <v>551</v>
      </c>
      <c r="K49" s="232" t="s">
        <v>532</v>
      </c>
      <c r="L49" s="278" t="s">
        <v>483</v>
      </c>
      <c r="M49" s="278" t="s">
        <v>483</v>
      </c>
      <c r="N49" s="278" t="s">
        <v>483</v>
      </c>
      <c r="O49" s="368" t="s">
        <v>609</v>
      </c>
      <c r="P49" s="174" t="s">
        <v>32</v>
      </c>
      <c r="Q49" s="17" t="s">
        <v>33</v>
      </c>
      <c r="R49" s="18">
        <v>46174</v>
      </c>
      <c r="S49" s="18">
        <v>46177</v>
      </c>
      <c r="T49" s="18">
        <v>46185</v>
      </c>
      <c r="U49" s="18">
        <v>46185</v>
      </c>
      <c r="V49" s="18">
        <v>46185</v>
      </c>
      <c r="W49" s="18">
        <v>46202</v>
      </c>
      <c r="X49" s="18">
        <v>46219</v>
      </c>
      <c r="Y49" s="18">
        <v>46237</v>
      </c>
      <c r="Z49" s="18"/>
      <c r="AA49" s="18">
        <v>46248</v>
      </c>
      <c r="AB49" s="18">
        <v>46252</v>
      </c>
      <c r="AC49" s="18">
        <v>46259</v>
      </c>
      <c r="AD49" s="18">
        <v>46280</v>
      </c>
      <c r="AE49" s="206">
        <v>46294</v>
      </c>
      <c r="AF49" s="18">
        <v>46324</v>
      </c>
      <c r="AG49" s="18">
        <v>46327</v>
      </c>
      <c r="AH49" s="18">
        <v>46330</v>
      </c>
      <c r="AI49" s="18">
        <v>46422</v>
      </c>
      <c r="AJ49" s="18">
        <v>46437</v>
      </c>
      <c r="AK49" s="18">
        <v>46444</v>
      </c>
      <c r="AL49" s="18">
        <v>46447</v>
      </c>
      <c r="AM49" s="18">
        <v>46474</v>
      </c>
      <c r="AN49" s="57">
        <v>28</v>
      </c>
      <c r="AO49" s="58">
        <v>196</v>
      </c>
      <c r="AP49" s="77">
        <v>46444</v>
      </c>
      <c r="AQ49" s="77">
        <v>46487</v>
      </c>
      <c r="AR49" s="19">
        <f>AQ49-AP50</f>
        <v>96</v>
      </c>
      <c r="AS49" s="142" t="s">
        <v>449</v>
      </c>
      <c r="AT49" s="501"/>
      <c r="AU49" s="20">
        <f>IF(ISERROR(LOOKUP(AU$10,$R49:$AT49,#REF!)),0,(LOOKUP(AU$10,$R49:$AT49,#REF!)))</f>
        <v>0</v>
      </c>
      <c r="AV49" s="21">
        <f>IF(ISERROR(LOOKUP(AV$10,$R49:$AT49,#REF!)),0,(LOOKUP(AV$10,$R49:$AT49,#REF!)))</f>
        <v>0</v>
      </c>
      <c r="AW49" s="21">
        <f>IF(ISERROR(LOOKUP(AW$10,$R49:$AT49,#REF!)),0,(LOOKUP(AW$10,$R49:$AT49,#REF!)))</f>
        <v>0</v>
      </c>
      <c r="AX49" s="21">
        <f>IF(ISERROR(LOOKUP(AX$10,$R49:$AT49,#REF!)),0,(LOOKUP(AX$10,$R49:$AT49,#REF!)))</f>
        <v>0</v>
      </c>
      <c r="AY49" s="21">
        <f>IF(ISERROR(LOOKUP(AY$10,$R49:$AT49,#REF!)),0,(LOOKUP(AY$10,$R49:$AT49,#REF!)))</f>
        <v>0</v>
      </c>
      <c r="AZ49" s="21">
        <f>IF(ISERROR(LOOKUP(AZ$10,$R49:$AT49,#REF!)),0,(LOOKUP(AZ$10,$R49:$AT49,#REF!)))</f>
        <v>0</v>
      </c>
      <c r="BA49" s="21">
        <f>IF(ISERROR(LOOKUP(BA$10,$R49:$AT49,#REF!)),0,(LOOKUP(BA$10,$R49:$AT49,#REF!)))</f>
        <v>0</v>
      </c>
      <c r="BB49" s="21">
        <f>IF(ISERROR(LOOKUP(BB$10,$R49:$AT49,#REF!)),0,(LOOKUP(BB$10,$R49:$AT49,#REF!)))</f>
        <v>0</v>
      </c>
      <c r="BC49" s="21">
        <f>IF(ISERROR(LOOKUP(BC$10,$R49:$AT49,#REF!)),0,(LOOKUP(BC$10,$R49:$AT49,#REF!)))</f>
        <v>0</v>
      </c>
      <c r="BD49" s="21">
        <f>IF(ISERROR(LOOKUP(BD$10,$R49:$AT49,#REF!)),0,(LOOKUP(BD$10,$R49:$AT49,#REF!)))</f>
        <v>0</v>
      </c>
      <c r="BE49" s="402">
        <f ca="1">IF(ISERROR(LOOKUP(BE$10,$R49:$AT49,#REF!)),0,(LOOKUP(BE$10,$R49:$AT49,#REF!)))</f>
        <v>0</v>
      </c>
      <c r="BF49" s="422"/>
      <c r="BG49" s="435"/>
      <c r="BH49" s="435"/>
    </row>
    <row r="50" spans="1:60" s="3" customFormat="1" ht="14.25" thickTop="1" thickBot="1" x14ac:dyDescent="0.45">
      <c r="A50" s="508"/>
      <c r="B50" s="92" t="s">
        <v>270</v>
      </c>
      <c r="C50" s="113" t="s">
        <v>338</v>
      </c>
      <c r="D50" s="23" t="s">
        <v>387</v>
      </c>
      <c r="E50" s="42" t="s">
        <v>57</v>
      </c>
      <c r="F50" s="45" t="s">
        <v>58</v>
      </c>
      <c r="G50" s="22" t="s">
        <v>51</v>
      </c>
      <c r="H50" s="22" t="s">
        <v>189</v>
      </c>
      <c r="I50" s="22" t="s">
        <v>290</v>
      </c>
      <c r="J50" s="343" t="s">
        <v>788</v>
      </c>
      <c r="K50" s="302" t="s">
        <v>550</v>
      </c>
      <c r="L50" s="208" t="s">
        <v>585</v>
      </c>
      <c r="M50" s="208" t="s">
        <v>585</v>
      </c>
      <c r="N50" s="208" t="s">
        <v>585</v>
      </c>
      <c r="O50" s="208" t="s">
        <v>551</v>
      </c>
      <c r="P50" s="175" t="s">
        <v>32</v>
      </c>
      <c r="Q50" s="25" t="s">
        <v>34</v>
      </c>
      <c r="R50" s="26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>
        <f>AE49</f>
        <v>46294</v>
      </c>
      <c r="AF50" s="27">
        <f>AE50+40</f>
        <v>46334</v>
      </c>
      <c r="AG50" s="27">
        <f>AF50+3</f>
        <v>46337</v>
      </c>
      <c r="AH50" s="27">
        <f>AG50+3</f>
        <v>46340</v>
      </c>
      <c r="AI50" s="27">
        <f>AJ50-15</f>
        <v>46369</v>
      </c>
      <c r="AJ50" s="27">
        <f>AK50-7</f>
        <v>46384</v>
      </c>
      <c r="AK50" s="27">
        <f>AP50</f>
        <v>46391</v>
      </c>
      <c r="AL50" s="27">
        <f>AP49+3</f>
        <v>46447</v>
      </c>
      <c r="AM50" s="27">
        <f>AP49+30</f>
        <v>46474</v>
      </c>
      <c r="AN50" s="80">
        <v>22</v>
      </c>
      <c r="AO50" s="78">
        <f>AN50*7</f>
        <v>154</v>
      </c>
      <c r="AP50" s="82">
        <f>BG50</f>
        <v>46391</v>
      </c>
      <c r="AQ50" s="82"/>
      <c r="AR50" s="28"/>
      <c r="AS50" s="361" t="s">
        <v>909</v>
      </c>
      <c r="AT50" s="502"/>
      <c r="AU50" s="20">
        <f>IF(ISERROR(LOOKUP(AU$10,$R50:$AT50,#REF!)),0,(LOOKUP(AU$10,$R50:$AT50,#REF!)))</f>
        <v>0</v>
      </c>
      <c r="AV50" s="21">
        <f>IF(ISERROR(LOOKUP(AV$10,$R50:$AT50,#REF!)),0,(LOOKUP(AV$10,$R50:$AT50,#REF!)))</f>
        <v>0</v>
      </c>
      <c r="AW50" s="21">
        <f>IF(ISERROR(LOOKUP(AW$10,$R50:$AT50,#REF!)),0,(LOOKUP(AW$10,$R50:$AT50,#REF!)))</f>
        <v>0</v>
      </c>
      <c r="AX50" s="21">
        <f>IF(ISERROR(LOOKUP(AX$10,$R50:$AT50,#REF!)),0,(LOOKUP(AX$10,$R50:$AT50,#REF!)))</f>
        <v>0</v>
      </c>
      <c r="AY50" s="21">
        <f>IF(ISERROR(LOOKUP(AY$10,$R50:$AT50,#REF!)),0,(LOOKUP(AY$10,$R50:$AT50,#REF!)))</f>
        <v>0</v>
      </c>
      <c r="AZ50" s="21">
        <f>IF(ISERROR(LOOKUP(AZ$10,$R50:$AT50,#REF!)),0,(LOOKUP(AZ$10,$R50:$AT50,#REF!)))</f>
        <v>0</v>
      </c>
      <c r="BA50" s="21">
        <f>IF(ISERROR(LOOKUP(BA$10,$R50:$AT50,#REF!)),0,(LOOKUP(BA$10,$R50:$AT50,#REF!)))</f>
        <v>0</v>
      </c>
      <c r="BB50" s="21">
        <f>IF(ISERROR(LOOKUP(BB$10,$R50:$AT50,#REF!)),0,(LOOKUP(BB$10,$R50:$AT50,#REF!)))</f>
        <v>0</v>
      </c>
      <c r="BC50" s="21">
        <f>IF(ISERROR(LOOKUP(BC$10,$R50:$AT50,#REF!)),0,(LOOKUP(BC$10,$R50:$AT50,#REF!)))</f>
        <v>0</v>
      </c>
      <c r="BD50" s="21">
        <f>IF(ISERROR(LOOKUP(BD$10,$R50:$AT50,#REF!)),0,(LOOKUP(BD$10,$R50:$AT50,#REF!)))</f>
        <v>0</v>
      </c>
      <c r="BE50" s="402">
        <f ca="1">IF(ISERROR(LOOKUP(BE$10,$R50:$AT50,#REF!)),0,(LOOKUP(BE$10,$R50:$AT50,#REF!)))</f>
        <v>0</v>
      </c>
      <c r="BF50" s="415" t="s">
        <v>902</v>
      </c>
      <c r="BG50" s="428">
        <v>46391</v>
      </c>
      <c r="BH50" s="428"/>
    </row>
    <row r="51" spans="1:60" s="3" customFormat="1" ht="21" thickTop="1" thickBot="1" x14ac:dyDescent="0.45">
      <c r="A51" s="509"/>
      <c r="B51" s="93" t="s">
        <v>270</v>
      </c>
      <c r="C51" s="47" t="s">
        <v>338</v>
      </c>
      <c r="D51" s="47" t="s">
        <v>387</v>
      </c>
      <c r="E51" s="44" t="s">
        <v>57</v>
      </c>
      <c r="F51" s="33" t="s">
        <v>58</v>
      </c>
      <c r="G51" s="31" t="s">
        <v>51</v>
      </c>
      <c r="H51" s="31" t="s">
        <v>189</v>
      </c>
      <c r="I51" s="31" t="s">
        <v>290</v>
      </c>
      <c r="J51" s="256" t="s">
        <v>524</v>
      </c>
      <c r="K51" s="303" t="s">
        <v>483</v>
      </c>
      <c r="L51" s="279" t="s">
        <v>551</v>
      </c>
      <c r="M51" s="279" t="s">
        <v>551</v>
      </c>
      <c r="N51" s="279" t="s">
        <v>551</v>
      </c>
      <c r="O51" s="369"/>
      <c r="P51" s="176" t="s">
        <v>32</v>
      </c>
      <c r="Q51" s="34" t="s">
        <v>35</v>
      </c>
      <c r="R51" s="35">
        <v>46174</v>
      </c>
      <c r="S51" s="35">
        <v>46148</v>
      </c>
      <c r="T51" s="35">
        <v>46165</v>
      </c>
      <c r="U51" s="35">
        <v>46174</v>
      </c>
      <c r="V51" s="35">
        <v>46174</v>
      </c>
      <c r="W51" s="35">
        <v>46200</v>
      </c>
      <c r="X51" s="379" t="s">
        <v>843</v>
      </c>
      <c r="Y51" s="379" t="s">
        <v>867</v>
      </c>
      <c r="Z51" s="35">
        <v>46248</v>
      </c>
      <c r="AA51" s="35">
        <v>46255</v>
      </c>
      <c r="AB51" s="35">
        <v>46260</v>
      </c>
      <c r="AC51" s="35">
        <v>46260</v>
      </c>
      <c r="AD51" s="35">
        <v>46255</v>
      </c>
      <c r="AE51" s="35"/>
      <c r="AF51" s="35"/>
      <c r="AG51" s="35"/>
      <c r="AH51" s="35"/>
      <c r="AI51" s="35"/>
      <c r="AJ51" s="35"/>
      <c r="AK51" s="35"/>
      <c r="AL51" s="35"/>
      <c r="AM51" s="35"/>
      <c r="AN51" s="81"/>
      <c r="AO51" s="79"/>
      <c r="AP51" s="36"/>
      <c r="AQ51" s="36"/>
      <c r="AR51" s="37"/>
      <c r="AS51" s="141"/>
      <c r="AT51" s="503"/>
      <c r="AU51" s="38">
        <f>IF(ISERROR(LOOKUP(AU$10,$R51:$AT51,#REF!)),0,(LOOKUP(AU$10,$R51:$AT51,#REF!)))</f>
        <v>0</v>
      </c>
      <c r="AV51" s="39">
        <f>IF(ISERROR(LOOKUP(AV$10,$R51:$AT51,#REF!)),0,(LOOKUP(AV$10,$R51:$AT51,#REF!)))</f>
        <v>0</v>
      </c>
      <c r="AW51" s="39">
        <f>IF(ISERROR(LOOKUP(AW$10,$R51:$AT51,#REF!)),0,(LOOKUP(AW$10,$R51:$AT51,#REF!)))</f>
        <v>0</v>
      </c>
      <c r="AX51" s="39">
        <f>IF(ISERROR(LOOKUP(AX$10,$R51:$AT51,#REF!)),0,(LOOKUP(AX$10,$R51:$AT51,#REF!)))</f>
        <v>0</v>
      </c>
      <c r="AY51" s="39">
        <f>IF(ISERROR(LOOKUP(AY$10,$R51:$AT51,#REF!)),0,(LOOKUP(AY$10,$R51:$AT51,#REF!)))</f>
        <v>0</v>
      </c>
      <c r="AZ51" s="39">
        <f>IF(ISERROR(LOOKUP(AZ$10,$R51:$AT51,#REF!)),0,(LOOKUP(AZ$10,$R51:$AT51,#REF!)))</f>
        <v>0</v>
      </c>
      <c r="BA51" s="39">
        <f>IF(ISERROR(LOOKUP(BA$10,$R51:$AT51,#REF!)),0,(LOOKUP(BA$10,$R51:$AT51,#REF!)))</f>
        <v>0</v>
      </c>
      <c r="BB51" s="39">
        <f>IF(ISERROR(LOOKUP(BB$10,$R51:$AT51,#REF!)),0,(LOOKUP(BB$10,$R51:$AT51,#REF!)))</f>
        <v>0</v>
      </c>
      <c r="BC51" s="39">
        <f>IF(ISERROR(LOOKUP(BC$10,$R51:$AT51,#REF!)),0,(LOOKUP(BC$10,$R51:$AT51,#REF!)))</f>
        <v>0</v>
      </c>
      <c r="BD51" s="39">
        <f>IF(ISERROR(LOOKUP(BD$10,$R51:$AT51,#REF!)),0,(LOOKUP(BD$10,$R51:$AT51,#REF!)))</f>
        <v>0</v>
      </c>
      <c r="BE51" s="405">
        <f ca="1">IF(ISERROR(LOOKUP(BE$10,$R51:$AT51,#REF!)),0,(LOOKUP(BE$10,$R51:$AT51,#REF!)))</f>
        <v>0</v>
      </c>
      <c r="BF51" s="420"/>
      <c r="BG51" s="436"/>
      <c r="BH51" s="436"/>
    </row>
    <row r="52" spans="1:60" s="3" customFormat="1" ht="16.5" customHeight="1" thickTop="1" thickBot="1" x14ac:dyDescent="0.45">
      <c r="A52" s="507">
        <f t="shared" ref="A52" si="13">A49+1</f>
        <v>13</v>
      </c>
      <c r="B52" s="14" t="s">
        <v>270</v>
      </c>
      <c r="C52" s="13" t="s">
        <v>59</v>
      </c>
      <c r="D52" s="338" t="s">
        <v>687</v>
      </c>
      <c r="E52" s="63" t="s">
        <v>60</v>
      </c>
      <c r="F52" s="15" t="s">
        <v>58</v>
      </c>
      <c r="G52" s="13" t="s">
        <v>51</v>
      </c>
      <c r="H52" s="13" t="s">
        <v>189</v>
      </c>
      <c r="I52" s="13" t="s">
        <v>290</v>
      </c>
      <c r="J52" s="382" t="s">
        <v>551</v>
      </c>
      <c r="K52" s="232" t="s">
        <v>683</v>
      </c>
      <c r="L52" s="278" t="s">
        <v>483</v>
      </c>
      <c r="M52" s="278"/>
      <c r="N52" s="278"/>
      <c r="O52" s="368"/>
      <c r="P52" s="174" t="s">
        <v>32</v>
      </c>
      <c r="Q52" s="17" t="s">
        <v>33</v>
      </c>
      <c r="R52" s="18">
        <v>46174</v>
      </c>
      <c r="S52" s="18">
        <v>46177</v>
      </c>
      <c r="T52" s="18">
        <v>46185</v>
      </c>
      <c r="U52" s="18">
        <v>46185</v>
      </c>
      <c r="V52" s="18">
        <v>46185</v>
      </c>
      <c r="W52" s="18">
        <v>46202</v>
      </c>
      <c r="X52" s="18">
        <v>46219</v>
      </c>
      <c r="Y52" s="18">
        <v>46237</v>
      </c>
      <c r="Z52" s="18"/>
      <c r="AA52" s="18">
        <v>46248</v>
      </c>
      <c r="AB52" s="18">
        <v>46252</v>
      </c>
      <c r="AC52" s="18">
        <v>46259</v>
      </c>
      <c r="AD52" s="18">
        <v>46280</v>
      </c>
      <c r="AE52" s="206">
        <v>46294</v>
      </c>
      <c r="AF52" s="18">
        <v>46324</v>
      </c>
      <c r="AG52" s="18">
        <v>46327</v>
      </c>
      <c r="AH52" s="18">
        <v>46330</v>
      </c>
      <c r="AI52" s="18">
        <v>46422</v>
      </c>
      <c r="AJ52" s="18">
        <v>46437</v>
      </c>
      <c r="AK52" s="18">
        <v>46444</v>
      </c>
      <c r="AL52" s="18">
        <v>46447</v>
      </c>
      <c r="AM52" s="18">
        <v>46474</v>
      </c>
      <c r="AN52" s="57">
        <v>28</v>
      </c>
      <c r="AO52" s="58">
        <v>196</v>
      </c>
      <c r="AP52" s="77">
        <v>46444</v>
      </c>
      <c r="AQ52" s="77">
        <v>46487</v>
      </c>
      <c r="AR52" s="19">
        <f>AQ52-AP53</f>
        <v>96</v>
      </c>
      <c r="AS52" s="142" t="s">
        <v>991</v>
      </c>
      <c r="AT52" s="501"/>
      <c r="AU52" s="20">
        <f>IF(ISERROR(LOOKUP(AU$10,$R52:$AT52,#REF!)),0,(LOOKUP(AU$10,$R52:$AT52,#REF!)))</f>
        <v>0</v>
      </c>
      <c r="AV52" s="21">
        <f>IF(ISERROR(LOOKUP(AV$10,$R52:$AT52,#REF!)),0,(LOOKUP(AV$10,$R52:$AT52,#REF!)))</f>
        <v>0</v>
      </c>
      <c r="AW52" s="21">
        <f>IF(ISERROR(LOOKUP(AW$10,$R52:$AT52,#REF!)),0,(LOOKUP(AW$10,$R52:$AT52,#REF!)))</f>
        <v>0</v>
      </c>
      <c r="AX52" s="21">
        <f>IF(ISERROR(LOOKUP(AX$10,$R52:$AT52,#REF!)),0,(LOOKUP(AX$10,$R52:$AT52,#REF!)))</f>
        <v>0</v>
      </c>
      <c r="AY52" s="21">
        <f>IF(ISERROR(LOOKUP(AY$10,$R52:$AT52,#REF!)),0,(LOOKUP(AY$10,$R52:$AT52,#REF!)))</f>
        <v>0</v>
      </c>
      <c r="AZ52" s="21">
        <f>IF(ISERROR(LOOKUP(AZ$10,$R52:$AT52,#REF!)),0,(LOOKUP(AZ$10,$R52:$AT52,#REF!)))</f>
        <v>0</v>
      </c>
      <c r="BA52" s="21">
        <f>IF(ISERROR(LOOKUP(BA$10,$R52:$AT52,#REF!)),0,(LOOKUP(BA$10,$R52:$AT52,#REF!)))</f>
        <v>0</v>
      </c>
      <c r="BB52" s="21">
        <f>IF(ISERROR(LOOKUP(BB$10,$R52:$AT52,#REF!)),0,(LOOKUP(BB$10,$R52:$AT52,#REF!)))</f>
        <v>0</v>
      </c>
      <c r="BC52" s="21">
        <f>IF(ISERROR(LOOKUP(BC$10,$R52:$AT52,#REF!)),0,(LOOKUP(BC$10,$R52:$AT52,#REF!)))</f>
        <v>0</v>
      </c>
      <c r="BD52" s="21">
        <f>IF(ISERROR(LOOKUP(BD$10,$R52:$AT52,#REF!)),0,(LOOKUP(BD$10,$R52:$AT52,#REF!)))</f>
        <v>0</v>
      </c>
      <c r="BE52" s="402">
        <f ca="1">IF(ISERROR(LOOKUP(BE$10,$R52:$AT52,#REF!)),0,(LOOKUP(BE$10,$R52:$AT52,#REF!)))</f>
        <v>0</v>
      </c>
      <c r="BF52" s="419"/>
      <c r="BG52" s="434"/>
      <c r="BH52" s="434"/>
    </row>
    <row r="53" spans="1:60" s="3" customFormat="1" ht="14.25" thickTop="1" thickBot="1" x14ac:dyDescent="0.45">
      <c r="A53" s="508"/>
      <c r="B53" s="92" t="s">
        <v>270</v>
      </c>
      <c r="C53" s="40" t="s">
        <v>59</v>
      </c>
      <c r="D53" s="23" t="s">
        <v>686</v>
      </c>
      <c r="E53" s="42" t="s">
        <v>60</v>
      </c>
      <c r="F53" s="45" t="s">
        <v>58</v>
      </c>
      <c r="G53" s="22" t="s">
        <v>51</v>
      </c>
      <c r="H53" s="22" t="s">
        <v>189</v>
      </c>
      <c r="I53" s="22" t="s">
        <v>290</v>
      </c>
      <c r="J53" s="343" t="s">
        <v>788</v>
      </c>
      <c r="K53" s="302" t="s">
        <v>682</v>
      </c>
      <c r="L53" s="208" t="s">
        <v>585</v>
      </c>
      <c r="M53" s="208" t="s">
        <v>609</v>
      </c>
      <c r="N53" s="208" t="s">
        <v>585</v>
      </c>
      <c r="O53" s="208" t="s">
        <v>609</v>
      </c>
      <c r="P53" s="175" t="s">
        <v>32</v>
      </c>
      <c r="Q53" s="25" t="s">
        <v>34</v>
      </c>
      <c r="R53" s="26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>
        <f>AE52</f>
        <v>46294</v>
      </c>
      <c r="AF53" s="27">
        <f>AE53+40</f>
        <v>46334</v>
      </c>
      <c r="AG53" s="27">
        <f>AF53+3</f>
        <v>46337</v>
      </c>
      <c r="AH53" s="27">
        <f>AG53+3</f>
        <v>46340</v>
      </c>
      <c r="AI53" s="27">
        <f>AJ53-15</f>
        <v>46369</v>
      </c>
      <c r="AJ53" s="27">
        <f>AK53-7</f>
        <v>46384</v>
      </c>
      <c r="AK53" s="27">
        <f>AP53</f>
        <v>46391</v>
      </c>
      <c r="AL53" s="27">
        <f>AP52+3</f>
        <v>46447</v>
      </c>
      <c r="AM53" s="27">
        <f>AP52+30</f>
        <v>46474</v>
      </c>
      <c r="AN53" s="88"/>
      <c r="AO53" s="89"/>
      <c r="AP53" s="82">
        <f>BG53</f>
        <v>46391</v>
      </c>
      <c r="AQ53" s="82"/>
      <c r="AR53" s="28"/>
      <c r="AS53" s="361" t="s">
        <v>909</v>
      </c>
      <c r="AT53" s="502"/>
      <c r="AU53" s="20">
        <f>IF(ISERROR(LOOKUP(AU$10,$R53:$AT53,#REF!)),0,(LOOKUP(AU$10,$R53:$AT53,#REF!)))</f>
        <v>0</v>
      </c>
      <c r="AV53" s="21">
        <f>IF(ISERROR(LOOKUP(AV$10,$R53:$AT53,#REF!)),0,(LOOKUP(AV$10,$R53:$AT53,#REF!)))</f>
        <v>0</v>
      </c>
      <c r="AW53" s="21">
        <f>IF(ISERROR(LOOKUP(AW$10,$R53:$AT53,#REF!)),0,(LOOKUP(AW$10,$R53:$AT53,#REF!)))</f>
        <v>0</v>
      </c>
      <c r="AX53" s="21">
        <f>IF(ISERROR(LOOKUP(AX$10,$R53:$AT53,#REF!)),0,(LOOKUP(AX$10,$R53:$AT53,#REF!)))</f>
        <v>0</v>
      </c>
      <c r="AY53" s="21">
        <f>IF(ISERROR(LOOKUP(AY$10,$R53:$AT53,#REF!)),0,(LOOKUP(AY$10,$R53:$AT53,#REF!)))</f>
        <v>0</v>
      </c>
      <c r="AZ53" s="21">
        <f>IF(ISERROR(LOOKUP(AZ$10,$R53:$AT53,#REF!)),0,(LOOKUP(AZ$10,$R53:$AT53,#REF!)))</f>
        <v>0</v>
      </c>
      <c r="BA53" s="21">
        <f>IF(ISERROR(LOOKUP(BA$10,$R53:$AT53,#REF!)),0,(LOOKUP(BA$10,$R53:$AT53,#REF!)))</f>
        <v>0</v>
      </c>
      <c r="BB53" s="21">
        <f>IF(ISERROR(LOOKUP(BB$10,$R53:$AT53,#REF!)),0,(LOOKUP(BB$10,$R53:$AT53,#REF!)))</f>
        <v>0</v>
      </c>
      <c r="BC53" s="21">
        <f>IF(ISERROR(LOOKUP(BC$10,$R53:$AT53,#REF!)),0,(LOOKUP(BC$10,$R53:$AT53,#REF!)))</f>
        <v>0</v>
      </c>
      <c r="BD53" s="21">
        <f>IF(ISERROR(LOOKUP(BD$10,$R53:$AT53,#REF!)),0,(LOOKUP(BD$10,$R53:$AT53,#REF!)))</f>
        <v>0</v>
      </c>
      <c r="BE53" s="402">
        <f ca="1">IF(ISERROR(LOOKUP(BE$10,$R53:$AT53,#REF!)),0,(LOOKUP(BE$10,$R53:$AT53,#REF!)))</f>
        <v>0</v>
      </c>
      <c r="BF53" s="415" t="s">
        <v>902</v>
      </c>
      <c r="BG53" s="428">
        <v>46391</v>
      </c>
      <c r="BH53" s="428"/>
    </row>
    <row r="54" spans="1:60" s="3" customFormat="1" ht="16.149999999999999" customHeight="1" thickTop="1" thickBot="1" x14ac:dyDescent="0.45">
      <c r="A54" s="509"/>
      <c r="B54" s="93" t="s">
        <v>270</v>
      </c>
      <c r="C54" s="31" t="s">
        <v>59</v>
      </c>
      <c r="D54" s="47" t="s">
        <v>686</v>
      </c>
      <c r="E54" s="44" t="s">
        <v>60</v>
      </c>
      <c r="F54" s="33" t="s">
        <v>58</v>
      </c>
      <c r="G54" s="31" t="s">
        <v>51</v>
      </c>
      <c r="H54" s="31" t="s">
        <v>189</v>
      </c>
      <c r="I54" s="31" t="s">
        <v>290</v>
      </c>
      <c r="J54" s="309"/>
      <c r="K54" s="310" t="s">
        <v>684</v>
      </c>
      <c r="L54" s="279" t="s">
        <v>551</v>
      </c>
      <c r="M54" s="279" t="s">
        <v>688</v>
      </c>
      <c r="N54" s="279" t="s">
        <v>551</v>
      </c>
      <c r="O54" s="279" t="s">
        <v>551</v>
      </c>
      <c r="P54" s="176" t="s">
        <v>32</v>
      </c>
      <c r="Q54" s="34" t="s">
        <v>35</v>
      </c>
      <c r="R54" s="35">
        <v>46174</v>
      </c>
      <c r="S54" s="35">
        <v>46148</v>
      </c>
      <c r="T54" s="35">
        <v>46165</v>
      </c>
      <c r="U54" s="35">
        <v>46178</v>
      </c>
      <c r="V54" s="35">
        <v>46178</v>
      </c>
      <c r="W54" s="35">
        <v>46198</v>
      </c>
      <c r="X54" s="35">
        <v>46219</v>
      </c>
      <c r="Y54" s="35">
        <v>46245</v>
      </c>
      <c r="Z54" s="35">
        <v>46248</v>
      </c>
      <c r="AA54" s="35">
        <v>46255</v>
      </c>
      <c r="AB54" s="35">
        <v>46260</v>
      </c>
      <c r="AC54" s="35">
        <v>46260</v>
      </c>
      <c r="AD54" s="35">
        <v>46255</v>
      </c>
      <c r="AE54" s="35"/>
      <c r="AF54" s="35"/>
      <c r="AG54" s="35"/>
      <c r="AH54" s="35"/>
      <c r="AI54" s="35"/>
      <c r="AJ54" s="35"/>
      <c r="AK54" s="35"/>
      <c r="AL54" s="35"/>
      <c r="AM54" s="35"/>
      <c r="AN54" s="81"/>
      <c r="AO54" s="79"/>
      <c r="AP54" s="36"/>
      <c r="AQ54" s="36"/>
      <c r="AR54" s="37"/>
      <c r="AS54" s="141"/>
      <c r="AT54" s="503"/>
      <c r="AU54" s="38">
        <f>IF(ISERROR(LOOKUP(AU$10,$R54:$AT54,#REF!)),0,(LOOKUP(AU$10,$R54:$AT54,#REF!)))</f>
        <v>0</v>
      </c>
      <c r="AV54" s="39">
        <f>IF(ISERROR(LOOKUP(AV$10,$R54:$AT54,#REF!)),0,(LOOKUP(AV$10,$R54:$AT54,#REF!)))</f>
        <v>0</v>
      </c>
      <c r="AW54" s="39">
        <f>IF(ISERROR(LOOKUP(AW$10,$R54:$AT54,#REF!)),0,(LOOKUP(AW$10,$R54:$AT54,#REF!)))</f>
        <v>0</v>
      </c>
      <c r="AX54" s="39">
        <f>IF(ISERROR(LOOKUP(AX$10,$R54:$AT54,#REF!)),0,(LOOKUP(AX$10,$R54:$AT54,#REF!)))</f>
        <v>0</v>
      </c>
      <c r="AY54" s="39">
        <f>IF(ISERROR(LOOKUP(AY$10,$R54:$AT54,#REF!)),0,(LOOKUP(AY$10,$R54:$AT54,#REF!)))</f>
        <v>0</v>
      </c>
      <c r="AZ54" s="39">
        <f>IF(ISERROR(LOOKUP(AZ$10,$R54:$AT54,#REF!)),0,(LOOKUP(AZ$10,$R54:$AT54,#REF!)))</f>
        <v>0</v>
      </c>
      <c r="BA54" s="39">
        <f>IF(ISERROR(LOOKUP(BA$10,$R54:$AT54,#REF!)),0,(LOOKUP(BA$10,$R54:$AT54,#REF!)))</f>
        <v>0</v>
      </c>
      <c r="BB54" s="39">
        <f>IF(ISERROR(LOOKUP(BB$10,$R54:$AT54,#REF!)),0,(LOOKUP(BB$10,$R54:$AT54,#REF!)))</f>
        <v>0</v>
      </c>
      <c r="BC54" s="39">
        <f>IF(ISERROR(LOOKUP(BC$10,$R54:$AT54,#REF!)),0,(LOOKUP(BC$10,$R54:$AT54,#REF!)))</f>
        <v>0</v>
      </c>
      <c r="BD54" s="39">
        <f>IF(ISERROR(LOOKUP(BD$10,$R54:$AT54,#REF!)),0,(LOOKUP(BD$10,$R54:$AT54,#REF!)))</f>
        <v>0</v>
      </c>
      <c r="BE54" s="405">
        <f ca="1">IF(ISERROR(LOOKUP(BE$10,$R54:$AT54,#REF!)),0,(LOOKUP(BE$10,$R54:$AT54,#REF!)))</f>
        <v>0</v>
      </c>
      <c r="BF54" s="421"/>
      <c r="BG54" s="429"/>
      <c r="BH54" s="429"/>
    </row>
    <row r="55" spans="1:60" s="3" customFormat="1" ht="14.25" thickTop="1" thickBot="1" x14ac:dyDescent="0.45">
      <c r="A55" s="507">
        <v>14</v>
      </c>
      <c r="B55" s="91" t="s">
        <v>270</v>
      </c>
      <c r="C55" s="16" t="s">
        <v>403</v>
      </c>
      <c r="D55" s="338" t="s">
        <v>747</v>
      </c>
      <c r="E55" s="63" t="s">
        <v>60</v>
      </c>
      <c r="F55" s="15" t="s">
        <v>58</v>
      </c>
      <c r="G55" s="13" t="s">
        <v>51</v>
      </c>
      <c r="H55" s="13" t="s">
        <v>189</v>
      </c>
      <c r="I55" s="13" t="s">
        <v>290</v>
      </c>
      <c r="J55" s="382" t="s">
        <v>862</v>
      </c>
      <c r="K55" s="220" t="s">
        <v>703</v>
      </c>
      <c r="L55" s="220" t="s">
        <v>703</v>
      </c>
      <c r="M55" s="220" t="s">
        <v>703</v>
      </c>
      <c r="N55" s="293" t="s">
        <v>703</v>
      </c>
      <c r="O55" s="365"/>
      <c r="P55" s="174" t="s">
        <v>32</v>
      </c>
      <c r="Q55" s="17" t="s">
        <v>33</v>
      </c>
      <c r="R55" s="18">
        <v>46174</v>
      </c>
      <c r="S55" s="18">
        <v>46177</v>
      </c>
      <c r="T55" s="18">
        <v>46185</v>
      </c>
      <c r="U55" s="18">
        <v>46185</v>
      </c>
      <c r="V55" s="18">
        <v>46185</v>
      </c>
      <c r="W55" s="18">
        <v>46202</v>
      </c>
      <c r="X55" s="18">
        <v>46219</v>
      </c>
      <c r="Y55" s="18">
        <v>46237</v>
      </c>
      <c r="Z55" s="18"/>
      <c r="AA55" s="18">
        <v>46248</v>
      </c>
      <c r="AB55" s="18">
        <v>46252</v>
      </c>
      <c r="AC55" s="18">
        <v>46259</v>
      </c>
      <c r="AD55" s="18">
        <v>46280</v>
      </c>
      <c r="AE55" s="206">
        <v>46294</v>
      </c>
      <c r="AF55" s="18">
        <v>46324</v>
      </c>
      <c r="AG55" s="18">
        <v>46327</v>
      </c>
      <c r="AH55" s="18">
        <v>46330</v>
      </c>
      <c r="AI55" s="18">
        <v>46422</v>
      </c>
      <c r="AJ55" s="18">
        <v>46437</v>
      </c>
      <c r="AK55" s="18">
        <v>46444</v>
      </c>
      <c r="AL55" s="18">
        <v>46447</v>
      </c>
      <c r="AM55" s="18">
        <v>46474</v>
      </c>
      <c r="AN55" s="57">
        <v>28</v>
      </c>
      <c r="AO55" s="58">
        <v>196</v>
      </c>
      <c r="AP55" s="77">
        <v>46444</v>
      </c>
      <c r="AQ55" s="77">
        <v>46487</v>
      </c>
      <c r="AR55" s="19">
        <f>AQ55-AP56</f>
        <v>24</v>
      </c>
      <c r="AS55" s="142" t="s">
        <v>449</v>
      </c>
      <c r="AT55" s="501"/>
      <c r="AU55" s="20">
        <f>IF(ISERROR(LOOKUP(AU$10,$R55:$AT55,#REF!)),0,(LOOKUP(AU$10,$R55:$AT55,#REF!)))</f>
        <v>0</v>
      </c>
      <c r="AV55" s="21">
        <f>IF(ISERROR(LOOKUP(AV$10,$R55:$AT55,#REF!)),0,(LOOKUP(AV$10,$R55:$AT55,#REF!)))</f>
        <v>0</v>
      </c>
      <c r="AW55" s="21">
        <f>IF(ISERROR(LOOKUP(AW$10,$R55:$AT55,#REF!)),0,(LOOKUP(AW$10,$R55:$AT55,#REF!)))</f>
        <v>0</v>
      </c>
      <c r="AX55" s="21">
        <f>IF(ISERROR(LOOKUP(AX$10,$R55:$AT55,#REF!)),0,(LOOKUP(AX$10,$R55:$AT55,#REF!)))</f>
        <v>0</v>
      </c>
      <c r="AY55" s="21">
        <f>IF(ISERROR(LOOKUP(AY$10,$R55:$AT55,#REF!)),0,(LOOKUP(AY$10,$R55:$AT55,#REF!)))</f>
        <v>0</v>
      </c>
      <c r="AZ55" s="21">
        <f>IF(ISERROR(LOOKUP(AZ$10,$R55:$AT55,#REF!)),0,(LOOKUP(AZ$10,$R55:$AT55,#REF!)))</f>
        <v>0</v>
      </c>
      <c r="BA55" s="21">
        <f>IF(ISERROR(LOOKUP(BA$10,$R55:$AT55,#REF!)),0,(LOOKUP(BA$10,$R55:$AT55,#REF!)))</f>
        <v>0</v>
      </c>
      <c r="BB55" s="21">
        <f>IF(ISERROR(LOOKUP(BB$10,$R55:$AT55,#REF!)),0,(LOOKUP(BB$10,$R55:$AT55,#REF!)))</f>
        <v>0</v>
      </c>
      <c r="BC55" s="21">
        <f>IF(ISERROR(LOOKUP(BC$10,$R55:$AT55,#REF!)),0,(LOOKUP(BC$10,$R55:$AT55,#REF!)))</f>
        <v>0</v>
      </c>
      <c r="BD55" s="21">
        <f>IF(ISERROR(LOOKUP(BD$10,$R55:$AT55,#REF!)),0,(LOOKUP(BD$10,$R55:$AT55,#REF!)))</f>
        <v>0</v>
      </c>
      <c r="BE55" s="402">
        <f ca="1">IF(ISERROR(LOOKUP(BE$10,$R55:$AT55,#REF!)),0,(LOOKUP(BE$10,$R55:$AT55,#REF!)))</f>
        <v>0</v>
      </c>
      <c r="BF55" s="422"/>
      <c r="BG55" s="435"/>
      <c r="BH55" s="435"/>
    </row>
    <row r="56" spans="1:60" s="3" customFormat="1" ht="18.75" customHeight="1" thickTop="1" thickBot="1" x14ac:dyDescent="0.45">
      <c r="A56" s="508"/>
      <c r="B56" s="92" t="s">
        <v>270</v>
      </c>
      <c r="C56" s="70" t="s">
        <v>403</v>
      </c>
      <c r="D56" s="23" t="s">
        <v>783</v>
      </c>
      <c r="E56" s="42" t="s">
        <v>60</v>
      </c>
      <c r="F56" s="45" t="s">
        <v>58</v>
      </c>
      <c r="G56" s="22" t="s">
        <v>51</v>
      </c>
      <c r="H56" s="22" t="s">
        <v>189</v>
      </c>
      <c r="I56" s="22" t="s">
        <v>290</v>
      </c>
      <c r="J56" s="343" t="s">
        <v>861</v>
      </c>
      <c r="K56" s="213" t="s">
        <v>701</v>
      </c>
      <c r="L56" s="213" t="s">
        <v>701</v>
      </c>
      <c r="M56" s="213" t="s">
        <v>701</v>
      </c>
      <c r="N56" s="286" t="s">
        <v>701</v>
      </c>
      <c r="O56" s="42"/>
      <c r="P56" s="175" t="s">
        <v>32</v>
      </c>
      <c r="Q56" s="25" t="s">
        <v>34</v>
      </c>
      <c r="R56" s="26"/>
      <c r="S56" s="27"/>
      <c r="T56" s="27"/>
      <c r="U56" s="27"/>
      <c r="V56" s="27"/>
      <c r="W56" s="27"/>
      <c r="X56" s="27"/>
      <c r="Y56" s="27"/>
      <c r="Z56" s="27"/>
      <c r="AA56" s="27"/>
      <c r="AB56" s="144"/>
      <c r="AC56" s="27"/>
      <c r="AD56" s="27"/>
      <c r="AE56" s="27">
        <f>AE55</f>
        <v>46294</v>
      </c>
      <c r="AF56" s="27">
        <f>AE56+30</f>
        <v>46324</v>
      </c>
      <c r="AG56" s="27">
        <f>AF56+3</f>
        <v>46327</v>
      </c>
      <c r="AH56" s="27">
        <f>AG56+3</f>
        <v>46330</v>
      </c>
      <c r="AI56" s="27">
        <f>AJ56-15</f>
        <v>46441</v>
      </c>
      <c r="AJ56" s="27">
        <f>AK56-7</f>
        <v>46456</v>
      </c>
      <c r="AK56" s="27">
        <f>AP56</f>
        <v>46463</v>
      </c>
      <c r="AL56" s="27">
        <f>AP55+3</f>
        <v>46447</v>
      </c>
      <c r="AM56" s="27">
        <f>AP55+30</f>
        <v>46474</v>
      </c>
      <c r="AN56" s="88"/>
      <c r="AO56" s="89"/>
      <c r="AP56" s="82">
        <f>BG56+20</f>
        <v>46463</v>
      </c>
      <c r="AQ56" s="82"/>
      <c r="AR56" s="28"/>
      <c r="AS56" s="361" t="s">
        <v>979</v>
      </c>
      <c r="AT56" s="502"/>
      <c r="AU56" s="20">
        <f>IF(ISERROR(LOOKUP(AU$10,$R56:$AT56,#REF!)),0,(LOOKUP(AU$10,$R56:$AT56,#REF!)))</f>
        <v>0</v>
      </c>
      <c r="AV56" s="21">
        <f>IF(ISERROR(LOOKUP(AV$10,$R56:$AT56,#REF!)),0,(LOOKUP(AV$10,$R56:$AT56,#REF!)))</f>
        <v>0</v>
      </c>
      <c r="AW56" s="21">
        <f>IF(ISERROR(LOOKUP(AW$10,$R56:$AT56,#REF!)),0,(LOOKUP(AW$10,$R56:$AT56,#REF!)))</f>
        <v>0</v>
      </c>
      <c r="AX56" s="21">
        <f>IF(ISERROR(LOOKUP(AX$10,$R56:$AT56,#REF!)),0,(LOOKUP(AX$10,$R56:$AT56,#REF!)))</f>
        <v>0</v>
      </c>
      <c r="AY56" s="21">
        <f>IF(ISERROR(LOOKUP(AY$10,$R56:$AT56,#REF!)),0,(LOOKUP(AY$10,$R56:$AT56,#REF!)))</f>
        <v>0</v>
      </c>
      <c r="AZ56" s="21">
        <f>IF(ISERROR(LOOKUP(AZ$10,$R56:$AT56,#REF!)),0,(LOOKUP(AZ$10,$R56:$AT56,#REF!)))</f>
        <v>0</v>
      </c>
      <c r="BA56" s="21">
        <f>IF(ISERROR(LOOKUP(BA$10,$R56:$AT56,#REF!)),0,(LOOKUP(BA$10,$R56:$AT56,#REF!)))</f>
        <v>0</v>
      </c>
      <c r="BB56" s="21">
        <f>IF(ISERROR(LOOKUP(BB$10,$R56:$AT56,#REF!)),0,(LOOKUP(BB$10,$R56:$AT56,#REF!)))</f>
        <v>0</v>
      </c>
      <c r="BC56" s="21">
        <f>IF(ISERROR(LOOKUP(BC$10,$R56:$AT56,#REF!)),0,(LOOKUP(BC$10,$R56:$AT56,#REF!)))</f>
        <v>0</v>
      </c>
      <c r="BD56" s="21">
        <f>IF(ISERROR(LOOKUP(BD$10,$R56:$AT56,#REF!)),0,(LOOKUP(BD$10,$R56:$AT56,#REF!)))</f>
        <v>0</v>
      </c>
      <c r="BE56" s="402">
        <f ca="1">IF(ISERROR(LOOKUP(BE$10,$R56:$AT56,#REF!)),0,(LOOKUP(BE$10,$R56:$AT56,#REF!)))</f>
        <v>0</v>
      </c>
      <c r="BF56" s="415" t="s">
        <v>902</v>
      </c>
      <c r="BG56" s="428">
        <v>46443</v>
      </c>
      <c r="BH56" s="428"/>
    </row>
    <row r="57" spans="1:60" s="3" customFormat="1" ht="14.25" thickTop="1" thickBot="1" x14ac:dyDescent="0.45">
      <c r="A57" s="509"/>
      <c r="B57" s="93" t="s">
        <v>270</v>
      </c>
      <c r="C57" s="71" t="s">
        <v>403</v>
      </c>
      <c r="D57" s="47" t="s">
        <v>689</v>
      </c>
      <c r="E57" s="44" t="s">
        <v>60</v>
      </c>
      <c r="F57" s="33" t="s">
        <v>58</v>
      </c>
      <c r="G57" s="31" t="s">
        <v>51</v>
      </c>
      <c r="H57" s="31" t="s">
        <v>189</v>
      </c>
      <c r="I57" s="31" t="s">
        <v>290</v>
      </c>
      <c r="J57" s="44"/>
      <c r="K57" s="290" t="s">
        <v>702</v>
      </c>
      <c r="L57" s="197"/>
      <c r="M57" s="44"/>
      <c r="N57" s="44"/>
      <c r="O57" s="44"/>
      <c r="P57" s="176" t="s">
        <v>32</v>
      </c>
      <c r="Q57" s="34" t="s">
        <v>35</v>
      </c>
      <c r="R57" s="35">
        <v>46174</v>
      </c>
      <c r="S57" s="35">
        <v>46148</v>
      </c>
      <c r="T57" s="35">
        <v>46165</v>
      </c>
      <c r="U57" s="35">
        <v>46178</v>
      </c>
      <c r="V57" s="35">
        <v>46178</v>
      </c>
      <c r="W57" s="35">
        <v>46198</v>
      </c>
      <c r="X57" s="35">
        <v>46219</v>
      </c>
      <c r="Y57" s="35">
        <v>46245</v>
      </c>
      <c r="Z57" s="35">
        <v>46253</v>
      </c>
      <c r="AA57" s="35">
        <v>46258</v>
      </c>
      <c r="AB57" s="35">
        <v>46276</v>
      </c>
      <c r="AC57" s="35">
        <v>46261</v>
      </c>
      <c r="AD57" s="35">
        <v>46273</v>
      </c>
      <c r="AE57" s="35"/>
      <c r="AF57" s="35"/>
      <c r="AG57" s="35"/>
      <c r="AH57" s="35"/>
      <c r="AI57" s="35"/>
      <c r="AJ57" s="35"/>
      <c r="AK57" s="35"/>
      <c r="AL57" s="35"/>
      <c r="AM57" s="35"/>
      <c r="AN57" s="81"/>
      <c r="AO57" s="79"/>
      <c r="AP57" s="36" t="s">
        <v>910</v>
      </c>
      <c r="AQ57" s="36"/>
      <c r="AR57" s="37"/>
      <c r="AS57" s="141"/>
      <c r="AT57" s="503"/>
      <c r="AU57" s="38">
        <f>IF(ISERROR(LOOKUP(AU$10,$R57:$AT57,#REF!)),0,(LOOKUP(AU$10,$R57:$AT57,#REF!)))</f>
        <v>0</v>
      </c>
      <c r="AV57" s="39">
        <f>IF(ISERROR(LOOKUP(AV$10,$R57:$AT57,#REF!)),0,(LOOKUP(AV$10,$R57:$AT57,#REF!)))</f>
        <v>0</v>
      </c>
      <c r="AW57" s="39">
        <f>IF(ISERROR(LOOKUP(AW$10,$R57:$AT57,#REF!)),0,(LOOKUP(AW$10,$R57:$AT57,#REF!)))</f>
        <v>0</v>
      </c>
      <c r="AX57" s="39">
        <f>IF(ISERROR(LOOKUP(AX$10,$R57:$AT57,#REF!)),0,(LOOKUP(AX$10,$R57:$AT57,#REF!)))</f>
        <v>0</v>
      </c>
      <c r="AY57" s="39">
        <f>IF(ISERROR(LOOKUP(AY$10,$R57:$AT57,#REF!)),0,(LOOKUP(AY$10,$R57:$AT57,#REF!)))</f>
        <v>0</v>
      </c>
      <c r="AZ57" s="39">
        <f>IF(ISERROR(LOOKUP(AZ$10,$R57:$AT57,#REF!)),0,(LOOKUP(AZ$10,$R57:$AT57,#REF!)))</f>
        <v>0</v>
      </c>
      <c r="BA57" s="39">
        <f>IF(ISERROR(LOOKUP(BA$10,$R57:$AT57,#REF!)),0,(LOOKUP(BA$10,$R57:$AT57,#REF!)))</f>
        <v>0</v>
      </c>
      <c r="BB57" s="39">
        <f>IF(ISERROR(LOOKUP(BB$10,$R57:$AT57,#REF!)),0,(LOOKUP(BB$10,$R57:$AT57,#REF!)))</f>
        <v>0</v>
      </c>
      <c r="BC57" s="39">
        <f>IF(ISERROR(LOOKUP(BC$10,$R57:$AT57,#REF!)),0,(LOOKUP(BC$10,$R57:$AT57,#REF!)))</f>
        <v>0</v>
      </c>
      <c r="BD57" s="39">
        <f>IF(ISERROR(LOOKUP(BD$10,$R57:$AT57,#REF!)),0,(LOOKUP(BD$10,$R57:$AT57,#REF!)))</f>
        <v>0</v>
      </c>
      <c r="BE57" s="405">
        <f ca="1">IF(ISERROR(LOOKUP(BE$10,$R57:$AT57,#REF!)),0,(LOOKUP(BE$10,$R57:$AT57,#REF!)))</f>
        <v>0</v>
      </c>
      <c r="BF57" s="420"/>
      <c r="BG57" s="436"/>
      <c r="BH57" s="436"/>
    </row>
    <row r="58" spans="1:60" s="3" customFormat="1" ht="14.25" thickTop="1" thickBot="1" x14ac:dyDescent="0.45">
      <c r="A58" s="507"/>
      <c r="B58" s="222" t="s">
        <v>270</v>
      </c>
      <c r="C58" s="223" t="s">
        <v>489</v>
      </c>
      <c r="D58" s="224" t="s">
        <v>390</v>
      </c>
      <c r="E58" s="63" t="s">
        <v>62</v>
      </c>
      <c r="F58" s="15" t="s">
        <v>58</v>
      </c>
      <c r="G58" s="13" t="s">
        <v>51</v>
      </c>
      <c r="H58" s="13" t="s">
        <v>189</v>
      </c>
      <c r="I58" s="13" t="s">
        <v>290</v>
      </c>
      <c r="J58" s="149" t="s">
        <v>486</v>
      </c>
      <c r="K58" s="232"/>
      <c r="L58" s="41"/>
      <c r="M58" s="41"/>
      <c r="N58" s="41"/>
      <c r="O58" s="41"/>
      <c r="P58" s="174" t="s">
        <v>32</v>
      </c>
      <c r="Q58" s="17" t="s">
        <v>33</v>
      </c>
      <c r="R58" s="18">
        <v>46174</v>
      </c>
      <c r="S58" s="18">
        <v>46177</v>
      </c>
      <c r="T58" s="18">
        <v>46185</v>
      </c>
      <c r="U58" s="18">
        <v>46185</v>
      </c>
      <c r="V58" s="18">
        <v>46185</v>
      </c>
      <c r="W58" s="18">
        <v>46202</v>
      </c>
      <c r="X58" s="18">
        <v>46219</v>
      </c>
      <c r="Y58" s="18">
        <v>46237</v>
      </c>
      <c r="Z58" s="18"/>
      <c r="AA58" s="18">
        <v>46248</v>
      </c>
      <c r="AB58" s="18">
        <v>46252</v>
      </c>
      <c r="AC58" s="18">
        <v>46259</v>
      </c>
      <c r="AD58" s="18">
        <v>46280</v>
      </c>
      <c r="AE58" s="18">
        <v>46294</v>
      </c>
      <c r="AF58" s="18">
        <v>46324</v>
      </c>
      <c r="AG58" s="18">
        <v>46327</v>
      </c>
      <c r="AH58" s="18">
        <v>46330</v>
      </c>
      <c r="AI58" s="18">
        <v>46422</v>
      </c>
      <c r="AJ58" s="18">
        <v>46437</v>
      </c>
      <c r="AK58" s="18">
        <v>46444</v>
      </c>
      <c r="AL58" s="18">
        <v>46447</v>
      </c>
      <c r="AM58" s="18">
        <v>46474</v>
      </c>
      <c r="AN58" s="57">
        <v>28</v>
      </c>
      <c r="AO58" s="58">
        <v>196</v>
      </c>
      <c r="AP58" s="77">
        <v>46444</v>
      </c>
      <c r="AQ58" s="77"/>
      <c r="AR58" s="19"/>
      <c r="AS58" s="142"/>
      <c r="AT58" s="501"/>
      <c r="AU58" s="20">
        <f>IF(ISERROR(LOOKUP(AU$10,$R58:$AT58,#REF!)),0,(LOOKUP(AU$10,$R58:$AT58,#REF!)))</f>
        <v>0</v>
      </c>
      <c r="AV58" s="21">
        <f>IF(ISERROR(LOOKUP(AV$10,$R58:$AT58,#REF!)),0,(LOOKUP(AV$10,$R58:$AT58,#REF!)))</f>
        <v>0</v>
      </c>
      <c r="AW58" s="21">
        <f>IF(ISERROR(LOOKUP(AW$10,$R58:$AT58,#REF!)),0,(LOOKUP(AW$10,$R58:$AT58,#REF!)))</f>
        <v>0</v>
      </c>
      <c r="AX58" s="21">
        <f>IF(ISERROR(LOOKUP(AX$10,$R58:$AT58,#REF!)),0,(LOOKUP(AX$10,$R58:$AT58,#REF!)))</f>
        <v>0</v>
      </c>
      <c r="AY58" s="21">
        <f>IF(ISERROR(LOOKUP(AY$10,$R58:$AT58,#REF!)),0,(LOOKUP(AY$10,$R58:$AT58,#REF!)))</f>
        <v>0</v>
      </c>
      <c r="AZ58" s="21">
        <f>IF(ISERROR(LOOKUP(AZ$10,$R58:$AT58,#REF!)),0,(LOOKUP(AZ$10,$R58:$AT58,#REF!)))</f>
        <v>0</v>
      </c>
      <c r="BA58" s="21">
        <f>IF(ISERROR(LOOKUP(BA$10,$R58:$AT58,#REF!)),0,(LOOKUP(BA$10,$R58:$AT58,#REF!)))</f>
        <v>0</v>
      </c>
      <c r="BB58" s="21">
        <f>IF(ISERROR(LOOKUP(BB$10,$R58:$AT58,#REF!)),0,(LOOKUP(BB$10,$R58:$AT58,#REF!)))</f>
        <v>0</v>
      </c>
      <c r="BC58" s="21">
        <f>IF(ISERROR(LOOKUP(BC$10,$R58:$AT58,#REF!)),0,(LOOKUP(BC$10,$R58:$AT58,#REF!)))</f>
        <v>0</v>
      </c>
      <c r="BD58" s="21">
        <f>IF(ISERROR(LOOKUP(BD$10,$R58:$AT58,#REF!)),0,(LOOKUP(BD$10,$R58:$AT58,#REF!)))</f>
        <v>0</v>
      </c>
      <c r="BE58" s="402">
        <f ca="1">IF(ISERROR(LOOKUP(BE$10,$R58:$AT58,#REF!)),0,(LOOKUP(BE$10,$R58:$AT58,#REF!)))</f>
        <v>0</v>
      </c>
      <c r="BF58" s="422"/>
      <c r="BG58" s="435"/>
      <c r="BH58" s="435"/>
    </row>
    <row r="59" spans="1:60" s="3" customFormat="1" ht="14.25" thickTop="1" thickBot="1" x14ac:dyDescent="0.45">
      <c r="A59" s="508"/>
      <c r="B59" s="225" t="s">
        <v>270</v>
      </c>
      <c r="C59" s="226" t="s">
        <v>61</v>
      </c>
      <c r="D59" s="227" t="s">
        <v>389</v>
      </c>
      <c r="E59" s="42" t="s">
        <v>62</v>
      </c>
      <c r="F59" s="45" t="s">
        <v>58</v>
      </c>
      <c r="G59" s="22" t="s">
        <v>51</v>
      </c>
      <c r="H59" s="22" t="s">
        <v>189</v>
      </c>
      <c r="I59" s="22" t="s">
        <v>290</v>
      </c>
      <c r="J59" s="150"/>
      <c r="K59" s="302"/>
      <c r="L59" s="42"/>
      <c r="M59" s="42"/>
      <c r="N59" s="42"/>
      <c r="O59" s="42"/>
      <c r="P59" s="175" t="s">
        <v>32</v>
      </c>
      <c r="Q59" s="25" t="s">
        <v>34</v>
      </c>
      <c r="R59" s="26"/>
      <c r="S59" s="27"/>
      <c r="T59" s="27"/>
      <c r="U59" s="27"/>
      <c r="V59" s="27"/>
      <c r="W59" s="27"/>
      <c r="X59" s="27">
        <f>X58</f>
        <v>46219</v>
      </c>
      <c r="Y59" s="27">
        <f>WORKDAY(X59, Y8, IF(Y12="China",'China Holidays'!$A$2:$A$84,'Thai Holidays'!$A$2:$A$65))</f>
        <v>46237</v>
      </c>
      <c r="Z59" s="27"/>
      <c r="AA59" s="27">
        <f>WORKDAY(Y59, AA8, IF(AA12="China",'China Holidays'!$A$2:$A$84,'Thai Holidays'!$A$2:$A$65))</f>
        <v>46248</v>
      </c>
      <c r="AB59" s="27">
        <f>WORKDAY(AA59, AB8, IF(AB12="China",'China Holidays'!$A$2:$A$84,'Thai Holidays'!$A$2:$A$65))</f>
        <v>46252</v>
      </c>
      <c r="AC59" s="27">
        <f>WORKDAY(AB59, AC8, IF(AC12="China",'China Holidays'!$A$2:$A$84,'Thai Holidays'!$A$2:$A$65))</f>
        <v>46259</v>
      </c>
      <c r="AD59" s="27">
        <f>WORKDAY(AC59, AD8, IF(AD12="China",'China Holidays'!$A$2:$A$84,'Thai Holidays'!$A$2:$A$65))</f>
        <v>46280</v>
      </c>
      <c r="AE59" s="27">
        <f>WORKDAY(AD59, AE8, IF(AE12="China",'China Holidays'!$A$2:$A$84,'Thai Holidays'!$A$2:$A$65))</f>
        <v>46294</v>
      </c>
      <c r="AF59" s="27">
        <f>AE59+30</f>
        <v>46324</v>
      </c>
      <c r="AG59" s="27">
        <f>AF59+3</f>
        <v>46327</v>
      </c>
      <c r="AH59" s="27">
        <f>AG59+3</f>
        <v>46330</v>
      </c>
      <c r="AI59" s="27">
        <f>AJ59-15</f>
        <v>46422</v>
      </c>
      <c r="AJ59" s="27">
        <f>AK59-7</f>
        <v>46437</v>
      </c>
      <c r="AK59" s="27">
        <f>AP59</f>
        <v>46444</v>
      </c>
      <c r="AL59" s="27">
        <f>AP58+3</f>
        <v>46447</v>
      </c>
      <c r="AM59" s="27">
        <f>AP58+30</f>
        <v>46474</v>
      </c>
      <c r="AN59" s="88"/>
      <c r="AO59" s="89"/>
      <c r="AP59" s="82">
        <f>AA59+AO58</f>
        <v>46444</v>
      </c>
      <c r="AQ59" s="82"/>
      <c r="AR59" s="28"/>
      <c r="AS59" s="140"/>
      <c r="AT59" s="502"/>
      <c r="AU59" s="20">
        <f>IF(ISERROR(LOOKUP(AU$10,$R59:$AT59,#REF!)),0,(LOOKUP(AU$10,$R59:$AT59,#REF!)))</f>
        <v>0</v>
      </c>
      <c r="AV59" s="21">
        <f>IF(ISERROR(LOOKUP(AV$10,$R59:$AT59,#REF!)),0,(LOOKUP(AV$10,$R59:$AT59,#REF!)))</f>
        <v>0</v>
      </c>
      <c r="AW59" s="21">
        <f>IF(ISERROR(LOOKUP(AW$10,$R59:$AT59,#REF!)),0,(LOOKUP(AW$10,$R59:$AT59,#REF!)))</f>
        <v>0</v>
      </c>
      <c r="AX59" s="21">
        <f>IF(ISERROR(LOOKUP(AX$10,$R59:$AT59,#REF!)),0,(LOOKUP(AX$10,$R59:$AT59,#REF!)))</f>
        <v>0</v>
      </c>
      <c r="AY59" s="21">
        <f>IF(ISERROR(LOOKUP(AY$10,$R59:$AT59,#REF!)),0,(LOOKUP(AY$10,$R59:$AT59,#REF!)))</f>
        <v>0</v>
      </c>
      <c r="AZ59" s="21">
        <f>IF(ISERROR(LOOKUP(AZ$10,$R59:$AT59,#REF!)),0,(LOOKUP(AZ$10,$R59:$AT59,#REF!)))</f>
        <v>0</v>
      </c>
      <c r="BA59" s="21">
        <f>IF(ISERROR(LOOKUP(BA$10,$R59:$AT59,#REF!)),0,(LOOKUP(BA$10,$R59:$AT59,#REF!)))</f>
        <v>0</v>
      </c>
      <c r="BB59" s="21">
        <f>IF(ISERROR(LOOKUP(BB$10,$R59:$AT59,#REF!)),0,(LOOKUP(BB$10,$R59:$AT59,#REF!)))</f>
        <v>0</v>
      </c>
      <c r="BC59" s="21">
        <f>IF(ISERROR(LOOKUP(BC$10,$R59:$AT59,#REF!)),0,(LOOKUP(BC$10,$R59:$AT59,#REF!)))</f>
        <v>0</v>
      </c>
      <c r="BD59" s="21">
        <f>IF(ISERROR(LOOKUP(BD$10,$R59:$AT59,#REF!)),0,(LOOKUP(BD$10,$R59:$AT59,#REF!)))</f>
        <v>0</v>
      </c>
      <c r="BE59" s="402">
        <f ca="1">IF(ISERROR(LOOKUP(BE$10,$R59:$AT59,#REF!)),0,(LOOKUP(BE$10,$R59:$AT59,#REF!)))</f>
        <v>0</v>
      </c>
      <c r="BF59" s="415"/>
      <c r="BG59" s="428"/>
      <c r="BH59" s="428"/>
    </row>
    <row r="60" spans="1:60" s="3" customFormat="1" ht="14.25" thickTop="1" thickBot="1" x14ac:dyDescent="0.45">
      <c r="A60" s="509"/>
      <c r="B60" s="228" t="s">
        <v>270</v>
      </c>
      <c r="C60" s="229" t="s">
        <v>61</v>
      </c>
      <c r="D60" s="230" t="s">
        <v>389</v>
      </c>
      <c r="E60" s="44" t="s">
        <v>62</v>
      </c>
      <c r="F60" s="33" t="s">
        <v>58</v>
      </c>
      <c r="G60" s="31" t="s">
        <v>51</v>
      </c>
      <c r="H60" s="31" t="s">
        <v>189</v>
      </c>
      <c r="I60" s="31" t="s">
        <v>290</v>
      </c>
      <c r="J60" s="151"/>
      <c r="K60" s="303"/>
      <c r="L60" s="44"/>
      <c r="M60" s="44"/>
      <c r="N60" s="44"/>
      <c r="O60" s="44"/>
      <c r="P60" s="176" t="s">
        <v>32</v>
      </c>
      <c r="Q60" s="34" t="s">
        <v>35</v>
      </c>
      <c r="R60" s="35">
        <v>46174</v>
      </c>
      <c r="S60" s="35">
        <v>46148</v>
      </c>
      <c r="T60" s="35">
        <v>46165</v>
      </c>
      <c r="U60" s="35">
        <v>46182</v>
      </c>
      <c r="V60" s="35">
        <v>46182</v>
      </c>
      <c r="W60" s="35">
        <v>46202</v>
      </c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81"/>
      <c r="AO60" s="79"/>
      <c r="AP60" s="36"/>
      <c r="AQ60" s="36"/>
      <c r="AR60" s="37"/>
      <c r="AS60" s="141"/>
      <c r="AT60" s="503"/>
      <c r="AU60" s="38">
        <f>IF(ISERROR(LOOKUP(AU$10,$R60:$AT60,#REF!)),0,(LOOKUP(AU$10,$R60:$AT60,#REF!)))</f>
        <v>0</v>
      </c>
      <c r="AV60" s="39">
        <f>IF(ISERROR(LOOKUP(AV$10,$R60:$AT60,#REF!)),0,(LOOKUP(AV$10,$R60:$AT60,#REF!)))</f>
        <v>0</v>
      </c>
      <c r="AW60" s="39">
        <f>IF(ISERROR(LOOKUP(AW$10,$R60:$AT60,#REF!)),0,(LOOKUP(AW$10,$R60:$AT60,#REF!)))</f>
        <v>0</v>
      </c>
      <c r="AX60" s="39">
        <f>IF(ISERROR(LOOKUP(AX$10,$R60:$AT60,#REF!)),0,(LOOKUP(AX$10,$R60:$AT60,#REF!)))</f>
        <v>0</v>
      </c>
      <c r="AY60" s="39">
        <f>IF(ISERROR(LOOKUP(AY$10,$R60:$AT60,#REF!)),0,(LOOKUP(AY$10,$R60:$AT60,#REF!)))</f>
        <v>0</v>
      </c>
      <c r="AZ60" s="39">
        <f>IF(ISERROR(LOOKUP(AZ$10,$R60:$AT60,#REF!)),0,(LOOKUP(AZ$10,$R60:$AT60,#REF!)))</f>
        <v>0</v>
      </c>
      <c r="BA60" s="39">
        <f>IF(ISERROR(LOOKUP(BA$10,$R60:$AT60,#REF!)),0,(LOOKUP(BA$10,$R60:$AT60,#REF!)))</f>
        <v>0</v>
      </c>
      <c r="BB60" s="39">
        <f>IF(ISERROR(LOOKUP(BB$10,$R60:$AT60,#REF!)),0,(LOOKUP(BB$10,$R60:$AT60,#REF!)))</f>
        <v>0</v>
      </c>
      <c r="BC60" s="39">
        <f>IF(ISERROR(LOOKUP(BC$10,$R60:$AT60,#REF!)),0,(LOOKUP(BC$10,$R60:$AT60,#REF!)))</f>
        <v>0</v>
      </c>
      <c r="BD60" s="39">
        <f>IF(ISERROR(LOOKUP(BD$10,$R60:$AT60,#REF!)),0,(LOOKUP(BD$10,$R60:$AT60,#REF!)))</f>
        <v>0</v>
      </c>
      <c r="BE60" s="405">
        <f ca="1">IF(ISERROR(LOOKUP(BE$10,$R60:$AT60,#REF!)),0,(LOOKUP(BE$10,$R60:$AT60,#REF!)))</f>
        <v>0</v>
      </c>
      <c r="BF60" s="420"/>
      <c r="BG60" s="436"/>
      <c r="BH60" s="436"/>
    </row>
    <row r="61" spans="1:60" s="3" customFormat="1" ht="14.25" thickTop="1" thickBot="1" x14ac:dyDescent="0.45">
      <c r="A61" s="507"/>
      <c r="B61" s="222" t="s">
        <v>270</v>
      </c>
      <c r="C61" s="223" t="s">
        <v>404</v>
      </c>
      <c r="D61" s="224" t="s">
        <v>392</v>
      </c>
      <c r="E61" s="63" t="s">
        <v>62</v>
      </c>
      <c r="F61" s="15" t="s">
        <v>58</v>
      </c>
      <c r="G61" s="13" t="s">
        <v>51</v>
      </c>
      <c r="H61" s="13" t="s">
        <v>189</v>
      </c>
      <c r="I61" s="13" t="s">
        <v>290</v>
      </c>
      <c r="J61" s="149" t="s">
        <v>486</v>
      </c>
      <c r="K61" s="232"/>
      <c r="L61" s="41"/>
      <c r="M61" s="41"/>
      <c r="N61" s="41"/>
      <c r="O61" s="41"/>
      <c r="P61" s="174" t="s">
        <v>32</v>
      </c>
      <c r="Q61" s="17" t="s">
        <v>33</v>
      </c>
      <c r="R61" s="18">
        <v>46174</v>
      </c>
      <c r="S61" s="18">
        <v>46177</v>
      </c>
      <c r="T61" s="18">
        <v>46185</v>
      </c>
      <c r="U61" s="18">
        <v>46185</v>
      </c>
      <c r="V61" s="18">
        <v>46185</v>
      </c>
      <c r="W61" s="18">
        <v>46202</v>
      </c>
      <c r="X61" s="18">
        <v>46219</v>
      </c>
      <c r="Y61" s="18">
        <v>46237</v>
      </c>
      <c r="Z61" s="18"/>
      <c r="AA61" s="18">
        <v>46248</v>
      </c>
      <c r="AB61" s="18">
        <v>46252</v>
      </c>
      <c r="AC61" s="18">
        <v>46259</v>
      </c>
      <c r="AD61" s="18">
        <v>46280</v>
      </c>
      <c r="AE61" s="18">
        <v>46294</v>
      </c>
      <c r="AF61" s="18">
        <v>46324</v>
      </c>
      <c r="AG61" s="18">
        <v>46327</v>
      </c>
      <c r="AH61" s="18">
        <v>46330</v>
      </c>
      <c r="AI61" s="18">
        <v>46422</v>
      </c>
      <c r="AJ61" s="18">
        <v>46437</v>
      </c>
      <c r="AK61" s="18">
        <v>46444</v>
      </c>
      <c r="AL61" s="18">
        <v>46447</v>
      </c>
      <c r="AM61" s="18">
        <v>46474</v>
      </c>
      <c r="AN61" s="57">
        <v>28</v>
      </c>
      <c r="AO61" s="58">
        <v>196</v>
      </c>
      <c r="AP61" s="77">
        <v>46444</v>
      </c>
      <c r="AQ61" s="77"/>
      <c r="AR61" s="19"/>
      <c r="AS61" s="142"/>
      <c r="AT61" s="501"/>
      <c r="AU61" s="20">
        <f>IF(ISERROR(LOOKUP(AU$10,$R61:$AT61,#REF!)),0,(LOOKUP(AU$10,$R61:$AT61,#REF!)))</f>
        <v>0</v>
      </c>
      <c r="AV61" s="21">
        <f>IF(ISERROR(LOOKUP(AV$10,$R61:$AT61,#REF!)),0,(LOOKUP(AV$10,$R61:$AT61,#REF!)))</f>
        <v>0</v>
      </c>
      <c r="AW61" s="21">
        <f>IF(ISERROR(LOOKUP(AW$10,$R61:$AT61,#REF!)),0,(LOOKUP(AW$10,$R61:$AT61,#REF!)))</f>
        <v>0</v>
      </c>
      <c r="AX61" s="21">
        <f>IF(ISERROR(LOOKUP(AX$10,$R61:$AT61,#REF!)),0,(LOOKUP(AX$10,$R61:$AT61,#REF!)))</f>
        <v>0</v>
      </c>
      <c r="AY61" s="21">
        <f>IF(ISERROR(LOOKUP(AY$10,$R61:$AT61,#REF!)),0,(LOOKUP(AY$10,$R61:$AT61,#REF!)))</f>
        <v>0</v>
      </c>
      <c r="AZ61" s="21">
        <f>IF(ISERROR(LOOKUP(AZ$10,$R61:$AT61,#REF!)),0,(LOOKUP(AZ$10,$R61:$AT61,#REF!)))</f>
        <v>0</v>
      </c>
      <c r="BA61" s="21">
        <f>IF(ISERROR(LOOKUP(BA$10,$R61:$AT61,#REF!)),0,(LOOKUP(BA$10,$R61:$AT61,#REF!)))</f>
        <v>0</v>
      </c>
      <c r="BB61" s="21">
        <f>IF(ISERROR(LOOKUP(BB$10,$R61:$AT61,#REF!)),0,(LOOKUP(BB$10,$R61:$AT61,#REF!)))</f>
        <v>0</v>
      </c>
      <c r="BC61" s="21">
        <f>IF(ISERROR(LOOKUP(BC$10,$R61:$AT61,#REF!)),0,(LOOKUP(BC$10,$R61:$AT61,#REF!)))</f>
        <v>0</v>
      </c>
      <c r="BD61" s="21">
        <f>IF(ISERROR(LOOKUP(BD$10,$R61:$AT61,#REF!)),0,(LOOKUP(BD$10,$R61:$AT61,#REF!)))</f>
        <v>0</v>
      </c>
      <c r="BE61" s="402">
        <f ca="1">IF(ISERROR(LOOKUP(BE$10,$R61:$AT61,#REF!)),0,(LOOKUP(BE$10,$R61:$AT61,#REF!)))</f>
        <v>0</v>
      </c>
      <c r="BF61" s="422"/>
      <c r="BG61" s="435"/>
      <c r="BH61" s="435"/>
    </row>
    <row r="62" spans="1:60" s="3" customFormat="1" ht="14.25" thickTop="1" thickBot="1" x14ac:dyDescent="0.45">
      <c r="A62" s="508"/>
      <c r="B62" s="225" t="s">
        <v>270</v>
      </c>
      <c r="C62" s="226" t="s">
        <v>404</v>
      </c>
      <c r="D62" s="227" t="s">
        <v>391</v>
      </c>
      <c r="E62" s="42" t="s">
        <v>62</v>
      </c>
      <c r="F62" s="45" t="s">
        <v>58</v>
      </c>
      <c r="G62" s="22" t="s">
        <v>51</v>
      </c>
      <c r="H62" s="22" t="s">
        <v>189</v>
      </c>
      <c r="I62" s="22" t="s">
        <v>290</v>
      </c>
      <c r="J62" s="42"/>
      <c r="K62" s="194"/>
      <c r="L62" s="42"/>
      <c r="M62" s="42"/>
      <c r="N62" s="42"/>
      <c r="O62" s="42"/>
      <c r="P62" s="175" t="s">
        <v>32</v>
      </c>
      <c r="Q62" s="25" t="s">
        <v>34</v>
      </c>
      <c r="R62" s="26"/>
      <c r="S62" s="27"/>
      <c r="T62" s="27"/>
      <c r="U62" s="27"/>
      <c r="V62" s="27"/>
      <c r="W62" s="27"/>
      <c r="X62" s="27">
        <f>X61</f>
        <v>46219</v>
      </c>
      <c r="Y62" s="27">
        <f>WORKDAY(X62, Y8, IF(Y12="China",'China Holidays'!$A$2:$A$84,'Thai Holidays'!$A$2:$A$65))</f>
        <v>46237</v>
      </c>
      <c r="Z62" s="27"/>
      <c r="AA62" s="27">
        <f>WORKDAY(Y62, AA8, IF(AA12="China",'China Holidays'!$A$2:$A$84,'Thai Holidays'!$A$2:$A$65))</f>
        <v>46248</v>
      </c>
      <c r="AB62" s="27">
        <f>WORKDAY(AA62, AB8, IF(AB12="China",'China Holidays'!$A$2:$A$84,'Thai Holidays'!$A$2:$A$65))</f>
        <v>46252</v>
      </c>
      <c r="AC62" s="27">
        <f>WORKDAY(AB62, AC8, IF(AC12="China",'China Holidays'!$A$2:$A$84,'Thai Holidays'!$A$2:$A$65))</f>
        <v>46259</v>
      </c>
      <c r="AD62" s="27">
        <f>WORKDAY(AC62, AD8, IF(AD12="China",'China Holidays'!$A$2:$A$84,'Thai Holidays'!$A$2:$A$65))</f>
        <v>46280</v>
      </c>
      <c r="AE62" s="27">
        <f>WORKDAY(AD62, AE8, IF(AE12="China",'China Holidays'!$A$2:$A$84,'Thai Holidays'!$A$2:$A$65))</f>
        <v>46294</v>
      </c>
      <c r="AF62" s="27">
        <f>AE62+30</f>
        <v>46324</v>
      </c>
      <c r="AG62" s="27">
        <f>AF62+3</f>
        <v>46327</v>
      </c>
      <c r="AH62" s="27">
        <f>AG62+3</f>
        <v>46330</v>
      </c>
      <c r="AI62" s="27">
        <f>AJ62-15</f>
        <v>46422</v>
      </c>
      <c r="AJ62" s="27">
        <f>AK62-7</f>
        <v>46437</v>
      </c>
      <c r="AK62" s="27">
        <f>AP62</f>
        <v>46444</v>
      </c>
      <c r="AL62" s="27">
        <f>AP61+3</f>
        <v>46447</v>
      </c>
      <c r="AM62" s="27">
        <f>AP61+30</f>
        <v>46474</v>
      </c>
      <c r="AN62" s="88"/>
      <c r="AO62" s="89"/>
      <c r="AP62" s="82">
        <f>AA62+AO61</f>
        <v>46444</v>
      </c>
      <c r="AQ62" s="82"/>
      <c r="AR62" s="28"/>
      <c r="AS62" s="140"/>
      <c r="AT62" s="502"/>
      <c r="AU62" s="20">
        <f>IF(ISERROR(LOOKUP(AU$10,$R62:$AT62,#REF!)),0,(LOOKUP(AU$10,$R62:$AT62,#REF!)))</f>
        <v>0</v>
      </c>
      <c r="AV62" s="21">
        <f>IF(ISERROR(LOOKUP(AV$10,$R62:$AT62,#REF!)),0,(LOOKUP(AV$10,$R62:$AT62,#REF!)))</f>
        <v>0</v>
      </c>
      <c r="AW62" s="21">
        <f>IF(ISERROR(LOOKUP(AW$10,$R62:$AT62,#REF!)),0,(LOOKUP(AW$10,$R62:$AT62,#REF!)))</f>
        <v>0</v>
      </c>
      <c r="AX62" s="21">
        <f>IF(ISERROR(LOOKUP(AX$10,$R62:$AT62,#REF!)),0,(LOOKUP(AX$10,$R62:$AT62,#REF!)))</f>
        <v>0</v>
      </c>
      <c r="AY62" s="21">
        <f>IF(ISERROR(LOOKUP(AY$10,$R62:$AT62,#REF!)),0,(LOOKUP(AY$10,$R62:$AT62,#REF!)))</f>
        <v>0</v>
      </c>
      <c r="AZ62" s="21">
        <f>IF(ISERROR(LOOKUP(AZ$10,$R62:$AT62,#REF!)),0,(LOOKUP(AZ$10,$R62:$AT62,#REF!)))</f>
        <v>0</v>
      </c>
      <c r="BA62" s="21">
        <f>IF(ISERROR(LOOKUP(BA$10,$R62:$AT62,#REF!)),0,(LOOKUP(BA$10,$R62:$AT62,#REF!)))</f>
        <v>0</v>
      </c>
      <c r="BB62" s="21">
        <f>IF(ISERROR(LOOKUP(BB$10,$R62:$AT62,#REF!)),0,(LOOKUP(BB$10,$R62:$AT62,#REF!)))</f>
        <v>0</v>
      </c>
      <c r="BC62" s="21">
        <f>IF(ISERROR(LOOKUP(BC$10,$R62:$AT62,#REF!)),0,(LOOKUP(BC$10,$R62:$AT62,#REF!)))</f>
        <v>0</v>
      </c>
      <c r="BD62" s="21">
        <f>IF(ISERROR(LOOKUP(BD$10,$R62:$AT62,#REF!)),0,(LOOKUP(BD$10,$R62:$AT62,#REF!)))</f>
        <v>0</v>
      </c>
      <c r="BE62" s="402">
        <f ca="1">IF(ISERROR(LOOKUP(BE$10,$R62:$AT62,#REF!)),0,(LOOKUP(BE$10,$R62:$AT62,#REF!)))</f>
        <v>0</v>
      </c>
      <c r="BF62" s="415"/>
      <c r="BG62" s="428"/>
      <c r="BH62" s="428"/>
    </row>
    <row r="63" spans="1:60" s="3" customFormat="1" ht="14.25" thickTop="1" thickBot="1" x14ac:dyDescent="0.45">
      <c r="A63" s="509"/>
      <c r="B63" s="228" t="s">
        <v>270</v>
      </c>
      <c r="C63" s="229" t="s">
        <v>404</v>
      </c>
      <c r="D63" s="230" t="s">
        <v>391</v>
      </c>
      <c r="E63" s="44" t="s">
        <v>62</v>
      </c>
      <c r="F63" s="33" t="s">
        <v>58</v>
      </c>
      <c r="G63" s="31" t="s">
        <v>51</v>
      </c>
      <c r="H63" s="31" t="s">
        <v>189</v>
      </c>
      <c r="I63" s="31" t="s">
        <v>290</v>
      </c>
      <c r="J63" s="44"/>
      <c r="K63" s="195"/>
      <c r="L63" s="44"/>
      <c r="M63" s="44"/>
      <c r="N63" s="44"/>
      <c r="O63" s="44"/>
      <c r="P63" s="176" t="s">
        <v>32</v>
      </c>
      <c r="Q63" s="34" t="s">
        <v>35</v>
      </c>
      <c r="R63" s="35">
        <v>46174</v>
      </c>
      <c r="S63" s="35">
        <v>46148</v>
      </c>
      <c r="T63" s="35">
        <v>46165</v>
      </c>
      <c r="U63" s="35">
        <v>46182</v>
      </c>
      <c r="V63" s="35">
        <v>46182</v>
      </c>
      <c r="W63" s="35">
        <v>46202</v>
      </c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81"/>
      <c r="AO63" s="79"/>
      <c r="AP63" s="36"/>
      <c r="AQ63" s="36"/>
      <c r="AR63" s="37"/>
      <c r="AS63" s="141"/>
      <c r="AT63" s="503"/>
      <c r="AU63" s="38">
        <f>IF(ISERROR(LOOKUP(AU$10,$R63:$AT63,#REF!)),0,(LOOKUP(AU$10,$R63:$AT63,#REF!)))</f>
        <v>0</v>
      </c>
      <c r="AV63" s="39">
        <f>IF(ISERROR(LOOKUP(AV$10,$R63:$AT63,#REF!)),0,(LOOKUP(AV$10,$R63:$AT63,#REF!)))</f>
        <v>0</v>
      </c>
      <c r="AW63" s="39">
        <f>IF(ISERROR(LOOKUP(AW$10,$R63:$AT63,#REF!)),0,(LOOKUP(AW$10,$R63:$AT63,#REF!)))</f>
        <v>0</v>
      </c>
      <c r="AX63" s="39">
        <f>IF(ISERROR(LOOKUP(AX$10,$R63:$AT63,#REF!)),0,(LOOKUP(AX$10,$R63:$AT63,#REF!)))</f>
        <v>0</v>
      </c>
      <c r="AY63" s="39">
        <f>IF(ISERROR(LOOKUP(AY$10,$R63:$AT63,#REF!)),0,(LOOKUP(AY$10,$R63:$AT63,#REF!)))</f>
        <v>0</v>
      </c>
      <c r="AZ63" s="39">
        <f>IF(ISERROR(LOOKUP(AZ$10,$R63:$AT63,#REF!)),0,(LOOKUP(AZ$10,$R63:$AT63,#REF!)))</f>
        <v>0</v>
      </c>
      <c r="BA63" s="39">
        <f>IF(ISERROR(LOOKUP(BA$10,$R63:$AT63,#REF!)),0,(LOOKUP(BA$10,$R63:$AT63,#REF!)))</f>
        <v>0</v>
      </c>
      <c r="BB63" s="39">
        <f>IF(ISERROR(LOOKUP(BB$10,$R63:$AT63,#REF!)),0,(LOOKUP(BB$10,$R63:$AT63,#REF!)))</f>
        <v>0</v>
      </c>
      <c r="BC63" s="39">
        <f>IF(ISERROR(LOOKUP(BC$10,$R63:$AT63,#REF!)),0,(LOOKUP(BC$10,$R63:$AT63,#REF!)))</f>
        <v>0</v>
      </c>
      <c r="BD63" s="39">
        <f>IF(ISERROR(LOOKUP(BD$10,$R63:$AT63,#REF!)),0,(LOOKUP(BD$10,$R63:$AT63,#REF!)))</f>
        <v>0</v>
      </c>
      <c r="BE63" s="405">
        <f ca="1">IF(ISERROR(LOOKUP(BE$10,$R63:$AT63,#REF!)),0,(LOOKUP(BE$10,$R63:$AT63,#REF!)))</f>
        <v>0</v>
      </c>
      <c r="BF63" s="420"/>
      <c r="BG63" s="436"/>
      <c r="BH63" s="436"/>
    </row>
    <row r="64" spans="1:60" s="3" customFormat="1" ht="13.9" customHeight="1" thickTop="1" thickBot="1" x14ac:dyDescent="0.45">
      <c r="A64" s="507">
        <f>A55+1</f>
        <v>15</v>
      </c>
      <c r="B64" s="91" t="s">
        <v>270</v>
      </c>
      <c r="C64" s="16" t="s">
        <v>405</v>
      </c>
      <c r="D64" s="338" t="s">
        <v>394</v>
      </c>
      <c r="E64" s="63" t="s">
        <v>62</v>
      </c>
      <c r="F64" s="15" t="s">
        <v>58</v>
      </c>
      <c r="G64" s="13" t="s">
        <v>51</v>
      </c>
      <c r="H64" s="13" t="s">
        <v>189</v>
      </c>
      <c r="I64" s="13" t="s">
        <v>290</v>
      </c>
      <c r="J64" s="382" t="s">
        <v>787</v>
      </c>
      <c r="K64" s="254" t="s">
        <v>483</v>
      </c>
      <c r="L64" s="219" t="s">
        <v>608</v>
      </c>
      <c r="M64" s="219" t="s">
        <v>608</v>
      </c>
      <c r="N64" s="219" t="s">
        <v>608</v>
      </c>
      <c r="O64" s="366"/>
      <c r="P64" s="174" t="s">
        <v>32</v>
      </c>
      <c r="Q64" s="17" t="s">
        <v>33</v>
      </c>
      <c r="R64" s="18">
        <v>46174</v>
      </c>
      <c r="S64" s="18">
        <v>46177</v>
      </c>
      <c r="T64" s="18">
        <v>46185</v>
      </c>
      <c r="U64" s="18">
        <v>46185</v>
      </c>
      <c r="V64" s="18">
        <v>46185</v>
      </c>
      <c r="W64" s="18">
        <v>46202</v>
      </c>
      <c r="X64" s="18">
        <v>46219</v>
      </c>
      <c r="Y64" s="18">
        <v>46237</v>
      </c>
      <c r="Z64" s="18"/>
      <c r="AA64" s="18">
        <v>46248</v>
      </c>
      <c r="AB64" s="18">
        <v>46252</v>
      </c>
      <c r="AC64" s="18">
        <v>46259</v>
      </c>
      <c r="AD64" s="18">
        <v>46280</v>
      </c>
      <c r="AE64" s="206">
        <v>46294</v>
      </c>
      <c r="AF64" s="18">
        <v>46324</v>
      </c>
      <c r="AG64" s="18">
        <v>46327</v>
      </c>
      <c r="AH64" s="18">
        <v>46330</v>
      </c>
      <c r="AI64" s="18">
        <v>46422</v>
      </c>
      <c r="AJ64" s="18">
        <v>46437</v>
      </c>
      <c r="AK64" s="18">
        <v>46444</v>
      </c>
      <c r="AL64" s="18">
        <v>46447</v>
      </c>
      <c r="AM64" s="18">
        <v>46474</v>
      </c>
      <c r="AN64" s="57">
        <v>28</v>
      </c>
      <c r="AO64" s="58">
        <v>196</v>
      </c>
      <c r="AP64" s="77">
        <v>46444</v>
      </c>
      <c r="AQ64" s="77">
        <v>46487</v>
      </c>
      <c r="AR64" s="19">
        <f>AQ64-AP65</f>
        <v>109</v>
      </c>
      <c r="AS64" s="142" t="s">
        <v>991</v>
      </c>
      <c r="AT64" s="501"/>
      <c r="AU64" s="20">
        <f>IF(ISERROR(LOOKUP(AU$10,$R64:$AT64,#REF!)),0,(LOOKUP(AU$10,$R64:$AT64,#REF!)))</f>
        <v>0</v>
      </c>
      <c r="AV64" s="21">
        <f>IF(ISERROR(LOOKUP(AV$10,$R64:$AT64,#REF!)),0,(LOOKUP(AV$10,$R64:$AT64,#REF!)))</f>
        <v>0</v>
      </c>
      <c r="AW64" s="21">
        <f>IF(ISERROR(LOOKUP(AW$10,$R64:$AT64,#REF!)),0,(LOOKUP(AW$10,$R64:$AT64,#REF!)))</f>
        <v>0</v>
      </c>
      <c r="AX64" s="21">
        <f>IF(ISERROR(LOOKUP(AX$10,$R64:$AT64,#REF!)),0,(LOOKUP(AX$10,$R64:$AT64,#REF!)))</f>
        <v>0</v>
      </c>
      <c r="AY64" s="21">
        <f>IF(ISERROR(LOOKUP(AY$10,$R64:$AT64,#REF!)),0,(LOOKUP(AY$10,$R64:$AT64,#REF!)))</f>
        <v>0</v>
      </c>
      <c r="AZ64" s="21">
        <f>IF(ISERROR(LOOKUP(AZ$10,$R64:$AT64,#REF!)),0,(LOOKUP(AZ$10,$R64:$AT64,#REF!)))</f>
        <v>0</v>
      </c>
      <c r="BA64" s="21">
        <f>IF(ISERROR(LOOKUP(BA$10,$R64:$AT64,#REF!)),0,(LOOKUP(BA$10,$R64:$AT64,#REF!)))</f>
        <v>0</v>
      </c>
      <c r="BB64" s="21">
        <f>IF(ISERROR(LOOKUP(BB$10,$R64:$AT64,#REF!)),0,(LOOKUP(BB$10,$R64:$AT64,#REF!)))</f>
        <v>0</v>
      </c>
      <c r="BC64" s="21">
        <f>IF(ISERROR(LOOKUP(BC$10,$R64:$AT64,#REF!)),0,(LOOKUP(BC$10,$R64:$AT64,#REF!)))</f>
        <v>0</v>
      </c>
      <c r="BD64" s="21">
        <f>IF(ISERROR(LOOKUP(BD$10,$R64:$AT64,#REF!)),0,(LOOKUP(BD$10,$R64:$AT64,#REF!)))</f>
        <v>0</v>
      </c>
      <c r="BE64" s="402">
        <f ca="1">IF(ISERROR(LOOKUP(BE$10,$R64:$AT64,#REF!)),0,(LOOKUP(BE$10,$R64:$AT64,#REF!)))</f>
        <v>0</v>
      </c>
      <c r="BF64" s="422"/>
      <c r="BG64" s="435"/>
      <c r="BH64" s="435"/>
    </row>
    <row r="65" spans="1:60" s="3" customFormat="1" ht="14.25" thickTop="1" thickBot="1" x14ac:dyDescent="0.45">
      <c r="A65" s="508"/>
      <c r="B65" s="92" t="s">
        <v>270</v>
      </c>
      <c r="C65" s="70" t="s">
        <v>405</v>
      </c>
      <c r="D65" s="23" t="s">
        <v>393</v>
      </c>
      <c r="E65" s="42" t="s">
        <v>62</v>
      </c>
      <c r="F65" s="45" t="s">
        <v>58</v>
      </c>
      <c r="G65" s="22" t="s">
        <v>51</v>
      </c>
      <c r="H65" s="22" t="s">
        <v>189</v>
      </c>
      <c r="I65" s="22" t="s">
        <v>290</v>
      </c>
      <c r="J65" s="343" t="s">
        <v>786</v>
      </c>
      <c r="K65" s="311" t="s">
        <v>609</v>
      </c>
      <c r="L65" s="208" t="s">
        <v>609</v>
      </c>
      <c r="M65" s="208" t="s">
        <v>609</v>
      </c>
      <c r="N65" s="208" t="s">
        <v>609</v>
      </c>
      <c r="O65" s="194" t="s">
        <v>609</v>
      </c>
      <c r="P65" s="175" t="s">
        <v>32</v>
      </c>
      <c r="Q65" s="25" t="s">
        <v>34</v>
      </c>
      <c r="R65" s="26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>
        <f>AE64</f>
        <v>46294</v>
      </c>
      <c r="AF65" s="27">
        <f>AE65+30</f>
        <v>46324</v>
      </c>
      <c r="AG65" s="27">
        <f>AF65+3</f>
        <v>46327</v>
      </c>
      <c r="AH65" s="27">
        <f>AG65+3</f>
        <v>46330</v>
      </c>
      <c r="AI65" s="27">
        <f>AJ65-15</f>
        <v>46356</v>
      </c>
      <c r="AJ65" s="27">
        <f>AK65-7</f>
        <v>46371</v>
      </c>
      <c r="AK65" s="27">
        <f>AP65</f>
        <v>46378</v>
      </c>
      <c r="AL65" s="27">
        <f>AP64+3</f>
        <v>46447</v>
      </c>
      <c r="AM65" s="27">
        <f>AP64+30</f>
        <v>46474</v>
      </c>
      <c r="AN65" s="80">
        <v>22</v>
      </c>
      <c r="AO65" s="78">
        <f>AN65*7</f>
        <v>154</v>
      </c>
      <c r="AP65" s="82">
        <f>BG65</f>
        <v>46378</v>
      </c>
      <c r="AQ65" s="82"/>
      <c r="AR65" s="28"/>
      <c r="AS65" s="361" t="s">
        <v>909</v>
      </c>
      <c r="AT65" s="502"/>
      <c r="AU65" s="20">
        <f>IF(ISERROR(LOOKUP(AU$10,$R65:$AT65,#REF!)),0,(LOOKUP(AU$10,$R65:$AT65,#REF!)))</f>
        <v>0</v>
      </c>
      <c r="AV65" s="21">
        <f>IF(ISERROR(LOOKUP(AV$10,$R65:$AT65,#REF!)),0,(LOOKUP(AV$10,$R65:$AT65,#REF!)))</f>
        <v>0</v>
      </c>
      <c r="AW65" s="21">
        <f>IF(ISERROR(LOOKUP(AW$10,$R65:$AT65,#REF!)),0,(LOOKUP(AW$10,$R65:$AT65,#REF!)))</f>
        <v>0</v>
      </c>
      <c r="AX65" s="21">
        <f>IF(ISERROR(LOOKUP(AX$10,$R65:$AT65,#REF!)),0,(LOOKUP(AX$10,$R65:$AT65,#REF!)))</f>
        <v>0</v>
      </c>
      <c r="AY65" s="21">
        <f>IF(ISERROR(LOOKUP(AY$10,$R65:$AT65,#REF!)),0,(LOOKUP(AY$10,$R65:$AT65,#REF!)))</f>
        <v>0</v>
      </c>
      <c r="AZ65" s="21">
        <f>IF(ISERROR(LOOKUP(AZ$10,$R65:$AT65,#REF!)),0,(LOOKUP(AZ$10,$R65:$AT65,#REF!)))</f>
        <v>0</v>
      </c>
      <c r="BA65" s="21">
        <f>IF(ISERROR(LOOKUP(BA$10,$R65:$AT65,#REF!)),0,(LOOKUP(BA$10,$R65:$AT65,#REF!)))</f>
        <v>0</v>
      </c>
      <c r="BB65" s="21">
        <f>IF(ISERROR(LOOKUP(BB$10,$R65:$AT65,#REF!)),0,(LOOKUP(BB$10,$R65:$AT65,#REF!)))</f>
        <v>0</v>
      </c>
      <c r="BC65" s="21">
        <f>IF(ISERROR(LOOKUP(BC$10,$R65:$AT65,#REF!)),0,(LOOKUP(BC$10,$R65:$AT65,#REF!)))</f>
        <v>0</v>
      </c>
      <c r="BD65" s="21">
        <f>IF(ISERROR(LOOKUP(BD$10,$R65:$AT65,#REF!)),0,(LOOKUP(BD$10,$R65:$AT65,#REF!)))</f>
        <v>0</v>
      </c>
      <c r="BE65" s="402">
        <f ca="1">IF(ISERROR(LOOKUP(BE$10,$R65:$AT65,#REF!)),0,(LOOKUP(BE$10,$R65:$AT65,#REF!)))</f>
        <v>0</v>
      </c>
      <c r="BF65" s="415" t="s">
        <v>902</v>
      </c>
      <c r="BG65" s="428">
        <v>46378</v>
      </c>
      <c r="BH65" s="428"/>
    </row>
    <row r="66" spans="1:60" s="3" customFormat="1" ht="14.25" thickTop="1" thickBot="1" x14ac:dyDescent="0.45">
      <c r="A66" s="509"/>
      <c r="B66" s="93" t="s">
        <v>270</v>
      </c>
      <c r="C66" s="71" t="s">
        <v>405</v>
      </c>
      <c r="D66" s="32" t="s">
        <v>393</v>
      </c>
      <c r="E66" s="44" t="s">
        <v>62</v>
      </c>
      <c r="F66" s="33" t="s">
        <v>58</v>
      </c>
      <c r="G66" s="31" t="s">
        <v>51</v>
      </c>
      <c r="H66" s="31" t="s">
        <v>189</v>
      </c>
      <c r="I66" s="31" t="s">
        <v>290</v>
      </c>
      <c r="J66" s="257"/>
      <c r="K66" s="312" t="s">
        <v>685</v>
      </c>
      <c r="L66" s="210" t="s">
        <v>610</v>
      </c>
      <c r="M66" s="210" t="s">
        <v>610</v>
      </c>
      <c r="N66" s="210" t="s">
        <v>610</v>
      </c>
      <c r="O66" s="195" t="s">
        <v>610</v>
      </c>
      <c r="P66" s="176" t="s">
        <v>32</v>
      </c>
      <c r="Q66" s="34" t="s">
        <v>35</v>
      </c>
      <c r="R66" s="35">
        <v>46174</v>
      </c>
      <c r="S66" s="35">
        <v>46148</v>
      </c>
      <c r="T66" s="35">
        <v>46165</v>
      </c>
      <c r="U66" s="35">
        <v>46182</v>
      </c>
      <c r="V66" s="35">
        <v>46182</v>
      </c>
      <c r="W66" s="35">
        <v>46202</v>
      </c>
      <c r="X66" s="35">
        <v>46219</v>
      </c>
      <c r="Y66" s="35">
        <v>46245</v>
      </c>
      <c r="Z66" s="35">
        <v>46248</v>
      </c>
      <c r="AA66" s="35">
        <v>46258</v>
      </c>
      <c r="AB66" s="35">
        <v>46265</v>
      </c>
      <c r="AC66" s="35">
        <v>46259</v>
      </c>
      <c r="AD66" s="35">
        <v>46275</v>
      </c>
      <c r="AE66" s="35"/>
      <c r="AF66" s="35"/>
      <c r="AG66" s="35"/>
      <c r="AH66" s="35"/>
      <c r="AI66" s="35"/>
      <c r="AJ66" s="35"/>
      <c r="AK66" s="35"/>
      <c r="AL66" s="35"/>
      <c r="AM66" s="35"/>
      <c r="AN66" s="81"/>
      <c r="AO66" s="79"/>
      <c r="AP66" s="36"/>
      <c r="AQ66" s="36"/>
      <c r="AR66" s="37"/>
      <c r="AS66" s="141"/>
      <c r="AT66" s="503"/>
      <c r="AU66" s="38">
        <f>IF(ISERROR(LOOKUP(AU$10,$R66:$AT66,#REF!)),0,(LOOKUP(AU$10,$R66:$AT66,#REF!)))</f>
        <v>0</v>
      </c>
      <c r="AV66" s="39">
        <f>IF(ISERROR(LOOKUP(AV$10,$R66:$AT66,#REF!)),0,(LOOKUP(AV$10,$R66:$AT66,#REF!)))</f>
        <v>0</v>
      </c>
      <c r="AW66" s="39">
        <f>IF(ISERROR(LOOKUP(AW$10,$R66:$AT66,#REF!)),0,(LOOKUP(AW$10,$R66:$AT66,#REF!)))</f>
        <v>0</v>
      </c>
      <c r="AX66" s="39">
        <f>IF(ISERROR(LOOKUP(AX$10,$R66:$AT66,#REF!)),0,(LOOKUP(AX$10,$R66:$AT66,#REF!)))</f>
        <v>0</v>
      </c>
      <c r="AY66" s="39">
        <f>IF(ISERROR(LOOKUP(AY$10,$R66:$AT66,#REF!)),0,(LOOKUP(AY$10,$R66:$AT66,#REF!)))</f>
        <v>0</v>
      </c>
      <c r="AZ66" s="39">
        <f>IF(ISERROR(LOOKUP(AZ$10,$R66:$AT66,#REF!)),0,(LOOKUP(AZ$10,$R66:$AT66,#REF!)))</f>
        <v>0</v>
      </c>
      <c r="BA66" s="39">
        <f>IF(ISERROR(LOOKUP(BA$10,$R66:$AT66,#REF!)),0,(LOOKUP(BA$10,$R66:$AT66,#REF!)))</f>
        <v>0</v>
      </c>
      <c r="BB66" s="39">
        <f>IF(ISERROR(LOOKUP(BB$10,$R66:$AT66,#REF!)),0,(LOOKUP(BB$10,$R66:$AT66,#REF!)))</f>
        <v>0</v>
      </c>
      <c r="BC66" s="39">
        <f>IF(ISERROR(LOOKUP(BC$10,$R66:$AT66,#REF!)),0,(LOOKUP(BC$10,$R66:$AT66,#REF!)))</f>
        <v>0</v>
      </c>
      <c r="BD66" s="39">
        <f>IF(ISERROR(LOOKUP(BD$10,$R66:$AT66,#REF!)),0,(LOOKUP(BD$10,$R66:$AT66,#REF!)))</f>
        <v>0</v>
      </c>
      <c r="BE66" s="405">
        <f ca="1">IF(ISERROR(LOOKUP(BE$10,$R66:$AT66,#REF!)),0,(LOOKUP(BE$10,$R66:$AT66,#REF!)))</f>
        <v>0</v>
      </c>
      <c r="BF66" s="420"/>
      <c r="BG66" s="436"/>
      <c r="BH66" s="436"/>
    </row>
    <row r="67" spans="1:60" s="3" customFormat="1" ht="14.25" thickTop="1" thickBot="1" x14ac:dyDescent="0.45">
      <c r="A67" s="507">
        <f t="shared" ref="A67" si="14">A64+1</f>
        <v>16</v>
      </c>
      <c r="B67" s="91" t="s">
        <v>270</v>
      </c>
      <c r="C67" s="16" t="s">
        <v>474</v>
      </c>
      <c r="D67" s="338" t="s">
        <v>396</v>
      </c>
      <c r="E67" s="63" t="s">
        <v>64</v>
      </c>
      <c r="F67" s="15" t="s">
        <v>58</v>
      </c>
      <c r="G67" s="13" t="s">
        <v>51</v>
      </c>
      <c r="H67" s="13" t="s">
        <v>1</v>
      </c>
      <c r="I67" s="13" t="s">
        <v>324</v>
      </c>
      <c r="J67" s="382" t="s">
        <v>485</v>
      </c>
      <c r="K67" s="232" t="s">
        <v>612</v>
      </c>
      <c r="L67" s="219" t="s">
        <v>494</v>
      </c>
      <c r="M67" s="219" t="s">
        <v>494</v>
      </c>
      <c r="N67" s="219" t="s">
        <v>494</v>
      </c>
      <c r="O67" s="219" t="s">
        <v>658</v>
      </c>
      <c r="P67" s="174" t="s">
        <v>32</v>
      </c>
      <c r="Q67" s="17" t="s">
        <v>33</v>
      </c>
      <c r="R67" s="18">
        <v>46174</v>
      </c>
      <c r="S67" s="18">
        <v>46177</v>
      </c>
      <c r="T67" s="18">
        <v>46185</v>
      </c>
      <c r="U67" s="18">
        <v>46185</v>
      </c>
      <c r="V67" s="18">
        <v>46177</v>
      </c>
      <c r="W67" s="18">
        <v>46191</v>
      </c>
      <c r="X67" s="18">
        <v>46216</v>
      </c>
      <c r="Y67" s="18">
        <v>46230</v>
      </c>
      <c r="Z67" s="18"/>
      <c r="AA67" s="18">
        <v>46244</v>
      </c>
      <c r="AB67" s="18">
        <v>46246</v>
      </c>
      <c r="AC67" s="18">
        <v>46253</v>
      </c>
      <c r="AD67" s="18">
        <v>46281</v>
      </c>
      <c r="AE67" s="206">
        <v>46295</v>
      </c>
      <c r="AF67" s="18">
        <v>46325</v>
      </c>
      <c r="AG67" s="18">
        <v>46328</v>
      </c>
      <c r="AH67" s="18">
        <v>46331</v>
      </c>
      <c r="AI67" s="18">
        <v>46420</v>
      </c>
      <c r="AJ67" s="18">
        <v>46435</v>
      </c>
      <c r="AK67" s="18">
        <v>46440</v>
      </c>
      <c r="AL67" s="18">
        <v>46443</v>
      </c>
      <c r="AM67" s="18">
        <v>46470</v>
      </c>
      <c r="AN67" s="57">
        <v>28</v>
      </c>
      <c r="AO67" s="58">
        <v>196</v>
      </c>
      <c r="AP67" s="77">
        <v>46440</v>
      </c>
      <c r="AQ67" s="77">
        <v>46487</v>
      </c>
      <c r="AR67" s="19">
        <f>AQ67-AP68</f>
        <v>47</v>
      </c>
      <c r="AS67" s="142" t="s">
        <v>449</v>
      </c>
      <c r="AT67" s="501"/>
      <c r="AU67" s="20">
        <f>IF(ISERROR(LOOKUP(AU$10,$R67:$AT67,#REF!)),0,(LOOKUP(AU$10,$R67:$AT67,#REF!)))</f>
        <v>0</v>
      </c>
      <c r="AV67" s="21">
        <f>IF(ISERROR(LOOKUP(AV$10,$R67:$AT67,#REF!)),0,(LOOKUP(AV$10,$R67:$AT67,#REF!)))</f>
        <v>0</v>
      </c>
      <c r="AW67" s="21">
        <f>IF(ISERROR(LOOKUP(AW$10,$R67:$AT67,#REF!)),0,(LOOKUP(AW$10,$R67:$AT67,#REF!)))</f>
        <v>0</v>
      </c>
      <c r="AX67" s="21">
        <f>IF(ISERROR(LOOKUP(AX$10,$R67:$AT67,#REF!)),0,(LOOKUP(AX$10,$R67:$AT67,#REF!)))</f>
        <v>0</v>
      </c>
      <c r="AY67" s="21">
        <f>IF(ISERROR(LOOKUP(AY$10,$R67:$AT67,#REF!)),0,(LOOKUP(AY$10,$R67:$AT67,#REF!)))</f>
        <v>0</v>
      </c>
      <c r="AZ67" s="21">
        <f>IF(ISERROR(LOOKUP(AZ$10,$R67:$AT67,#REF!)),0,(LOOKUP(AZ$10,$R67:$AT67,#REF!)))</f>
        <v>0</v>
      </c>
      <c r="BA67" s="21">
        <f>IF(ISERROR(LOOKUP(BA$10,$R67:$AT67,#REF!)),0,(LOOKUP(BA$10,$R67:$AT67,#REF!)))</f>
        <v>0</v>
      </c>
      <c r="BB67" s="21">
        <f>IF(ISERROR(LOOKUP(BB$10,$R67:$AT67,#REF!)),0,(LOOKUP(BB$10,$R67:$AT67,#REF!)))</f>
        <v>0</v>
      </c>
      <c r="BC67" s="21">
        <f>IF(ISERROR(LOOKUP(BC$10,$R67:$AT67,#REF!)),0,(LOOKUP(BC$10,$R67:$AT67,#REF!)))</f>
        <v>0</v>
      </c>
      <c r="BD67" s="21">
        <f>IF(ISERROR(LOOKUP(BD$10,$R67:$AT67,#REF!)),0,(LOOKUP(BD$10,$R67:$AT67,#REF!)))</f>
        <v>0</v>
      </c>
      <c r="BE67" s="402">
        <f ca="1">IF(ISERROR(LOOKUP(BE$10,$R67:$AT67,#REF!)),0,(LOOKUP(BE$10,$R67:$AT67,#REF!)))</f>
        <v>0</v>
      </c>
      <c r="BF67" s="422"/>
      <c r="BG67" s="435"/>
      <c r="BH67" s="435"/>
    </row>
    <row r="68" spans="1:60" s="3" customFormat="1" ht="14.25" thickTop="1" thickBot="1" x14ac:dyDescent="0.45">
      <c r="A68" s="508"/>
      <c r="B68" s="92" t="s">
        <v>270</v>
      </c>
      <c r="C68" s="40" t="s">
        <v>63</v>
      </c>
      <c r="D68" s="23" t="s">
        <v>395</v>
      </c>
      <c r="E68" s="42" t="s">
        <v>64</v>
      </c>
      <c r="F68" s="45" t="s">
        <v>58</v>
      </c>
      <c r="G68" s="22" t="s">
        <v>51</v>
      </c>
      <c r="H68" s="40" t="s">
        <v>1</v>
      </c>
      <c r="I68" s="40" t="s">
        <v>288</v>
      </c>
      <c r="J68" s="343" t="s">
        <v>720</v>
      </c>
      <c r="K68" s="302" t="s">
        <v>613</v>
      </c>
      <c r="L68" s="208" t="s">
        <v>613</v>
      </c>
      <c r="M68" s="208" t="s">
        <v>698</v>
      </c>
      <c r="N68" s="208"/>
      <c r="O68" s="208"/>
      <c r="P68" s="175" t="s">
        <v>32</v>
      </c>
      <c r="Q68" s="25" t="s">
        <v>34</v>
      </c>
      <c r="R68" s="26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>
        <f>AE67</f>
        <v>46295</v>
      </c>
      <c r="AF68" s="27">
        <f>AE68+30</f>
        <v>46325</v>
      </c>
      <c r="AG68" s="27">
        <f>AF68+3</f>
        <v>46328</v>
      </c>
      <c r="AH68" s="27">
        <f>AG68+3</f>
        <v>46331</v>
      </c>
      <c r="AI68" s="27">
        <f>AJ68-10</f>
        <v>46425</v>
      </c>
      <c r="AJ68" s="27">
        <f>AK68-5</f>
        <v>46435</v>
      </c>
      <c r="AK68" s="27">
        <f>AP68</f>
        <v>46440</v>
      </c>
      <c r="AL68" s="27">
        <f>AP67+3</f>
        <v>46443</v>
      </c>
      <c r="AM68" s="27">
        <f>AP67+30</f>
        <v>46470</v>
      </c>
      <c r="AN68" s="80">
        <v>28</v>
      </c>
      <c r="AO68" s="78">
        <v>196</v>
      </c>
      <c r="AP68" s="82">
        <f>BG68</f>
        <v>46440</v>
      </c>
      <c r="AQ68" s="82"/>
      <c r="AR68" s="28"/>
      <c r="AS68" s="361" t="s">
        <v>909</v>
      </c>
      <c r="AT68" s="502"/>
      <c r="AU68" s="20">
        <f>IF(ISERROR(LOOKUP(AU$10,$R68:$AT68,#REF!)),0,(LOOKUP(AU$10,$R68:$AT68,#REF!)))</f>
        <v>0</v>
      </c>
      <c r="AV68" s="21">
        <f>IF(ISERROR(LOOKUP(AV$10,$R68:$AT68,#REF!)),0,(LOOKUP(AV$10,$R68:$AT68,#REF!)))</f>
        <v>0</v>
      </c>
      <c r="AW68" s="21">
        <f>IF(ISERROR(LOOKUP(AW$10,$R68:$AT68,#REF!)),0,(LOOKUP(AW$10,$R68:$AT68,#REF!)))</f>
        <v>0</v>
      </c>
      <c r="AX68" s="21">
        <f>IF(ISERROR(LOOKUP(AX$10,$R68:$AT68,#REF!)),0,(LOOKUP(AX$10,$R68:$AT68,#REF!)))</f>
        <v>0</v>
      </c>
      <c r="AY68" s="21">
        <f>IF(ISERROR(LOOKUP(AY$10,$R68:$AT68,#REF!)),0,(LOOKUP(AY$10,$R68:$AT68,#REF!)))</f>
        <v>0</v>
      </c>
      <c r="AZ68" s="21">
        <f>IF(ISERROR(LOOKUP(AZ$10,$R68:$AT68,#REF!)),0,(LOOKUP(AZ$10,$R68:$AT68,#REF!)))</f>
        <v>0</v>
      </c>
      <c r="BA68" s="21">
        <f>IF(ISERROR(LOOKUP(BA$10,$R68:$AT68,#REF!)),0,(LOOKUP(BA$10,$R68:$AT68,#REF!)))</f>
        <v>0</v>
      </c>
      <c r="BB68" s="21">
        <f>IF(ISERROR(LOOKUP(BB$10,$R68:$AT68,#REF!)),0,(LOOKUP(BB$10,$R68:$AT68,#REF!)))</f>
        <v>0</v>
      </c>
      <c r="BC68" s="21">
        <f>IF(ISERROR(LOOKUP(BC$10,$R68:$AT68,#REF!)),0,(LOOKUP(BC$10,$R68:$AT68,#REF!)))</f>
        <v>0</v>
      </c>
      <c r="BD68" s="21">
        <f>IF(ISERROR(LOOKUP(BD$10,$R68:$AT68,#REF!)),0,(LOOKUP(BD$10,$R68:$AT68,#REF!)))</f>
        <v>0</v>
      </c>
      <c r="BE68" s="402">
        <f ca="1">IF(ISERROR(LOOKUP(BE$10,$R68:$AT68,#REF!)),0,(LOOKUP(BE$10,$R68:$AT68,#REF!)))</f>
        <v>0</v>
      </c>
      <c r="BF68" s="415" t="s">
        <v>902</v>
      </c>
      <c r="BG68" s="428">
        <v>46440</v>
      </c>
      <c r="BH68" s="428"/>
    </row>
    <row r="69" spans="1:60" s="3" customFormat="1" ht="14.25" thickTop="1" thickBot="1" x14ac:dyDescent="0.45">
      <c r="A69" s="509"/>
      <c r="B69" s="93" t="s">
        <v>270</v>
      </c>
      <c r="C69" s="31" t="s">
        <v>63</v>
      </c>
      <c r="D69" s="32" t="s">
        <v>395</v>
      </c>
      <c r="E69" s="44" t="s">
        <v>64</v>
      </c>
      <c r="F69" s="33" t="s">
        <v>58</v>
      </c>
      <c r="G69" s="31" t="s">
        <v>51</v>
      </c>
      <c r="H69" s="31" t="s">
        <v>1</v>
      </c>
      <c r="I69" s="31" t="s">
        <v>288</v>
      </c>
      <c r="J69" s="258"/>
      <c r="K69" s="303" t="s">
        <v>614</v>
      </c>
      <c r="L69" s="210" t="s">
        <v>485</v>
      </c>
      <c r="M69" s="210"/>
      <c r="N69" s="210" t="s">
        <v>485</v>
      </c>
      <c r="O69" s="210"/>
      <c r="P69" s="176" t="s">
        <v>32</v>
      </c>
      <c r="Q69" s="34" t="s">
        <v>35</v>
      </c>
      <c r="R69" s="35">
        <v>46174</v>
      </c>
      <c r="S69" s="35">
        <v>46148</v>
      </c>
      <c r="T69" s="35">
        <v>46165</v>
      </c>
      <c r="U69" s="35">
        <v>46174</v>
      </c>
      <c r="V69" s="35">
        <v>46174</v>
      </c>
      <c r="W69" s="35">
        <v>46188</v>
      </c>
      <c r="X69" s="35">
        <v>46213</v>
      </c>
      <c r="Y69" s="35">
        <v>46241</v>
      </c>
      <c r="Z69" s="35">
        <v>46241</v>
      </c>
      <c r="AA69" s="35">
        <v>46244</v>
      </c>
      <c r="AB69" s="35">
        <v>46246</v>
      </c>
      <c r="AC69" s="35">
        <v>46240</v>
      </c>
      <c r="AD69" s="35">
        <v>46258</v>
      </c>
      <c r="AE69" s="35"/>
      <c r="AF69" s="35"/>
      <c r="AG69" s="35"/>
      <c r="AH69" s="35"/>
      <c r="AI69" s="35"/>
      <c r="AJ69" s="35"/>
      <c r="AK69" s="35"/>
      <c r="AL69" s="35"/>
      <c r="AM69" s="35"/>
      <c r="AN69" s="81"/>
      <c r="AO69" s="79"/>
      <c r="AP69" s="82"/>
      <c r="AQ69" s="36"/>
      <c r="AR69" s="37"/>
      <c r="AS69" s="141"/>
      <c r="AT69" s="503"/>
      <c r="AU69" s="38">
        <f>IF(ISERROR(LOOKUP(AU$10,$R69:$AT69,#REF!)),0,(LOOKUP(AU$10,$R69:$AT69,#REF!)))</f>
        <v>0</v>
      </c>
      <c r="AV69" s="39">
        <f>IF(ISERROR(LOOKUP(AV$10,$R69:$AT69,#REF!)),0,(LOOKUP(AV$10,$R69:$AT69,#REF!)))</f>
        <v>0</v>
      </c>
      <c r="AW69" s="39">
        <f>IF(ISERROR(LOOKUP(AW$10,$R69:$AT69,#REF!)),0,(LOOKUP(AW$10,$R69:$AT69,#REF!)))</f>
        <v>0</v>
      </c>
      <c r="AX69" s="39">
        <f>IF(ISERROR(LOOKUP(AX$10,$R69:$AT69,#REF!)),0,(LOOKUP(AX$10,$R69:$AT69,#REF!)))</f>
        <v>0</v>
      </c>
      <c r="AY69" s="39">
        <f>IF(ISERROR(LOOKUP(AY$10,$R69:$AT69,#REF!)),0,(LOOKUP(AY$10,$R69:$AT69,#REF!)))</f>
        <v>0</v>
      </c>
      <c r="AZ69" s="39">
        <f>IF(ISERROR(LOOKUP(AZ$10,$R69:$AT69,#REF!)),0,(LOOKUP(AZ$10,$R69:$AT69,#REF!)))</f>
        <v>0</v>
      </c>
      <c r="BA69" s="39">
        <f>IF(ISERROR(LOOKUP(BA$10,$R69:$AT69,#REF!)),0,(LOOKUP(BA$10,$R69:$AT69,#REF!)))</f>
        <v>0</v>
      </c>
      <c r="BB69" s="39">
        <f>IF(ISERROR(LOOKUP(BB$10,$R69:$AT69,#REF!)),0,(LOOKUP(BB$10,$R69:$AT69,#REF!)))</f>
        <v>0</v>
      </c>
      <c r="BC69" s="39">
        <f>IF(ISERROR(LOOKUP(BC$10,$R69:$AT69,#REF!)),0,(LOOKUP(BC$10,$R69:$AT69,#REF!)))</f>
        <v>0</v>
      </c>
      <c r="BD69" s="39">
        <f>IF(ISERROR(LOOKUP(BD$10,$R69:$AT69,#REF!)),0,(LOOKUP(BD$10,$R69:$AT69,#REF!)))</f>
        <v>0</v>
      </c>
      <c r="BE69" s="405">
        <f ca="1">IF(ISERROR(LOOKUP(BE$10,$R69:$AT69,#REF!)),0,(LOOKUP(BE$10,$R69:$AT69,#REF!)))</f>
        <v>0</v>
      </c>
      <c r="BF69" s="420"/>
      <c r="BG69" s="436"/>
      <c r="BH69" s="436"/>
    </row>
    <row r="70" spans="1:60" s="3" customFormat="1" ht="14.25" thickTop="1" thickBot="1" x14ac:dyDescent="0.45">
      <c r="A70" s="507">
        <f t="shared" ref="A70" si="15">A67+1</f>
        <v>17</v>
      </c>
      <c r="B70" s="91" t="s">
        <v>270</v>
      </c>
      <c r="C70" s="46" t="s">
        <v>866</v>
      </c>
      <c r="D70" s="338" t="s">
        <v>278</v>
      </c>
      <c r="E70" s="63" t="s">
        <v>62</v>
      </c>
      <c r="F70" s="15" t="s">
        <v>58</v>
      </c>
      <c r="G70" s="13" t="s">
        <v>51</v>
      </c>
      <c r="H70" s="13" t="s">
        <v>189</v>
      </c>
      <c r="I70" s="13" t="s">
        <v>290</v>
      </c>
      <c r="J70" s="382" t="s">
        <v>787</v>
      </c>
      <c r="K70" s="232"/>
      <c r="L70" s="278" t="s">
        <v>483</v>
      </c>
      <c r="M70" s="219" t="s">
        <v>608</v>
      </c>
      <c r="N70" s="219" t="s">
        <v>608</v>
      </c>
      <c r="O70" s="366"/>
      <c r="P70" s="174" t="s">
        <v>32</v>
      </c>
      <c r="Q70" s="17" t="s">
        <v>33</v>
      </c>
      <c r="R70" s="18">
        <v>46174</v>
      </c>
      <c r="S70" s="18">
        <v>46177</v>
      </c>
      <c r="T70" s="18">
        <v>46184</v>
      </c>
      <c r="U70" s="18">
        <v>46185</v>
      </c>
      <c r="V70" s="18">
        <v>46192</v>
      </c>
      <c r="W70" s="18">
        <v>46206</v>
      </c>
      <c r="X70" s="18">
        <v>46227</v>
      </c>
      <c r="Y70" s="18">
        <v>46234</v>
      </c>
      <c r="Z70" s="18"/>
      <c r="AA70" s="18">
        <v>46248</v>
      </c>
      <c r="AB70" s="18">
        <v>46252</v>
      </c>
      <c r="AC70" s="18">
        <v>46259</v>
      </c>
      <c r="AD70" s="18">
        <v>46280</v>
      </c>
      <c r="AE70" s="206">
        <v>46294</v>
      </c>
      <c r="AF70" s="18">
        <v>46324</v>
      </c>
      <c r="AG70" s="18">
        <v>46327</v>
      </c>
      <c r="AH70" s="18">
        <v>46330</v>
      </c>
      <c r="AI70" s="18">
        <v>46422</v>
      </c>
      <c r="AJ70" s="18">
        <v>46437</v>
      </c>
      <c r="AK70" s="18">
        <v>46444</v>
      </c>
      <c r="AL70" s="18">
        <v>46447</v>
      </c>
      <c r="AM70" s="18">
        <v>46474</v>
      </c>
      <c r="AN70" s="57">
        <v>28</v>
      </c>
      <c r="AO70" s="58">
        <v>196</v>
      </c>
      <c r="AP70" s="77">
        <v>46444</v>
      </c>
      <c r="AQ70" s="77">
        <v>46487</v>
      </c>
      <c r="AR70" s="19">
        <f>AQ70-AP71</f>
        <v>109</v>
      </c>
      <c r="AS70" s="142" t="s">
        <v>991</v>
      </c>
      <c r="AT70" s="501" t="s">
        <v>501</v>
      </c>
      <c r="AU70" s="20">
        <f>IF(ISERROR(LOOKUP(AU$10,$R70:$AT70,#REF!)),0,(LOOKUP(AU$10,$R70:$AT70,#REF!)))</f>
        <v>0</v>
      </c>
      <c r="AV70" s="21">
        <f>IF(ISERROR(LOOKUP(AV$10,$R70:$AT70,#REF!)),0,(LOOKUP(AV$10,$R70:$AT70,#REF!)))</f>
        <v>0</v>
      </c>
      <c r="AW70" s="21">
        <f>IF(ISERROR(LOOKUP(AW$10,$R70:$AT70,#REF!)),0,(LOOKUP(AW$10,$R70:$AT70,#REF!)))</f>
        <v>0</v>
      </c>
      <c r="AX70" s="21">
        <f>IF(ISERROR(LOOKUP(AX$10,$R70:$AT70,#REF!)),0,(LOOKUP(AX$10,$R70:$AT70,#REF!)))</f>
        <v>0</v>
      </c>
      <c r="AY70" s="21">
        <f>IF(ISERROR(LOOKUP(AY$10,$R70:$AT70,#REF!)),0,(LOOKUP(AY$10,$R70:$AT70,#REF!)))</f>
        <v>0</v>
      </c>
      <c r="AZ70" s="21">
        <f>IF(ISERROR(LOOKUP(AZ$10,$R70:$AT70,#REF!)),0,(LOOKUP(AZ$10,$R70:$AT70,#REF!)))</f>
        <v>0</v>
      </c>
      <c r="BA70" s="21">
        <f>IF(ISERROR(LOOKUP(BA$10,$R70:$AT70,#REF!)),0,(LOOKUP(BA$10,$R70:$AT70,#REF!)))</f>
        <v>0</v>
      </c>
      <c r="BB70" s="21">
        <f>IF(ISERROR(LOOKUP(BB$10,$R70:$AT70,#REF!)),0,(LOOKUP(BB$10,$R70:$AT70,#REF!)))</f>
        <v>0</v>
      </c>
      <c r="BC70" s="21">
        <f>IF(ISERROR(LOOKUP(BC$10,$R70:$AT70,#REF!)),0,(LOOKUP(BC$10,$R70:$AT70,#REF!)))</f>
        <v>0</v>
      </c>
      <c r="BD70" s="21">
        <f>IF(ISERROR(LOOKUP(BD$10,$R70:$AT70,#REF!)),0,(LOOKUP(BD$10,$R70:$AT70,#REF!)))</f>
        <v>0</v>
      </c>
      <c r="BE70" s="402">
        <f ca="1">IF(ISERROR(LOOKUP(BE$10,$R70:$AT70,#REF!)),0,(LOOKUP(BE$10,$R70:$AT70,#REF!)))</f>
        <v>0</v>
      </c>
      <c r="BF70" s="422"/>
      <c r="BG70" s="435"/>
      <c r="BH70" s="435"/>
    </row>
    <row r="71" spans="1:60" s="3" customFormat="1" ht="14.25" thickTop="1" thickBot="1" x14ac:dyDescent="0.45">
      <c r="A71" s="508"/>
      <c r="B71" s="92" t="s">
        <v>270</v>
      </c>
      <c r="C71" s="113" t="s">
        <v>866</v>
      </c>
      <c r="D71" s="23" t="s">
        <v>277</v>
      </c>
      <c r="E71" s="42" t="s">
        <v>62</v>
      </c>
      <c r="F71" s="45" t="s">
        <v>58</v>
      </c>
      <c r="G71" s="22" t="s">
        <v>51</v>
      </c>
      <c r="H71" s="22" t="s">
        <v>189</v>
      </c>
      <c r="I71" s="22" t="s">
        <v>290</v>
      </c>
      <c r="J71" s="343" t="s">
        <v>786</v>
      </c>
      <c r="K71" s="213"/>
      <c r="L71" s="208" t="s">
        <v>585</v>
      </c>
      <c r="M71" s="208" t="s">
        <v>609</v>
      </c>
      <c r="N71" s="208" t="s">
        <v>609</v>
      </c>
      <c r="O71" s="208" t="s">
        <v>609</v>
      </c>
      <c r="P71" s="175" t="s">
        <v>32</v>
      </c>
      <c r="Q71" s="25" t="s">
        <v>34</v>
      </c>
      <c r="R71" s="26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>
        <f>AE70</f>
        <v>46294</v>
      </c>
      <c r="AF71" s="27">
        <f>AE71+30</f>
        <v>46324</v>
      </c>
      <c r="AG71" s="27">
        <f>AF71+3</f>
        <v>46327</v>
      </c>
      <c r="AH71" s="27">
        <f>AG71+3</f>
        <v>46330</v>
      </c>
      <c r="AI71" s="27">
        <f>AJ71-10</f>
        <v>46361</v>
      </c>
      <c r="AJ71" s="27">
        <f>AK71-7</f>
        <v>46371</v>
      </c>
      <c r="AK71" s="27">
        <f>AP71</f>
        <v>46378</v>
      </c>
      <c r="AL71" s="27">
        <f>AP70+3</f>
        <v>46447</v>
      </c>
      <c r="AM71" s="27">
        <f>AP70+30</f>
        <v>46474</v>
      </c>
      <c r="AN71" s="80">
        <v>22</v>
      </c>
      <c r="AO71" s="78">
        <f>AN71*7</f>
        <v>154</v>
      </c>
      <c r="AP71" s="82">
        <f>BG71</f>
        <v>46378</v>
      </c>
      <c r="AQ71" s="82"/>
      <c r="AR71" s="28"/>
      <c r="AS71" s="361" t="s">
        <v>909</v>
      </c>
      <c r="AT71" s="502"/>
      <c r="AU71" s="20">
        <f>IF(ISERROR(LOOKUP(AU$10,$R71:$AT71,#REF!)),0,(LOOKUP(AU$10,$R71:$AT71,#REF!)))</f>
        <v>0</v>
      </c>
      <c r="AV71" s="21">
        <f>IF(ISERROR(LOOKUP(AV$10,$R71:$AT71,#REF!)),0,(LOOKUP(AV$10,$R71:$AT71,#REF!)))</f>
        <v>0</v>
      </c>
      <c r="AW71" s="21">
        <f>IF(ISERROR(LOOKUP(AW$10,$R71:$AT71,#REF!)),0,(LOOKUP(AW$10,$R71:$AT71,#REF!)))</f>
        <v>0</v>
      </c>
      <c r="AX71" s="21">
        <f>IF(ISERROR(LOOKUP(AX$10,$R71:$AT71,#REF!)),0,(LOOKUP(AX$10,$R71:$AT71,#REF!)))</f>
        <v>0</v>
      </c>
      <c r="AY71" s="21">
        <f>IF(ISERROR(LOOKUP(AY$10,$R71:$AT71,#REF!)),0,(LOOKUP(AY$10,$R71:$AT71,#REF!)))</f>
        <v>0</v>
      </c>
      <c r="AZ71" s="21">
        <f>IF(ISERROR(LOOKUP(AZ$10,$R71:$AT71,#REF!)),0,(LOOKUP(AZ$10,$R71:$AT71,#REF!)))</f>
        <v>0</v>
      </c>
      <c r="BA71" s="21">
        <f>IF(ISERROR(LOOKUP(BA$10,$R71:$AT71,#REF!)),0,(LOOKUP(BA$10,$R71:$AT71,#REF!)))</f>
        <v>0</v>
      </c>
      <c r="BB71" s="21">
        <f>IF(ISERROR(LOOKUP(BB$10,$R71:$AT71,#REF!)),0,(LOOKUP(BB$10,$R71:$AT71,#REF!)))</f>
        <v>0</v>
      </c>
      <c r="BC71" s="21">
        <f>IF(ISERROR(LOOKUP(BC$10,$R71:$AT71,#REF!)),0,(LOOKUP(BC$10,$R71:$AT71,#REF!)))</f>
        <v>0</v>
      </c>
      <c r="BD71" s="21">
        <f>IF(ISERROR(LOOKUP(BD$10,$R71:$AT71,#REF!)),0,(LOOKUP(BD$10,$R71:$AT71,#REF!)))</f>
        <v>0</v>
      </c>
      <c r="BE71" s="402">
        <f ca="1">IF(ISERROR(LOOKUP(BE$10,$R71:$AT71,#REF!)),0,(LOOKUP(BE$10,$R71:$AT71,#REF!)))</f>
        <v>0</v>
      </c>
      <c r="BF71" s="415" t="s">
        <v>902</v>
      </c>
      <c r="BG71" s="428">
        <v>46378</v>
      </c>
      <c r="BH71" s="428"/>
    </row>
    <row r="72" spans="1:60" s="3" customFormat="1" ht="14.25" thickTop="1" thickBot="1" x14ac:dyDescent="0.45">
      <c r="A72" s="509"/>
      <c r="B72" s="93" t="s">
        <v>270</v>
      </c>
      <c r="C72" s="47" t="s">
        <v>866</v>
      </c>
      <c r="D72" s="32" t="s">
        <v>277</v>
      </c>
      <c r="E72" s="44" t="s">
        <v>62</v>
      </c>
      <c r="F72" s="33" t="s">
        <v>58</v>
      </c>
      <c r="G72" s="31" t="s">
        <v>51</v>
      </c>
      <c r="H72" s="31" t="s">
        <v>189</v>
      </c>
      <c r="I72" s="31" t="s">
        <v>290</v>
      </c>
      <c r="J72" s="214" t="s">
        <v>865</v>
      </c>
      <c r="K72" s="291"/>
      <c r="L72" s="279" t="s">
        <v>611</v>
      </c>
      <c r="M72" s="210" t="s">
        <v>610</v>
      </c>
      <c r="N72" s="210" t="s">
        <v>610</v>
      </c>
      <c r="O72" s="210" t="s">
        <v>610</v>
      </c>
      <c r="P72" s="176" t="s">
        <v>32</v>
      </c>
      <c r="Q72" s="34" t="s">
        <v>35</v>
      </c>
      <c r="R72" s="35">
        <v>46183</v>
      </c>
      <c r="S72" s="35">
        <v>46148</v>
      </c>
      <c r="T72" s="35">
        <v>46165</v>
      </c>
      <c r="U72" s="35">
        <v>46182</v>
      </c>
      <c r="V72" s="35">
        <v>46182</v>
      </c>
      <c r="W72" s="35">
        <v>46202</v>
      </c>
      <c r="X72" s="35">
        <v>46219</v>
      </c>
      <c r="Y72" s="35">
        <v>46245</v>
      </c>
      <c r="Z72" s="35">
        <v>46248</v>
      </c>
      <c r="AA72" s="35">
        <v>46258</v>
      </c>
      <c r="AB72" s="35">
        <v>46265</v>
      </c>
      <c r="AC72" s="35">
        <v>46259</v>
      </c>
      <c r="AD72" s="35">
        <v>46275</v>
      </c>
      <c r="AE72" s="35"/>
      <c r="AF72" s="35"/>
      <c r="AG72" s="35"/>
      <c r="AH72" s="35"/>
      <c r="AI72" s="35"/>
      <c r="AJ72" s="35"/>
      <c r="AK72" s="35"/>
      <c r="AL72" s="35"/>
      <c r="AM72" s="35"/>
      <c r="AN72" s="81"/>
      <c r="AO72" s="79"/>
      <c r="AP72" s="36"/>
      <c r="AQ72" s="36"/>
      <c r="AR72" s="37"/>
      <c r="AS72" s="141"/>
      <c r="AT72" s="503"/>
      <c r="AU72" s="38">
        <f>IF(ISERROR(LOOKUP(AU$10,$R72:$AT72,#REF!)),0,(LOOKUP(AU$10,$R72:$AT72,#REF!)))</f>
        <v>0</v>
      </c>
      <c r="AV72" s="39">
        <f>IF(ISERROR(LOOKUP(AV$10,$R72:$AT72,#REF!)),0,(LOOKUP(AV$10,$R72:$AT72,#REF!)))</f>
        <v>0</v>
      </c>
      <c r="AW72" s="39">
        <f>IF(ISERROR(LOOKUP(AW$10,$R72:$AT72,#REF!)),0,(LOOKUP(AW$10,$R72:$AT72,#REF!)))</f>
        <v>0</v>
      </c>
      <c r="AX72" s="39">
        <f>IF(ISERROR(LOOKUP(AX$10,$R72:$AT72,#REF!)),0,(LOOKUP(AX$10,$R72:$AT72,#REF!)))</f>
        <v>0</v>
      </c>
      <c r="AY72" s="39">
        <f>IF(ISERROR(LOOKUP(AY$10,$R72:$AT72,#REF!)),0,(LOOKUP(AY$10,$R72:$AT72,#REF!)))</f>
        <v>0</v>
      </c>
      <c r="AZ72" s="39">
        <f>IF(ISERROR(LOOKUP(AZ$10,$R72:$AT72,#REF!)),0,(LOOKUP(AZ$10,$R72:$AT72,#REF!)))</f>
        <v>0</v>
      </c>
      <c r="BA72" s="39">
        <f>IF(ISERROR(LOOKUP(BA$10,$R72:$AT72,#REF!)),0,(LOOKUP(BA$10,$R72:$AT72,#REF!)))</f>
        <v>0</v>
      </c>
      <c r="BB72" s="39">
        <f>IF(ISERROR(LOOKUP(BB$10,$R72:$AT72,#REF!)),0,(LOOKUP(BB$10,$R72:$AT72,#REF!)))</f>
        <v>0</v>
      </c>
      <c r="BC72" s="39">
        <f>IF(ISERROR(LOOKUP(BC$10,$R72:$AT72,#REF!)),0,(LOOKUP(BC$10,$R72:$AT72,#REF!)))</f>
        <v>0</v>
      </c>
      <c r="BD72" s="39">
        <f>IF(ISERROR(LOOKUP(BD$10,$R72:$AT72,#REF!)),0,(LOOKUP(BD$10,$R72:$AT72,#REF!)))</f>
        <v>0</v>
      </c>
      <c r="BE72" s="405">
        <f ca="1">IF(ISERROR(LOOKUP(BE$10,$R72:$AT72,#REF!)),0,(LOOKUP(BE$10,$R72:$AT72,#REF!)))</f>
        <v>0</v>
      </c>
      <c r="BF72" s="420"/>
      <c r="BG72" s="436"/>
      <c r="BH72" s="436"/>
    </row>
    <row r="73" spans="1:60" s="3" customFormat="1" ht="27.75" thickTop="1" thickBot="1" x14ac:dyDescent="0.45">
      <c r="A73" s="507">
        <f>A70+1</f>
        <v>18</v>
      </c>
      <c r="B73" s="91" t="s">
        <v>271</v>
      </c>
      <c r="C73" s="13" t="s">
        <v>490</v>
      </c>
      <c r="D73" s="203" t="s">
        <v>373</v>
      </c>
      <c r="E73" s="63" t="s">
        <v>66</v>
      </c>
      <c r="F73" s="15" t="s">
        <v>58</v>
      </c>
      <c r="G73" s="13" t="s">
        <v>51</v>
      </c>
      <c r="H73" s="13" t="s">
        <v>1</v>
      </c>
      <c r="I73" s="13" t="s">
        <v>286</v>
      </c>
      <c r="J73" s="41"/>
      <c r="K73" s="220" t="s">
        <v>849</v>
      </c>
      <c r="L73" s="219" t="s">
        <v>849</v>
      </c>
      <c r="M73" s="293" t="s">
        <v>880</v>
      </c>
      <c r="N73" s="463"/>
      <c r="O73" s="41"/>
      <c r="P73" s="174" t="s">
        <v>32</v>
      </c>
      <c r="Q73" s="17" t="s">
        <v>33</v>
      </c>
      <c r="R73" s="18">
        <v>46174</v>
      </c>
      <c r="S73" s="18">
        <v>46177</v>
      </c>
      <c r="T73" s="18">
        <v>46184</v>
      </c>
      <c r="U73" s="18">
        <v>46185</v>
      </c>
      <c r="V73" s="18">
        <v>46192</v>
      </c>
      <c r="W73" s="18">
        <v>46206</v>
      </c>
      <c r="X73" s="206">
        <v>46227</v>
      </c>
      <c r="Y73" s="18">
        <v>46234</v>
      </c>
      <c r="Z73" s="18"/>
      <c r="AA73" s="18">
        <v>46248</v>
      </c>
      <c r="AB73" s="18">
        <v>46252</v>
      </c>
      <c r="AC73" s="18">
        <v>46259</v>
      </c>
      <c r="AD73" s="18">
        <v>46280</v>
      </c>
      <c r="AE73" s="18">
        <v>46294</v>
      </c>
      <c r="AF73" s="18">
        <v>46324</v>
      </c>
      <c r="AG73" s="18">
        <v>46327</v>
      </c>
      <c r="AH73" s="18">
        <v>46330</v>
      </c>
      <c r="AI73" s="18">
        <v>46401</v>
      </c>
      <c r="AJ73" s="18">
        <v>46411</v>
      </c>
      <c r="AK73" s="18">
        <v>46416</v>
      </c>
      <c r="AL73" s="18">
        <v>46419</v>
      </c>
      <c r="AM73" s="18">
        <v>46446</v>
      </c>
      <c r="AN73" s="57">
        <v>24</v>
      </c>
      <c r="AO73" s="58">
        <v>168</v>
      </c>
      <c r="AP73" s="77">
        <v>46416</v>
      </c>
      <c r="AQ73" s="77">
        <v>46530</v>
      </c>
      <c r="AR73" s="19">
        <f>AQ73-AP74</f>
        <v>56</v>
      </c>
      <c r="AS73" s="142" t="s">
        <v>364</v>
      </c>
      <c r="AT73" s="501"/>
      <c r="AU73" s="20">
        <f>IF(ISERROR(LOOKUP(AU$10,$R73:$AT73,#REF!)),0,(LOOKUP(AU$10,$R73:$AT73,#REF!)))</f>
        <v>0</v>
      </c>
      <c r="AV73" s="21">
        <f>IF(ISERROR(LOOKUP(AV$10,$R73:$AT73,#REF!)),0,(LOOKUP(AV$10,$R73:$AT73,#REF!)))</f>
        <v>0</v>
      </c>
      <c r="AW73" s="21">
        <f>IF(ISERROR(LOOKUP(AW$10,$R73:$AT73,#REF!)),0,(LOOKUP(AW$10,$R73:$AT73,#REF!)))</f>
        <v>0</v>
      </c>
      <c r="AX73" s="21">
        <f>IF(ISERROR(LOOKUP(AX$10,$R73:$AT73,#REF!)),0,(LOOKUP(AX$10,$R73:$AT73,#REF!)))</f>
        <v>0</v>
      </c>
      <c r="AY73" s="21">
        <f>IF(ISERROR(LOOKUP(AY$10,$R73:$AT73,#REF!)),0,(LOOKUP(AY$10,$R73:$AT73,#REF!)))</f>
        <v>0</v>
      </c>
      <c r="AZ73" s="21">
        <f>IF(ISERROR(LOOKUP(AZ$10,$R73:$AT73,#REF!)),0,(LOOKUP(AZ$10,$R73:$AT73,#REF!)))</f>
        <v>0</v>
      </c>
      <c r="BA73" s="21">
        <f>IF(ISERROR(LOOKUP(BA$10,$R73:$AT73,#REF!)),0,(LOOKUP(BA$10,$R73:$AT73,#REF!)))</f>
        <v>0</v>
      </c>
      <c r="BB73" s="21">
        <f>IF(ISERROR(LOOKUP(BB$10,$R73:$AT73,#REF!)),0,(LOOKUP(BB$10,$R73:$AT73,#REF!)))</f>
        <v>0</v>
      </c>
      <c r="BC73" s="21">
        <f>IF(ISERROR(LOOKUP(BC$10,$R73:$AT73,#REF!)),0,(LOOKUP(BC$10,$R73:$AT73,#REF!)))</f>
        <v>0</v>
      </c>
      <c r="BD73" s="21">
        <f>IF(ISERROR(LOOKUP(BD$10,$R73:$AT73,#REF!)),0,(LOOKUP(BD$10,$R73:$AT73,#REF!)))</f>
        <v>0</v>
      </c>
      <c r="BE73" s="402">
        <f ca="1">IF(ISERROR(LOOKUP(BE$10,$R73:$AT73,#REF!)),0,(LOOKUP(BE$10,$R73:$AT73,#REF!)))</f>
        <v>0</v>
      </c>
      <c r="BF73" s="415" t="s">
        <v>640</v>
      </c>
      <c r="BG73" s="490" t="s">
        <v>1085</v>
      </c>
      <c r="BH73" s="428"/>
    </row>
    <row r="74" spans="1:60" s="3" customFormat="1" ht="14.25" thickTop="1" thickBot="1" x14ac:dyDescent="0.45">
      <c r="A74" s="508"/>
      <c r="B74" s="92" t="s">
        <v>271</v>
      </c>
      <c r="C74" s="40" t="s">
        <v>65</v>
      </c>
      <c r="D74" s="23" t="s">
        <v>373</v>
      </c>
      <c r="E74" s="42" t="s">
        <v>66</v>
      </c>
      <c r="F74" s="45" t="s">
        <v>58</v>
      </c>
      <c r="G74" s="22" t="s">
        <v>51</v>
      </c>
      <c r="H74" s="40" t="s">
        <v>1</v>
      </c>
      <c r="I74" s="40" t="s">
        <v>286</v>
      </c>
      <c r="J74" s="42"/>
      <c r="K74" s="208"/>
      <c r="L74" s="208"/>
      <c r="M74" s="285"/>
      <c r="N74" s="42"/>
      <c r="O74" s="42"/>
      <c r="P74" s="175" t="s">
        <v>32</v>
      </c>
      <c r="Q74" s="25" t="s">
        <v>34</v>
      </c>
      <c r="R74" s="26"/>
      <c r="S74" s="27"/>
      <c r="T74" s="27"/>
      <c r="U74" s="27"/>
      <c r="V74" s="27"/>
      <c r="W74" s="27"/>
      <c r="X74" s="27">
        <v>46289</v>
      </c>
      <c r="Y74" s="27">
        <f>X74+5</f>
        <v>46294</v>
      </c>
      <c r="Z74" s="27">
        <v>46304</v>
      </c>
      <c r="AA74" s="27">
        <f>Z74+2</f>
        <v>46306</v>
      </c>
      <c r="AB74" s="27">
        <f>WORKDAY(AA74, AB6, IF(AB12="China",'China Holidays'!$A$2:$A$84,'Thai Holidays'!$A$2:$A$65))</f>
        <v>46308</v>
      </c>
      <c r="AC74" s="27">
        <f>WORKDAY(AB74, AC6, IF(AC12="China",'China Holidays'!$A$2:$A$84,'Thai Holidays'!$A$2:$A$65))</f>
        <v>46315</v>
      </c>
      <c r="AD74" s="27">
        <f>WORKDAY(AC74, AD6, IF(AD12="China",'China Holidays'!$A$2:$A$84,'Thai Holidays'!$A$2:$A$65))</f>
        <v>46343</v>
      </c>
      <c r="AE74" s="27">
        <f>WORKDAY(AD74, AE6, IF(AE12="China",'China Holidays'!$A$2:$A$84,'Thai Holidays'!$A$2:$A$65))</f>
        <v>46357</v>
      </c>
      <c r="AF74" s="27">
        <f>AE74+23</f>
        <v>46380</v>
      </c>
      <c r="AG74" s="27">
        <f>AF74</f>
        <v>46380</v>
      </c>
      <c r="AH74" s="27">
        <f>AG74+3</f>
        <v>46383</v>
      </c>
      <c r="AI74" s="27">
        <f>AJ74-10</f>
        <v>46459</v>
      </c>
      <c r="AJ74" s="27">
        <f>AK74-5</f>
        <v>46469</v>
      </c>
      <c r="AK74" s="27">
        <f>AP74</f>
        <v>46474</v>
      </c>
      <c r="AL74" s="27">
        <f>AP73+3</f>
        <v>46419</v>
      </c>
      <c r="AM74" s="27">
        <f>AP73+30</f>
        <v>46446</v>
      </c>
      <c r="AN74" s="80"/>
      <c r="AO74" s="78"/>
      <c r="AP74" s="82">
        <f>AA74+AO73</f>
        <v>46474</v>
      </c>
      <c r="AQ74" s="82"/>
      <c r="AR74" s="28"/>
      <c r="AS74" s="140"/>
      <c r="AT74" s="502"/>
      <c r="AU74" s="20">
        <f>IF(ISERROR(LOOKUP(AU$10,$R74:$AT74,#REF!)),0,(LOOKUP(AU$10,$R74:$AT74,#REF!)))</f>
        <v>0</v>
      </c>
      <c r="AV74" s="21">
        <f>IF(ISERROR(LOOKUP(AV$10,$R74:$AT74,#REF!)),0,(LOOKUP(AV$10,$R74:$AT74,#REF!)))</f>
        <v>0</v>
      </c>
      <c r="AW74" s="21">
        <f>IF(ISERROR(LOOKUP(AW$10,$R74:$AT74,#REF!)),0,(LOOKUP(AW$10,$R74:$AT74,#REF!)))</f>
        <v>0</v>
      </c>
      <c r="AX74" s="21">
        <f>IF(ISERROR(LOOKUP(AX$10,$R74:$AT74,#REF!)),0,(LOOKUP(AX$10,$R74:$AT74,#REF!)))</f>
        <v>0</v>
      </c>
      <c r="AY74" s="21">
        <f>IF(ISERROR(LOOKUP(AY$10,$R74:$AT74,#REF!)),0,(LOOKUP(AY$10,$R74:$AT74,#REF!)))</f>
        <v>0</v>
      </c>
      <c r="AZ74" s="21">
        <f>IF(ISERROR(LOOKUP(AZ$10,$R74:$AT74,#REF!)),0,(LOOKUP(AZ$10,$R74:$AT74,#REF!)))</f>
        <v>0</v>
      </c>
      <c r="BA74" s="21">
        <f>IF(ISERROR(LOOKUP(BA$10,$R74:$AT74,#REF!)),0,(LOOKUP(BA$10,$R74:$AT74,#REF!)))</f>
        <v>0</v>
      </c>
      <c r="BB74" s="21">
        <f>IF(ISERROR(LOOKUP(BB$10,$R74:$AT74,#REF!)),0,(LOOKUP(BB$10,$R74:$AT74,#REF!)))</f>
        <v>0</v>
      </c>
      <c r="BC74" s="21">
        <f>IF(ISERROR(LOOKUP(BC$10,$R74:$AT74,#REF!)),0,(LOOKUP(BC$10,$R74:$AT74,#REF!)))</f>
        <v>0</v>
      </c>
      <c r="BD74" s="21">
        <f>IF(ISERROR(LOOKUP(BD$10,$R74:$AT74,#REF!)),0,(LOOKUP(BD$10,$R74:$AT74,#REF!)))</f>
        <v>0</v>
      </c>
      <c r="BE74" s="402">
        <f ca="1">IF(ISERROR(LOOKUP(BE$10,$R74:$AT74,#REF!)),0,(LOOKUP(BE$10,$R74:$AT74,#REF!)))</f>
        <v>0</v>
      </c>
      <c r="BF74" s="415"/>
      <c r="BG74" s="428"/>
      <c r="BH74" s="428"/>
    </row>
    <row r="75" spans="1:60" s="3" customFormat="1" ht="14.25" thickTop="1" thickBot="1" x14ac:dyDescent="0.45">
      <c r="A75" s="509"/>
      <c r="B75" s="93" t="s">
        <v>271</v>
      </c>
      <c r="C75" s="31" t="s">
        <v>65</v>
      </c>
      <c r="D75" s="32" t="s">
        <v>373</v>
      </c>
      <c r="E75" s="44" t="s">
        <v>66</v>
      </c>
      <c r="F75" s="33" t="s">
        <v>58</v>
      </c>
      <c r="G75" s="31" t="s">
        <v>51</v>
      </c>
      <c r="H75" s="31" t="s">
        <v>1</v>
      </c>
      <c r="I75" s="31" t="s">
        <v>286</v>
      </c>
      <c r="J75" s="44"/>
      <c r="K75" s="214" t="s">
        <v>983</v>
      </c>
      <c r="L75" s="210" t="s">
        <v>983</v>
      </c>
      <c r="M75" s="472"/>
      <c r="N75" s="44"/>
      <c r="O75" s="44"/>
      <c r="P75" s="176" t="s">
        <v>32</v>
      </c>
      <c r="Q75" s="34" t="s">
        <v>35</v>
      </c>
      <c r="R75" s="35">
        <v>46174</v>
      </c>
      <c r="S75" s="35">
        <v>46148</v>
      </c>
      <c r="T75" s="35">
        <v>46166</v>
      </c>
      <c r="U75" s="35">
        <v>46182</v>
      </c>
      <c r="V75" s="35">
        <v>46185</v>
      </c>
      <c r="W75" s="35">
        <v>46224</v>
      </c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81"/>
      <c r="AO75" s="79"/>
      <c r="AP75" s="36"/>
      <c r="AQ75" s="36"/>
      <c r="AR75" s="37"/>
      <c r="AS75" s="141"/>
      <c r="AT75" s="503"/>
      <c r="AU75" s="38">
        <f>IF(ISERROR(LOOKUP(AU$10,$R75:$AT75,#REF!)),0,(LOOKUP(AU$10,$R75:$AT75,#REF!)))</f>
        <v>0</v>
      </c>
      <c r="AV75" s="39">
        <f>IF(ISERROR(LOOKUP(AV$10,$R75:$AT75,#REF!)),0,(LOOKUP(AV$10,$R75:$AT75,#REF!)))</f>
        <v>0</v>
      </c>
      <c r="AW75" s="39">
        <f>IF(ISERROR(LOOKUP(AW$10,$R75:$AT75,#REF!)),0,(LOOKUP(AW$10,$R75:$AT75,#REF!)))</f>
        <v>0</v>
      </c>
      <c r="AX75" s="39">
        <f>IF(ISERROR(LOOKUP(AX$10,$R75:$AT75,#REF!)),0,(LOOKUP(AX$10,$R75:$AT75,#REF!)))</f>
        <v>0</v>
      </c>
      <c r="AY75" s="39">
        <f>IF(ISERROR(LOOKUP(AY$10,$R75:$AT75,#REF!)),0,(LOOKUP(AY$10,$R75:$AT75,#REF!)))</f>
        <v>0</v>
      </c>
      <c r="AZ75" s="39">
        <f>IF(ISERROR(LOOKUP(AZ$10,$R75:$AT75,#REF!)),0,(LOOKUP(AZ$10,$R75:$AT75,#REF!)))</f>
        <v>0</v>
      </c>
      <c r="BA75" s="39">
        <f>IF(ISERROR(LOOKUP(BA$10,$R75:$AT75,#REF!)),0,(LOOKUP(BA$10,$R75:$AT75,#REF!)))</f>
        <v>0</v>
      </c>
      <c r="BB75" s="39">
        <f>IF(ISERROR(LOOKUP(BB$10,$R75:$AT75,#REF!)),0,(LOOKUP(BB$10,$R75:$AT75,#REF!)))</f>
        <v>0</v>
      </c>
      <c r="BC75" s="39">
        <f>IF(ISERROR(LOOKUP(BC$10,$R75:$AT75,#REF!)),0,(LOOKUP(BC$10,$R75:$AT75,#REF!)))</f>
        <v>0</v>
      </c>
      <c r="BD75" s="39">
        <f>IF(ISERROR(LOOKUP(BD$10,$R75:$AT75,#REF!)),0,(LOOKUP(BD$10,$R75:$AT75,#REF!)))</f>
        <v>0</v>
      </c>
      <c r="BE75" s="405">
        <f ca="1">IF(ISERROR(LOOKUP(BE$10,$R75:$AT75,#REF!)),0,(LOOKUP(BE$10,$R75:$AT75,#REF!)))</f>
        <v>0</v>
      </c>
      <c r="BF75" s="415"/>
      <c r="BG75" s="428"/>
      <c r="BH75" s="428"/>
    </row>
    <row r="76" spans="1:60" s="3" customFormat="1" ht="14.25" thickTop="1" thickBot="1" x14ac:dyDescent="0.45">
      <c r="A76" s="507">
        <f t="shared" ref="A76" si="16">A73+1</f>
        <v>19</v>
      </c>
      <c r="B76" s="91" t="s">
        <v>271</v>
      </c>
      <c r="C76" s="13" t="s">
        <v>360</v>
      </c>
      <c r="D76" s="486" t="s">
        <v>355</v>
      </c>
      <c r="E76" s="63" t="s">
        <v>66</v>
      </c>
      <c r="F76" s="15" t="s">
        <v>58</v>
      </c>
      <c r="G76" s="13" t="s">
        <v>51</v>
      </c>
      <c r="H76" s="13" t="s">
        <v>3</v>
      </c>
      <c r="I76" s="13" t="s">
        <v>321</v>
      </c>
      <c r="J76" s="41"/>
      <c r="K76" s="220" t="s">
        <v>851</v>
      </c>
      <c r="L76" s="219"/>
      <c r="M76" s="292"/>
      <c r="N76" s="193"/>
      <c r="O76" s="193"/>
      <c r="P76" s="174" t="s">
        <v>32</v>
      </c>
      <c r="Q76" s="17" t="s">
        <v>33</v>
      </c>
      <c r="R76" s="18">
        <v>46164</v>
      </c>
      <c r="S76" s="18">
        <v>46167</v>
      </c>
      <c r="T76" s="18">
        <v>46175</v>
      </c>
      <c r="U76" s="18">
        <v>46176</v>
      </c>
      <c r="V76" s="18">
        <v>46183</v>
      </c>
      <c r="W76" s="18">
        <v>46198</v>
      </c>
      <c r="X76" s="18">
        <v>46226</v>
      </c>
      <c r="Y76" s="206">
        <v>46233</v>
      </c>
      <c r="Z76" s="18"/>
      <c r="AA76" s="56">
        <v>46247</v>
      </c>
      <c r="AB76" s="18">
        <v>46251</v>
      </c>
      <c r="AC76" s="18">
        <v>46258</v>
      </c>
      <c r="AD76" s="18">
        <v>46286</v>
      </c>
      <c r="AE76" s="18">
        <v>46300</v>
      </c>
      <c r="AF76" s="18">
        <v>46330</v>
      </c>
      <c r="AG76" s="18">
        <v>46330</v>
      </c>
      <c r="AH76" s="18">
        <v>46332</v>
      </c>
      <c r="AI76" s="18">
        <v>46421</v>
      </c>
      <c r="AJ76" s="18">
        <v>46441</v>
      </c>
      <c r="AK76" s="18">
        <v>46471</v>
      </c>
      <c r="AL76" s="18">
        <v>46474</v>
      </c>
      <c r="AM76" s="18">
        <v>46501</v>
      </c>
      <c r="AN76" s="57">
        <v>24</v>
      </c>
      <c r="AO76" s="58">
        <f>AN76*7</f>
        <v>168</v>
      </c>
      <c r="AP76" s="77">
        <v>46471</v>
      </c>
      <c r="AQ76" s="77">
        <v>46530</v>
      </c>
      <c r="AR76" s="19">
        <f>AQ76-AP77</f>
        <v>68</v>
      </c>
      <c r="AS76" s="142" t="s">
        <v>449</v>
      </c>
      <c r="AT76" s="501" t="s">
        <v>506</v>
      </c>
      <c r="AU76" s="20"/>
      <c r="AV76" s="21"/>
      <c r="AW76" s="21"/>
      <c r="AX76" s="21"/>
      <c r="AY76" s="21"/>
      <c r="AZ76" s="21"/>
      <c r="BA76" s="21"/>
      <c r="BB76" s="21"/>
      <c r="BC76" s="21"/>
      <c r="BD76" s="21"/>
      <c r="BE76" s="402"/>
      <c r="BF76" s="415" t="s">
        <v>640</v>
      </c>
      <c r="BG76" s="428"/>
      <c r="BH76" s="428"/>
    </row>
    <row r="77" spans="1:60" s="3" customFormat="1" ht="14.25" thickTop="1" thickBot="1" x14ac:dyDescent="0.45">
      <c r="A77" s="508"/>
      <c r="B77" s="92" t="s">
        <v>271</v>
      </c>
      <c r="C77" s="40" t="s">
        <v>360</v>
      </c>
      <c r="D77" s="23" t="s">
        <v>355</v>
      </c>
      <c r="E77" s="42" t="s">
        <v>66</v>
      </c>
      <c r="F77" s="45" t="s">
        <v>58</v>
      </c>
      <c r="G77" s="22" t="s">
        <v>51</v>
      </c>
      <c r="H77" s="40" t="s">
        <v>3</v>
      </c>
      <c r="I77" s="22" t="s">
        <v>321</v>
      </c>
      <c r="J77" s="42"/>
      <c r="K77" s="213" t="s">
        <v>827</v>
      </c>
      <c r="L77" s="208" t="s">
        <v>984</v>
      </c>
      <c r="M77" s="208" t="s">
        <v>1042</v>
      </c>
      <c r="N77" s="286" t="s">
        <v>1041</v>
      </c>
      <c r="O77" s="42"/>
      <c r="P77" s="175" t="s">
        <v>32</v>
      </c>
      <c r="Q77" s="25" t="s">
        <v>34</v>
      </c>
      <c r="R77" s="26"/>
      <c r="S77" s="27"/>
      <c r="T77" s="27"/>
      <c r="U77" s="27"/>
      <c r="V77" s="27"/>
      <c r="W77" s="27"/>
      <c r="X77" s="27"/>
      <c r="Y77" s="27">
        <f>WORKDAY(X78, Y6, IF(Y12="China",'China Holidays'!$A$2:$A$84,'Thai Holidays'!$A$2:$A$65))</f>
        <v>46294</v>
      </c>
      <c r="Z77" s="27"/>
      <c r="AA77" s="27">
        <f>Y77</f>
        <v>46294</v>
      </c>
      <c r="AB77" s="27">
        <f>WORKDAY(AA77, AB6, IF(AB12="China",'China Holidays'!$A$2:$A$84,'Thai Holidays'!$A$2:$A$65))</f>
        <v>46303</v>
      </c>
      <c r="AC77" s="27">
        <f>WORKDAY(AB77, AC6, IF(AC12="China",'China Holidays'!$A$2:$A$84,'Thai Holidays'!$A$2:$A$65))</f>
        <v>46310</v>
      </c>
      <c r="AD77" s="27">
        <f>WORKDAY(AC77, AD6, IF(AD12="China",'China Holidays'!$A$2:$A$84,'Thai Holidays'!$A$2:$A$65))</f>
        <v>46338</v>
      </c>
      <c r="AE77" s="27">
        <f>WORKDAY(AD77, AE6, IF(AE12="China",'China Holidays'!$A$2:$A$84,'Thai Holidays'!$A$2:$A$65))</f>
        <v>46352</v>
      </c>
      <c r="AF77" s="27">
        <f>AE77+30</f>
        <v>46382</v>
      </c>
      <c r="AG77" s="27">
        <f>WORKDAY(AF77, AG9, IF(AG18="China",'China Holidays'!$A$2:$A$84,'Thai Holidays'!$A$2:$A$65))</f>
        <v>46382</v>
      </c>
      <c r="AH77" s="27">
        <f>WORKDAY(AG77, AH9, IF(AH18="China",'China Holidays'!$A$2:$A$84,'Thai Holidays'!$A$2:$A$65))</f>
        <v>46382</v>
      </c>
      <c r="AI77" s="27">
        <f>AJ77-20</f>
        <v>46412</v>
      </c>
      <c r="AJ77" s="27">
        <f>AK77-30</f>
        <v>46432</v>
      </c>
      <c r="AK77" s="27">
        <f>AP77</f>
        <v>46462</v>
      </c>
      <c r="AL77" s="27">
        <f>AP76+3</f>
        <v>46474</v>
      </c>
      <c r="AM77" s="27">
        <f>AP76+30</f>
        <v>46501</v>
      </c>
      <c r="AN77" s="80"/>
      <c r="AO77" s="78"/>
      <c r="AP77" s="82">
        <f>AA77+AO76</f>
        <v>46462</v>
      </c>
      <c r="AQ77" s="82"/>
      <c r="AR77" s="78"/>
      <c r="AS77" s="124"/>
      <c r="AT77" s="502"/>
      <c r="AU77" s="20"/>
      <c r="AV77" s="21"/>
      <c r="AW77" s="21"/>
      <c r="AX77" s="21"/>
      <c r="AY77" s="21"/>
      <c r="AZ77" s="21"/>
      <c r="BA77" s="21"/>
      <c r="BB77" s="21"/>
      <c r="BC77" s="21"/>
      <c r="BD77" s="21"/>
      <c r="BE77" s="402"/>
      <c r="BF77" s="415" t="s">
        <v>907</v>
      </c>
      <c r="BG77" s="428" t="s">
        <v>829</v>
      </c>
      <c r="BH77" s="428"/>
    </row>
    <row r="78" spans="1:60" s="3" customFormat="1" ht="16.5" customHeight="1" thickTop="1" thickBot="1" x14ac:dyDescent="0.45">
      <c r="A78" s="509"/>
      <c r="B78" s="93" t="s">
        <v>271</v>
      </c>
      <c r="C78" s="31" t="s">
        <v>360</v>
      </c>
      <c r="D78" s="32" t="s">
        <v>355</v>
      </c>
      <c r="E78" s="44" t="s">
        <v>66</v>
      </c>
      <c r="F78" s="33" t="s">
        <v>58</v>
      </c>
      <c r="G78" s="31" t="s">
        <v>51</v>
      </c>
      <c r="H78" s="31" t="s">
        <v>3</v>
      </c>
      <c r="I78" s="31" t="s">
        <v>321</v>
      </c>
      <c r="J78" s="44"/>
      <c r="K78" s="214" t="s">
        <v>942</v>
      </c>
      <c r="L78" s="210" t="s">
        <v>828</v>
      </c>
      <c r="M78" s="210"/>
      <c r="N78" s="44"/>
      <c r="O78" s="44"/>
      <c r="P78" s="176" t="s">
        <v>32</v>
      </c>
      <c r="Q78" s="34" t="s">
        <v>35</v>
      </c>
      <c r="R78" s="35">
        <v>46184</v>
      </c>
      <c r="S78" s="35">
        <v>46148</v>
      </c>
      <c r="T78" s="35">
        <v>46166</v>
      </c>
      <c r="U78" s="35">
        <v>46185</v>
      </c>
      <c r="V78" s="35">
        <v>46185</v>
      </c>
      <c r="W78" s="35">
        <v>46199</v>
      </c>
      <c r="X78" s="377">
        <v>46280</v>
      </c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81"/>
      <c r="AO78" s="79"/>
      <c r="AP78" s="36"/>
      <c r="AQ78" s="36"/>
      <c r="AR78" s="79"/>
      <c r="AS78" s="143"/>
      <c r="AT78" s="503"/>
      <c r="AU78" s="38"/>
      <c r="AV78" s="39"/>
      <c r="AW78" s="39"/>
      <c r="AX78" s="39"/>
      <c r="AY78" s="39"/>
      <c r="AZ78" s="39"/>
      <c r="BA78" s="39"/>
      <c r="BB78" s="39"/>
      <c r="BC78" s="39"/>
      <c r="BD78" s="39"/>
      <c r="BE78" s="405"/>
      <c r="BF78" s="415" t="s">
        <v>908</v>
      </c>
      <c r="BG78" s="428" t="s">
        <v>829</v>
      </c>
      <c r="BH78" s="428"/>
    </row>
    <row r="79" spans="1:60" s="3" customFormat="1" ht="14.25" thickTop="1" thickBot="1" x14ac:dyDescent="0.45">
      <c r="A79" s="507">
        <f t="shared" ref="A79" si="17">A76+1</f>
        <v>20</v>
      </c>
      <c r="B79" s="91" t="s">
        <v>271</v>
      </c>
      <c r="C79" s="13" t="s">
        <v>452</v>
      </c>
      <c r="D79" s="486" t="s">
        <v>370</v>
      </c>
      <c r="E79" s="63" t="s">
        <v>66</v>
      </c>
      <c r="F79" s="15" t="s">
        <v>58</v>
      </c>
      <c r="G79" s="13" t="s">
        <v>51</v>
      </c>
      <c r="H79" s="13" t="s">
        <v>189</v>
      </c>
      <c r="I79" s="13" t="s">
        <v>321</v>
      </c>
      <c r="J79" s="41"/>
      <c r="K79" s="220" t="s">
        <v>830</v>
      </c>
      <c r="L79" s="219" t="s">
        <v>881</v>
      </c>
      <c r="M79" s="211"/>
      <c r="N79" s="193"/>
      <c r="O79" s="193"/>
      <c r="P79" s="174" t="s">
        <v>32</v>
      </c>
      <c r="Q79" s="17" t="s">
        <v>33</v>
      </c>
      <c r="R79" s="18">
        <v>46164</v>
      </c>
      <c r="S79" s="18">
        <v>46167</v>
      </c>
      <c r="T79" s="18">
        <v>46175</v>
      </c>
      <c r="U79" s="18">
        <v>46176</v>
      </c>
      <c r="V79" s="18">
        <v>46183</v>
      </c>
      <c r="W79" s="18">
        <v>46198</v>
      </c>
      <c r="X79" s="18">
        <v>46226</v>
      </c>
      <c r="Y79" s="206">
        <v>46233</v>
      </c>
      <c r="Z79" s="18"/>
      <c r="AA79" s="56">
        <v>46247</v>
      </c>
      <c r="AB79" s="18">
        <v>46251</v>
      </c>
      <c r="AC79" s="18">
        <v>46258</v>
      </c>
      <c r="AD79" s="18">
        <v>46286</v>
      </c>
      <c r="AE79" s="18">
        <v>46300</v>
      </c>
      <c r="AF79" s="18">
        <v>46330</v>
      </c>
      <c r="AG79" s="18">
        <v>46330</v>
      </c>
      <c r="AH79" s="18">
        <v>46332</v>
      </c>
      <c r="AI79" s="18">
        <v>46421</v>
      </c>
      <c r="AJ79" s="18">
        <v>46441</v>
      </c>
      <c r="AK79" s="18">
        <v>46471</v>
      </c>
      <c r="AL79" s="18">
        <v>46474</v>
      </c>
      <c r="AM79" s="18">
        <v>46501</v>
      </c>
      <c r="AN79" s="57">
        <v>24</v>
      </c>
      <c r="AO79" s="58">
        <f>AN79*7</f>
        <v>168</v>
      </c>
      <c r="AP79" s="77">
        <v>46471</v>
      </c>
      <c r="AQ79" s="77">
        <v>46530</v>
      </c>
      <c r="AR79" s="19">
        <f>AQ79-AP80</f>
        <v>68</v>
      </c>
      <c r="AS79" s="142" t="s">
        <v>449</v>
      </c>
      <c r="AT79" s="501"/>
      <c r="AU79" s="20"/>
      <c r="AV79" s="21"/>
      <c r="AW79" s="21"/>
      <c r="AX79" s="21"/>
      <c r="AY79" s="21"/>
      <c r="AZ79" s="21"/>
      <c r="BA79" s="21"/>
      <c r="BB79" s="21"/>
      <c r="BC79" s="21"/>
      <c r="BD79" s="21"/>
      <c r="BE79" s="402"/>
      <c r="BF79" s="415" t="s">
        <v>640</v>
      </c>
      <c r="BG79" s="488" t="s">
        <v>1046</v>
      </c>
      <c r="BH79" s="428"/>
    </row>
    <row r="80" spans="1:60" s="3" customFormat="1" ht="14.25" thickTop="1" thickBot="1" x14ac:dyDescent="0.45">
      <c r="A80" s="508"/>
      <c r="B80" s="92" t="s">
        <v>271</v>
      </c>
      <c r="C80" s="40" t="s">
        <v>359</v>
      </c>
      <c r="D80" s="23" t="s">
        <v>370</v>
      </c>
      <c r="E80" s="42" t="s">
        <v>66</v>
      </c>
      <c r="F80" s="45" t="s">
        <v>58</v>
      </c>
      <c r="G80" s="22" t="s">
        <v>51</v>
      </c>
      <c r="H80" s="40" t="s">
        <v>189</v>
      </c>
      <c r="I80" s="22" t="s">
        <v>321</v>
      </c>
      <c r="J80" s="42"/>
      <c r="K80" s="213" t="s">
        <v>700</v>
      </c>
      <c r="L80" s="208" t="s">
        <v>946</v>
      </c>
      <c r="M80" s="208" t="s">
        <v>1039</v>
      </c>
      <c r="N80" s="286" t="s">
        <v>1039</v>
      </c>
      <c r="O80" s="42"/>
      <c r="P80" s="175" t="s">
        <v>32</v>
      </c>
      <c r="Q80" s="25" t="s">
        <v>34</v>
      </c>
      <c r="R80" s="26"/>
      <c r="S80" s="27"/>
      <c r="T80" s="27"/>
      <c r="U80" s="27"/>
      <c r="V80" s="27"/>
      <c r="W80" s="27"/>
      <c r="X80" s="27"/>
      <c r="Y80" s="27">
        <f>WORKDAY(X81, Y6, IF(Y12="China",'China Holidays'!$A$2:$A$84,'Thai Holidays'!$A$2:$A$65))</f>
        <v>46294</v>
      </c>
      <c r="Z80" s="27"/>
      <c r="AA80" s="27">
        <f>Y80</f>
        <v>46294</v>
      </c>
      <c r="AB80" s="27">
        <f>WORKDAY(AA80, AB6, IF(AB12="China",'China Holidays'!$A$2:$A$84,'Thai Holidays'!$A$2:$A$65))</f>
        <v>46303</v>
      </c>
      <c r="AC80" s="27">
        <f>WORKDAY(AB80, AC6, IF(AC12="China",'China Holidays'!$A$2:$A$84,'Thai Holidays'!$A$2:$A$65))</f>
        <v>46310</v>
      </c>
      <c r="AD80" s="27">
        <f>WORKDAY(AC80, AD6, IF(AD12="China",'China Holidays'!$A$2:$A$84,'Thai Holidays'!$A$2:$A$65))</f>
        <v>46338</v>
      </c>
      <c r="AE80" s="27">
        <f>WORKDAY(AD80, AE6, IF(AE12="China",'China Holidays'!$A$2:$A$84,'Thai Holidays'!$A$2:$A$65))</f>
        <v>46352</v>
      </c>
      <c r="AF80" s="27">
        <f>AE80+30</f>
        <v>46382</v>
      </c>
      <c r="AG80" s="27">
        <f>WORKDAY(AF80, AG6, IF(AG12="China",'China Holidays'!$A$2:$A$84,'Thai Holidays'!$A$2:$A$65))</f>
        <v>46382</v>
      </c>
      <c r="AH80" s="27">
        <f>WORKDAY(AG80, AH6, IF(AH12="China",'China Holidays'!$A$2:$A$84,'Thai Holidays'!$A$2:$A$65))</f>
        <v>46382</v>
      </c>
      <c r="AI80" s="27">
        <f>AJ80-20</f>
        <v>46412</v>
      </c>
      <c r="AJ80" s="27">
        <f>AK80-30</f>
        <v>46432</v>
      </c>
      <c r="AK80" s="27">
        <f>AP80</f>
        <v>46462</v>
      </c>
      <c r="AL80" s="27">
        <f>AP79+3</f>
        <v>46474</v>
      </c>
      <c r="AM80" s="27">
        <f>AP79+30</f>
        <v>46501</v>
      </c>
      <c r="AN80" s="80">
        <v>20</v>
      </c>
      <c r="AO80" s="78">
        <f>AN80*7</f>
        <v>140</v>
      </c>
      <c r="AP80" s="82">
        <f>AA80+AO79</f>
        <v>46462</v>
      </c>
      <c r="AQ80" s="82"/>
      <c r="AR80" s="78"/>
      <c r="AS80" s="456"/>
      <c r="AT80" s="502"/>
      <c r="AU80" s="20"/>
      <c r="AV80" s="21"/>
      <c r="AW80" s="21"/>
      <c r="AX80" s="21"/>
      <c r="AY80" s="21"/>
      <c r="AZ80" s="21"/>
      <c r="BA80" s="21"/>
      <c r="BB80" s="21"/>
      <c r="BC80" s="21"/>
      <c r="BD80" s="21"/>
      <c r="BE80" s="402"/>
      <c r="BF80" s="415"/>
      <c r="BG80" s="428"/>
      <c r="BH80" s="428"/>
    </row>
    <row r="81" spans="1:60" s="3" customFormat="1" ht="14.25" thickTop="1" thickBot="1" x14ac:dyDescent="0.45">
      <c r="A81" s="509"/>
      <c r="B81" s="93" t="s">
        <v>271</v>
      </c>
      <c r="C81" s="31" t="s">
        <v>359</v>
      </c>
      <c r="D81" s="32" t="s">
        <v>369</v>
      </c>
      <c r="E81" s="44" t="s">
        <v>66</v>
      </c>
      <c r="F81" s="33" t="s">
        <v>58</v>
      </c>
      <c r="G81" s="31" t="s">
        <v>51</v>
      </c>
      <c r="H81" s="31" t="s">
        <v>189</v>
      </c>
      <c r="I81" s="31" t="s">
        <v>321</v>
      </c>
      <c r="J81" s="44"/>
      <c r="K81" s="214" t="s">
        <v>941</v>
      </c>
      <c r="L81" s="210" t="s">
        <v>852</v>
      </c>
      <c r="M81" s="210"/>
      <c r="N81" s="44"/>
      <c r="O81" s="44"/>
      <c r="P81" s="176" t="s">
        <v>32</v>
      </c>
      <c r="Q81" s="34" t="s">
        <v>35</v>
      </c>
      <c r="R81" s="35">
        <v>46174</v>
      </c>
      <c r="S81" s="35">
        <v>46148</v>
      </c>
      <c r="T81" s="35">
        <v>46166</v>
      </c>
      <c r="U81" s="35">
        <v>46183</v>
      </c>
      <c r="V81" s="35">
        <v>46183</v>
      </c>
      <c r="W81" s="35">
        <v>46199</v>
      </c>
      <c r="X81" s="377">
        <v>46280</v>
      </c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81"/>
      <c r="AO81" s="79"/>
      <c r="AP81" s="36"/>
      <c r="AQ81" s="36"/>
      <c r="AR81" s="79"/>
      <c r="AS81" s="143"/>
      <c r="AT81" s="503"/>
      <c r="AU81" s="38"/>
      <c r="AV81" s="39"/>
      <c r="AW81" s="39"/>
      <c r="AX81" s="39"/>
      <c r="AY81" s="39"/>
      <c r="AZ81" s="39"/>
      <c r="BA81" s="39"/>
      <c r="BB81" s="39"/>
      <c r="BC81" s="39"/>
      <c r="BD81" s="39"/>
      <c r="BE81" s="405"/>
      <c r="BF81" s="415"/>
      <c r="BG81" s="428"/>
      <c r="BH81" s="428"/>
    </row>
    <row r="82" spans="1:60" s="3" customFormat="1" ht="27.75" customHeight="1" thickTop="1" thickBot="1" x14ac:dyDescent="0.45">
      <c r="A82" s="507">
        <f t="shared" ref="A82" si="18">A79+1</f>
        <v>21</v>
      </c>
      <c r="B82" s="91" t="s">
        <v>271</v>
      </c>
      <c r="C82" s="16" t="s">
        <v>416</v>
      </c>
      <c r="D82" s="380" t="s">
        <v>375</v>
      </c>
      <c r="E82" s="63" t="s">
        <v>66</v>
      </c>
      <c r="F82" s="15" t="s">
        <v>58</v>
      </c>
      <c r="G82" s="13" t="s">
        <v>51</v>
      </c>
      <c r="H82" s="13" t="s">
        <v>189</v>
      </c>
      <c r="I82" s="13" t="s">
        <v>321</v>
      </c>
      <c r="J82" s="41"/>
      <c r="K82" s="220" t="s">
        <v>833</v>
      </c>
      <c r="L82" s="336" t="s">
        <v>1040</v>
      </c>
      <c r="M82" s="220" t="s">
        <v>1048</v>
      </c>
      <c r="N82" s="193"/>
      <c r="O82" s="193"/>
      <c r="P82" s="174" t="s">
        <v>32</v>
      </c>
      <c r="Q82" s="17" t="s">
        <v>33</v>
      </c>
      <c r="R82" s="18">
        <v>46164</v>
      </c>
      <c r="S82" s="18">
        <v>46167</v>
      </c>
      <c r="T82" s="18">
        <v>46175</v>
      </c>
      <c r="U82" s="18">
        <v>46176</v>
      </c>
      <c r="V82" s="18">
        <v>46183</v>
      </c>
      <c r="W82" s="18">
        <v>46198</v>
      </c>
      <c r="X82" s="206">
        <v>46226</v>
      </c>
      <c r="Y82" s="18">
        <v>46233</v>
      </c>
      <c r="Z82" s="18"/>
      <c r="AA82" s="56">
        <v>46247</v>
      </c>
      <c r="AB82" s="18">
        <v>46251</v>
      </c>
      <c r="AC82" s="18">
        <v>46258</v>
      </c>
      <c r="AD82" s="18">
        <v>46286</v>
      </c>
      <c r="AE82" s="18">
        <v>46300</v>
      </c>
      <c r="AF82" s="18">
        <v>46330</v>
      </c>
      <c r="AG82" s="18">
        <v>46330</v>
      </c>
      <c r="AH82" s="18">
        <v>46332</v>
      </c>
      <c r="AI82" s="18">
        <v>46421</v>
      </c>
      <c r="AJ82" s="18">
        <v>46441</v>
      </c>
      <c r="AK82" s="18">
        <v>46471</v>
      </c>
      <c r="AL82" s="18">
        <v>46474</v>
      </c>
      <c r="AM82" s="18">
        <v>46501</v>
      </c>
      <c r="AN82" s="57">
        <v>24</v>
      </c>
      <c r="AO82" s="58">
        <f>AN82*7</f>
        <v>168</v>
      </c>
      <c r="AP82" s="77">
        <v>46471</v>
      </c>
      <c r="AQ82" s="77">
        <v>46530</v>
      </c>
      <c r="AR82" s="19">
        <f>AQ82-AP83</f>
        <v>72</v>
      </c>
      <c r="AS82" s="142" t="s">
        <v>364</v>
      </c>
      <c r="AT82" s="501" t="s">
        <v>507</v>
      </c>
      <c r="AU82" s="20"/>
      <c r="AV82" s="21"/>
      <c r="AW82" s="21"/>
      <c r="AX82" s="21"/>
      <c r="AY82" s="21"/>
      <c r="AZ82" s="21"/>
      <c r="BA82" s="21"/>
      <c r="BB82" s="21"/>
      <c r="BC82" s="21"/>
      <c r="BD82" s="21"/>
      <c r="BE82" s="402"/>
      <c r="BF82" s="415" t="s">
        <v>640</v>
      </c>
      <c r="BG82" s="470" t="s">
        <v>1027</v>
      </c>
      <c r="BH82" s="428"/>
    </row>
    <row r="83" spans="1:60" s="3" customFormat="1" ht="28.5" customHeight="1" thickTop="1" thickBot="1" x14ac:dyDescent="0.45">
      <c r="A83" s="508"/>
      <c r="B83" s="92" t="s">
        <v>271</v>
      </c>
      <c r="C83" s="70" t="s">
        <v>416</v>
      </c>
      <c r="D83" s="381" t="s">
        <v>375</v>
      </c>
      <c r="E83" s="42" t="s">
        <v>66</v>
      </c>
      <c r="F83" s="45" t="s">
        <v>58</v>
      </c>
      <c r="G83" s="22" t="s">
        <v>51</v>
      </c>
      <c r="H83" s="40" t="s">
        <v>189</v>
      </c>
      <c r="I83" s="22" t="s">
        <v>321</v>
      </c>
      <c r="J83" s="42"/>
      <c r="K83" s="213" t="s">
        <v>853</v>
      </c>
      <c r="L83" s="337" t="s">
        <v>854</v>
      </c>
      <c r="M83" s="213" t="s">
        <v>1049</v>
      </c>
      <c r="N83" s="42"/>
      <c r="O83" s="42"/>
      <c r="P83" s="175" t="s">
        <v>32</v>
      </c>
      <c r="Q83" s="25" t="s">
        <v>34</v>
      </c>
      <c r="R83" s="26"/>
      <c r="S83" s="27"/>
      <c r="T83" s="27"/>
      <c r="U83" s="27"/>
      <c r="V83" s="27"/>
      <c r="W83" s="27"/>
      <c r="X83" s="27">
        <v>46283</v>
      </c>
      <c r="Y83" s="27">
        <f>WORKDAY(X83, 5, IF(Y12="China",'China Holidays'!$A$2:$A$84,'Thai Holidays'!$A$2:$A$65))</f>
        <v>46290</v>
      </c>
      <c r="Z83" s="27">
        <f>Y83</f>
        <v>46290</v>
      </c>
      <c r="AA83" s="27">
        <f>Y83</f>
        <v>46290</v>
      </c>
      <c r="AB83" s="27">
        <f>WORKDAY(AA83, AB6, IF(AB12="China",'China Holidays'!$A$2:$A$84,'Thai Holidays'!$A$2:$A$65))</f>
        <v>46294</v>
      </c>
      <c r="AC83" s="27">
        <f>WORKDAY(AB83, AC6, IF(AC12="China",'China Holidays'!$A$2:$A$84,'Thai Holidays'!$A$2:$A$65))</f>
        <v>46308</v>
      </c>
      <c r="AD83" s="27">
        <f>WORKDAY(AC83, AD6, IF(AD12="China",'China Holidays'!$A$2:$A$84,'Thai Holidays'!$A$2:$A$65))</f>
        <v>46336</v>
      </c>
      <c r="AE83" s="27">
        <f>WORKDAY(AD83, AE6, IF(AE12="China",'China Holidays'!$A$2:$A$84,'Thai Holidays'!$A$2:$A$65))</f>
        <v>46350</v>
      </c>
      <c r="AF83" s="27">
        <f>WORKDAY(AE83, AF9, IF(AF18="China",'China Holidays'!$A$2:$A$84,'Thai Holidays'!$A$2:$A$65))</f>
        <v>46350</v>
      </c>
      <c r="AG83" s="27">
        <f>WORKDAY(AF83, AG9, IF(AG18="China",'China Holidays'!$A$2:$A$84,'Thai Holidays'!$A$2:$A$65))</f>
        <v>46350</v>
      </c>
      <c r="AH83" s="27">
        <f>WORKDAY(AG83, AH9, IF(AH18="China",'China Holidays'!$A$2:$A$84,'Thai Holidays'!$A$2:$A$65))</f>
        <v>46350</v>
      </c>
      <c r="AI83" s="27">
        <f>AJ83-20</f>
        <v>46408</v>
      </c>
      <c r="AJ83" s="27">
        <f>AK83-30</f>
        <v>46428</v>
      </c>
      <c r="AK83" s="27">
        <f>AP83</f>
        <v>46458</v>
      </c>
      <c r="AL83" s="27">
        <f>AP82+3</f>
        <v>46474</v>
      </c>
      <c r="AM83" s="27">
        <f>AP82+30</f>
        <v>46501</v>
      </c>
      <c r="AN83" s="80"/>
      <c r="AO83" s="78"/>
      <c r="AP83" s="82">
        <f>AA83+AO82</f>
        <v>46458</v>
      </c>
      <c r="AQ83" s="82"/>
      <c r="AR83" s="78"/>
      <c r="AS83" s="456"/>
      <c r="AT83" s="502"/>
      <c r="AU83" s="20"/>
      <c r="AV83" s="21"/>
      <c r="AW83" s="21"/>
      <c r="AX83" s="21"/>
      <c r="AY83" s="21"/>
      <c r="AZ83" s="21"/>
      <c r="BA83" s="21"/>
      <c r="BB83" s="21"/>
      <c r="BC83" s="21"/>
      <c r="BD83" s="21"/>
      <c r="BE83" s="402"/>
      <c r="BF83" s="415" t="s">
        <v>907</v>
      </c>
      <c r="BG83" s="470" t="s">
        <v>1047</v>
      </c>
      <c r="BH83" s="428"/>
    </row>
    <row r="84" spans="1:60" s="3" customFormat="1" ht="21" thickTop="1" thickBot="1" x14ac:dyDescent="0.45">
      <c r="A84" s="509"/>
      <c r="B84" s="93" t="s">
        <v>271</v>
      </c>
      <c r="C84" s="71" t="s">
        <v>416</v>
      </c>
      <c r="D84" s="146" t="s">
        <v>374</v>
      </c>
      <c r="E84" s="44" t="s">
        <v>66</v>
      </c>
      <c r="F84" s="33" t="s">
        <v>58</v>
      </c>
      <c r="G84" s="31" t="s">
        <v>51</v>
      </c>
      <c r="H84" s="31" t="s">
        <v>189</v>
      </c>
      <c r="I84" s="31" t="s">
        <v>321</v>
      </c>
      <c r="J84" s="44"/>
      <c r="K84" s="291" t="s">
        <v>940</v>
      </c>
      <c r="L84" s="96"/>
      <c r="M84" s="290" t="s">
        <v>1050</v>
      </c>
      <c r="N84" s="44"/>
      <c r="O84" s="44"/>
      <c r="P84" s="176" t="s">
        <v>32</v>
      </c>
      <c r="Q84" s="34" t="s">
        <v>35</v>
      </c>
      <c r="R84" s="35">
        <v>46184</v>
      </c>
      <c r="S84" s="35">
        <v>46148</v>
      </c>
      <c r="T84" s="35">
        <v>46166</v>
      </c>
      <c r="U84" s="35">
        <v>46185</v>
      </c>
      <c r="V84" s="35">
        <v>46185</v>
      </c>
      <c r="W84" s="35">
        <v>46224</v>
      </c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81"/>
      <c r="AO84" s="79"/>
      <c r="AP84" s="36"/>
      <c r="AQ84" s="36"/>
      <c r="AR84" s="79"/>
      <c r="AS84" s="143"/>
      <c r="AT84" s="503"/>
      <c r="AU84" s="38"/>
      <c r="AV84" s="39"/>
      <c r="AW84" s="39"/>
      <c r="AX84" s="39"/>
      <c r="AY84" s="39"/>
      <c r="AZ84" s="39"/>
      <c r="BA84" s="39"/>
      <c r="BB84" s="39"/>
      <c r="BC84" s="39"/>
      <c r="BD84" s="39"/>
      <c r="BE84" s="405"/>
      <c r="BF84" s="415"/>
      <c r="BG84" s="428"/>
      <c r="BH84" s="428"/>
    </row>
    <row r="85" spans="1:60" s="3" customFormat="1" ht="21" thickTop="1" thickBot="1" x14ac:dyDescent="0.45">
      <c r="A85" s="507">
        <f t="shared" ref="A85" si="19">A82+1</f>
        <v>22</v>
      </c>
      <c r="B85" s="91" t="s">
        <v>271</v>
      </c>
      <c r="C85" s="16" t="s">
        <v>417</v>
      </c>
      <c r="D85" s="231" t="s">
        <v>372</v>
      </c>
      <c r="E85" s="63" t="s">
        <v>66</v>
      </c>
      <c r="F85" s="15" t="s">
        <v>58</v>
      </c>
      <c r="G85" s="13" t="s">
        <v>51</v>
      </c>
      <c r="H85" s="13" t="s">
        <v>189</v>
      </c>
      <c r="I85" s="13" t="s">
        <v>321</v>
      </c>
      <c r="J85" s="198"/>
      <c r="K85" s="220" t="s">
        <v>699</v>
      </c>
      <c r="L85" s="293" t="s">
        <v>1052</v>
      </c>
      <c r="M85" s="220" t="s">
        <v>1051</v>
      </c>
      <c r="N85" s="193"/>
      <c r="O85" s="193"/>
      <c r="P85" s="174" t="s">
        <v>32</v>
      </c>
      <c r="Q85" s="17" t="s">
        <v>33</v>
      </c>
      <c r="R85" s="18">
        <v>46164</v>
      </c>
      <c r="S85" s="18">
        <v>46167</v>
      </c>
      <c r="T85" s="18">
        <v>46175</v>
      </c>
      <c r="U85" s="18">
        <v>46176</v>
      </c>
      <c r="V85" s="18">
        <v>46183</v>
      </c>
      <c r="W85" s="18">
        <v>46198</v>
      </c>
      <c r="X85" s="206">
        <v>46226</v>
      </c>
      <c r="Y85" s="18">
        <v>46233</v>
      </c>
      <c r="Z85" s="18"/>
      <c r="AA85" s="56">
        <v>46247</v>
      </c>
      <c r="AB85" s="18">
        <v>46251</v>
      </c>
      <c r="AC85" s="18">
        <v>46258</v>
      </c>
      <c r="AD85" s="18">
        <v>46286</v>
      </c>
      <c r="AE85" s="18">
        <v>46300</v>
      </c>
      <c r="AF85" s="18">
        <v>46330</v>
      </c>
      <c r="AG85" s="18">
        <v>46330</v>
      </c>
      <c r="AH85" s="18">
        <v>46332</v>
      </c>
      <c r="AI85" s="18">
        <v>46421</v>
      </c>
      <c r="AJ85" s="18">
        <v>46441</v>
      </c>
      <c r="AK85" s="18">
        <v>46471</v>
      </c>
      <c r="AL85" s="18">
        <v>46474</v>
      </c>
      <c r="AM85" s="18">
        <v>46501</v>
      </c>
      <c r="AN85" s="57">
        <v>24</v>
      </c>
      <c r="AO85" s="58">
        <f>AN85*7</f>
        <v>168</v>
      </c>
      <c r="AP85" s="77">
        <v>46471</v>
      </c>
      <c r="AQ85" s="77">
        <v>46530</v>
      </c>
      <c r="AR85" s="19">
        <f>AQ85-AP86</f>
        <v>58</v>
      </c>
      <c r="AS85" s="142" t="s">
        <v>364</v>
      </c>
      <c r="AT85" s="501"/>
      <c r="AU85" s="20"/>
      <c r="AV85" s="21"/>
      <c r="AW85" s="21"/>
      <c r="AX85" s="21"/>
      <c r="AY85" s="21"/>
      <c r="AZ85" s="21"/>
      <c r="BA85" s="21"/>
      <c r="BB85" s="21"/>
      <c r="BC85" s="21"/>
      <c r="BD85" s="21"/>
      <c r="BE85" s="402"/>
      <c r="BF85" s="415"/>
      <c r="BG85" s="428"/>
      <c r="BH85" s="428"/>
    </row>
    <row r="86" spans="1:60" s="3" customFormat="1" ht="17.649999999999999" customHeight="1" thickTop="1" thickBot="1" x14ac:dyDescent="0.45">
      <c r="A86" s="508"/>
      <c r="B86" s="92" t="s">
        <v>271</v>
      </c>
      <c r="C86" s="70" t="s">
        <v>417</v>
      </c>
      <c r="D86" s="97" t="s">
        <v>372</v>
      </c>
      <c r="E86" s="42" t="s">
        <v>66</v>
      </c>
      <c r="F86" s="45" t="s">
        <v>58</v>
      </c>
      <c r="G86" s="22" t="s">
        <v>51</v>
      </c>
      <c r="H86" s="40" t="s">
        <v>189</v>
      </c>
      <c r="I86" s="22" t="s">
        <v>321</v>
      </c>
      <c r="J86" s="42"/>
      <c r="K86" s="213" t="s">
        <v>711</v>
      </c>
      <c r="L86" s="286" t="s">
        <v>711</v>
      </c>
      <c r="M86" s="208" t="s">
        <v>1053</v>
      </c>
      <c r="N86" s="42"/>
      <c r="O86" s="42"/>
      <c r="P86" s="175" t="s">
        <v>32</v>
      </c>
      <c r="Q86" s="25" t="s">
        <v>34</v>
      </c>
      <c r="R86" s="26"/>
      <c r="S86" s="27"/>
      <c r="T86" s="27"/>
      <c r="U86" s="27"/>
      <c r="V86" s="27"/>
      <c r="W86" s="27"/>
      <c r="X86" s="27">
        <v>46290</v>
      </c>
      <c r="Y86" s="27">
        <f>WORKDAY(X86, Y6, IF(Y12="China",'China Holidays'!$A$2:$A$84,'Thai Holidays'!$A$2:$A$65))</f>
        <v>46304</v>
      </c>
      <c r="Z86" s="27"/>
      <c r="AA86" s="27">
        <f>Y86</f>
        <v>46304</v>
      </c>
      <c r="AB86" s="27">
        <f>WORKDAY(AA86, AB6, IF(AB12="China",'China Holidays'!$A$2:$A$84,'Thai Holidays'!$A$2:$A$65))</f>
        <v>46308</v>
      </c>
      <c r="AC86" s="27">
        <f>WORKDAY(AB86, AC6, IF(AC12="China",'China Holidays'!$A$2:$A$84,'Thai Holidays'!$A$2:$A$65))</f>
        <v>46315</v>
      </c>
      <c r="AD86" s="27">
        <f>WORKDAY(AC86, AD6, IF(AD12="China",'China Holidays'!$A$2:$A$84,'Thai Holidays'!$A$2:$A$65))</f>
        <v>46343</v>
      </c>
      <c r="AE86" s="27">
        <f>WORKDAY(AD86, AE6, IF(AE12="China",'China Holidays'!$A$2:$A$84,'Thai Holidays'!$A$2:$A$65))</f>
        <v>46357</v>
      </c>
      <c r="AF86" s="27">
        <f>AE86+30</f>
        <v>46387</v>
      </c>
      <c r="AG86" s="27">
        <f>AF86</f>
        <v>46387</v>
      </c>
      <c r="AH86" s="27">
        <f>AG86+2</f>
        <v>46389</v>
      </c>
      <c r="AI86" s="27">
        <f>AJ86-20</f>
        <v>46422</v>
      </c>
      <c r="AJ86" s="27">
        <f>AK86-30</f>
        <v>46442</v>
      </c>
      <c r="AK86" s="27">
        <f>AP86</f>
        <v>46472</v>
      </c>
      <c r="AL86" s="27">
        <f>AP85+3</f>
        <v>46474</v>
      </c>
      <c r="AM86" s="27">
        <f>AP85+30</f>
        <v>46501</v>
      </c>
      <c r="AN86" s="80"/>
      <c r="AO86" s="78"/>
      <c r="AP86" s="82">
        <f>AA86+AO85</f>
        <v>46472</v>
      </c>
      <c r="AQ86" s="82"/>
      <c r="AR86" s="78"/>
      <c r="AS86" s="124"/>
      <c r="AT86" s="502"/>
      <c r="AU86" s="20"/>
      <c r="AV86" s="21"/>
      <c r="AW86" s="21"/>
      <c r="AX86" s="21"/>
      <c r="AY86" s="21"/>
      <c r="AZ86" s="21"/>
      <c r="BA86" s="21"/>
      <c r="BB86" s="21"/>
      <c r="BC86" s="21"/>
      <c r="BD86" s="21"/>
      <c r="BE86" s="402"/>
      <c r="BF86" s="415"/>
      <c r="BG86" s="428"/>
      <c r="BH86" s="428"/>
    </row>
    <row r="87" spans="1:60" s="3" customFormat="1" ht="18" customHeight="1" thickTop="1" thickBot="1" x14ac:dyDescent="0.45">
      <c r="A87" s="509"/>
      <c r="B87" s="93" t="s">
        <v>376</v>
      </c>
      <c r="C87" s="71" t="s">
        <v>417</v>
      </c>
      <c r="D87" s="93" t="s">
        <v>371</v>
      </c>
      <c r="E87" s="44" t="s">
        <v>66</v>
      </c>
      <c r="F87" s="33" t="s">
        <v>58</v>
      </c>
      <c r="G87" s="31" t="s">
        <v>51</v>
      </c>
      <c r="H87" s="31" t="s">
        <v>189</v>
      </c>
      <c r="I87" s="31" t="s">
        <v>321</v>
      </c>
      <c r="J87" s="44"/>
      <c r="K87" s="291" t="s">
        <v>807</v>
      </c>
      <c r="L87" s="96"/>
      <c r="M87" s="291" t="s">
        <v>807</v>
      </c>
      <c r="N87" s="44"/>
      <c r="O87" s="44"/>
      <c r="P87" s="176" t="s">
        <v>32</v>
      </c>
      <c r="Q87" s="34" t="s">
        <v>35</v>
      </c>
      <c r="R87" s="35">
        <v>46174</v>
      </c>
      <c r="S87" s="35">
        <v>46148</v>
      </c>
      <c r="T87" s="35">
        <v>46166</v>
      </c>
      <c r="U87" s="35">
        <v>46185</v>
      </c>
      <c r="V87" s="35">
        <v>46185</v>
      </c>
      <c r="W87" s="35">
        <v>46225</v>
      </c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81"/>
      <c r="AO87" s="79"/>
      <c r="AP87" s="36"/>
      <c r="AQ87" s="36"/>
      <c r="AR87" s="79"/>
      <c r="AS87" s="143"/>
      <c r="AT87" s="503"/>
      <c r="AU87" s="38"/>
      <c r="AV87" s="39"/>
      <c r="AW87" s="39"/>
      <c r="AX87" s="39"/>
      <c r="AY87" s="39"/>
      <c r="AZ87" s="39"/>
      <c r="BA87" s="39"/>
      <c r="BB87" s="39"/>
      <c r="BC87" s="39"/>
      <c r="BD87" s="39"/>
      <c r="BE87" s="405"/>
      <c r="BF87" s="415"/>
      <c r="BG87" s="428"/>
      <c r="BH87" s="428"/>
    </row>
    <row r="88" spans="1:60" s="3" customFormat="1" ht="14.25" thickTop="1" thickBot="1" x14ac:dyDescent="0.45">
      <c r="A88" s="507">
        <f t="shared" ref="A88" si="20">A85+1</f>
        <v>23</v>
      </c>
      <c r="B88" s="91" t="s">
        <v>271</v>
      </c>
      <c r="C88" s="16" t="s">
        <v>361</v>
      </c>
      <c r="D88" s="203" t="s">
        <v>357</v>
      </c>
      <c r="E88" s="63" t="s">
        <v>66</v>
      </c>
      <c r="F88" s="15" t="s">
        <v>58</v>
      </c>
      <c r="G88" s="13" t="s">
        <v>51</v>
      </c>
      <c r="H88" s="13" t="s">
        <v>190</v>
      </c>
      <c r="I88" s="13" t="s">
        <v>321</v>
      </c>
      <c r="J88" s="41"/>
      <c r="K88" s="220" t="s">
        <v>794</v>
      </c>
      <c r="L88" s="293" t="s">
        <v>794</v>
      </c>
      <c r="M88" s="292"/>
      <c r="N88" s="193"/>
      <c r="O88" s="193"/>
      <c r="P88" s="174" t="s">
        <v>32</v>
      </c>
      <c r="Q88" s="17" t="s">
        <v>33</v>
      </c>
      <c r="R88" s="18">
        <v>46164</v>
      </c>
      <c r="S88" s="18">
        <v>46167</v>
      </c>
      <c r="T88" s="18">
        <v>46175</v>
      </c>
      <c r="U88" s="18">
        <v>46176</v>
      </c>
      <c r="V88" s="18">
        <v>46183</v>
      </c>
      <c r="W88" s="18">
        <v>46198</v>
      </c>
      <c r="X88" s="206">
        <v>46286</v>
      </c>
      <c r="Y88" s="18">
        <v>46293</v>
      </c>
      <c r="Z88" s="18"/>
      <c r="AA88" s="56">
        <v>46307</v>
      </c>
      <c r="AB88" s="18">
        <v>46311</v>
      </c>
      <c r="AC88" s="18">
        <v>46318</v>
      </c>
      <c r="AD88" s="18">
        <v>46346</v>
      </c>
      <c r="AE88" s="18">
        <v>46360</v>
      </c>
      <c r="AF88" s="18">
        <v>46390</v>
      </c>
      <c r="AG88" s="18">
        <v>46390</v>
      </c>
      <c r="AH88" s="18">
        <v>46392</v>
      </c>
      <c r="AI88" s="18">
        <v>46481</v>
      </c>
      <c r="AJ88" s="18">
        <v>46501</v>
      </c>
      <c r="AK88" s="18">
        <v>46531</v>
      </c>
      <c r="AL88" s="18">
        <v>46534</v>
      </c>
      <c r="AM88" s="18">
        <v>46561</v>
      </c>
      <c r="AN88" s="57">
        <v>24</v>
      </c>
      <c r="AO88" s="58">
        <v>168</v>
      </c>
      <c r="AP88" s="77">
        <v>46471</v>
      </c>
      <c r="AQ88" s="77">
        <v>46561</v>
      </c>
      <c r="AR88" s="19">
        <f>AQ88-AP89</f>
        <v>86</v>
      </c>
      <c r="AS88" s="142" t="s">
        <v>364</v>
      </c>
      <c r="AT88" s="501"/>
      <c r="AU88" s="20"/>
      <c r="AV88" s="21"/>
      <c r="AW88" s="21"/>
      <c r="AX88" s="21"/>
      <c r="AY88" s="21"/>
      <c r="AZ88" s="21"/>
      <c r="BA88" s="21"/>
      <c r="BB88" s="21"/>
      <c r="BC88" s="21"/>
      <c r="BD88" s="21"/>
      <c r="BE88" s="402"/>
      <c r="BF88" s="415"/>
      <c r="BG88" s="428"/>
      <c r="BH88" s="428"/>
    </row>
    <row r="89" spans="1:60" s="3" customFormat="1" ht="14.25" thickTop="1" thickBot="1" x14ac:dyDescent="0.45">
      <c r="A89" s="508"/>
      <c r="B89" s="92" t="s">
        <v>271</v>
      </c>
      <c r="C89" s="70" t="s">
        <v>361</v>
      </c>
      <c r="D89" s="23" t="s">
        <v>356</v>
      </c>
      <c r="E89" s="42" t="s">
        <v>66</v>
      </c>
      <c r="F89" s="45" t="s">
        <v>58</v>
      </c>
      <c r="G89" s="22" t="s">
        <v>51</v>
      </c>
      <c r="H89" s="40" t="s">
        <v>190</v>
      </c>
      <c r="I89" s="22" t="s">
        <v>321</v>
      </c>
      <c r="J89" s="42"/>
      <c r="K89" s="213" t="s">
        <v>793</v>
      </c>
      <c r="L89" s="286" t="s">
        <v>793</v>
      </c>
      <c r="M89" s="199"/>
      <c r="N89" s="42"/>
      <c r="O89" s="42"/>
      <c r="P89" s="175" t="s">
        <v>32</v>
      </c>
      <c r="Q89" s="25" t="s">
        <v>34</v>
      </c>
      <c r="R89" s="130"/>
      <c r="S89" s="27"/>
      <c r="T89" s="27"/>
      <c r="U89" s="27"/>
      <c r="V89" s="27"/>
      <c r="W89" s="27"/>
      <c r="X89" s="27">
        <v>46290</v>
      </c>
      <c r="Y89" s="27">
        <v>46293</v>
      </c>
      <c r="Z89" s="27"/>
      <c r="AA89" s="27">
        <v>46307</v>
      </c>
      <c r="AB89" s="27">
        <v>46311</v>
      </c>
      <c r="AC89" s="27">
        <v>46318</v>
      </c>
      <c r="AD89" s="27">
        <v>46346</v>
      </c>
      <c r="AE89" s="27">
        <v>46360</v>
      </c>
      <c r="AF89" s="27">
        <v>46390</v>
      </c>
      <c r="AG89" s="27">
        <v>46390</v>
      </c>
      <c r="AH89" s="27">
        <v>46392</v>
      </c>
      <c r="AI89" s="27">
        <v>46481</v>
      </c>
      <c r="AJ89" s="27">
        <v>46501</v>
      </c>
      <c r="AK89" s="27">
        <v>46531</v>
      </c>
      <c r="AL89" s="27">
        <v>46534</v>
      </c>
      <c r="AM89" s="27">
        <v>46561</v>
      </c>
      <c r="AN89" s="80"/>
      <c r="AO89" s="78"/>
      <c r="AP89" s="82">
        <f>AA89+AO88</f>
        <v>46475</v>
      </c>
      <c r="AQ89" s="82"/>
      <c r="AR89" s="78"/>
      <c r="AS89" s="124"/>
      <c r="AT89" s="502"/>
      <c r="AU89" s="20"/>
      <c r="AV89" s="21"/>
      <c r="AW89" s="21"/>
      <c r="AX89" s="21"/>
      <c r="AY89" s="21"/>
      <c r="AZ89" s="21"/>
      <c r="BA89" s="21"/>
      <c r="BB89" s="21"/>
      <c r="BC89" s="21"/>
      <c r="BD89" s="21"/>
      <c r="BE89" s="402"/>
      <c r="BF89" s="415"/>
      <c r="BG89" s="428"/>
      <c r="BH89" s="428"/>
    </row>
    <row r="90" spans="1:60" s="3" customFormat="1" ht="14.25" thickTop="1" thickBot="1" x14ac:dyDescent="0.45">
      <c r="A90" s="509"/>
      <c r="B90" s="93" t="s">
        <v>271</v>
      </c>
      <c r="C90" s="71" t="s">
        <v>361</v>
      </c>
      <c r="D90" s="32" t="s">
        <v>356</v>
      </c>
      <c r="E90" s="44" t="s">
        <v>66</v>
      </c>
      <c r="F90" s="33" t="s">
        <v>58</v>
      </c>
      <c r="G90" s="31" t="s">
        <v>51</v>
      </c>
      <c r="H90" s="31" t="s">
        <v>190</v>
      </c>
      <c r="I90" s="31" t="s">
        <v>321</v>
      </c>
      <c r="J90" s="44"/>
      <c r="K90" s="214" t="s">
        <v>855</v>
      </c>
      <c r="L90" s="96"/>
      <c r="M90" s="197"/>
      <c r="N90" s="44"/>
      <c r="O90" s="44"/>
      <c r="P90" s="176" t="s">
        <v>32</v>
      </c>
      <c r="Q90" s="34" t="s">
        <v>35</v>
      </c>
      <c r="R90" s="35">
        <v>46251</v>
      </c>
      <c r="S90" s="35">
        <v>46148</v>
      </c>
      <c r="T90" s="35">
        <v>46166</v>
      </c>
      <c r="U90" s="35">
        <v>46251</v>
      </c>
      <c r="V90" s="35">
        <v>46251</v>
      </c>
      <c r="W90" s="35">
        <v>46262</v>
      </c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81"/>
      <c r="AO90" s="79"/>
      <c r="AP90" s="36"/>
      <c r="AQ90" s="36"/>
      <c r="AR90" s="79"/>
      <c r="AS90" s="143"/>
      <c r="AT90" s="503"/>
      <c r="AU90" s="38"/>
      <c r="AV90" s="39"/>
      <c r="AW90" s="39"/>
      <c r="AX90" s="39"/>
      <c r="AY90" s="39"/>
      <c r="AZ90" s="39"/>
      <c r="BA90" s="39"/>
      <c r="BB90" s="39"/>
      <c r="BC90" s="39"/>
      <c r="BD90" s="39"/>
      <c r="BE90" s="405"/>
      <c r="BF90" s="415"/>
      <c r="BG90" s="428"/>
      <c r="BH90" s="428"/>
    </row>
    <row r="91" spans="1:60" s="3" customFormat="1" ht="21" thickTop="1" thickBot="1" x14ac:dyDescent="0.45">
      <c r="A91" s="507">
        <f t="shared" ref="A91" si="21">A88+1</f>
        <v>24</v>
      </c>
      <c r="B91" s="91" t="s">
        <v>271</v>
      </c>
      <c r="C91" s="13" t="s">
        <v>491</v>
      </c>
      <c r="D91" s="338" t="s">
        <v>354</v>
      </c>
      <c r="E91" s="63" t="s">
        <v>66</v>
      </c>
      <c r="F91" s="15" t="s">
        <v>58</v>
      </c>
      <c r="G91" s="13" t="s">
        <v>51</v>
      </c>
      <c r="H91" s="13" t="s">
        <v>189</v>
      </c>
      <c r="I91" s="13" t="s">
        <v>321</v>
      </c>
      <c r="J91" s="344" t="s">
        <v>911</v>
      </c>
      <c r="K91" s="220" t="s">
        <v>832</v>
      </c>
      <c r="L91" s="342" t="s">
        <v>857</v>
      </c>
      <c r="M91" s="342"/>
      <c r="N91" s="41"/>
      <c r="O91" s="41"/>
      <c r="P91" s="174" t="s">
        <v>32</v>
      </c>
      <c r="Q91" s="17" t="s">
        <v>33</v>
      </c>
      <c r="R91" s="18">
        <v>46164</v>
      </c>
      <c r="S91" s="18">
        <v>46167</v>
      </c>
      <c r="T91" s="18">
        <v>46175</v>
      </c>
      <c r="U91" s="18">
        <v>46176</v>
      </c>
      <c r="V91" s="18">
        <v>46183</v>
      </c>
      <c r="W91" s="18">
        <v>46198</v>
      </c>
      <c r="X91" s="18">
        <v>46226</v>
      </c>
      <c r="Y91" s="18">
        <v>46233</v>
      </c>
      <c r="Z91" s="18"/>
      <c r="AA91" s="206">
        <v>46247</v>
      </c>
      <c r="AB91" s="18">
        <v>46251</v>
      </c>
      <c r="AC91" s="18">
        <v>46258</v>
      </c>
      <c r="AD91" s="18">
        <v>46286</v>
      </c>
      <c r="AE91" s="18">
        <v>46300</v>
      </c>
      <c r="AF91" s="18">
        <v>46330</v>
      </c>
      <c r="AG91" s="18">
        <v>46330</v>
      </c>
      <c r="AH91" s="18">
        <v>46332</v>
      </c>
      <c r="AI91" s="18">
        <v>46421</v>
      </c>
      <c r="AJ91" s="18">
        <v>46441</v>
      </c>
      <c r="AK91" s="18">
        <v>46471</v>
      </c>
      <c r="AL91" s="18">
        <v>46474</v>
      </c>
      <c r="AM91" s="18">
        <v>46501</v>
      </c>
      <c r="AN91" s="57">
        <v>32</v>
      </c>
      <c r="AO91" s="58">
        <v>224</v>
      </c>
      <c r="AP91" s="77">
        <v>46471</v>
      </c>
      <c r="AQ91" s="77">
        <v>46485</v>
      </c>
      <c r="AR91" s="19">
        <f>AQ91-AP92</f>
        <v>28</v>
      </c>
      <c r="AS91" s="142" t="s">
        <v>502</v>
      </c>
      <c r="AT91" s="501"/>
      <c r="AU91" s="20"/>
      <c r="AV91" s="21"/>
      <c r="AW91" s="21"/>
      <c r="AX91" s="21"/>
      <c r="AY91" s="21"/>
      <c r="AZ91" s="21"/>
      <c r="BA91" s="21"/>
      <c r="BB91" s="21"/>
      <c r="BC91" s="21"/>
      <c r="BD91" s="21"/>
      <c r="BE91" s="402"/>
      <c r="BF91" s="415"/>
      <c r="BG91" s="428"/>
      <c r="BH91" s="428"/>
    </row>
    <row r="92" spans="1:60" s="3" customFormat="1" ht="14.25" thickTop="1" thickBot="1" x14ac:dyDescent="0.45">
      <c r="A92" s="508"/>
      <c r="B92" s="92" t="s">
        <v>271</v>
      </c>
      <c r="C92" s="40" t="s">
        <v>279</v>
      </c>
      <c r="D92" s="23" t="s">
        <v>353</v>
      </c>
      <c r="E92" s="42" t="s">
        <v>66</v>
      </c>
      <c r="F92" s="45" t="s">
        <v>58</v>
      </c>
      <c r="G92" s="22" t="s">
        <v>51</v>
      </c>
      <c r="H92" s="40" t="s">
        <v>189</v>
      </c>
      <c r="I92" s="22" t="s">
        <v>321</v>
      </c>
      <c r="J92" s="343" t="s">
        <v>990</v>
      </c>
      <c r="K92" s="213" t="s">
        <v>850</v>
      </c>
      <c r="L92" s="343"/>
      <c r="M92" s="343"/>
      <c r="N92" s="42"/>
      <c r="O92" s="42"/>
      <c r="P92" s="175" t="s">
        <v>32</v>
      </c>
      <c r="Q92" s="25" t="s">
        <v>34</v>
      </c>
      <c r="R92" s="26"/>
      <c r="S92" s="27"/>
      <c r="T92" s="27"/>
      <c r="U92" s="27"/>
      <c r="V92" s="27"/>
      <c r="W92" s="27"/>
      <c r="X92" s="27"/>
      <c r="Y92" s="27">
        <v>46290</v>
      </c>
      <c r="Z92" s="27">
        <v>46281</v>
      </c>
      <c r="AA92" s="27">
        <v>46289</v>
      </c>
      <c r="AB92" s="27">
        <f>WORKDAY(AA92, AB6, IF(AB12="China",'China Holidays'!$A$2:$A$84,'Thai Holidays'!$A$2:$A$65))</f>
        <v>46294</v>
      </c>
      <c r="AC92" s="27">
        <f>WORKDAY(AB92, AC6, IF(AC12="China",'China Holidays'!$A$2:$A$84,'Thai Holidays'!$A$2:$A$65))</f>
        <v>46308</v>
      </c>
      <c r="AD92" s="27">
        <f>WORKDAY(AC92, AD6, IF(AD12="China",'China Holidays'!$A$2:$A$84,'Thai Holidays'!$A$2:$A$65))</f>
        <v>46336</v>
      </c>
      <c r="AE92" s="27">
        <f>WORKDAY(AD92, AE6, IF(AE12="China",'China Holidays'!$A$2:$A$84,'Thai Holidays'!$A$2:$A$65))</f>
        <v>46350</v>
      </c>
      <c r="AF92" s="27">
        <f>AE92+30</f>
        <v>46380</v>
      </c>
      <c r="AG92" s="27">
        <f>AF92</f>
        <v>46380</v>
      </c>
      <c r="AH92" s="27">
        <f>AG92+2</f>
        <v>46382</v>
      </c>
      <c r="AI92" s="27">
        <f>AJ92-20</f>
        <v>46407</v>
      </c>
      <c r="AJ92" s="27">
        <f>AK92-30</f>
        <v>46427</v>
      </c>
      <c r="AK92" s="27">
        <f>AP92</f>
        <v>46457</v>
      </c>
      <c r="AL92" s="27">
        <f>AP91+3</f>
        <v>46474</v>
      </c>
      <c r="AM92" s="27">
        <f>AP91+30</f>
        <v>46501</v>
      </c>
      <c r="AN92" s="80">
        <v>24</v>
      </c>
      <c r="AO92" s="78">
        <f>AN92*7</f>
        <v>168</v>
      </c>
      <c r="AP92" s="82">
        <f>AA92+AO92</f>
        <v>46457</v>
      </c>
      <c r="AQ92" s="82"/>
      <c r="AR92" s="78"/>
      <c r="AS92" s="361" t="s">
        <v>772</v>
      </c>
      <c r="AT92" s="502"/>
      <c r="AU92" s="20"/>
      <c r="AV92" s="21"/>
      <c r="AW92" s="21"/>
      <c r="AX92" s="21"/>
      <c r="AY92" s="21"/>
      <c r="AZ92" s="21"/>
      <c r="BA92" s="21"/>
      <c r="BB92" s="21"/>
      <c r="BC92" s="21"/>
      <c r="BD92" s="21"/>
      <c r="BE92" s="402"/>
      <c r="BF92" s="415" t="s">
        <v>902</v>
      </c>
      <c r="BG92" s="428" t="s">
        <v>912</v>
      </c>
      <c r="BH92" s="428"/>
    </row>
    <row r="93" spans="1:60" s="3" customFormat="1" ht="22.9" customHeight="1" thickTop="1" thickBot="1" x14ac:dyDescent="0.45">
      <c r="A93" s="509"/>
      <c r="B93" s="93" t="s">
        <v>271</v>
      </c>
      <c r="C93" s="31" t="s">
        <v>279</v>
      </c>
      <c r="D93" s="47" t="s">
        <v>353</v>
      </c>
      <c r="E93" s="44" t="s">
        <v>66</v>
      </c>
      <c r="F93" s="33" t="s">
        <v>58</v>
      </c>
      <c r="G93" s="31" t="s">
        <v>51</v>
      </c>
      <c r="H93" s="31" t="s">
        <v>189</v>
      </c>
      <c r="I93" s="31" t="s">
        <v>321</v>
      </c>
      <c r="J93" s="44"/>
      <c r="K93" s="214" t="s">
        <v>831</v>
      </c>
      <c r="L93" s="358" t="s">
        <v>856</v>
      </c>
      <c r="M93" s="358" t="s">
        <v>1057</v>
      </c>
      <c r="N93" s="358" t="s">
        <v>1057</v>
      </c>
      <c r="O93" s="378" t="s">
        <v>1056</v>
      </c>
      <c r="P93" s="176" t="s">
        <v>32</v>
      </c>
      <c r="Q93" s="34" t="s">
        <v>35</v>
      </c>
      <c r="R93" s="35">
        <v>46174</v>
      </c>
      <c r="S93" s="35">
        <v>46148</v>
      </c>
      <c r="T93" s="35">
        <v>46166</v>
      </c>
      <c r="U93" s="35">
        <v>46183</v>
      </c>
      <c r="V93" s="35">
        <v>46183</v>
      </c>
      <c r="W93" s="35">
        <v>46225</v>
      </c>
      <c r="X93" s="383" t="s">
        <v>1086</v>
      </c>
      <c r="Y93" s="35" t="s">
        <v>992</v>
      </c>
      <c r="Z93" s="207" t="s">
        <v>1054</v>
      </c>
      <c r="AA93" s="35" t="s">
        <v>1055</v>
      </c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81"/>
      <c r="AO93" s="79"/>
      <c r="AP93" s="36" t="s">
        <v>904</v>
      </c>
      <c r="AQ93" s="36"/>
      <c r="AR93" s="79"/>
      <c r="AS93" s="143"/>
      <c r="AT93" s="503"/>
      <c r="AU93" s="38"/>
      <c r="AV93" s="39"/>
      <c r="AW93" s="39"/>
      <c r="AX93" s="39"/>
      <c r="AY93" s="39"/>
      <c r="AZ93" s="39"/>
      <c r="BA93" s="39"/>
      <c r="BB93" s="39"/>
      <c r="BC93" s="39"/>
      <c r="BD93" s="39"/>
      <c r="BE93" s="405"/>
      <c r="BF93" s="415"/>
      <c r="BG93" s="428"/>
      <c r="BH93" s="428"/>
    </row>
    <row r="94" spans="1:60" s="3" customFormat="1" ht="18.75" customHeight="1" thickTop="1" thickBot="1" x14ac:dyDescent="0.45">
      <c r="A94" s="507">
        <f t="shared" ref="A94" si="22">A91+1</f>
        <v>25</v>
      </c>
      <c r="B94" s="91" t="s">
        <v>271</v>
      </c>
      <c r="C94" s="46" t="s">
        <v>379</v>
      </c>
      <c r="D94" s="177" t="s">
        <v>378</v>
      </c>
      <c r="E94" s="63" t="s">
        <v>66</v>
      </c>
      <c r="F94" s="15" t="s">
        <v>58</v>
      </c>
      <c r="G94" s="13" t="s">
        <v>51</v>
      </c>
      <c r="H94" s="13" t="s">
        <v>1</v>
      </c>
      <c r="I94" s="13" t="s">
        <v>286</v>
      </c>
      <c r="J94" s="41"/>
      <c r="K94" s="220" t="s">
        <v>834</v>
      </c>
      <c r="L94" s="219" t="s">
        <v>860</v>
      </c>
      <c r="M94" s="464" t="s">
        <v>860</v>
      </c>
      <c r="N94" s="41"/>
      <c r="O94" s="41"/>
      <c r="P94" s="174" t="s">
        <v>32</v>
      </c>
      <c r="Q94" s="17" t="s">
        <v>33</v>
      </c>
      <c r="R94" s="18">
        <v>46220</v>
      </c>
      <c r="S94" s="18">
        <v>46223</v>
      </c>
      <c r="T94" s="18">
        <v>46230</v>
      </c>
      <c r="U94" s="18">
        <v>46231</v>
      </c>
      <c r="V94" s="18">
        <v>46239</v>
      </c>
      <c r="W94" s="18">
        <v>46253</v>
      </c>
      <c r="X94" s="18">
        <v>46281</v>
      </c>
      <c r="Y94" s="206">
        <v>46286</v>
      </c>
      <c r="Z94" s="18"/>
      <c r="AA94" s="18">
        <v>46308</v>
      </c>
      <c r="AB94" s="18">
        <v>46310</v>
      </c>
      <c r="AC94" s="18">
        <v>46317</v>
      </c>
      <c r="AD94" s="18">
        <v>46345</v>
      </c>
      <c r="AE94" s="18">
        <v>46359</v>
      </c>
      <c r="AF94" s="18">
        <v>46389</v>
      </c>
      <c r="AG94" s="18">
        <v>46389</v>
      </c>
      <c r="AH94" s="18">
        <v>46391</v>
      </c>
      <c r="AI94" s="18">
        <v>46454</v>
      </c>
      <c r="AJ94" s="18">
        <v>46474</v>
      </c>
      <c r="AK94" s="18">
        <v>46504</v>
      </c>
      <c r="AL94" s="18">
        <v>46507</v>
      </c>
      <c r="AM94" s="18">
        <v>46534</v>
      </c>
      <c r="AN94" s="57">
        <v>28</v>
      </c>
      <c r="AO94" s="58">
        <v>196</v>
      </c>
      <c r="AP94" s="77">
        <v>46504</v>
      </c>
      <c r="AQ94" s="77">
        <v>46530</v>
      </c>
      <c r="AR94" s="19">
        <f>AQ94-AP95</f>
        <v>31</v>
      </c>
      <c r="AS94" s="142" t="s">
        <v>449</v>
      </c>
      <c r="AT94" s="501" t="s">
        <v>508</v>
      </c>
      <c r="AU94" s="20">
        <f>IF(ISERROR(LOOKUP(AU$10,$R94:$AT94,#REF!)),0,(LOOKUP(AU$10,$R94:$AT94,#REF!)))</f>
        <v>0</v>
      </c>
      <c r="AV94" s="21">
        <f>IF(ISERROR(LOOKUP(AV$10,$R94:$AT94,#REF!)),0,(LOOKUP(AV$10,$R94:$AT94,#REF!)))</f>
        <v>0</v>
      </c>
      <c r="AW94" s="21">
        <f>IF(ISERROR(LOOKUP(AW$10,$R94:$AT94,#REF!)),0,(LOOKUP(AW$10,$R94:$AT94,#REF!)))</f>
        <v>0</v>
      </c>
      <c r="AX94" s="21">
        <f>IF(ISERROR(LOOKUP(AX$10,$R94:$AT94,#REF!)),0,(LOOKUP(AX$10,$R94:$AT94,#REF!)))</f>
        <v>0</v>
      </c>
      <c r="AY94" s="21">
        <f>IF(ISERROR(LOOKUP(AY$10,$R94:$AT94,#REF!)),0,(LOOKUP(AY$10,$R94:$AT94,#REF!)))</f>
        <v>0</v>
      </c>
      <c r="AZ94" s="21">
        <f>IF(ISERROR(LOOKUP(AZ$10,$R94:$AT94,#REF!)),0,(LOOKUP(AZ$10,$R94:$AT94,#REF!)))</f>
        <v>0</v>
      </c>
      <c r="BA94" s="21">
        <f>IF(ISERROR(LOOKUP(BA$10,$R94:$AT94,#REF!)),0,(LOOKUP(BA$10,$R94:$AT94,#REF!)))</f>
        <v>0</v>
      </c>
      <c r="BB94" s="21">
        <f>IF(ISERROR(LOOKUP(BB$10,$R94:$AT94,#REF!)),0,(LOOKUP(BB$10,$R94:$AT94,#REF!)))</f>
        <v>0</v>
      </c>
      <c r="BC94" s="21">
        <f>IF(ISERROR(LOOKUP(BC$10,$R94:$AT94,#REF!)),0,(LOOKUP(BC$10,$R94:$AT94,#REF!)))</f>
        <v>0</v>
      </c>
      <c r="BD94" s="21">
        <f>IF(ISERROR(LOOKUP(BD$10,$R94:$AT94,#REF!)),0,(LOOKUP(BD$10,$R94:$AT94,#REF!)))</f>
        <v>0</v>
      </c>
      <c r="BE94" s="402">
        <f ca="1">IF(ISERROR(LOOKUP(BE$10,$R94:$AT94,#REF!)),0,(LOOKUP(BE$10,$R94:$AT94,#REF!)))</f>
        <v>0</v>
      </c>
      <c r="BF94" s="415" t="s">
        <v>640</v>
      </c>
      <c r="BG94" s="428" t="s">
        <v>837</v>
      </c>
      <c r="BH94" s="428"/>
    </row>
    <row r="95" spans="1:60" s="3" customFormat="1" ht="14.25" thickTop="1" thickBot="1" x14ac:dyDescent="0.45">
      <c r="A95" s="508"/>
      <c r="B95" s="92" t="s">
        <v>271</v>
      </c>
      <c r="C95" s="113" t="s">
        <v>379</v>
      </c>
      <c r="D95" s="23" t="s">
        <v>378</v>
      </c>
      <c r="E95" s="42" t="s">
        <v>66</v>
      </c>
      <c r="F95" s="45" t="s">
        <v>58</v>
      </c>
      <c r="G95" s="22" t="s">
        <v>51</v>
      </c>
      <c r="H95" s="40" t="s">
        <v>1</v>
      </c>
      <c r="I95" s="40" t="s">
        <v>286</v>
      </c>
      <c r="J95" s="42"/>
      <c r="K95" s="213" t="s">
        <v>858</v>
      </c>
      <c r="L95" s="208" t="s">
        <v>859</v>
      </c>
      <c r="M95" s="339" t="s">
        <v>985</v>
      </c>
      <c r="N95" s="42"/>
      <c r="O95" s="42"/>
      <c r="P95" s="175" t="s">
        <v>32</v>
      </c>
      <c r="Q95" s="25" t="s">
        <v>34</v>
      </c>
      <c r="R95" s="26"/>
      <c r="S95" s="27"/>
      <c r="T95" s="27"/>
      <c r="U95" s="27"/>
      <c r="V95" s="27"/>
      <c r="W95" s="27"/>
      <c r="X95" s="27"/>
      <c r="Y95" s="27">
        <v>46288</v>
      </c>
      <c r="Z95" s="27">
        <v>46289</v>
      </c>
      <c r="AA95" s="27">
        <v>46303</v>
      </c>
      <c r="AB95" s="27">
        <f>WORKDAY(AA95, AB6, IF(AB12="China",'China Holidays'!$A$2:$A$84,'Thai Holidays'!$A$2:$A$65))</f>
        <v>46307</v>
      </c>
      <c r="AC95" s="27">
        <f>WORKDAY(AB95, AC6, IF(AC12="China",'China Holidays'!$A$2:$A$84,'Thai Holidays'!$A$2:$A$65))</f>
        <v>46314</v>
      </c>
      <c r="AD95" s="27">
        <f>WORKDAY(AC95, AD6, IF(AD12="China",'China Holidays'!$A$2:$A$84,'Thai Holidays'!$A$2:$A$65))</f>
        <v>46342</v>
      </c>
      <c r="AE95" s="27">
        <f>WORKDAY(AD95, AE6, IF(AE12="China",'China Holidays'!$A$2:$A$84,'Thai Holidays'!$A$2:$A$65))</f>
        <v>46356</v>
      </c>
      <c r="AF95" s="27">
        <f>AE95+30</f>
        <v>46386</v>
      </c>
      <c r="AG95" s="27">
        <f>AF95</f>
        <v>46386</v>
      </c>
      <c r="AH95" s="27">
        <f>AG95+2</f>
        <v>46388</v>
      </c>
      <c r="AI95" s="27">
        <f>AJ95-15</f>
        <v>46454</v>
      </c>
      <c r="AJ95" s="27">
        <f>AK95-30</f>
        <v>46469</v>
      </c>
      <c r="AK95" s="27">
        <f>AP95</f>
        <v>46499</v>
      </c>
      <c r="AL95" s="27">
        <f>AP94+3</f>
        <v>46507</v>
      </c>
      <c r="AM95" s="27">
        <f>AP94+30</f>
        <v>46534</v>
      </c>
      <c r="AN95" s="88"/>
      <c r="AO95" s="88"/>
      <c r="AP95" s="82">
        <f>AA95+AO94</f>
        <v>46499</v>
      </c>
      <c r="AQ95" s="82"/>
      <c r="AR95" s="28"/>
      <c r="AS95" s="140"/>
      <c r="AT95" s="502"/>
      <c r="AU95" s="20">
        <f>IF(ISERROR(LOOKUP(AU$10,$R95:$AT95,#REF!)),0,(LOOKUP(AU$10,$R95:$AT95,#REF!)))</f>
        <v>0</v>
      </c>
      <c r="AV95" s="21">
        <f>IF(ISERROR(LOOKUP(AV$10,$R95:$AT95,#REF!)),0,(LOOKUP(AV$10,$R95:$AT95,#REF!)))</f>
        <v>0</v>
      </c>
      <c r="AW95" s="21">
        <f>IF(ISERROR(LOOKUP(AW$10,$R95:$AT95,#REF!)),0,(LOOKUP(AW$10,$R95:$AT95,#REF!)))</f>
        <v>0</v>
      </c>
      <c r="AX95" s="21">
        <f>IF(ISERROR(LOOKUP(AX$10,$R95:$AT95,#REF!)),0,(LOOKUP(AX$10,$R95:$AT95,#REF!)))</f>
        <v>0</v>
      </c>
      <c r="AY95" s="21">
        <f>IF(ISERROR(LOOKUP(AY$10,$R95:$AT95,#REF!)),0,(LOOKUP(AY$10,$R95:$AT95,#REF!)))</f>
        <v>0</v>
      </c>
      <c r="AZ95" s="21">
        <f>IF(ISERROR(LOOKUP(AZ$10,$R95:$AT95,#REF!)),0,(LOOKUP(AZ$10,$R95:$AT95,#REF!)))</f>
        <v>0</v>
      </c>
      <c r="BA95" s="21">
        <f>IF(ISERROR(LOOKUP(BA$10,$R95:$AT95,#REF!)),0,(LOOKUP(BA$10,$R95:$AT95,#REF!)))</f>
        <v>0</v>
      </c>
      <c r="BB95" s="21">
        <f>IF(ISERROR(LOOKUP(BB$10,$R95:$AT95,#REF!)),0,(LOOKUP(BB$10,$R95:$AT95,#REF!)))</f>
        <v>0</v>
      </c>
      <c r="BC95" s="21">
        <f>IF(ISERROR(LOOKUP(BC$10,$R95:$AT95,#REF!)),0,(LOOKUP(BC$10,$R95:$AT95,#REF!)))</f>
        <v>0</v>
      </c>
      <c r="BD95" s="21">
        <f>IF(ISERROR(LOOKUP(BD$10,$R95:$AT95,#REF!)),0,(LOOKUP(BD$10,$R95:$AT95,#REF!)))</f>
        <v>0</v>
      </c>
      <c r="BE95" s="402">
        <f ca="1">IF(ISERROR(LOOKUP(BE$10,$R95:$AT95,#REF!)),0,(LOOKUP(BE$10,$R95:$AT95,#REF!)))</f>
        <v>0</v>
      </c>
      <c r="BF95" s="415" t="s">
        <v>907</v>
      </c>
      <c r="BG95" s="428" t="s">
        <v>836</v>
      </c>
      <c r="BH95" s="428"/>
    </row>
    <row r="96" spans="1:60" s="3" customFormat="1" ht="20.65" customHeight="1" thickTop="1" thickBot="1" x14ac:dyDescent="0.45">
      <c r="A96" s="509"/>
      <c r="B96" s="93" t="s">
        <v>271</v>
      </c>
      <c r="C96" s="47" t="s">
        <v>379</v>
      </c>
      <c r="D96" s="47" t="s">
        <v>377</v>
      </c>
      <c r="E96" s="44" t="s">
        <v>66</v>
      </c>
      <c r="F96" s="33" t="s">
        <v>58</v>
      </c>
      <c r="G96" s="31" t="s">
        <v>51</v>
      </c>
      <c r="H96" s="31" t="s">
        <v>1</v>
      </c>
      <c r="I96" s="31" t="s">
        <v>286</v>
      </c>
      <c r="J96" s="44"/>
      <c r="K96" s="290" t="s">
        <v>838</v>
      </c>
      <c r="L96" s="210" t="s">
        <v>839</v>
      </c>
      <c r="M96" s="291"/>
      <c r="N96" s="44"/>
      <c r="O96" s="44"/>
      <c r="P96" s="176" t="s">
        <v>32</v>
      </c>
      <c r="Q96" s="34" t="s">
        <v>35</v>
      </c>
      <c r="R96" s="35">
        <v>46184</v>
      </c>
      <c r="S96" s="35">
        <v>46148</v>
      </c>
      <c r="T96" s="35">
        <v>46166</v>
      </c>
      <c r="U96" s="35">
        <v>46184</v>
      </c>
      <c r="V96" s="35">
        <v>46184</v>
      </c>
      <c r="W96" s="35">
        <v>46195</v>
      </c>
      <c r="X96" s="35">
        <v>46276</v>
      </c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81"/>
      <c r="AO96" s="79"/>
      <c r="AP96" s="36"/>
      <c r="AQ96" s="36"/>
      <c r="AR96" s="37"/>
      <c r="AS96" s="141"/>
      <c r="AT96" s="503"/>
      <c r="AU96" s="38">
        <f>IF(ISERROR(LOOKUP(AU$10,$R96:$AT96,#REF!)),0,(LOOKUP(AU$10,$R96:$AT96,#REF!)))</f>
        <v>0</v>
      </c>
      <c r="AV96" s="39">
        <f>IF(ISERROR(LOOKUP(AV$10,$R96:$AT96,#REF!)),0,(LOOKUP(AV$10,$R96:$AT96,#REF!)))</f>
        <v>0</v>
      </c>
      <c r="AW96" s="39">
        <f>IF(ISERROR(LOOKUP(AW$10,$R96:$AT96,#REF!)),0,(LOOKUP(AW$10,$R96:$AT96,#REF!)))</f>
        <v>0</v>
      </c>
      <c r="AX96" s="39">
        <f>IF(ISERROR(LOOKUP(AX$10,$R96:$AT96,#REF!)),0,(LOOKUP(AX$10,$R96:$AT96,#REF!)))</f>
        <v>0</v>
      </c>
      <c r="AY96" s="39">
        <f>IF(ISERROR(LOOKUP(AY$10,$R96:$AT96,#REF!)),0,(LOOKUP(AY$10,$R96:$AT96,#REF!)))</f>
        <v>0</v>
      </c>
      <c r="AZ96" s="39">
        <f>IF(ISERROR(LOOKUP(AZ$10,$R96:$AT96,#REF!)),0,(LOOKUP(AZ$10,$R96:$AT96,#REF!)))</f>
        <v>0</v>
      </c>
      <c r="BA96" s="39">
        <f>IF(ISERROR(LOOKUP(BA$10,$R96:$AT96,#REF!)),0,(LOOKUP(BA$10,$R96:$AT96,#REF!)))</f>
        <v>0</v>
      </c>
      <c r="BB96" s="39">
        <f>IF(ISERROR(LOOKUP(BB$10,$R96:$AT96,#REF!)),0,(LOOKUP(BB$10,$R96:$AT96,#REF!)))</f>
        <v>0</v>
      </c>
      <c r="BC96" s="39">
        <f>IF(ISERROR(LOOKUP(BC$10,$R96:$AT96,#REF!)),0,(LOOKUP(BC$10,$R96:$AT96,#REF!)))</f>
        <v>0</v>
      </c>
      <c r="BD96" s="39">
        <f>IF(ISERROR(LOOKUP(BD$10,$R96:$AT96,#REF!)),0,(LOOKUP(BD$10,$R96:$AT96,#REF!)))</f>
        <v>0</v>
      </c>
      <c r="BE96" s="405">
        <f ca="1">IF(ISERROR(LOOKUP(BE$10,$R96:$AT96,#REF!)),0,(LOOKUP(BE$10,$R96:$AT96,#REF!)))</f>
        <v>0</v>
      </c>
      <c r="BF96" s="415" t="s">
        <v>908</v>
      </c>
      <c r="BG96" s="428" t="s">
        <v>840</v>
      </c>
      <c r="BH96" s="428"/>
    </row>
    <row r="97" spans="1:61" s="3" customFormat="1" ht="24" thickTop="1" thickBot="1" x14ac:dyDescent="0.45">
      <c r="A97" s="507">
        <f t="shared" ref="A97" si="23">A94+1</f>
        <v>26</v>
      </c>
      <c r="B97" s="91" t="s">
        <v>271</v>
      </c>
      <c r="C97" s="46" t="s">
        <v>729</v>
      </c>
      <c r="D97" s="177" t="s">
        <v>556</v>
      </c>
      <c r="E97" s="63" t="s">
        <v>66</v>
      </c>
      <c r="F97" s="15" t="s">
        <v>58</v>
      </c>
      <c r="G97" s="13" t="s">
        <v>51</v>
      </c>
      <c r="H97" s="13" t="s">
        <v>1</v>
      </c>
      <c r="I97" s="13" t="s">
        <v>286</v>
      </c>
      <c r="J97" s="220" t="s">
        <v>579</v>
      </c>
      <c r="K97" s="220" t="s">
        <v>834</v>
      </c>
      <c r="L97" s="342" t="s">
        <v>834</v>
      </c>
      <c r="M97" s="464" t="s">
        <v>834</v>
      </c>
      <c r="N97" s="193"/>
      <c r="O97" s="193"/>
      <c r="P97" s="174" t="s">
        <v>32</v>
      </c>
      <c r="Q97" s="17" t="s">
        <v>33</v>
      </c>
      <c r="R97" s="18">
        <v>46220</v>
      </c>
      <c r="S97" s="18">
        <v>46223</v>
      </c>
      <c r="T97" s="18">
        <v>46230</v>
      </c>
      <c r="U97" s="18">
        <v>46231</v>
      </c>
      <c r="V97" s="18">
        <v>46239</v>
      </c>
      <c r="W97" s="18">
        <v>46253</v>
      </c>
      <c r="X97" s="18">
        <v>46281</v>
      </c>
      <c r="Y97" s="206">
        <v>46286</v>
      </c>
      <c r="Z97" s="18"/>
      <c r="AA97" s="18">
        <v>46308</v>
      </c>
      <c r="AB97" s="18">
        <v>46310</v>
      </c>
      <c r="AC97" s="18">
        <v>46317</v>
      </c>
      <c r="AD97" s="18">
        <v>46345</v>
      </c>
      <c r="AE97" s="18">
        <v>46359</v>
      </c>
      <c r="AF97" s="18">
        <v>46389</v>
      </c>
      <c r="AG97" s="18">
        <v>46389</v>
      </c>
      <c r="AH97" s="18">
        <v>46391</v>
      </c>
      <c r="AI97" s="18">
        <v>46454</v>
      </c>
      <c r="AJ97" s="18">
        <v>46474</v>
      </c>
      <c r="AK97" s="18">
        <v>46504</v>
      </c>
      <c r="AL97" s="18">
        <v>46507</v>
      </c>
      <c r="AM97" s="18">
        <v>46534</v>
      </c>
      <c r="AN97" s="57">
        <v>28</v>
      </c>
      <c r="AO97" s="58">
        <v>196</v>
      </c>
      <c r="AP97" s="77">
        <v>46504</v>
      </c>
      <c r="AQ97" s="77">
        <v>46530</v>
      </c>
      <c r="AR97" s="19">
        <f>AQ97-AP98</f>
        <v>31</v>
      </c>
      <c r="AS97" s="142" t="s">
        <v>449</v>
      </c>
      <c r="AT97" s="501"/>
      <c r="AU97" s="20">
        <f>IF(ISERROR(LOOKUP(AU$10,$R97:$AT97,#REF!)),0,(LOOKUP(AU$10,$R97:$AT97,#REF!)))</f>
        <v>0</v>
      </c>
      <c r="AV97" s="21">
        <f>IF(ISERROR(LOOKUP(AV$10,$R97:$AT97,#REF!)),0,(LOOKUP(AV$10,$R97:$AT97,#REF!)))</f>
        <v>0</v>
      </c>
      <c r="AW97" s="21">
        <f>IF(ISERROR(LOOKUP(AW$10,$R97:$AT97,#REF!)),0,(LOOKUP(AW$10,$R97:$AT97,#REF!)))</f>
        <v>0</v>
      </c>
      <c r="AX97" s="21">
        <f>IF(ISERROR(LOOKUP(AX$10,$R97:$AT97,#REF!)),0,(LOOKUP(AX$10,$R97:$AT97,#REF!)))</f>
        <v>0</v>
      </c>
      <c r="AY97" s="21">
        <f>IF(ISERROR(LOOKUP(AY$10,$R97:$AT97,#REF!)),0,(LOOKUP(AY$10,$R97:$AT97,#REF!)))</f>
        <v>0</v>
      </c>
      <c r="AZ97" s="21">
        <f>IF(ISERROR(LOOKUP(AZ$10,$R97:$AT97,#REF!)),0,(LOOKUP(AZ$10,$R97:$AT97,#REF!)))</f>
        <v>0</v>
      </c>
      <c r="BA97" s="21">
        <f>IF(ISERROR(LOOKUP(BA$10,$R97:$AT97,#REF!)),0,(LOOKUP(BA$10,$R97:$AT97,#REF!)))</f>
        <v>0</v>
      </c>
      <c r="BB97" s="21">
        <f>IF(ISERROR(LOOKUP(BB$10,$R97:$AT97,#REF!)),0,(LOOKUP(BB$10,$R97:$AT97,#REF!)))</f>
        <v>0</v>
      </c>
      <c r="BC97" s="21">
        <f>IF(ISERROR(LOOKUP(BC$10,$R97:$AT97,#REF!)),0,(LOOKUP(BC$10,$R97:$AT97,#REF!)))</f>
        <v>0</v>
      </c>
      <c r="BD97" s="21">
        <f>IF(ISERROR(LOOKUP(BD$10,$R97:$AT97,#REF!)),0,(LOOKUP(BD$10,$R97:$AT97,#REF!)))</f>
        <v>0</v>
      </c>
      <c r="BE97" s="402">
        <f ca="1">IF(ISERROR(LOOKUP(BE$10,$R97:$AT97,#REF!)),0,(LOOKUP(BE$10,$R97:$AT97,#REF!)))</f>
        <v>0</v>
      </c>
      <c r="BF97" s="415" t="s">
        <v>640</v>
      </c>
      <c r="BG97" s="428" t="s">
        <v>837</v>
      </c>
      <c r="BH97" s="428"/>
    </row>
    <row r="98" spans="1:61" s="3" customFormat="1" ht="24" thickTop="1" thickBot="1" x14ac:dyDescent="0.45">
      <c r="A98" s="508"/>
      <c r="B98" s="92" t="s">
        <v>271</v>
      </c>
      <c r="C98" s="113" t="s">
        <v>729</v>
      </c>
      <c r="D98" s="187" t="s">
        <v>556</v>
      </c>
      <c r="E98" s="42" t="s">
        <v>66</v>
      </c>
      <c r="F98" s="45" t="s">
        <v>58</v>
      </c>
      <c r="G98" s="22" t="s">
        <v>51</v>
      </c>
      <c r="H98" s="40" t="s">
        <v>1</v>
      </c>
      <c r="I98" s="40" t="s">
        <v>286</v>
      </c>
      <c r="J98" s="42"/>
      <c r="K98" s="213" t="s">
        <v>835</v>
      </c>
      <c r="L98" s="343" t="s">
        <v>835</v>
      </c>
      <c r="M98" s="339" t="s">
        <v>985</v>
      </c>
      <c r="N98" s="42"/>
      <c r="O98" s="42"/>
      <c r="P98" s="175" t="s">
        <v>32</v>
      </c>
      <c r="Q98" s="25" t="s">
        <v>34</v>
      </c>
      <c r="R98" s="26"/>
      <c r="S98" s="27"/>
      <c r="T98" s="27"/>
      <c r="U98" s="27"/>
      <c r="V98" s="27"/>
      <c r="W98" s="27"/>
      <c r="X98" s="27"/>
      <c r="Y98" s="27">
        <v>46288</v>
      </c>
      <c r="Z98" s="27">
        <v>46289</v>
      </c>
      <c r="AA98" s="27">
        <v>46303</v>
      </c>
      <c r="AB98" s="27">
        <f>WORKDAY(AA98, AB6, IF(AB12="China",'China Holidays'!$A$2:$A$84,'Thai Holidays'!$A$2:$A$65))</f>
        <v>46307</v>
      </c>
      <c r="AC98" s="27">
        <f>WORKDAY(AB98, AC6, IF(AC12="China",'China Holidays'!$A$2:$A$84,'Thai Holidays'!$A$2:$A$65))</f>
        <v>46314</v>
      </c>
      <c r="AD98" s="27">
        <f>WORKDAY(AC98, AD6, IF(AD12="China",'China Holidays'!$A$2:$A$84,'Thai Holidays'!$A$2:$A$65))</f>
        <v>46342</v>
      </c>
      <c r="AE98" s="27">
        <f>WORKDAY(AD98, AE6, IF(AE12="China",'China Holidays'!$A$2:$A$84,'Thai Holidays'!$A$2:$A$65))</f>
        <v>46356</v>
      </c>
      <c r="AF98" s="27">
        <f>AE98+30</f>
        <v>46386</v>
      </c>
      <c r="AG98" s="27">
        <f>AF98</f>
        <v>46386</v>
      </c>
      <c r="AH98" s="27">
        <f>AG98+2</f>
        <v>46388</v>
      </c>
      <c r="AI98" s="27">
        <f>AJ98-15</f>
        <v>46454</v>
      </c>
      <c r="AJ98" s="27">
        <f>AK98-30</f>
        <v>46469</v>
      </c>
      <c r="AK98" s="27">
        <f>AP98</f>
        <v>46499</v>
      </c>
      <c r="AL98" s="27">
        <f>AP97+3</f>
        <v>46507</v>
      </c>
      <c r="AM98" s="27">
        <f>AP97+30</f>
        <v>46534</v>
      </c>
      <c r="AN98" s="88"/>
      <c r="AO98" s="88"/>
      <c r="AP98" s="82">
        <f>AA98+AO97</f>
        <v>46499</v>
      </c>
      <c r="AQ98" s="82"/>
      <c r="AR98" s="28"/>
      <c r="AS98" s="140"/>
      <c r="AT98" s="502"/>
      <c r="AU98" s="20">
        <f>IF(ISERROR(LOOKUP(AU$10,$R98:$AT98,#REF!)),0,(LOOKUP(AU$10,$R98:$AT98,#REF!)))</f>
        <v>0</v>
      </c>
      <c r="AV98" s="21">
        <f>IF(ISERROR(LOOKUP(AV$10,$R98:$AT98,#REF!)),0,(LOOKUP(AV$10,$R98:$AT98,#REF!)))</f>
        <v>0</v>
      </c>
      <c r="AW98" s="21">
        <f>IF(ISERROR(LOOKUP(AW$10,$R98:$AT98,#REF!)),0,(LOOKUP(AW$10,$R98:$AT98,#REF!)))</f>
        <v>0</v>
      </c>
      <c r="AX98" s="21">
        <f>IF(ISERROR(LOOKUP(AX$10,$R98:$AT98,#REF!)),0,(LOOKUP(AX$10,$R98:$AT98,#REF!)))</f>
        <v>0</v>
      </c>
      <c r="AY98" s="21">
        <f>IF(ISERROR(LOOKUP(AY$10,$R98:$AT98,#REF!)),0,(LOOKUP(AY$10,$R98:$AT98,#REF!)))</f>
        <v>0</v>
      </c>
      <c r="AZ98" s="21">
        <f>IF(ISERROR(LOOKUP(AZ$10,$R98:$AT98,#REF!)),0,(LOOKUP(AZ$10,$R98:$AT98,#REF!)))</f>
        <v>0</v>
      </c>
      <c r="BA98" s="21">
        <f>IF(ISERROR(LOOKUP(BA$10,$R98:$AT98,#REF!)),0,(LOOKUP(BA$10,$R98:$AT98,#REF!)))</f>
        <v>0</v>
      </c>
      <c r="BB98" s="21">
        <f>IF(ISERROR(LOOKUP(BB$10,$R98:$AT98,#REF!)),0,(LOOKUP(BB$10,$R98:$AT98,#REF!)))</f>
        <v>0</v>
      </c>
      <c r="BC98" s="21">
        <f>IF(ISERROR(LOOKUP(BC$10,$R98:$AT98,#REF!)),0,(LOOKUP(BC$10,$R98:$AT98,#REF!)))</f>
        <v>0</v>
      </c>
      <c r="BD98" s="21">
        <f>IF(ISERROR(LOOKUP(BD$10,$R98:$AT98,#REF!)),0,(LOOKUP(BD$10,$R98:$AT98,#REF!)))</f>
        <v>0</v>
      </c>
      <c r="BE98" s="402">
        <f ca="1">IF(ISERROR(LOOKUP(BE$10,$R98:$AT98,#REF!)),0,(LOOKUP(BE$10,$R98:$AT98,#REF!)))</f>
        <v>0</v>
      </c>
      <c r="BF98" s="415" t="s">
        <v>907</v>
      </c>
      <c r="BG98" s="428" t="s">
        <v>836</v>
      </c>
      <c r="BH98" s="428"/>
    </row>
    <row r="99" spans="1:61" s="3" customFormat="1" ht="24" customHeight="1" thickTop="1" thickBot="1" x14ac:dyDescent="0.45">
      <c r="A99" s="509"/>
      <c r="B99" s="93" t="s">
        <v>271</v>
      </c>
      <c r="C99" s="47" t="s">
        <v>729</v>
      </c>
      <c r="D99" s="32" t="s">
        <v>555</v>
      </c>
      <c r="E99" s="44" t="s">
        <v>66</v>
      </c>
      <c r="F99" s="33" t="s">
        <v>58</v>
      </c>
      <c r="G99" s="31" t="s">
        <v>51</v>
      </c>
      <c r="H99" s="31" t="s">
        <v>1</v>
      </c>
      <c r="I99" s="31" t="s">
        <v>286</v>
      </c>
      <c r="J99" s="44"/>
      <c r="K99" s="290" t="s">
        <v>839</v>
      </c>
      <c r="L99" s="210" t="s">
        <v>839</v>
      </c>
      <c r="M99" s="290"/>
      <c r="N99" s="44"/>
      <c r="O99" s="44"/>
      <c r="P99" s="176" t="s">
        <v>32</v>
      </c>
      <c r="Q99" s="34" t="s">
        <v>35</v>
      </c>
      <c r="R99" s="35">
        <v>46184</v>
      </c>
      <c r="S99" s="35">
        <v>46148</v>
      </c>
      <c r="T99" s="35">
        <v>46166</v>
      </c>
      <c r="U99" s="35">
        <v>46184</v>
      </c>
      <c r="V99" s="35">
        <v>46184</v>
      </c>
      <c r="W99" s="35">
        <v>46195</v>
      </c>
      <c r="X99" s="35">
        <v>46276</v>
      </c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81"/>
      <c r="AO99" s="79"/>
      <c r="AP99" s="36"/>
      <c r="AQ99" s="36"/>
      <c r="AR99" s="37"/>
      <c r="AS99" s="141"/>
      <c r="AT99" s="503"/>
      <c r="AU99" s="38">
        <f>IF(ISERROR(LOOKUP(AU$10,$R99:$AT99,#REF!)),0,(LOOKUP(AU$10,$R99:$AT99,#REF!)))</f>
        <v>0</v>
      </c>
      <c r="AV99" s="39">
        <f>IF(ISERROR(LOOKUP(AV$10,$R99:$AT99,#REF!)),0,(LOOKUP(AV$10,$R99:$AT99,#REF!)))</f>
        <v>0</v>
      </c>
      <c r="AW99" s="39">
        <f>IF(ISERROR(LOOKUP(AW$10,$R99:$AT99,#REF!)),0,(LOOKUP(AW$10,$R99:$AT99,#REF!)))</f>
        <v>0</v>
      </c>
      <c r="AX99" s="39">
        <f>IF(ISERROR(LOOKUP(AX$10,$R99:$AT99,#REF!)),0,(LOOKUP(AX$10,$R99:$AT99,#REF!)))</f>
        <v>0</v>
      </c>
      <c r="AY99" s="39">
        <f>IF(ISERROR(LOOKUP(AY$10,$R99:$AT99,#REF!)),0,(LOOKUP(AY$10,$R99:$AT99,#REF!)))</f>
        <v>0</v>
      </c>
      <c r="AZ99" s="39">
        <f>IF(ISERROR(LOOKUP(AZ$10,$R99:$AT99,#REF!)),0,(LOOKUP(AZ$10,$R99:$AT99,#REF!)))</f>
        <v>0</v>
      </c>
      <c r="BA99" s="39">
        <f>IF(ISERROR(LOOKUP(BA$10,$R99:$AT99,#REF!)),0,(LOOKUP(BA$10,$R99:$AT99,#REF!)))</f>
        <v>0</v>
      </c>
      <c r="BB99" s="39">
        <f>IF(ISERROR(LOOKUP(BB$10,$R99:$AT99,#REF!)),0,(LOOKUP(BB$10,$R99:$AT99,#REF!)))</f>
        <v>0</v>
      </c>
      <c r="BC99" s="39">
        <f>IF(ISERROR(LOOKUP(BC$10,$R99:$AT99,#REF!)),0,(LOOKUP(BC$10,$R99:$AT99,#REF!)))</f>
        <v>0</v>
      </c>
      <c r="BD99" s="39">
        <f>IF(ISERROR(LOOKUP(BD$10,$R99:$AT99,#REF!)),0,(LOOKUP(BD$10,$R99:$AT99,#REF!)))</f>
        <v>0</v>
      </c>
      <c r="BE99" s="405">
        <f ca="1">IF(ISERROR(LOOKUP(BE$10,$R99:$AT99,#REF!)),0,(LOOKUP(BE$10,$R99:$AT99,#REF!)))</f>
        <v>0</v>
      </c>
      <c r="BF99" s="415" t="s">
        <v>908</v>
      </c>
      <c r="BG99" s="428" t="s">
        <v>840</v>
      </c>
      <c r="BH99" s="428"/>
    </row>
    <row r="100" spans="1:61" s="3" customFormat="1" ht="21" thickTop="1" thickBot="1" x14ac:dyDescent="0.45">
      <c r="A100" s="507">
        <f t="shared" ref="A100" si="24">A97+1</f>
        <v>27</v>
      </c>
      <c r="B100" s="91" t="s">
        <v>727</v>
      </c>
      <c r="C100" s="14" t="s">
        <v>380</v>
      </c>
      <c r="D100" s="177" t="s">
        <v>726</v>
      </c>
      <c r="E100" s="63" t="s">
        <v>66</v>
      </c>
      <c r="F100" s="15" t="s">
        <v>58</v>
      </c>
      <c r="G100" s="13" t="s">
        <v>51</v>
      </c>
      <c r="H100" s="13" t="s">
        <v>192</v>
      </c>
      <c r="I100" s="13" t="s">
        <v>286</v>
      </c>
      <c r="J100" s="41"/>
      <c r="K100" s="220" t="s">
        <v>834</v>
      </c>
      <c r="L100" s="342" t="s">
        <v>1043</v>
      </c>
      <c r="M100" s="220" t="s">
        <v>882</v>
      </c>
      <c r="N100" s="193"/>
      <c r="O100" s="193"/>
      <c r="P100" s="174" t="s">
        <v>32</v>
      </c>
      <c r="Q100" s="17" t="s">
        <v>33</v>
      </c>
      <c r="R100" s="18">
        <v>46220</v>
      </c>
      <c r="S100" s="18">
        <v>46223</v>
      </c>
      <c r="T100" s="18">
        <v>46230</v>
      </c>
      <c r="U100" s="18">
        <v>46231</v>
      </c>
      <c r="V100" s="18">
        <v>46239</v>
      </c>
      <c r="W100" s="18">
        <v>46253</v>
      </c>
      <c r="X100" s="18">
        <v>46281</v>
      </c>
      <c r="Y100" s="18">
        <v>46286</v>
      </c>
      <c r="Z100" s="18"/>
      <c r="AA100" s="206">
        <v>46308</v>
      </c>
      <c r="AB100" s="18">
        <v>46310</v>
      </c>
      <c r="AC100" s="18">
        <v>46317</v>
      </c>
      <c r="AD100" s="18">
        <v>46345</v>
      </c>
      <c r="AE100" s="18">
        <v>46359</v>
      </c>
      <c r="AF100" s="18">
        <v>46389</v>
      </c>
      <c r="AG100" s="18">
        <v>46389</v>
      </c>
      <c r="AH100" s="18">
        <v>46391</v>
      </c>
      <c r="AI100" s="18">
        <v>46454</v>
      </c>
      <c r="AJ100" s="18">
        <v>46474</v>
      </c>
      <c r="AK100" s="18">
        <v>46504</v>
      </c>
      <c r="AL100" s="18">
        <v>46507</v>
      </c>
      <c r="AM100" s="18">
        <v>46534</v>
      </c>
      <c r="AN100" s="57">
        <v>28</v>
      </c>
      <c r="AO100" s="58">
        <v>196</v>
      </c>
      <c r="AP100" s="77">
        <v>46504</v>
      </c>
      <c r="AQ100" s="493">
        <v>46451</v>
      </c>
      <c r="AR100" s="19">
        <f>AQ100-AP101</f>
        <v>5</v>
      </c>
      <c r="AS100" s="142" t="s">
        <v>364</v>
      </c>
      <c r="AT100" s="501"/>
      <c r="AU100" s="20">
        <f>IF(ISERROR(LOOKUP(AU$10,$R100:$AT100,#REF!)),0,(LOOKUP(AU$10,$R100:$AT100,#REF!)))</f>
        <v>0</v>
      </c>
      <c r="AV100" s="21">
        <f>IF(ISERROR(LOOKUP(AV$10,$R100:$AT100,#REF!)),0,(LOOKUP(AV$10,$R100:$AT100,#REF!)))</f>
        <v>0</v>
      </c>
      <c r="AW100" s="21">
        <f>IF(ISERROR(LOOKUP(AW$10,$R100:$AT100,#REF!)),0,(LOOKUP(AW$10,$R100:$AT100,#REF!)))</f>
        <v>0</v>
      </c>
      <c r="AX100" s="21">
        <f>IF(ISERROR(LOOKUP(AX$10,$R100:$AT100,#REF!)),0,(LOOKUP(AX$10,$R100:$AT100,#REF!)))</f>
        <v>0</v>
      </c>
      <c r="AY100" s="21">
        <f>IF(ISERROR(LOOKUP(AY$10,$R100:$AT100,#REF!)),0,(LOOKUP(AY$10,$R100:$AT100,#REF!)))</f>
        <v>0</v>
      </c>
      <c r="AZ100" s="21">
        <f>IF(ISERROR(LOOKUP(AZ$10,$R100:$AT100,#REF!)),0,(LOOKUP(AZ$10,$R100:$AT100,#REF!)))</f>
        <v>0</v>
      </c>
      <c r="BA100" s="21">
        <f>IF(ISERROR(LOOKUP(BA$10,$R100:$AT100,#REF!)),0,(LOOKUP(BA$10,$R100:$AT100,#REF!)))</f>
        <v>0</v>
      </c>
      <c r="BB100" s="21">
        <f>IF(ISERROR(LOOKUP(BB$10,$R100:$AT100,#REF!)),0,(LOOKUP(BB$10,$R100:$AT100,#REF!)))</f>
        <v>0</v>
      </c>
      <c r="BC100" s="21">
        <f>IF(ISERROR(LOOKUP(BC$10,$R100:$AT100,#REF!)),0,(LOOKUP(BC$10,$R100:$AT100,#REF!)))</f>
        <v>0</v>
      </c>
      <c r="BD100" s="21">
        <f>IF(ISERROR(LOOKUP(BD$10,$R100:$AT100,#REF!)),0,(LOOKUP(BD$10,$R100:$AT100,#REF!)))</f>
        <v>0</v>
      </c>
      <c r="BE100" s="402">
        <f ca="1">IF(ISERROR(LOOKUP(BE$10,$R100:$AT100,#REF!)),0,(LOOKUP(BE$10,$R100:$AT100,#REF!)))</f>
        <v>0</v>
      </c>
      <c r="BF100" s="415" t="s">
        <v>640</v>
      </c>
      <c r="BG100" s="428" t="s">
        <v>981</v>
      </c>
      <c r="BH100" s="428"/>
      <c r="BI100" s="3" t="s">
        <v>841</v>
      </c>
    </row>
    <row r="101" spans="1:61" s="3" customFormat="1" ht="16.899999999999999" customHeight="1" thickTop="1" thickBot="1" x14ac:dyDescent="0.45">
      <c r="A101" s="508"/>
      <c r="B101" s="92" t="s">
        <v>727</v>
      </c>
      <c r="C101" s="187" t="s">
        <v>380</v>
      </c>
      <c r="D101" s="23" t="s">
        <v>726</v>
      </c>
      <c r="E101" s="42" t="s">
        <v>66</v>
      </c>
      <c r="F101" s="45" t="s">
        <v>58</v>
      </c>
      <c r="G101" s="22" t="s">
        <v>51</v>
      </c>
      <c r="H101" s="40" t="s">
        <v>192</v>
      </c>
      <c r="I101" s="40" t="s">
        <v>286</v>
      </c>
      <c r="J101" s="42"/>
      <c r="K101" s="213" t="s">
        <v>835</v>
      </c>
      <c r="L101" s="343" t="s">
        <v>835</v>
      </c>
      <c r="M101" s="192" t="s">
        <v>952</v>
      </c>
      <c r="N101" s="42"/>
      <c r="O101" s="42"/>
      <c r="P101" s="175" t="s">
        <v>32</v>
      </c>
      <c r="Q101" s="25" t="s">
        <v>34</v>
      </c>
      <c r="R101" s="26"/>
      <c r="S101" s="27"/>
      <c r="T101" s="27"/>
      <c r="U101" s="27"/>
      <c r="V101" s="27"/>
      <c r="W101" s="27"/>
      <c r="X101" s="27"/>
      <c r="Y101" s="27"/>
      <c r="Z101" s="27">
        <v>46287</v>
      </c>
      <c r="AA101" s="27">
        <v>46308</v>
      </c>
      <c r="AB101" s="27">
        <v>46310</v>
      </c>
      <c r="AC101" s="27">
        <v>46317</v>
      </c>
      <c r="AD101" s="27">
        <v>46345</v>
      </c>
      <c r="AE101" s="27">
        <v>46359</v>
      </c>
      <c r="AF101" s="27">
        <v>46389</v>
      </c>
      <c r="AG101" s="27">
        <v>46389</v>
      </c>
      <c r="AH101" s="27">
        <v>46391</v>
      </c>
      <c r="AI101" s="27">
        <v>46454</v>
      </c>
      <c r="AJ101" s="27">
        <v>46474</v>
      </c>
      <c r="AK101" s="27">
        <v>46504</v>
      </c>
      <c r="AL101" s="27">
        <v>46507</v>
      </c>
      <c r="AM101" s="27">
        <v>46534</v>
      </c>
      <c r="AN101" s="88"/>
      <c r="AO101" s="88"/>
      <c r="AP101" s="82">
        <v>46446</v>
      </c>
      <c r="AQ101" s="82"/>
      <c r="AR101" s="28"/>
      <c r="AS101" s="140"/>
      <c r="AT101" s="502"/>
      <c r="AU101" s="20">
        <f>IF(ISERROR(LOOKUP(AU$10,$R101:$AT101,#REF!)),0,(LOOKUP(AU$10,$R101:$AT101,#REF!)))</f>
        <v>0</v>
      </c>
      <c r="AV101" s="21">
        <f>IF(ISERROR(LOOKUP(AV$10,$R101:$AT101,#REF!)),0,(LOOKUP(AV$10,$R101:$AT101,#REF!)))</f>
        <v>0</v>
      </c>
      <c r="AW101" s="21">
        <f>IF(ISERROR(LOOKUP(AW$10,$R101:$AT101,#REF!)),0,(LOOKUP(AW$10,$R101:$AT101,#REF!)))</f>
        <v>0</v>
      </c>
      <c r="AX101" s="21">
        <f>IF(ISERROR(LOOKUP(AX$10,$R101:$AT101,#REF!)),0,(LOOKUP(AX$10,$R101:$AT101,#REF!)))</f>
        <v>0</v>
      </c>
      <c r="AY101" s="21">
        <f>IF(ISERROR(LOOKUP(AY$10,$R101:$AT101,#REF!)),0,(LOOKUP(AY$10,$R101:$AT101,#REF!)))</f>
        <v>0</v>
      </c>
      <c r="AZ101" s="21">
        <f>IF(ISERROR(LOOKUP(AZ$10,$R101:$AT101,#REF!)),0,(LOOKUP(AZ$10,$R101:$AT101,#REF!)))</f>
        <v>0</v>
      </c>
      <c r="BA101" s="21">
        <f>IF(ISERROR(LOOKUP(BA$10,$R101:$AT101,#REF!)),0,(LOOKUP(BA$10,$R101:$AT101,#REF!)))</f>
        <v>0</v>
      </c>
      <c r="BB101" s="21">
        <f>IF(ISERROR(LOOKUP(BB$10,$R101:$AT101,#REF!)),0,(LOOKUP(BB$10,$R101:$AT101,#REF!)))</f>
        <v>0</v>
      </c>
      <c r="BC101" s="21">
        <f>IF(ISERROR(LOOKUP(BC$10,$R101:$AT101,#REF!)),0,(LOOKUP(BC$10,$R101:$AT101,#REF!)))</f>
        <v>0</v>
      </c>
      <c r="BD101" s="21">
        <f>IF(ISERROR(LOOKUP(BD$10,$R101:$AT101,#REF!)),0,(LOOKUP(BD$10,$R101:$AT101,#REF!)))</f>
        <v>0</v>
      </c>
      <c r="BE101" s="402">
        <f ca="1">IF(ISERROR(LOOKUP(BE$10,$R101:$AT101,#REF!)),0,(LOOKUP(BE$10,$R101:$AT101,#REF!)))</f>
        <v>0</v>
      </c>
      <c r="BF101" s="415" t="s">
        <v>907</v>
      </c>
      <c r="BG101" s="428"/>
      <c r="BH101" s="428"/>
    </row>
    <row r="102" spans="1:61" s="3" customFormat="1" ht="19.899999999999999" customHeight="1" thickTop="1" thickBot="1" x14ac:dyDescent="0.45">
      <c r="A102" s="509"/>
      <c r="B102" s="93" t="s">
        <v>727</v>
      </c>
      <c r="C102" s="32" t="s">
        <v>380</v>
      </c>
      <c r="D102" s="32" t="s">
        <v>725</v>
      </c>
      <c r="E102" s="44" t="s">
        <v>66</v>
      </c>
      <c r="F102" s="33" t="s">
        <v>58</v>
      </c>
      <c r="G102" s="31" t="s">
        <v>51</v>
      </c>
      <c r="H102" s="31" t="s">
        <v>192</v>
      </c>
      <c r="I102" s="31" t="s">
        <v>286</v>
      </c>
      <c r="J102" s="44"/>
      <c r="K102" s="290" t="s">
        <v>839</v>
      </c>
      <c r="L102" s="210" t="s">
        <v>839</v>
      </c>
      <c r="M102" s="195" t="s">
        <v>1044</v>
      </c>
      <c r="N102" s="44"/>
      <c r="O102" s="44"/>
      <c r="P102" s="176" t="s">
        <v>32</v>
      </c>
      <c r="Q102" s="34" t="s">
        <v>35</v>
      </c>
      <c r="R102" s="35">
        <v>46231</v>
      </c>
      <c r="S102" s="35">
        <v>46217</v>
      </c>
      <c r="T102" s="35">
        <v>46231</v>
      </c>
      <c r="U102" s="35">
        <v>46231</v>
      </c>
      <c r="V102" s="35">
        <v>46231</v>
      </c>
      <c r="W102" s="35">
        <v>46259</v>
      </c>
      <c r="X102" s="35" t="s">
        <v>342</v>
      </c>
      <c r="Y102" s="35" t="s">
        <v>1058</v>
      </c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81"/>
      <c r="AO102" s="79"/>
      <c r="AP102" s="36"/>
      <c r="AQ102" s="36"/>
      <c r="AR102" s="37"/>
      <c r="AS102" s="141"/>
      <c r="AT102" s="503"/>
      <c r="AU102" s="38">
        <f>IF(ISERROR(LOOKUP(AU$10,$R102:$AT102,#REF!)),0,(LOOKUP(AU$10,$R102:$AT102,#REF!)))</f>
        <v>0</v>
      </c>
      <c r="AV102" s="39">
        <f>IF(ISERROR(LOOKUP(AV$10,$R102:$AT102,#REF!)),0,(LOOKUP(AV$10,$R102:$AT102,#REF!)))</f>
        <v>0</v>
      </c>
      <c r="AW102" s="39">
        <f>IF(ISERROR(LOOKUP(AW$10,$R102:$AT102,#REF!)),0,(LOOKUP(AW$10,$R102:$AT102,#REF!)))</f>
        <v>0</v>
      </c>
      <c r="AX102" s="39">
        <f>IF(ISERROR(LOOKUP(AX$10,$R102:$AT102,#REF!)),0,(LOOKUP(AX$10,$R102:$AT102,#REF!)))</f>
        <v>0</v>
      </c>
      <c r="AY102" s="39">
        <f>IF(ISERROR(LOOKUP(AY$10,$R102:$AT102,#REF!)),0,(LOOKUP(AY$10,$R102:$AT102,#REF!)))</f>
        <v>0</v>
      </c>
      <c r="AZ102" s="39">
        <f>IF(ISERROR(LOOKUP(AZ$10,$R102:$AT102,#REF!)),0,(LOOKUP(AZ$10,$R102:$AT102,#REF!)))</f>
        <v>0</v>
      </c>
      <c r="BA102" s="39">
        <f>IF(ISERROR(LOOKUP(BA$10,$R102:$AT102,#REF!)),0,(LOOKUP(BA$10,$R102:$AT102,#REF!)))</f>
        <v>0</v>
      </c>
      <c r="BB102" s="39">
        <f>IF(ISERROR(LOOKUP(BB$10,$R102:$AT102,#REF!)),0,(LOOKUP(BB$10,$R102:$AT102,#REF!)))</f>
        <v>0</v>
      </c>
      <c r="BC102" s="39">
        <f>IF(ISERROR(LOOKUP(BC$10,$R102:$AT102,#REF!)),0,(LOOKUP(BC$10,$R102:$AT102,#REF!)))</f>
        <v>0</v>
      </c>
      <c r="BD102" s="39">
        <f>IF(ISERROR(LOOKUP(BD$10,$R102:$AT102,#REF!)),0,(LOOKUP(BD$10,$R102:$AT102,#REF!)))</f>
        <v>0</v>
      </c>
      <c r="BE102" s="405">
        <f ca="1">IF(ISERROR(LOOKUP(BE$10,$R102:$AT102,#REF!)),0,(LOOKUP(BE$10,$R102:$AT102,#REF!)))</f>
        <v>0</v>
      </c>
      <c r="BF102" s="415" t="s">
        <v>908</v>
      </c>
      <c r="BG102" s="428" t="s">
        <v>842</v>
      </c>
      <c r="BH102" s="428"/>
    </row>
    <row r="103" spans="1:61" s="3" customFormat="1" ht="14.25" thickTop="1" thickBot="1" x14ac:dyDescent="0.45">
      <c r="A103" s="495">
        <f>A100+1</f>
        <v>28</v>
      </c>
      <c r="B103" s="91" t="s">
        <v>728</v>
      </c>
      <c r="C103" s="14" t="s">
        <v>724</v>
      </c>
      <c r="D103" s="338" t="s">
        <v>811</v>
      </c>
      <c r="E103" s="63" t="s">
        <v>66</v>
      </c>
      <c r="F103" s="15" t="s">
        <v>58</v>
      </c>
      <c r="G103" s="13" t="s">
        <v>51</v>
      </c>
      <c r="H103" s="13" t="s">
        <v>189</v>
      </c>
      <c r="I103" s="13" t="s">
        <v>286</v>
      </c>
      <c r="J103" s="345" t="s">
        <v>1097</v>
      </c>
      <c r="K103" s="297"/>
      <c r="L103" s="193"/>
      <c r="M103" s="193"/>
      <c r="N103" s="193"/>
      <c r="O103" s="193"/>
      <c r="P103" s="174" t="s">
        <v>358</v>
      </c>
      <c r="Q103" s="17" t="s">
        <v>33</v>
      </c>
      <c r="R103" s="18">
        <v>46220</v>
      </c>
      <c r="S103" s="18">
        <v>46223</v>
      </c>
      <c r="T103" s="18">
        <v>46230</v>
      </c>
      <c r="U103" s="18">
        <v>46231</v>
      </c>
      <c r="V103" s="18">
        <v>46239</v>
      </c>
      <c r="W103" s="18">
        <v>46253</v>
      </c>
      <c r="X103" s="18">
        <v>46281</v>
      </c>
      <c r="Y103" s="18">
        <v>46286</v>
      </c>
      <c r="Z103" s="18"/>
      <c r="AA103" s="206">
        <v>46308</v>
      </c>
      <c r="AB103" s="18">
        <v>46310</v>
      </c>
      <c r="AC103" s="18">
        <v>46317</v>
      </c>
      <c r="AD103" s="18">
        <v>46345</v>
      </c>
      <c r="AE103" s="18">
        <v>46359</v>
      </c>
      <c r="AF103" s="18">
        <v>46389</v>
      </c>
      <c r="AG103" s="18">
        <v>46389</v>
      </c>
      <c r="AH103" s="18">
        <v>46391</v>
      </c>
      <c r="AI103" s="18">
        <v>46454</v>
      </c>
      <c r="AJ103" s="18">
        <v>46474</v>
      </c>
      <c r="AK103" s="18">
        <v>46504</v>
      </c>
      <c r="AL103" s="18">
        <v>46507</v>
      </c>
      <c r="AM103" s="18">
        <v>46534</v>
      </c>
      <c r="AN103" s="57">
        <v>28</v>
      </c>
      <c r="AO103" s="58">
        <v>196</v>
      </c>
      <c r="AP103" s="77">
        <v>46504</v>
      </c>
      <c r="AQ103" s="77">
        <v>46500</v>
      </c>
      <c r="AR103" s="19">
        <v>26</v>
      </c>
      <c r="AS103" s="142" t="s">
        <v>823</v>
      </c>
      <c r="AT103" s="348"/>
      <c r="AU103" s="38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415"/>
      <c r="BG103" s="428"/>
      <c r="BH103" s="428"/>
    </row>
    <row r="104" spans="1:61" s="3" customFormat="1" ht="13.9" thickBot="1" x14ac:dyDescent="0.45">
      <c r="A104" s="496"/>
      <c r="B104" s="92" t="s">
        <v>728</v>
      </c>
      <c r="C104" s="187" t="s">
        <v>978</v>
      </c>
      <c r="D104" s="23" t="s">
        <v>811</v>
      </c>
      <c r="E104" s="42" t="s">
        <v>66</v>
      </c>
      <c r="F104" s="45" t="s">
        <v>58</v>
      </c>
      <c r="G104" s="22" t="s">
        <v>51</v>
      </c>
      <c r="H104" s="40" t="s">
        <v>189</v>
      </c>
      <c r="I104" s="40" t="s">
        <v>286</v>
      </c>
      <c r="J104" s="42"/>
      <c r="K104" s="357"/>
      <c r="L104" s="42"/>
      <c r="M104" s="42"/>
      <c r="N104" s="42"/>
      <c r="O104" s="42"/>
      <c r="P104" s="175" t="s">
        <v>358</v>
      </c>
      <c r="Q104" s="25" t="s">
        <v>34</v>
      </c>
      <c r="R104" s="26"/>
      <c r="S104" s="27"/>
      <c r="T104" s="27"/>
      <c r="U104" s="27"/>
      <c r="V104" s="27"/>
      <c r="W104" s="27"/>
      <c r="X104" s="27"/>
      <c r="Y104" s="27"/>
      <c r="Z104" s="27">
        <v>46289</v>
      </c>
      <c r="AA104" s="27">
        <f t="shared" ref="AA104:AH104" si="25">AA103</f>
        <v>46308</v>
      </c>
      <c r="AB104" s="27">
        <f t="shared" si="25"/>
        <v>46310</v>
      </c>
      <c r="AC104" s="27">
        <f t="shared" si="25"/>
        <v>46317</v>
      </c>
      <c r="AD104" s="27">
        <f t="shared" si="25"/>
        <v>46345</v>
      </c>
      <c r="AE104" s="27">
        <f t="shared" si="25"/>
        <v>46359</v>
      </c>
      <c r="AF104" s="27">
        <f t="shared" si="25"/>
        <v>46389</v>
      </c>
      <c r="AG104" s="27">
        <f t="shared" si="25"/>
        <v>46389</v>
      </c>
      <c r="AH104" s="27">
        <f t="shared" si="25"/>
        <v>46391</v>
      </c>
      <c r="AI104" s="27">
        <v>46454</v>
      </c>
      <c r="AJ104" s="27">
        <v>46474</v>
      </c>
      <c r="AK104" s="27">
        <v>46504</v>
      </c>
      <c r="AL104" s="27">
        <v>46507</v>
      </c>
      <c r="AM104" s="27">
        <v>46534</v>
      </c>
      <c r="AN104" s="88"/>
      <c r="AO104" s="88"/>
      <c r="AP104" s="82">
        <f>AA104+AO103</f>
        <v>46504</v>
      </c>
      <c r="AQ104" s="82"/>
      <c r="AR104" s="28"/>
      <c r="AS104" s="362"/>
      <c r="AT104" s="348"/>
      <c r="AU104" s="38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415"/>
      <c r="BG104" s="428"/>
      <c r="BH104" s="428"/>
    </row>
    <row r="105" spans="1:61" s="3" customFormat="1" ht="13.9" thickBot="1" x14ac:dyDescent="0.45">
      <c r="A105" s="497"/>
      <c r="B105" s="93" t="s">
        <v>728</v>
      </c>
      <c r="C105" s="32" t="s">
        <v>724</v>
      </c>
      <c r="D105" s="32" t="s">
        <v>811</v>
      </c>
      <c r="E105" s="44" t="s">
        <v>66</v>
      </c>
      <c r="F105" s="33" t="s">
        <v>58</v>
      </c>
      <c r="G105" s="31" t="s">
        <v>51</v>
      </c>
      <c r="H105" s="31" t="s">
        <v>189</v>
      </c>
      <c r="I105" s="31" t="s">
        <v>286</v>
      </c>
      <c r="J105" s="44"/>
      <c r="K105" s="355"/>
      <c r="L105" s="44"/>
      <c r="M105" s="44"/>
      <c r="N105" s="44"/>
      <c r="O105" s="44"/>
      <c r="P105" s="176" t="s">
        <v>358</v>
      </c>
      <c r="Q105" s="34" t="s">
        <v>35</v>
      </c>
      <c r="R105" s="35">
        <v>46250</v>
      </c>
      <c r="S105" s="35">
        <v>46217</v>
      </c>
      <c r="T105" s="35">
        <v>46231</v>
      </c>
      <c r="U105" s="35">
        <v>46250</v>
      </c>
      <c r="V105" s="35">
        <v>46250</v>
      </c>
      <c r="W105" s="35">
        <v>46266</v>
      </c>
      <c r="X105" s="35" t="s">
        <v>342</v>
      </c>
      <c r="Y105" s="35" t="s">
        <v>1058</v>
      </c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81"/>
      <c r="AO105" s="79"/>
      <c r="AP105" s="36"/>
      <c r="AQ105" s="36"/>
      <c r="AR105" s="37"/>
      <c r="AS105" s="349"/>
      <c r="AT105" s="348"/>
      <c r="AU105" s="38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415"/>
      <c r="BG105" s="428"/>
      <c r="BH105" s="428"/>
    </row>
    <row r="106" spans="1:61" s="3" customFormat="1" ht="24" thickTop="1" thickBot="1" x14ac:dyDescent="0.45">
      <c r="A106" s="495">
        <f>A103+1</f>
        <v>29</v>
      </c>
      <c r="B106" s="91" t="s">
        <v>728</v>
      </c>
      <c r="C106" s="14" t="s">
        <v>724</v>
      </c>
      <c r="D106" s="338" t="s">
        <v>1032</v>
      </c>
      <c r="E106" s="63" t="s">
        <v>66</v>
      </c>
      <c r="F106" s="15" t="s">
        <v>58</v>
      </c>
      <c r="G106" s="13" t="s">
        <v>51</v>
      </c>
      <c r="H106" s="13" t="s">
        <v>1</v>
      </c>
      <c r="I106" s="13" t="s">
        <v>286</v>
      </c>
      <c r="J106" s="345" t="s">
        <v>1044</v>
      </c>
      <c r="K106" s="297"/>
      <c r="L106" s="193"/>
      <c r="M106" s="193"/>
      <c r="N106" s="193"/>
      <c r="O106" s="193"/>
      <c r="P106" s="174" t="s">
        <v>358</v>
      </c>
      <c r="Q106" s="17" t="s">
        <v>33</v>
      </c>
      <c r="R106" s="18">
        <v>46220</v>
      </c>
      <c r="S106" s="18">
        <v>46223</v>
      </c>
      <c r="T106" s="18">
        <v>46230</v>
      </c>
      <c r="U106" s="18">
        <v>46231</v>
      </c>
      <c r="V106" s="18">
        <v>46239</v>
      </c>
      <c r="W106" s="18">
        <v>46253</v>
      </c>
      <c r="X106" s="18">
        <v>46281</v>
      </c>
      <c r="Y106" s="18">
        <v>46286</v>
      </c>
      <c r="Z106" s="18"/>
      <c r="AA106" s="206">
        <v>46308</v>
      </c>
      <c r="AB106" s="18">
        <v>46310</v>
      </c>
      <c r="AC106" s="18">
        <v>46317</v>
      </c>
      <c r="AD106" s="18">
        <v>46345</v>
      </c>
      <c r="AE106" s="18">
        <v>46359</v>
      </c>
      <c r="AF106" s="18">
        <v>46389</v>
      </c>
      <c r="AG106" s="18">
        <v>46389</v>
      </c>
      <c r="AH106" s="18">
        <v>46391</v>
      </c>
      <c r="AI106" s="18">
        <v>46454</v>
      </c>
      <c r="AJ106" s="18">
        <v>46474</v>
      </c>
      <c r="AK106" s="18">
        <v>46504</v>
      </c>
      <c r="AL106" s="18">
        <v>46507</v>
      </c>
      <c r="AM106" s="18">
        <v>46534</v>
      </c>
      <c r="AN106" s="57">
        <v>28</v>
      </c>
      <c r="AO106" s="58">
        <v>196</v>
      </c>
      <c r="AP106" s="77">
        <v>46504</v>
      </c>
      <c r="AQ106" s="77">
        <v>46500</v>
      </c>
      <c r="AR106" s="19">
        <f>AQ106-AP108</f>
        <v>23</v>
      </c>
      <c r="AS106" s="142" t="s">
        <v>1011</v>
      </c>
      <c r="AT106" s="364"/>
      <c r="AU106" s="38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415" t="s">
        <v>1033</v>
      </c>
      <c r="BG106" s="428">
        <v>46325</v>
      </c>
      <c r="BH106" s="428" t="s">
        <v>1034</v>
      </c>
    </row>
    <row r="107" spans="1:61" s="3" customFormat="1" ht="23.65" thickBot="1" x14ac:dyDescent="0.45">
      <c r="A107" s="496"/>
      <c r="B107" s="92" t="s">
        <v>728</v>
      </c>
      <c r="C107" s="187" t="s">
        <v>724</v>
      </c>
      <c r="D107" s="187" t="s">
        <v>1032</v>
      </c>
      <c r="E107" s="42" t="s">
        <v>66</v>
      </c>
      <c r="F107" s="45" t="s">
        <v>58</v>
      </c>
      <c r="G107" s="22" t="s">
        <v>51</v>
      </c>
      <c r="H107" s="40" t="s">
        <v>1</v>
      </c>
      <c r="I107" s="40" t="s">
        <v>286</v>
      </c>
      <c r="J107" s="42"/>
      <c r="K107" s="357"/>
      <c r="L107" s="42"/>
      <c r="M107" s="42"/>
      <c r="N107" s="42"/>
      <c r="O107" s="42"/>
      <c r="P107" s="175" t="s">
        <v>358</v>
      </c>
      <c r="Q107" s="25" t="s">
        <v>34</v>
      </c>
      <c r="R107" s="26"/>
      <c r="S107" s="27"/>
      <c r="T107" s="27"/>
      <c r="U107" s="27"/>
      <c r="V107" s="27"/>
      <c r="W107" s="27"/>
      <c r="X107" s="27"/>
      <c r="Y107" s="27"/>
      <c r="Z107" s="27"/>
      <c r="AA107" s="27">
        <f t="shared" ref="AA107:AH107" si="26">AA106</f>
        <v>46308</v>
      </c>
      <c r="AB107" s="27">
        <f t="shared" si="26"/>
        <v>46310</v>
      </c>
      <c r="AC107" s="27">
        <f t="shared" si="26"/>
        <v>46317</v>
      </c>
      <c r="AD107" s="27">
        <f t="shared" si="26"/>
        <v>46345</v>
      </c>
      <c r="AE107" s="27">
        <f t="shared" si="26"/>
        <v>46359</v>
      </c>
      <c r="AF107" s="27">
        <f t="shared" si="26"/>
        <v>46389</v>
      </c>
      <c r="AG107" s="27">
        <f t="shared" si="26"/>
        <v>46389</v>
      </c>
      <c r="AH107" s="27">
        <f t="shared" si="26"/>
        <v>46391</v>
      </c>
      <c r="AI107" s="27">
        <v>46454</v>
      </c>
      <c r="AJ107" s="27">
        <v>46474</v>
      </c>
      <c r="AK107" s="27">
        <f>AP108</f>
        <v>46477</v>
      </c>
      <c r="AL107" s="27">
        <f>AK107+5</f>
        <v>46482</v>
      </c>
      <c r="AM107" s="27">
        <f>AL107+30</f>
        <v>46512</v>
      </c>
      <c r="AN107" s="88"/>
      <c r="AO107" s="88"/>
      <c r="AP107" s="82">
        <v>46325</v>
      </c>
      <c r="AQ107" s="82"/>
      <c r="AR107" s="28"/>
      <c r="AS107" s="362"/>
      <c r="AT107" s="364"/>
      <c r="AU107" s="38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415" t="s">
        <v>1031</v>
      </c>
      <c r="BG107" s="428">
        <v>46477</v>
      </c>
      <c r="BH107" s="428" t="s">
        <v>1035</v>
      </c>
    </row>
    <row r="108" spans="1:61" s="3" customFormat="1" ht="21.4" customHeight="1" thickBot="1" x14ac:dyDescent="0.45">
      <c r="A108" s="496"/>
      <c r="B108" s="92" t="s">
        <v>728</v>
      </c>
      <c r="C108" s="187" t="s">
        <v>724</v>
      </c>
      <c r="D108" s="187" t="s">
        <v>1032</v>
      </c>
      <c r="E108" s="42" t="s">
        <v>66</v>
      </c>
      <c r="F108" s="45" t="s">
        <v>58</v>
      </c>
      <c r="G108" s="22" t="s">
        <v>51</v>
      </c>
      <c r="H108" s="40" t="s">
        <v>1</v>
      </c>
      <c r="I108" s="40" t="s">
        <v>286</v>
      </c>
      <c r="J108" s="42"/>
      <c r="K108" s="482"/>
      <c r="L108" s="117"/>
      <c r="M108" s="117"/>
      <c r="N108" s="117"/>
      <c r="O108" s="117"/>
      <c r="P108" s="175" t="s">
        <v>358</v>
      </c>
      <c r="Q108" s="25" t="s">
        <v>34</v>
      </c>
      <c r="R108" s="390"/>
      <c r="S108" s="391"/>
      <c r="T108" s="391"/>
      <c r="U108" s="391"/>
      <c r="V108" s="391"/>
      <c r="W108" s="391"/>
      <c r="X108" s="391"/>
      <c r="Y108" s="391"/>
      <c r="Z108" s="391">
        <v>46289</v>
      </c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483"/>
      <c r="AO108" s="483"/>
      <c r="AP108" s="393">
        <v>46477</v>
      </c>
      <c r="AQ108" s="393"/>
      <c r="AR108" s="459"/>
      <c r="AS108" s="140"/>
      <c r="AT108" s="465"/>
      <c r="AU108" s="38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415"/>
      <c r="BG108" s="428"/>
      <c r="BH108" s="428"/>
    </row>
    <row r="109" spans="1:61" s="3" customFormat="1" ht="23.65" thickBot="1" x14ac:dyDescent="0.45">
      <c r="A109" s="497"/>
      <c r="B109" s="93" t="s">
        <v>728</v>
      </c>
      <c r="C109" s="32" t="s">
        <v>724</v>
      </c>
      <c r="D109" s="32" t="s">
        <v>1032</v>
      </c>
      <c r="E109" s="44" t="s">
        <v>66</v>
      </c>
      <c r="F109" s="33" t="s">
        <v>58</v>
      </c>
      <c r="G109" s="31" t="s">
        <v>51</v>
      </c>
      <c r="H109" s="31" t="s">
        <v>1</v>
      </c>
      <c r="I109" s="31" t="s">
        <v>286</v>
      </c>
      <c r="J109" s="44"/>
      <c r="K109" s="355"/>
      <c r="L109" s="44"/>
      <c r="M109" s="44"/>
      <c r="N109" s="44"/>
      <c r="O109" s="44"/>
      <c r="P109" s="176" t="s">
        <v>358</v>
      </c>
      <c r="Q109" s="34" t="s">
        <v>35</v>
      </c>
      <c r="R109" s="35">
        <v>46250</v>
      </c>
      <c r="S109" s="35">
        <v>46217</v>
      </c>
      <c r="T109" s="35">
        <v>46231</v>
      </c>
      <c r="U109" s="35">
        <v>46250</v>
      </c>
      <c r="V109" s="35">
        <v>46250</v>
      </c>
      <c r="W109" s="35">
        <v>46276</v>
      </c>
      <c r="X109" s="35" t="s">
        <v>342</v>
      </c>
      <c r="Y109" s="35" t="s">
        <v>1058</v>
      </c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81"/>
      <c r="AO109" s="79"/>
      <c r="AP109" s="36"/>
      <c r="AQ109" s="36"/>
      <c r="AR109" s="37"/>
      <c r="AS109" s="349"/>
      <c r="AT109" s="364"/>
      <c r="AU109" s="38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415"/>
      <c r="BG109" s="428"/>
      <c r="BH109" s="428"/>
    </row>
    <row r="110" spans="1:61" s="3" customFormat="1" ht="15.75" thickTop="1" thickBot="1" x14ac:dyDescent="0.45">
      <c r="A110" s="507"/>
      <c r="B110" s="91"/>
      <c r="C110" s="234" t="s">
        <v>67</v>
      </c>
      <c r="D110" s="224" t="s">
        <v>384</v>
      </c>
      <c r="E110" s="63" t="s">
        <v>66</v>
      </c>
      <c r="F110" s="15" t="s">
        <v>58</v>
      </c>
      <c r="G110" s="13" t="s">
        <v>51</v>
      </c>
      <c r="H110" s="13" t="s">
        <v>3</v>
      </c>
      <c r="I110" s="13" t="s">
        <v>290</v>
      </c>
      <c r="J110" s="232" t="s">
        <v>526</v>
      </c>
      <c r="K110" s="232"/>
      <c r="L110" s="41"/>
      <c r="M110" s="41"/>
      <c r="N110" s="41"/>
      <c r="O110" s="41"/>
      <c r="P110" s="177" t="s">
        <v>32</v>
      </c>
      <c r="Q110" s="17" t="s">
        <v>33</v>
      </c>
      <c r="R110" s="264">
        <v>46174</v>
      </c>
      <c r="S110" s="264">
        <v>46177</v>
      </c>
      <c r="T110" s="287">
        <v>46184</v>
      </c>
      <c r="U110" s="264">
        <v>46185</v>
      </c>
      <c r="V110" s="264">
        <v>46192</v>
      </c>
      <c r="W110" s="264">
        <v>46206</v>
      </c>
      <c r="X110" s="264">
        <v>46227</v>
      </c>
      <c r="Y110" s="264">
        <v>46234</v>
      </c>
      <c r="Z110" s="264"/>
      <c r="AA110" s="264">
        <v>46248</v>
      </c>
      <c r="AB110" s="264">
        <v>46252</v>
      </c>
      <c r="AC110" s="264">
        <v>46259</v>
      </c>
      <c r="AD110" s="264">
        <v>46280</v>
      </c>
      <c r="AE110" s="264">
        <v>46294</v>
      </c>
      <c r="AF110" s="264">
        <v>46324</v>
      </c>
      <c r="AG110" s="264">
        <v>46324</v>
      </c>
      <c r="AH110" s="264">
        <v>46327</v>
      </c>
      <c r="AI110" s="264">
        <v>46399</v>
      </c>
      <c r="AJ110" s="264">
        <v>46409</v>
      </c>
      <c r="AK110" s="264">
        <v>46416</v>
      </c>
      <c r="AL110" s="264">
        <v>46419</v>
      </c>
      <c r="AM110" s="264">
        <v>46446</v>
      </c>
      <c r="AN110" s="57">
        <v>24</v>
      </c>
      <c r="AO110" s="58">
        <v>168</v>
      </c>
      <c r="AP110" s="77"/>
      <c r="AQ110" s="77"/>
      <c r="AR110" s="19"/>
      <c r="AS110" s="142"/>
      <c r="AT110" s="501"/>
      <c r="AU110" s="20">
        <f>IF(ISERROR(LOOKUP(AU$10,$R110:$AT110,#REF!)),0,(LOOKUP(AU$10,$R110:$AT110,#REF!)))</f>
        <v>0</v>
      </c>
      <c r="AV110" s="21">
        <f>IF(ISERROR(LOOKUP(AV$10,$R110:$AT110,#REF!)),0,(LOOKUP(AV$10,$R110:$AT110,#REF!)))</f>
        <v>0</v>
      </c>
      <c r="AW110" s="21">
        <f>IF(ISERROR(LOOKUP(AW$10,$R110:$AT110,#REF!)),0,(LOOKUP(AW$10,$R110:$AT110,#REF!)))</f>
        <v>0</v>
      </c>
      <c r="AX110" s="21">
        <f>IF(ISERROR(LOOKUP(AX$10,$R110:$AT110,#REF!)),0,(LOOKUP(AX$10,$R110:$AT110,#REF!)))</f>
        <v>0</v>
      </c>
      <c r="AY110" s="21">
        <f>IF(ISERROR(LOOKUP(AY$10,$R110:$AT110,#REF!)),0,(LOOKUP(AY$10,$R110:$AT110,#REF!)))</f>
        <v>0</v>
      </c>
      <c r="AZ110" s="21">
        <f>IF(ISERROR(LOOKUP(AZ$10,$R110:$AT110,#REF!)),0,(LOOKUP(AZ$10,$R110:$AT110,#REF!)))</f>
        <v>0</v>
      </c>
      <c r="BA110" s="21">
        <f>IF(ISERROR(LOOKUP(BA$10,$R110:$AT110,#REF!)),0,(LOOKUP(BA$10,$R110:$AT110,#REF!)))</f>
        <v>0</v>
      </c>
      <c r="BB110" s="21">
        <f>IF(ISERROR(LOOKUP(BB$10,$R110:$AT110,#REF!)),0,(LOOKUP(BB$10,$R110:$AT110,#REF!)))</f>
        <v>0</v>
      </c>
      <c r="BC110" s="21">
        <f>IF(ISERROR(LOOKUP(BC$10,$R110:$AT110,#REF!)),0,(LOOKUP(BC$10,$R110:$AT110,#REF!)))</f>
        <v>0</v>
      </c>
      <c r="BD110" s="21">
        <f>IF(ISERROR(LOOKUP(BD$10,$R110:$AT110,#REF!)),0,(LOOKUP(BD$10,$R110:$AT110,#REF!)))</f>
        <v>0</v>
      </c>
      <c r="BE110" s="402">
        <f ca="1">IF(ISERROR(LOOKUP(BE$10,$R110:$AT110,#REF!)),0,(LOOKUP(BE$10,$R110:$AT110,#REF!)))</f>
        <v>0</v>
      </c>
      <c r="BF110" s="415"/>
      <c r="BG110" s="428"/>
      <c r="BH110" s="428"/>
    </row>
    <row r="111" spans="1:61" s="3" customFormat="1" ht="14.25" thickTop="1" thickBot="1" x14ac:dyDescent="0.45">
      <c r="A111" s="508"/>
      <c r="B111" s="92"/>
      <c r="C111" s="235" t="s">
        <v>67</v>
      </c>
      <c r="D111" s="227" t="s">
        <v>68</v>
      </c>
      <c r="E111" s="42" t="s">
        <v>66</v>
      </c>
      <c r="F111" s="45" t="s">
        <v>58</v>
      </c>
      <c r="G111" s="22" t="s">
        <v>51</v>
      </c>
      <c r="H111" s="40" t="s">
        <v>3</v>
      </c>
      <c r="I111" s="40" t="s">
        <v>290</v>
      </c>
      <c r="J111" s="42"/>
      <c r="K111" s="194"/>
      <c r="L111" s="42"/>
      <c r="M111" s="42"/>
      <c r="N111" s="42"/>
      <c r="O111" s="42"/>
      <c r="P111" s="178" t="s">
        <v>32</v>
      </c>
      <c r="Q111" s="25" t="s">
        <v>34</v>
      </c>
      <c r="R111" s="266">
        <v>46193</v>
      </c>
      <c r="S111" s="266">
        <v>46183</v>
      </c>
      <c r="T111" s="288">
        <f>WORKDAY(S111, T9, IF(V12="China",'[1]China Holidays'!$A$2:$A$84,'[1]Thai Holidays'!$A$2:$A$65))</f>
        <v>46197</v>
      </c>
      <c r="U111" s="266">
        <f>WORKDAY(T111, U9, IF(W12="China",'[1]China Holidays'!$A$2:$A$84,'[1]Thai Holidays'!$A$2:$A$65))</f>
        <v>46197</v>
      </c>
      <c r="V111" s="266">
        <f>WORKDAY(U111, V9, IF(X12="China",'[1]China Holidays'!$A$2:$A$84,'[1]Thai Holidays'!$A$2:$A$65))</f>
        <v>46197</v>
      </c>
      <c r="W111" s="266">
        <f>WORKDAY(V111, W9, IF(Y12="China",'[1]China Holidays'!$A$2:$A$84,'[1]Thai Holidays'!$A$2:$A$65))</f>
        <v>46204</v>
      </c>
      <c r="X111" s="266">
        <f>WORKDAY(W111, X9, IF(AA12="China",'[1]China Holidays'!$A$2:$A$84,'[1]Thai Holidays'!$A$2:$A$65))</f>
        <v>46213</v>
      </c>
      <c r="Y111" s="266">
        <f>WORKDAY(X111, Y9, IF(AB12="China",'[1]China Holidays'!$A$2:$A$84,'[1]Thai Holidays'!$A$2:$A$65))</f>
        <v>46227</v>
      </c>
      <c r="Z111" s="266"/>
      <c r="AA111" s="266">
        <f>WORKDAY(Y111, AA9, IF(AC12="China",'[1]China Holidays'!$A$2:$A$84,'[1]Thai Holidays'!$A$2:$A$65))</f>
        <v>46234</v>
      </c>
      <c r="AB111" s="266">
        <f>WORKDAY(AA111, AB9, IF(AD12="China",'[1]China Holidays'!$A$2:$A$84,'[1]Thai Holidays'!$A$2:$A$65))</f>
        <v>46238</v>
      </c>
      <c r="AC111" s="266">
        <f>WORKDAY(AB111, AC9, IF(AE12="China",'[1]China Holidays'!$A$2:$A$84,'[1]Thai Holidays'!$A$2:$A$65))</f>
        <v>46245</v>
      </c>
      <c r="AD111" s="266">
        <f>WORKDAY(AC111, AD9, IF(AF12="China",'[1]China Holidays'!$A$2:$A$84,'[1]Thai Holidays'!$A$2:$A$65))</f>
        <v>46260</v>
      </c>
      <c r="AE111" s="266">
        <f>WORKDAY(AD111, AE9, IF(AG12="China",'[1]China Holidays'!$A$2:$A$84,'[1]Thai Holidays'!$A$2:$A$65))</f>
        <v>46274</v>
      </c>
      <c r="AF111" s="266">
        <f>AE111+30</f>
        <v>46304</v>
      </c>
      <c r="AG111" s="266">
        <f>AF111</f>
        <v>46304</v>
      </c>
      <c r="AH111" s="266">
        <f>AG111+3</f>
        <v>46307</v>
      </c>
      <c r="AI111" s="266"/>
      <c r="AJ111" s="266"/>
      <c r="AK111" s="266"/>
      <c r="AL111" s="266"/>
      <c r="AM111" s="266"/>
      <c r="AN111" s="80"/>
      <c r="AO111" s="78"/>
      <c r="AP111" s="82"/>
      <c r="AQ111" s="82"/>
      <c r="AR111" s="28"/>
      <c r="AS111" s="140"/>
      <c r="AT111" s="502"/>
      <c r="AU111" s="20">
        <f>IF(ISERROR(LOOKUP(AU$10,$R111:$AT111,#REF!)),0,(LOOKUP(AU$10,$R111:$AT111,#REF!)))</f>
        <v>0</v>
      </c>
      <c r="AV111" s="21">
        <f>IF(ISERROR(LOOKUP(AV$10,$R111:$AT111,#REF!)),0,(LOOKUP(AV$10,$R111:$AT111,#REF!)))</f>
        <v>0</v>
      </c>
      <c r="AW111" s="21">
        <f>IF(ISERROR(LOOKUP(AW$10,$R111:$AT111,#REF!)),0,(LOOKUP(AW$10,$R111:$AT111,#REF!)))</f>
        <v>0</v>
      </c>
      <c r="AX111" s="21">
        <f>IF(ISERROR(LOOKUP(AX$10,$R111:$AT111,#REF!)),0,(LOOKUP(AX$10,$R111:$AT111,#REF!)))</f>
        <v>0</v>
      </c>
      <c r="AY111" s="21">
        <f>IF(ISERROR(LOOKUP(AY$10,$R111:$AT111,#REF!)),0,(LOOKUP(AY$10,$R111:$AT111,#REF!)))</f>
        <v>0</v>
      </c>
      <c r="AZ111" s="21">
        <f>IF(ISERROR(LOOKUP(AZ$10,$R111:$AT111,#REF!)),0,(LOOKUP(AZ$10,$R111:$AT111,#REF!)))</f>
        <v>0</v>
      </c>
      <c r="BA111" s="21">
        <f>IF(ISERROR(LOOKUP(BA$10,$R111:$AT111,#REF!)),0,(LOOKUP(BA$10,$R111:$AT111,#REF!)))</f>
        <v>0</v>
      </c>
      <c r="BB111" s="21">
        <f>IF(ISERROR(LOOKUP(BB$10,$R111:$AT111,#REF!)),0,(LOOKUP(BB$10,$R111:$AT111,#REF!)))</f>
        <v>0</v>
      </c>
      <c r="BC111" s="21">
        <f>IF(ISERROR(LOOKUP(BC$10,$R111:$AT111,#REF!)),0,(LOOKUP(BC$10,$R111:$AT111,#REF!)))</f>
        <v>0</v>
      </c>
      <c r="BD111" s="21">
        <f>IF(ISERROR(LOOKUP(BD$10,$R111:$AT111,#REF!)),0,(LOOKUP(BD$10,$R111:$AT111,#REF!)))</f>
        <v>0</v>
      </c>
      <c r="BE111" s="402">
        <f ca="1">IF(ISERROR(LOOKUP(BE$10,$R111:$AT111,#REF!)),0,(LOOKUP(BE$10,$R111:$AT111,#REF!)))</f>
        <v>0</v>
      </c>
      <c r="BF111" s="415"/>
      <c r="BG111" s="428"/>
      <c r="BH111" s="428"/>
    </row>
    <row r="112" spans="1:61" s="3" customFormat="1" ht="14.25" thickTop="1" thickBot="1" x14ac:dyDescent="0.45">
      <c r="A112" s="509"/>
      <c r="B112" s="93"/>
      <c r="C112" s="236" t="s">
        <v>67</v>
      </c>
      <c r="D112" s="237" t="s">
        <v>68</v>
      </c>
      <c r="E112" s="44" t="s">
        <v>66</v>
      </c>
      <c r="F112" s="33" t="s">
        <v>58</v>
      </c>
      <c r="G112" s="31" t="s">
        <v>51</v>
      </c>
      <c r="H112" s="31" t="s">
        <v>3</v>
      </c>
      <c r="I112" s="31" t="s">
        <v>290</v>
      </c>
      <c r="J112" s="44"/>
      <c r="K112" s="195"/>
      <c r="L112" s="44"/>
      <c r="M112" s="44"/>
      <c r="N112" s="44"/>
      <c r="O112" s="44"/>
      <c r="P112" s="179" t="s">
        <v>32</v>
      </c>
      <c r="Q112" s="34" t="s">
        <v>35</v>
      </c>
      <c r="R112" s="273"/>
      <c r="S112" s="273"/>
      <c r="T112" s="273"/>
      <c r="U112" s="273"/>
      <c r="V112" s="273"/>
      <c r="W112" s="273"/>
      <c r="X112" s="273"/>
      <c r="Y112" s="273"/>
      <c r="Z112" s="273"/>
      <c r="AA112" s="273"/>
      <c r="AB112" s="273"/>
      <c r="AC112" s="273"/>
      <c r="AD112" s="273"/>
      <c r="AE112" s="273"/>
      <c r="AF112" s="273"/>
      <c r="AG112" s="273"/>
      <c r="AH112" s="273"/>
      <c r="AI112" s="273"/>
      <c r="AJ112" s="273"/>
      <c r="AK112" s="273"/>
      <c r="AL112" s="273"/>
      <c r="AM112" s="273"/>
      <c r="AN112" s="81"/>
      <c r="AO112" s="79"/>
      <c r="AP112" s="36"/>
      <c r="AQ112" s="36"/>
      <c r="AR112" s="37"/>
      <c r="AS112" s="141"/>
      <c r="AT112" s="503"/>
      <c r="AU112" s="38">
        <f>IF(ISERROR(LOOKUP(AU$10,$R112:$AT112,#REF!)),0,(LOOKUP(AU$10,$R112:$AT112,#REF!)))</f>
        <v>0</v>
      </c>
      <c r="AV112" s="39">
        <f>IF(ISERROR(LOOKUP(AV$10,$R112:$AT112,#REF!)),0,(LOOKUP(AV$10,$R112:$AT112,#REF!)))</f>
        <v>0</v>
      </c>
      <c r="AW112" s="39">
        <f>IF(ISERROR(LOOKUP(AW$10,$R112:$AT112,#REF!)),0,(LOOKUP(AW$10,$R112:$AT112,#REF!)))</f>
        <v>0</v>
      </c>
      <c r="AX112" s="39">
        <f>IF(ISERROR(LOOKUP(AX$10,$R112:$AT112,#REF!)),0,(LOOKUP(AX$10,$R112:$AT112,#REF!)))</f>
        <v>0</v>
      </c>
      <c r="AY112" s="39">
        <f>IF(ISERROR(LOOKUP(AY$10,$R112:$AT112,#REF!)),0,(LOOKUP(AY$10,$R112:$AT112,#REF!)))</f>
        <v>0</v>
      </c>
      <c r="AZ112" s="39">
        <f>IF(ISERROR(LOOKUP(AZ$10,$R112:$AT112,#REF!)),0,(LOOKUP(AZ$10,$R112:$AT112,#REF!)))</f>
        <v>0</v>
      </c>
      <c r="BA112" s="39">
        <f>IF(ISERROR(LOOKUP(BA$10,$R112:$AT112,#REF!)),0,(LOOKUP(BA$10,$R112:$AT112,#REF!)))</f>
        <v>0</v>
      </c>
      <c r="BB112" s="39">
        <f>IF(ISERROR(LOOKUP(BB$10,$R112:$AT112,#REF!)),0,(LOOKUP(BB$10,$R112:$AT112,#REF!)))</f>
        <v>0</v>
      </c>
      <c r="BC112" s="39">
        <f>IF(ISERROR(LOOKUP(BC$10,$R112:$AT112,#REF!)),0,(LOOKUP(BC$10,$R112:$AT112,#REF!)))</f>
        <v>0</v>
      </c>
      <c r="BD112" s="39">
        <f>IF(ISERROR(LOOKUP(BD$10,$R112:$AT112,#REF!)),0,(LOOKUP(BD$10,$R112:$AT112,#REF!)))</f>
        <v>0</v>
      </c>
      <c r="BE112" s="405">
        <f ca="1">IF(ISERROR(LOOKUP(BE$10,$R112:$AT112,#REF!)),0,(LOOKUP(BE$10,$R112:$AT112,#REF!)))</f>
        <v>0</v>
      </c>
      <c r="BF112" s="415"/>
      <c r="BG112" s="428"/>
      <c r="BH112" s="428"/>
    </row>
    <row r="113" spans="1:60" s="3" customFormat="1" ht="14.25" thickTop="1" thickBot="1" x14ac:dyDescent="0.45">
      <c r="A113" s="495">
        <f>A106+1</f>
        <v>30</v>
      </c>
      <c r="B113" s="91" t="s">
        <v>273</v>
      </c>
      <c r="C113" s="13" t="s">
        <v>70</v>
      </c>
      <c r="D113" s="338" t="s">
        <v>580</v>
      </c>
      <c r="E113" s="63" t="s">
        <v>66</v>
      </c>
      <c r="F113" s="15" t="s">
        <v>58</v>
      </c>
      <c r="G113" s="13" t="s">
        <v>51</v>
      </c>
      <c r="H113" s="13" t="s">
        <v>189</v>
      </c>
      <c r="I113" s="13" t="s">
        <v>292</v>
      </c>
      <c r="J113" s="345" t="s">
        <v>872</v>
      </c>
      <c r="K113" s="193"/>
      <c r="L113" s="41"/>
      <c r="M113" s="41"/>
      <c r="N113" s="41"/>
      <c r="O113" s="41"/>
      <c r="P113" s="174" t="s">
        <v>69</v>
      </c>
      <c r="Q113" s="17" t="s">
        <v>33</v>
      </c>
      <c r="R113" s="18">
        <v>46189</v>
      </c>
      <c r="S113" s="18">
        <v>46192</v>
      </c>
      <c r="T113" s="18">
        <v>46199</v>
      </c>
      <c r="U113" s="18">
        <v>46202</v>
      </c>
      <c r="V113" s="18">
        <v>46205</v>
      </c>
      <c r="W113" s="18">
        <v>46212</v>
      </c>
      <c r="X113" s="18">
        <v>46223</v>
      </c>
      <c r="Y113" s="18">
        <v>46225</v>
      </c>
      <c r="Z113" s="264"/>
      <c r="AA113" s="18">
        <v>46232</v>
      </c>
      <c r="AB113" s="18">
        <v>46234</v>
      </c>
      <c r="AC113" s="18">
        <v>46241</v>
      </c>
      <c r="AD113" s="206">
        <v>46255</v>
      </c>
      <c r="AE113" s="18">
        <v>46269</v>
      </c>
      <c r="AF113" s="18">
        <v>46276</v>
      </c>
      <c r="AG113" s="18">
        <v>46276</v>
      </c>
      <c r="AH113" s="18">
        <v>46278</v>
      </c>
      <c r="AI113" s="18">
        <v>46312</v>
      </c>
      <c r="AJ113" s="18">
        <v>46317</v>
      </c>
      <c r="AK113" s="18">
        <v>46322</v>
      </c>
      <c r="AL113" s="18">
        <v>46325</v>
      </c>
      <c r="AM113" s="18">
        <v>46352</v>
      </c>
      <c r="AN113" s="57">
        <v>12.857142857142858</v>
      </c>
      <c r="AO113" s="58">
        <v>90</v>
      </c>
      <c r="AP113" s="77">
        <v>46322</v>
      </c>
      <c r="AQ113" s="493">
        <v>46350</v>
      </c>
      <c r="AR113" s="19">
        <f>AQ113-AP114</f>
        <v>8</v>
      </c>
      <c r="AS113" s="142" t="s">
        <v>822</v>
      </c>
      <c r="AT113" s="501"/>
      <c r="AU113" s="20">
        <f>IF(ISERROR(LOOKUP(AU$10,$R113:$AT113,#REF!)),0,(LOOKUP(AU$10,$R113:$AT113,#REF!)))</f>
        <v>0</v>
      </c>
      <c r="AV113" s="21">
        <f>IF(ISERROR(LOOKUP(AV$10,$R113:$AT113,#REF!)),0,(LOOKUP(AV$10,$R113:$AT113,#REF!)))</f>
        <v>0</v>
      </c>
      <c r="AW113" s="21">
        <f>IF(ISERROR(LOOKUP(AW$10,$R113:$AT113,#REF!)),0,(LOOKUP(AW$10,$R113:$AT113,#REF!)))</f>
        <v>0</v>
      </c>
      <c r="AX113" s="21">
        <f>IF(ISERROR(LOOKUP(AX$10,$R113:$AT113,#REF!)),0,(LOOKUP(AX$10,$R113:$AT113,#REF!)))</f>
        <v>0</v>
      </c>
      <c r="AY113" s="21">
        <f>IF(ISERROR(LOOKUP(AY$10,$R113:$AT113,#REF!)),0,(LOOKUP(AY$10,$R113:$AT113,#REF!)))</f>
        <v>0</v>
      </c>
      <c r="AZ113" s="21">
        <f>IF(ISERROR(LOOKUP(AZ$10,$R113:$AT113,#REF!)),0,(LOOKUP(AZ$10,$R113:$AT113,#REF!)))</f>
        <v>0</v>
      </c>
      <c r="BA113" s="21">
        <f>IF(ISERROR(LOOKUP(BA$10,$R113:$AT113,#REF!)),0,(LOOKUP(BA$10,$R113:$AT113,#REF!)))</f>
        <v>0</v>
      </c>
      <c r="BB113" s="21">
        <f>IF(ISERROR(LOOKUP(BB$10,$R113:$AT113,#REF!)),0,(LOOKUP(BB$10,$R113:$AT113,#REF!)))</f>
        <v>0</v>
      </c>
      <c r="BC113" s="21">
        <f>IF(ISERROR(LOOKUP(BC$10,$R113:$AT113,#REF!)),0,(LOOKUP(BC$10,$R113:$AT113,#REF!)))</f>
        <v>0</v>
      </c>
      <c r="BD113" s="21">
        <f>IF(ISERROR(LOOKUP(BD$10,$R113:$AT113,#REF!)),0,(LOOKUP(BD$10,$R113:$AT113,#REF!)))</f>
        <v>0</v>
      </c>
      <c r="BE113" s="21">
        <f ca="1">IF(ISERROR(LOOKUP(BE$10,$R113:$AT113,#REF!)),0,(LOOKUP(BE$10,$R113:$AT113,#REF!)))</f>
        <v>0</v>
      </c>
      <c r="BF113" s="415" t="s">
        <v>963</v>
      </c>
      <c r="BG113" s="428">
        <v>46342</v>
      </c>
      <c r="BH113" s="428"/>
    </row>
    <row r="114" spans="1:60" s="3" customFormat="1" ht="14.25" thickTop="1" thickBot="1" x14ac:dyDescent="0.45">
      <c r="A114" s="496"/>
      <c r="B114" s="92" t="s">
        <v>272</v>
      </c>
      <c r="C114" s="40" t="s">
        <v>70</v>
      </c>
      <c r="D114" s="42" t="s">
        <v>71</v>
      </c>
      <c r="E114" s="42" t="s">
        <v>66</v>
      </c>
      <c r="F114" s="45" t="s">
        <v>58</v>
      </c>
      <c r="G114" s="22" t="s">
        <v>51</v>
      </c>
      <c r="H114" s="40" t="s">
        <v>189</v>
      </c>
      <c r="I114" s="40" t="s">
        <v>292</v>
      </c>
      <c r="J114" s="42"/>
      <c r="K114" s="194"/>
      <c r="L114" s="42"/>
      <c r="M114" s="42"/>
      <c r="N114" s="42"/>
      <c r="O114" s="42"/>
      <c r="P114" s="175" t="s">
        <v>69</v>
      </c>
      <c r="Q114" s="25" t="s">
        <v>34</v>
      </c>
      <c r="R114" s="26"/>
      <c r="S114" s="27"/>
      <c r="T114" s="27"/>
      <c r="U114" s="27"/>
      <c r="V114" s="27"/>
      <c r="W114" s="27"/>
      <c r="X114" s="27"/>
      <c r="Y114" s="27"/>
      <c r="Z114" s="27"/>
      <c r="AA114" s="144"/>
      <c r="AB114" s="27"/>
      <c r="AC114" s="27"/>
      <c r="AD114" s="27">
        <v>46289</v>
      </c>
      <c r="AE114" s="27">
        <f>WORKDAY(AD114, AE9, IF(AE12="China",'China Holidays'!$A$2:$A$84,'Thai Holidays'!$A$2:$A$65))</f>
        <v>46303</v>
      </c>
      <c r="AF114" s="27">
        <f>AE114+7</f>
        <v>46310</v>
      </c>
      <c r="AG114" s="27">
        <f>AF114</f>
        <v>46310</v>
      </c>
      <c r="AH114" s="27">
        <f>AG114+2</f>
        <v>46312</v>
      </c>
      <c r="AI114" s="27">
        <f>AJ114-5</f>
        <v>46332</v>
      </c>
      <c r="AJ114" s="27">
        <f>AK114-5</f>
        <v>46337</v>
      </c>
      <c r="AK114" s="27">
        <f>AP114</f>
        <v>46342</v>
      </c>
      <c r="AL114" s="27">
        <f>AK114+3</f>
        <v>46345</v>
      </c>
      <c r="AM114" s="27">
        <f>AP113+30</f>
        <v>46352</v>
      </c>
      <c r="AN114" s="80"/>
      <c r="AO114" s="78"/>
      <c r="AP114" s="82">
        <f>BG113</f>
        <v>46342</v>
      </c>
      <c r="AQ114" s="82"/>
      <c r="AR114" s="28"/>
      <c r="AS114" s="361" t="s">
        <v>909</v>
      </c>
      <c r="AT114" s="502"/>
      <c r="AU114" s="20">
        <f>IF(ISERROR(LOOKUP(AU$10,$R114:$AT114,#REF!)),0,(LOOKUP(AU$10,$R114:$AT114,#REF!)))</f>
        <v>0</v>
      </c>
      <c r="AV114" s="21">
        <f>IF(ISERROR(LOOKUP(AV$10,$R114:$AT114,#REF!)),0,(LOOKUP(AV$10,$R114:$AT114,#REF!)))</f>
        <v>0</v>
      </c>
      <c r="AW114" s="21">
        <f>IF(ISERROR(LOOKUP(AW$10,$R114:$AT114,#REF!)),0,(LOOKUP(AW$10,$R114:$AT114,#REF!)))</f>
        <v>0</v>
      </c>
      <c r="AX114" s="21">
        <f>IF(ISERROR(LOOKUP(AX$10,$R114:$AT114,#REF!)),0,(LOOKUP(AX$10,$R114:$AT114,#REF!)))</f>
        <v>0</v>
      </c>
      <c r="AY114" s="21">
        <f>IF(ISERROR(LOOKUP(AY$10,$R114:$AT114,#REF!)),0,(LOOKUP(AY$10,$R114:$AT114,#REF!)))</f>
        <v>0</v>
      </c>
      <c r="AZ114" s="21">
        <f>IF(ISERROR(LOOKUP(AZ$10,$R114:$AT114,#REF!)),0,(LOOKUP(AZ$10,$R114:$AT114,#REF!)))</f>
        <v>0</v>
      </c>
      <c r="BA114" s="21">
        <f>IF(ISERROR(LOOKUP(BA$10,$R114:$AT114,#REF!)),0,(LOOKUP(BA$10,$R114:$AT114,#REF!)))</f>
        <v>0</v>
      </c>
      <c r="BB114" s="21">
        <f>IF(ISERROR(LOOKUP(BB$10,$R114:$AT114,#REF!)),0,(LOOKUP(BB$10,$R114:$AT114,#REF!)))</f>
        <v>0</v>
      </c>
      <c r="BC114" s="21">
        <f>IF(ISERROR(LOOKUP(BC$10,$R114:$AT114,#REF!)),0,(LOOKUP(BC$10,$R114:$AT114,#REF!)))</f>
        <v>0</v>
      </c>
      <c r="BD114" s="21">
        <f>IF(ISERROR(LOOKUP(BD$10,$R114:$AT114,#REF!)),0,(LOOKUP(BD$10,$R114:$AT114,#REF!)))</f>
        <v>0</v>
      </c>
      <c r="BE114" s="21">
        <f ca="1">IF(ISERROR(LOOKUP(BE$10,$R114:$AT114,#REF!)),0,(LOOKUP(BE$10,$R114:$AT114,#REF!)))</f>
        <v>0</v>
      </c>
      <c r="BF114" s="415"/>
      <c r="BG114" s="428"/>
      <c r="BH114" s="428"/>
    </row>
    <row r="115" spans="1:60" s="3" customFormat="1" ht="21" thickTop="1" thickBot="1" x14ac:dyDescent="0.45">
      <c r="A115" s="497"/>
      <c r="B115" s="93" t="s">
        <v>272</v>
      </c>
      <c r="C115" s="31" t="s">
        <v>70</v>
      </c>
      <c r="D115" s="44" t="s">
        <v>580</v>
      </c>
      <c r="E115" s="44" t="s">
        <v>66</v>
      </c>
      <c r="F115" s="33" t="s">
        <v>58</v>
      </c>
      <c r="G115" s="31" t="s">
        <v>51</v>
      </c>
      <c r="H115" s="31" t="s">
        <v>189</v>
      </c>
      <c r="I115" s="31" t="s">
        <v>292</v>
      </c>
      <c r="J115" s="44"/>
      <c r="K115" s="195"/>
      <c r="L115" s="44"/>
      <c r="M115" s="44"/>
      <c r="N115" s="44"/>
      <c r="O115" s="44"/>
      <c r="P115" s="176" t="s">
        <v>69</v>
      </c>
      <c r="Q115" s="34" t="s">
        <v>35</v>
      </c>
      <c r="R115" s="35">
        <v>46184</v>
      </c>
      <c r="S115" s="35">
        <v>46148</v>
      </c>
      <c r="T115" s="35">
        <v>46165</v>
      </c>
      <c r="U115" s="35">
        <v>46184</v>
      </c>
      <c r="V115" s="35">
        <v>46184</v>
      </c>
      <c r="W115" s="35">
        <v>46213</v>
      </c>
      <c r="X115" s="35">
        <v>46230</v>
      </c>
      <c r="Y115" s="379" t="s">
        <v>868</v>
      </c>
      <c r="Z115" s="372"/>
      <c r="AA115" s="379" t="s">
        <v>962</v>
      </c>
      <c r="AB115" s="35">
        <v>46266</v>
      </c>
      <c r="AC115" s="35" t="s">
        <v>342</v>
      </c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81"/>
      <c r="AO115" s="79"/>
      <c r="AP115" s="36"/>
      <c r="AQ115" s="36"/>
      <c r="AR115" s="37"/>
      <c r="AS115" s="141"/>
      <c r="AT115" s="503"/>
      <c r="AU115" s="38">
        <f>IF(ISERROR(LOOKUP(AU$10,$R115:$AT115,#REF!)),0,(LOOKUP(AU$10,$R115:$AT115,#REF!)))</f>
        <v>0</v>
      </c>
      <c r="AV115" s="39">
        <f>IF(ISERROR(LOOKUP(AV$10,$R115:$AT115,#REF!)),0,(LOOKUP(AV$10,$R115:$AT115,#REF!)))</f>
        <v>0</v>
      </c>
      <c r="AW115" s="39">
        <f>IF(ISERROR(LOOKUP(AW$10,$R115:$AT115,#REF!)),0,(LOOKUP(AW$10,$R115:$AT115,#REF!)))</f>
        <v>0</v>
      </c>
      <c r="AX115" s="39">
        <f>IF(ISERROR(LOOKUP(AX$10,$R115:$AT115,#REF!)),0,(LOOKUP(AX$10,$R115:$AT115,#REF!)))</f>
        <v>0</v>
      </c>
      <c r="AY115" s="39">
        <f>IF(ISERROR(LOOKUP(AY$10,$R115:$AT115,#REF!)),0,(LOOKUP(AY$10,$R115:$AT115,#REF!)))</f>
        <v>0</v>
      </c>
      <c r="AZ115" s="39">
        <f>IF(ISERROR(LOOKUP(AZ$10,$R115:$AT115,#REF!)),0,(LOOKUP(AZ$10,$R115:$AT115,#REF!)))</f>
        <v>0</v>
      </c>
      <c r="BA115" s="39">
        <f>IF(ISERROR(LOOKUP(BA$10,$R115:$AT115,#REF!)),0,(LOOKUP(BA$10,$R115:$AT115,#REF!)))</f>
        <v>0</v>
      </c>
      <c r="BB115" s="39">
        <f>IF(ISERROR(LOOKUP(BB$10,$R115:$AT115,#REF!)),0,(LOOKUP(BB$10,$R115:$AT115,#REF!)))</f>
        <v>0</v>
      </c>
      <c r="BC115" s="39">
        <f>IF(ISERROR(LOOKUP(BC$10,$R115:$AT115,#REF!)),0,(LOOKUP(BC$10,$R115:$AT115,#REF!)))</f>
        <v>0</v>
      </c>
      <c r="BD115" s="39">
        <f>IF(ISERROR(LOOKUP(BD$10,$R115:$AT115,#REF!)),0,(LOOKUP(BD$10,$R115:$AT115,#REF!)))</f>
        <v>0</v>
      </c>
      <c r="BE115" s="39">
        <f ca="1">IF(ISERROR(LOOKUP(BE$10,$R115:$AT115,#REF!)),0,(LOOKUP(BE$10,$R115:$AT115,#REF!)))</f>
        <v>0</v>
      </c>
      <c r="BF115" s="415"/>
      <c r="BG115" s="428"/>
      <c r="BH115" s="428"/>
    </row>
    <row r="116" spans="1:60" s="3" customFormat="1" ht="14.25" thickTop="1" thickBot="1" x14ac:dyDescent="0.45">
      <c r="A116" s="495">
        <f t="shared" ref="A116" si="27">A113+1</f>
        <v>31</v>
      </c>
      <c r="B116" s="91" t="s">
        <v>272</v>
      </c>
      <c r="C116" s="13" t="s">
        <v>72</v>
      </c>
      <c r="D116" s="338" t="s">
        <v>453</v>
      </c>
      <c r="E116" s="63" t="s">
        <v>66</v>
      </c>
      <c r="F116" s="15" t="s">
        <v>58</v>
      </c>
      <c r="G116" s="13" t="s">
        <v>51</v>
      </c>
      <c r="H116" s="13" t="s">
        <v>189</v>
      </c>
      <c r="I116" s="13" t="s">
        <v>290</v>
      </c>
      <c r="J116" s="345" t="s">
        <v>872</v>
      </c>
      <c r="K116" s="193"/>
      <c r="L116" s="41"/>
      <c r="M116" s="41"/>
      <c r="N116" s="41"/>
      <c r="O116" s="41"/>
      <c r="P116" s="174" t="s">
        <v>69</v>
      </c>
      <c r="Q116" s="17" t="s">
        <v>33</v>
      </c>
      <c r="R116" s="18">
        <v>46168</v>
      </c>
      <c r="S116" s="18">
        <v>46171</v>
      </c>
      <c r="T116" s="18">
        <v>46182</v>
      </c>
      <c r="U116" s="18">
        <v>46183</v>
      </c>
      <c r="V116" s="18">
        <v>46190</v>
      </c>
      <c r="W116" s="18">
        <v>46205</v>
      </c>
      <c r="X116" s="18">
        <v>46226</v>
      </c>
      <c r="Y116" s="18">
        <v>46233</v>
      </c>
      <c r="Z116" s="264"/>
      <c r="AA116" s="18">
        <v>46247</v>
      </c>
      <c r="AB116" s="18">
        <v>46251</v>
      </c>
      <c r="AC116" s="18">
        <v>46258</v>
      </c>
      <c r="AD116" s="206">
        <v>46279</v>
      </c>
      <c r="AE116" s="18">
        <v>46293</v>
      </c>
      <c r="AF116" s="18">
        <v>46323</v>
      </c>
      <c r="AG116" s="18">
        <v>46323</v>
      </c>
      <c r="AH116" s="18">
        <v>46325</v>
      </c>
      <c r="AI116" s="18">
        <v>46380</v>
      </c>
      <c r="AJ116" s="18">
        <v>46385</v>
      </c>
      <c r="AK116" s="18">
        <v>46415</v>
      </c>
      <c r="AL116" s="18">
        <v>46418</v>
      </c>
      <c r="AM116" s="18">
        <v>46445</v>
      </c>
      <c r="AN116" s="57">
        <v>24</v>
      </c>
      <c r="AO116" s="58">
        <v>168</v>
      </c>
      <c r="AP116" s="77">
        <v>46415</v>
      </c>
      <c r="AQ116" s="493">
        <v>46379</v>
      </c>
      <c r="AR116" s="19">
        <f>AQ116-AP117</f>
        <v>37</v>
      </c>
      <c r="AS116" s="142" t="s">
        <v>822</v>
      </c>
      <c r="AT116" s="501" t="s">
        <v>480</v>
      </c>
      <c r="AU116" s="20">
        <f>IF(ISERROR(LOOKUP(AU$10,$R116:$AT116,#REF!)),0,(LOOKUP(AU$10,$R116:$AT116,#REF!)))</f>
        <v>0</v>
      </c>
      <c r="AV116" s="21">
        <f>IF(ISERROR(LOOKUP(AV$10,$R116:$AT116,#REF!)),0,(LOOKUP(AV$10,$R116:$AT116,#REF!)))</f>
        <v>0</v>
      </c>
      <c r="AW116" s="21">
        <f>IF(ISERROR(LOOKUP(AW$10,$R116:$AT116,#REF!)),0,(LOOKUP(AW$10,$R116:$AT116,#REF!)))</f>
        <v>0</v>
      </c>
      <c r="AX116" s="21">
        <f>IF(ISERROR(LOOKUP(AX$10,$R116:$AT116,#REF!)),0,(LOOKUP(AX$10,$R116:$AT116,#REF!)))</f>
        <v>0</v>
      </c>
      <c r="AY116" s="21">
        <f>IF(ISERROR(LOOKUP(AY$10,$R116:$AT116,#REF!)),0,(LOOKUP(AY$10,$R116:$AT116,#REF!)))</f>
        <v>0</v>
      </c>
      <c r="AZ116" s="21">
        <f>IF(ISERROR(LOOKUP(AZ$10,$R116:$AT116,#REF!)),0,(LOOKUP(AZ$10,$R116:$AT116,#REF!)))</f>
        <v>0</v>
      </c>
      <c r="BA116" s="21">
        <f>IF(ISERROR(LOOKUP(BA$10,$R116:$AT116,#REF!)),0,(LOOKUP(BA$10,$R116:$AT116,#REF!)))</f>
        <v>0</v>
      </c>
      <c r="BB116" s="21">
        <f>IF(ISERROR(LOOKUP(BB$10,$R116:$AT116,#REF!)),0,(LOOKUP(BB$10,$R116:$AT116,#REF!)))</f>
        <v>0</v>
      </c>
      <c r="BC116" s="21">
        <f>IF(ISERROR(LOOKUP(BC$10,$R116:$AT116,#REF!)),0,(LOOKUP(BC$10,$R116:$AT116,#REF!)))</f>
        <v>0</v>
      </c>
      <c r="BD116" s="21">
        <f>IF(ISERROR(LOOKUP(BD$10,$R116:$AT116,#REF!)),0,(LOOKUP(BD$10,$R116:$AT116,#REF!)))</f>
        <v>0</v>
      </c>
      <c r="BE116" s="21">
        <f ca="1">IF(ISERROR(LOOKUP(BE$10,$R116:$AT116,#REF!)),0,(LOOKUP(BE$10,$R116:$AT116,#REF!)))</f>
        <v>0</v>
      </c>
      <c r="BF116" s="415" t="s">
        <v>963</v>
      </c>
      <c r="BG116" s="428">
        <v>46342</v>
      </c>
      <c r="BH116" s="428"/>
    </row>
    <row r="117" spans="1:60" s="3" customFormat="1" ht="14.25" thickTop="1" thickBot="1" x14ac:dyDescent="0.45">
      <c r="A117" s="496"/>
      <c r="B117" s="92" t="s">
        <v>272</v>
      </c>
      <c r="C117" s="40" t="s">
        <v>72</v>
      </c>
      <c r="D117" s="42" t="s">
        <v>73</v>
      </c>
      <c r="E117" s="42" t="s">
        <v>66</v>
      </c>
      <c r="F117" s="45" t="s">
        <v>58</v>
      </c>
      <c r="G117" s="22" t="s">
        <v>51</v>
      </c>
      <c r="H117" s="22" t="s">
        <v>189</v>
      </c>
      <c r="I117" s="40" t="s">
        <v>290</v>
      </c>
      <c r="J117" s="42"/>
      <c r="K117" s="194"/>
      <c r="L117" s="42"/>
      <c r="M117" s="42"/>
      <c r="N117" s="42"/>
      <c r="O117" s="42"/>
      <c r="P117" s="175" t="s">
        <v>69</v>
      </c>
      <c r="Q117" s="25" t="s">
        <v>34</v>
      </c>
      <c r="R117" s="26"/>
      <c r="S117" s="27"/>
      <c r="T117" s="27"/>
      <c r="U117" s="27"/>
      <c r="V117" s="27"/>
      <c r="W117" s="27"/>
      <c r="X117" s="27"/>
      <c r="Y117" s="27"/>
      <c r="Z117" s="27"/>
      <c r="AA117" s="144"/>
      <c r="AB117" s="27"/>
      <c r="AC117" s="27"/>
      <c r="AD117" s="27">
        <v>46289</v>
      </c>
      <c r="AE117" s="27">
        <f>WORKDAY(AD117, AE8, IF(AE12="China",'China Holidays'!$A$2:$A$84,'Thai Holidays'!$A$2:$A$65))</f>
        <v>46303</v>
      </c>
      <c r="AF117" s="27">
        <f>AE117+30</f>
        <v>46333</v>
      </c>
      <c r="AG117" s="27">
        <f>AF117</f>
        <v>46333</v>
      </c>
      <c r="AH117" s="27">
        <f>AG117+2</f>
        <v>46335</v>
      </c>
      <c r="AI117" s="27">
        <f>AJ117-5</f>
        <v>46332</v>
      </c>
      <c r="AJ117" s="27">
        <f>AK117-5</f>
        <v>46337</v>
      </c>
      <c r="AK117" s="27">
        <f>AP117</f>
        <v>46342</v>
      </c>
      <c r="AL117" s="27">
        <f>AK117+3</f>
        <v>46345</v>
      </c>
      <c r="AM117" s="27">
        <f>AP116+30</f>
        <v>46445</v>
      </c>
      <c r="AN117" s="88"/>
      <c r="AO117" s="88"/>
      <c r="AP117" s="82">
        <f>BG116</f>
        <v>46342</v>
      </c>
      <c r="AQ117" s="82"/>
      <c r="AR117" s="28"/>
      <c r="AS117" s="361" t="s">
        <v>909</v>
      </c>
      <c r="AT117" s="502"/>
      <c r="AU117" s="20">
        <f>IF(ISERROR(LOOKUP(AU$10,$R117:$AT117,#REF!)),0,(LOOKUP(AU$10,$R117:$AT117,#REF!)))</f>
        <v>0</v>
      </c>
      <c r="AV117" s="21">
        <f>IF(ISERROR(LOOKUP(AV$10,$R117:$AT117,#REF!)),0,(LOOKUP(AV$10,$R117:$AT117,#REF!)))</f>
        <v>0</v>
      </c>
      <c r="AW117" s="21">
        <f>IF(ISERROR(LOOKUP(AW$10,$R117:$AT117,#REF!)),0,(LOOKUP(AW$10,$R117:$AT117,#REF!)))</f>
        <v>0</v>
      </c>
      <c r="AX117" s="21">
        <f>IF(ISERROR(LOOKUP(AX$10,$R117:$AT117,#REF!)),0,(LOOKUP(AX$10,$R117:$AT117,#REF!)))</f>
        <v>0</v>
      </c>
      <c r="AY117" s="21">
        <f>IF(ISERROR(LOOKUP(AY$10,$R117:$AT117,#REF!)),0,(LOOKUP(AY$10,$R117:$AT117,#REF!)))</f>
        <v>0</v>
      </c>
      <c r="AZ117" s="21">
        <f>IF(ISERROR(LOOKUP(AZ$10,$R117:$AT117,#REF!)),0,(LOOKUP(AZ$10,$R117:$AT117,#REF!)))</f>
        <v>0</v>
      </c>
      <c r="BA117" s="21">
        <f>IF(ISERROR(LOOKUP(BA$10,$R117:$AT117,#REF!)),0,(LOOKUP(BA$10,$R117:$AT117,#REF!)))</f>
        <v>0</v>
      </c>
      <c r="BB117" s="21">
        <f>IF(ISERROR(LOOKUP(BB$10,$R117:$AT117,#REF!)),0,(LOOKUP(BB$10,$R117:$AT117,#REF!)))</f>
        <v>0</v>
      </c>
      <c r="BC117" s="21">
        <f>IF(ISERROR(LOOKUP(BC$10,$R117:$AT117,#REF!)),0,(LOOKUP(BC$10,$R117:$AT117,#REF!)))</f>
        <v>0</v>
      </c>
      <c r="BD117" s="21">
        <f>IF(ISERROR(LOOKUP(BD$10,$R117:$AT117,#REF!)),0,(LOOKUP(BD$10,$R117:$AT117,#REF!)))</f>
        <v>0</v>
      </c>
      <c r="BE117" s="21">
        <f ca="1">IF(ISERROR(LOOKUP(BE$10,$R117:$AT117,#REF!)),0,(LOOKUP(BE$10,$R117:$AT117,#REF!)))</f>
        <v>0</v>
      </c>
      <c r="BF117" s="415"/>
      <c r="BG117" s="428"/>
      <c r="BH117" s="428"/>
    </row>
    <row r="118" spans="1:60" s="3" customFormat="1" ht="21" thickTop="1" thickBot="1" x14ac:dyDescent="0.45">
      <c r="A118" s="497"/>
      <c r="B118" s="93" t="s">
        <v>272</v>
      </c>
      <c r="C118" s="31" t="s">
        <v>72</v>
      </c>
      <c r="D118" s="44" t="s">
        <v>453</v>
      </c>
      <c r="E118" s="44" t="s">
        <v>66</v>
      </c>
      <c r="F118" s="33" t="s">
        <v>58</v>
      </c>
      <c r="G118" s="31" t="s">
        <v>51</v>
      </c>
      <c r="H118" s="31" t="s">
        <v>189</v>
      </c>
      <c r="I118" s="31" t="s">
        <v>290</v>
      </c>
      <c r="J118" s="44"/>
      <c r="K118" s="195"/>
      <c r="L118" s="44"/>
      <c r="M118" s="44"/>
      <c r="N118" s="44"/>
      <c r="O118" s="44"/>
      <c r="P118" s="176" t="s">
        <v>69</v>
      </c>
      <c r="Q118" s="34" t="s">
        <v>35</v>
      </c>
      <c r="R118" s="35">
        <v>46184</v>
      </c>
      <c r="S118" s="35">
        <v>46148</v>
      </c>
      <c r="T118" s="35">
        <v>46165</v>
      </c>
      <c r="U118" s="35">
        <v>46184</v>
      </c>
      <c r="V118" s="35">
        <v>46184</v>
      </c>
      <c r="W118" s="35">
        <v>46214</v>
      </c>
      <c r="X118" s="35">
        <v>46230</v>
      </c>
      <c r="Y118" s="379" t="s">
        <v>869</v>
      </c>
      <c r="Z118" s="372"/>
      <c r="AA118" s="379" t="s">
        <v>962</v>
      </c>
      <c r="AB118" s="35">
        <v>46266</v>
      </c>
      <c r="AC118" s="35" t="s">
        <v>342</v>
      </c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81"/>
      <c r="AO118" s="79"/>
      <c r="AP118" s="36"/>
      <c r="AQ118" s="36"/>
      <c r="AR118" s="37"/>
      <c r="AS118" s="141"/>
      <c r="AT118" s="503"/>
      <c r="AU118" s="38">
        <f>IF(ISERROR(LOOKUP(AU$10,$R118:$AT118,#REF!)),0,(LOOKUP(AU$10,$R118:$AT118,#REF!)))</f>
        <v>0</v>
      </c>
      <c r="AV118" s="39">
        <f>IF(ISERROR(LOOKUP(AV$10,$R118:$AT118,#REF!)),0,(LOOKUP(AV$10,$R118:$AT118,#REF!)))</f>
        <v>0</v>
      </c>
      <c r="AW118" s="39">
        <f>IF(ISERROR(LOOKUP(AW$10,$R118:$AT118,#REF!)),0,(LOOKUP(AW$10,$R118:$AT118,#REF!)))</f>
        <v>0</v>
      </c>
      <c r="AX118" s="39">
        <f>IF(ISERROR(LOOKUP(AX$10,$R118:$AT118,#REF!)),0,(LOOKUP(AX$10,$R118:$AT118,#REF!)))</f>
        <v>0</v>
      </c>
      <c r="AY118" s="39">
        <f>IF(ISERROR(LOOKUP(AY$10,$R118:$AT118,#REF!)),0,(LOOKUP(AY$10,$R118:$AT118,#REF!)))</f>
        <v>0</v>
      </c>
      <c r="AZ118" s="39">
        <f>IF(ISERROR(LOOKUP(AZ$10,$R118:$AT118,#REF!)),0,(LOOKUP(AZ$10,$R118:$AT118,#REF!)))</f>
        <v>0</v>
      </c>
      <c r="BA118" s="39">
        <f>IF(ISERROR(LOOKUP(BA$10,$R118:$AT118,#REF!)),0,(LOOKUP(BA$10,$R118:$AT118,#REF!)))</f>
        <v>0</v>
      </c>
      <c r="BB118" s="39">
        <f>IF(ISERROR(LOOKUP(BB$10,$R118:$AT118,#REF!)),0,(LOOKUP(BB$10,$R118:$AT118,#REF!)))</f>
        <v>0</v>
      </c>
      <c r="BC118" s="39">
        <f>IF(ISERROR(LOOKUP(BC$10,$R118:$AT118,#REF!)),0,(LOOKUP(BC$10,$R118:$AT118,#REF!)))</f>
        <v>0</v>
      </c>
      <c r="BD118" s="39">
        <f>IF(ISERROR(LOOKUP(BD$10,$R118:$AT118,#REF!)),0,(LOOKUP(BD$10,$R118:$AT118,#REF!)))</f>
        <v>0</v>
      </c>
      <c r="BE118" s="39">
        <f ca="1">IF(ISERROR(LOOKUP(BE$10,$R118:$AT118,#REF!)),0,(LOOKUP(BE$10,$R118:$AT118,#REF!)))</f>
        <v>0</v>
      </c>
      <c r="BF118" s="415"/>
      <c r="BG118" s="428"/>
      <c r="BH118" s="428"/>
    </row>
    <row r="119" spans="1:60" s="3" customFormat="1" ht="14.25" thickTop="1" thickBot="1" x14ac:dyDescent="0.45">
      <c r="A119" s="495">
        <f t="shared" ref="A119" si="28">A116+1</f>
        <v>32</v>
      </c>
      <c r="B119" s="91" t="s">
        <v>272</v>
      </c>
      <c r="C119" s="13" t="s">
        <v>74</v>
      </c>
      <c r="D119" s="338" t="s">
        <v>527</v>
      </c>
      <c r="E119" s="63" t="s">
        <v>66</v>
      </c>
      <c r="F119" s="15" t="s">
        <v>58</v>
      </c>
      <c r="G119" s="13" t="s">
        <v>51</v>
      </c>
      <c r="H119" s="13" t="s">
        <v>189</v>
      </c>
      <c r="I119" s="13" t="s">
        <v>292</v>
      </c>
      <c r="J119" s="345" t="s">
        <v>885</v>
      </c>
      <c r="K119" s="193"/>
      <c r="L119" s="41"/>
      <c r="M119" s="41"/>
      <c r="N119" s="41"/>
      <c r="O119" s="41"/>
      <c r="P119" s="174" t="s">
        <v>69</v>
      </c>
      <c r="Q119" s="17" t="s">
        <v>33</v>
      </c>
      <c r="R119" s="18">
        <v>46254</v>
      </c>
      <c r="S119" s="18">
        <v>46259</v>
      </c>
      <c r="T119" s="18">
        <v>46266</v>
      </c>
      <c r="U119" s="18">
        <v>46267</v>
      </c>
      <c r="V119" s="18">
        <v>46272</v>
      </c>
      <c r="W119" s="18">
        <v>46279</v>
      </c>
      <c r="X119" s="18">
        <v>46288</v>
      </c>
      <c r="Y119" s="18">
        <v>46290</v>
      </c>
      <c r="Z119" s="18"/>
      <c r="AA119" s="18">
        <v>46304</v>
      </c>
      <c r="AB119" s="18">
        <v>46308</v>
      </c>
      <c r="AC119" s="18">
        <v>46315</v>
      </c>
      <c r="AD119" s="206">
        <v>46329</v>
      </c>
      <c r="AE119" s="18">
        <v>46343</v>
      </c>
      <c r="AF119" s="18">
        <v>46353</v>
      </c>
      <c r="AG119" s="18">
        <v>46353</v>
      </c>
      <c r="AH119" s="18">
        <v>46355</v>
      </c>
      <c r="AI119" s="18">
        <v>46385</v>
      </c>
      <c r="AJ119" s="18">
        <v>46390</v>
      </c>
      <c r="AK119" s="18">
        <v>46394</v>
      </c>
      <c r="AL119" s="18">
        <v>46397</v>
      </c>
      <c r="AM119" s="18">
        <v>46424</v>
      </c>
      <c r="AN119" s="57">
        <v>12.857142857142858</v>
      </c>
      <c r="AO119" s="58">
        <v>90</v>
      </c>
      <c r="AP119" s="77">
        <v>46394</v>
      </c>
      <c r="AQ119" s="493">
        <v>46364</v>
      </c>
      <c r="AR119" s="19">
        <f>AQ119-AP120</f>
        <v>32</v>
      </c>
      <c r="AS119" s="142" t="s">
        <v>823</v>
      </c>
      <c r="AT119" s="501"/>
      <c r="AU119" s="20">
        <f>IF(ISERROR(LOOKUP(AU$10,$R119:$AT119,#REF!)),0,(LOOKUP(AU$10,$R119:$AT119,#REF!)))</f>
        <v>0</v>
      </c>
      <c r="AV119" s="21">
        <f>IF(ISERROR(LOOKUP(AV$10,$R119:$AT119,#REF!)),0,(LOOKUP(AV$10,$R119:$AT119,#REF!)))</f>
        <v>0</v>
      </c>
      <c r="AW119" s="21">
        <f>IF(ISERROR(LOOKUP(AW$10,$R119:$AT119,#REF!)),0,(LOOKUP(AW$10,$R119:$AT119,#REF!)))</f>
        <v>0</v>
      </c>
      <c r="AX119" s="21">
        <f>IF(ISERROR(LOOKUP(AX$10,$R119:$AT119,#REF!)),0,(LOOKUP(AX$10,$R119:$AT119,#REF!)))</f>
        <v>0</v>
      </c>
      <c r="AY119" s="21">
        <f>IF(ISERROR(LOOKUP(AY$10,$R119:$AT119,#REF!)),0,(LOOKUP(AY$10,$R119:$AT119,#REF!)))</f>
        <v>0</v>
      </c>
      <c r="AZ119" s="21">
        <f>IF(ISERROR(LOOKUP(AZ$10,$R119:$AT119,#REF!)),0,(LOOKUP(AZ$10,$R119:$AT119,#REF!)))</f>
        <v>0</v>
      </c>
      <c r="BA119" s="21">
        <f>IF(ISERROR(LOOKUP(BA$10,$R119:$AT119,#REF!)),0,(LOOKUP(BA$10,$R119:$AT119,#REF!)))</f>
        <v>0</v>
      </c>
      <c r="BB119" s="21">
        <f>IF(ISERROR(LOOKUP(BB$10,$R119:$AT119,#REF!)),0,(LOOKUP(BB$10,$R119:$AT119,#REF!)))</f>
        <v>0</v>
      </c>
      <c r="BC119" s="21">
        <f>IF(ISERROR(LOOKUP(BC$10,$R119:$AT119,#REF!)),0,(LOOKUP(BC$10,$R119:$AT119,#REF!)))</f>
        <v>0</v>
      </c>
      <c r="BD119" s="21">
        <f>IF(ISERROR(LOOKUP(BD$10,$R119:$AT119,#REF!)),0,(LOOKUP(BD$10,$R119:$AT119,#REF!)))</f>
        <v>0</v>
      </c>
      <c r="BE119" s="21">
        <f ca="1">IF(ISERROR(LOOKUP(BE$10,$R119:$AT119,#REF!)),0,(LOOKUP(BE$10,$R119:$AT119,#REF!)))</f>
        <v>0</v>
      </c>
      <c r="BF119" s="415" t="s">
        <v>964</v>
      </c>
      <c r="BG119" s="428">
        <v>46332</v>
      </c>
      <c r="BH119" s="428"/>
    </row>
    <row r="120" spans="1:60" s="3" customFormat="1" ht="14.25" thickTop="1" thickBot="1" x14ac:dyDescent="0.45">
      <c r="A120" s="496"/>
      <c r="B120" s="92" t="s">
        <v>272</v>
      </c>
      <c r="C120" s="40" t="s">
        <v>74</v>
      </c>
      <c r="D120" s="42" t="s">
        <v>75</v>
      </c>
      <c r="E120" s="42" t="s">
        <v>66</v>
      </c>
      <c r="F120" s="45" t="s">
        <v>58</v>
      </c>
      <c r="G120" s="22" t="s">
        <v>51</v>
      </c>
      <c r="H120" s="40" t="s">
        <v>189</v>
      </c>
      <c r="I120" s="40" t="s">
        <v>292</v>
      </c>
      <c r="J120" s="42"/>
      <c r="K120" s="194"/>
      <c r="L120" s="42"/>
      <c r="M120" s="42"/>
      <c r="N120" s="42"/>
      <c r="O120" s="42"/>
      <c r="P120" s="175" t="s">
        <v>69</v>
      </c>
      <c r="Q120" s="25" t="s">
        <v>34</v>
      </c>
      <c r="R120" s="26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>
        <f>AD119</f>
        <v>46329</v>
      </c>
      <c r="AE120" s="27">
        <f>WORKDAY(AD120, AE9, IF(AE12="China",'China Holidays'!$A$2:$A$84,'Thai Holidays'!$A$2:$A$65))</f>
        <v>46343</v>
      </c>
      <c r="AF120" s="27">
        <f>AE120+10</f>
        <v>46353</v>
      </c>
      <c r="AG120" s="27">
        <f>AF120</f>
        <v>46353</v>
      </c>
      <c r="AH120" s="27">
        <f>AG120+2</f>
        <v>46355</v>
      </c>
      <c r="AI120" s="27">
        <f>AJ120-5</f>
        <v>46323</v>
      </c>
      <c r="AJ120" s="27">
        <f>AK120-4</f>
        <v>46328</v>
      </c>
      <c r="AK120" s="27">
        <f>AP120</f>
        <v>46332</v>
      </c>
      <c r="AL120" s="27">
        <f>AK120+5</f>
        <v>46337</v>
      </c>
      <c r="AM120" s="27">
        <f>AL120+30</f>
        <v>46367</v>
      </c>
      <c r="AN120" s="88"/>
      <c r="AO120" s="89"/>
      <c r="AP120" s="82">
        <f>BG119</f>
        <v>46332</v>
      </c>
      <c r="AQ120" s="82"/>
      <c r="AR120" s="28"/>
      <c r="AS120" s="361" t="s">
        <v>909</v>
      </c>
      <c r="AT120" s="502"/>
      <c r="AU120" s="20">
        <f>IF(ISERROR(LOOKUP(AU$10,$R120:$AT120,#REF!)),0,(LOOKUP(AU$10,$R120:$AT120,#REF!)))</f>
        <v>0</v>
      </c>
      <c r="AV120" s="21">
        <f>IF(ISERROR(LOOKUP(AV$10,$R120:$AT120,#REF!)),0,(LOOKUP(AV$10,$R120:$AT120,#REF!)))</f>
        <v>0</v>
      </c>
      <c r="AW120" s="21">
        <f>IF(ISERROR(LOOKUP(AW$10,$R120:$AT120,#REF!)),0,(LOOKUP(AW$10,$R120:$AT120,#REF!)))</f>
        <v>0</v>
      </c>
      <c r="AX120" s="21">
        <f>IF(ISERROR(LOOKUP(AX$10,$R120:$AT120,#REF!)),0,(LOOKUP(AX$10,$R120:$AT120,#REF!)))</f>
        <v>0</v>
      </c>
      <c r="AY120" s="21">
        <f>IF(ISERROR(LOOKUP(AY$10,$R120:$AT120,#REF!)),0,(LOOKUP(AY$10,$R120:$AT120,#REF!)))</f>
        <v>0</v>
      </c>
      <c r="AZ120" s="21">
        <f>IF(ISERROR(LOOKUP(AZ$10,$R120:$AT120,#REF!)),0,(LOOKUP(AZ$10,$R120:$AT120,#REF!)))</f>
        <v>0</v>
      </c>
      <c r="BA120" s="21">
        <f>IF(ISERROR(LOOKUP(BA$10,$R120:$AT120,#REF!)),0,(LOOKUP(BA$10,$R120:$AT120,#REF!)))</f>
        <v>0</v>
      </c>
      <c r="BB120" s="21">
        <f>IF(ISERROR(LOOKUP(BB$10,$R120:$AT120,#REF!)),0,(LOOKUP(BB$10,$R120:$AT120,#REF!)))</f>
        <v>0</v>
      </c>
      <c r="BC120" s="21">
        <f>IF(ISERROR(LOOKUP(BC$10,$R120:$AT120,#REF!)),0,(LOOKUP(BC$10,$R120:$AT120,#REF!)))</f>
        <v>0</v>
      </c>
      <c r="BD120" s="21">
        <f>IF(ISERROR(LOOKUP(BD$10,$R120:$AT120,#REF!)),0,(LOOKUP(BD$10,$R120:$AT120,#REF!)))</f>
        <v>0</v>
      </c>
      <c r="BE120" s="21">
        <f ca="1">IF(ISERROR(LOOKUP(BE$10,$R120:$AT120,#REF!)),0,(LOOKUP(BE$10,$R120:$AT120,#REF!)))</f>
        <v>0</v>
      </c>
      <c r="BF120" s="415"/>
      <c r="BG120" s="428"/>
      <c r="BH120" s="428"/>
    </row>
    <row r="121" spans="1:60" s="3" customFormat="1" ht="21" thickTop="1" thickBot="1" x14ac:dyDescent="0.45">
      <c r="A121" s="497"/>
      <c r="B121" s="93" t="s">
        <v>272</v>
      </c>
      <c r="C121" s="31" t="s">
        <v>74</v>
      </c>
      <c r="D121" s="44" t="s">
        <v>527</v>
      </c>
      <c r="E121" s="44" t="s">
        <v>66</v>
      </c>
      <c r="F121" s="33" t="s">
        <v>58</v>
      </c>
      <c r="G121" s="31" t="s">
        <v>51</v>
      </c>
      <c r="H121" s="31" t="s">
        <v>189</v>
      </c>
      <c r="I121" s="31" t="s">
        <v>292</v>
      </c>
      <c r="J121" s="44"/>
      <c r="K121" s="195"/>
      <c r="L121" s="44"/>
      <c r="M121" s="44"/>
      <c r="N121" s="44"/>
      <c r="O121" s="44"/>
      <c r="P121" s="176" t="s">
        <v>69</v>
      </c>
      <c r="Q121" s="34" t="s">
        <v>35</v>
      </c>
      <c r="R121" s="35">
        <v>46184</v>
      </c>
      <c r="S121" s="35">
        <v>46148</v>
      </c>
      <c r="T121" s="35">
        <v>46165</v>
      </c>
      <c r="U121" s="35">
        <v>46209</v>
      </c>
      <c r="V121" s="35">
        <v>46209</v>
      </c>
      <c r="W121" s="35">
        <v>46216</v>
      </c>
      <c r="X121" s="35">
        <v>46230</v>
      </c>
      <c r="Y121" s="379" t="s">
        <v>868</v>
      </c>
      <c r="Z121" s="372"/>
      <c r="AA121" s="379" t="s">
        <v>962</v>
      </c>
      <c r="AB121" s="35">
        <v>46266</v>
      </c>
      <c r="AC121" s="35" t="s">
        <v>342</v>
      </c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81"/>
      <c r="AO121" s="79"/>
      <c r="AP121" s="36"/>
      <c r="AQ121" s="36"/>
      <c r="AR121" s="37"/>
      <c r="AS121" s="141"/>
      <c r="AT121" s="503"/>
      <c r="AU121" s="38">
        <f>IF(ISERROR(LOOKUP(AU$10,$R121:$AT121,#REF!)),0,(LOOKUP(AU$10,$R121:$AT121,#REF!)))</f>
        <v>0</v>
      </c>
      <c r="AV121" s="39">
        <f>IF(ISERROR(LOOKUP(AV$10,$R121:$AT121,#REF!)),0,(LOOKUP(AV$10,$R121:$AT121,#REF!)))</f>
        <v>0</v>
      </c>
      <c r="AW121" s="39">
        <f>IF(ISERROR(LOOKUP(AW$10,$R121:$AT121,#REF!)),0,(LOOKUP(AW$10,$R121:$AT121,#REF!)))</f>
        <v>0</v>
      </c>
      <c r="AX121" s="39">
        <f>IF(ISERROR(LOOKUP(AX$10,$R121:$AT121,#REF!)),0,(LOOKUP(AX$10,$R121:$AT121,#REF!)))</f>
        <v>0</v>
      </c>
      <c r="AY121" s="39">
        <f>IF(ISERROR(LOOKUP(AY$10,$R121:$AT121,#REF!)),0,(LOOKUP(AY$10,$R121:$AT121,#REF!)))</f>
        <v>0</v>
      </c>
      <c r="AZ121" s="39">
        <f>IF(ISERROR(LOOKUP(AZ$10,$R121:$AT121,#REF!)),0,(LOOKUP(AZ$10,$R121:$AT121,#REF!)))</f>
        <v>0</v>
      </c>
      <c r="BA121" s="39">
        <f>IF(ISERROR(LOOKUP(BA$10,$R121:$AT121,#REF!)),0,(LOOKUP(BA$10,$R121:$AT121,#REF!)))</f>
        <v>0</v>
      </c>
      <c r="BB121" s="39">
        <f>IF(ISERROR(LOOKUP(BB$10,$R121:$AT121,#REF!)),0,(LOOKUP(BB$10,$R121:$AT121,#REF!)))</f>
        <v>0</v>
      </c>
      <c r="BC121" s="39">
        <f>IF(ISERROR(LOOKUP(BC$10,$R121:$AT121,#REF!)),0,(LOOKUP(BC$10,$R121:$AT121,#REF!)))</f>
        <v>0</v>
      </c>
      <c r="BD121" s="39">
        <f>IF(ISERROR(LOOKUP(BD$10,$R121:$AT121,#REF!)),0,(LOOKUP(BD$10,$R121:$AT121,#REF!)))</f>
        <v>0</v>
      </c>
      <c r="BE121" s="39">
        <f ca="1">IF(ISERROR(LOOKUP(BE$10,$R121:$AT121,#REF!)),0,(LOOKUP(BE$10,$R121:$AT121,#REF!)))</f>
        <v>0</v>
      </c>
      <c r="BF121" s="415"/>
      <c r="BG121" s="428"/>
      <c r="BH121" s="428"/>
    </row>
    <row r="122" spans="1:60" s="3" customFormat="1" ht="14.25" thickTop="1" thickBot="1" x14ac:dyDescent="0.45">
      <c r="A122" s="495">
        <f t="shared" ref="A122" si="29">A119+1</f>
        <v>33</v>
      </c>
      <c r="B122" s="91" t="s">
        <v>272</v>
      </c>
      <c r="C122" s="13" t="s">
        <v>76</v>
      </c>
      <c r="D122" s="338" t="s">
        <v>454</v>
      </c>
      <c r="E122" s="63" t="s">
        <v>66</v>
      </c>
      <c r="F122" s="15" t="s">
        <v>58</v>
      </c>
      <c r="G122" s="13" t="s">
        <v>51</v>
      </c>
      <c r="H122" s="13" t="s">
        <v>189</v>
      </c>
      <c r="I122" s="13" t="s">
        <v>290</v>
      </c>
      <c r="J122" s="345" t="s">
        <v>872</v>
      </c>
      <c r="K122" s="193"/>
      <c r="L122" s="220" t="s">
        <v>621</v>
      </c>
      <c r="M122" s="219" t="s">
        <v>621</v>
      </c>
      <c r="N122" s="293" t="s">
        <v>621</v>
      </c>
      <c r="O122" s="41"/>
      <c r="P122" s="174" t="s">
        <v>69</v>
      </c>
      <c r="Q122" s="17" t="s">
        <v>33</v>
      </c>
      <c r="R122" s="18">
        <v>46191</v>
      </c>
      <c r="S122" s="18">
        <v>46197</v>
      </c>
      <c r="T122" s="18">
        <v>46204</v>
      </c>
      <c r="U122" s="18">
        <v>46205</v>
      </c>
      <c r="V122" s="18">
        <v>46212</v>
      </c>
      <c r="W122" s="18">
        <v>46226</v>
      </c>
      <c r="X122" s="18">
        <v>46252</v>
      </c>
      <c r="Y122" s="18">
        <v>46255</v>
      </c>
      <c r="Z122" s="18"/>
      <c r="AA122" s="18">
        <v>46269</v>
      </c>
      <c r="AB122" s="18">
        <v>46273</v>
      </c>
      <c r="AC122" s="18">
        <v>46280</v>
      </c>
      <c r="AD122" s="18">
        <v>46309</v>
      </c>
      <c r="AE122" s="206">
        <v>46324</v>
      </c>
      <c r="AF122" s="18">
        <v>46354</v>
      </c>
      <c r="AG122" s="18">
        <v>46354</v>
      </c>
      <c r="AH122" s="18">
        <v>46356</v>
      </c>
      <c r="AI122" s="18">
        <v>46355.4</v>
      </c>
      <c r="AJ122" s="18">
        <v>46360.4</v>
      </c>
      <c r="AK122" s="18">
        <v>46390.400000000001</v>
      </c>
      <c r="AL122" s="18">
        <v>46393.4</v>
      </c>
      <c r="AM122" s="18">
        <v>46420.4</v>
      </c>
      <c r="AN122" s="57">
        <v>17.2</v>
      </c>
      <c r="AO122" s="58">
        <v>120.39999999999999</v>
      </c>
      <c r="AP122" s="77">
        <v>46390.400000000001</v>
      </c>
      <c r="AQ122" s="493">
        <v>46410</v>
      </c>
      <c r="AR122" s="19">
        <f>AQ122-AP123</f>
        <v>83</v>
      </c>
      <c r="AS122" s="142" t="s">
        <v>822</v>
      </c>
      <c r="AT122" s="501" t="s">
        <v>480</v>
      </c>
      <c r="AU122" s="20">
        <f>IF(ISERROR(LOOKUP(AU$10,$R122:$AT122,#REF!)),0,(LOOKUP(AU$10,$R122:$AT122,#REF!)))</f>
        <v>0</v>
      </c>
      <c r="AV122" s="21">
        <f>IF(ISERROR(LOOKUP(AV$10,$R122:$AT122,#REF!)),0,(LOOKUP(AV$10,$R122:$AT122,#REF!)))</f>
        <v>0</v>
      </c>
      <c r="AW122" s="21">
        <f>IF(ISERROR(LOOKUP(AW$10,$R122:$AT122,#REF!)),0,(LOOKUP(AW$10,$R122:$AT122,#REF!)))</f>
        <v>0</v>
      </c>
      <c r="AX122" s="21">
        <f>IF(ISERROR(LOOKUP(AX$10,$R122:$AT122,#REF!)),0,(LOOKUP(AX$10,$R122:$AT122,#REF!)))</f>
        <v>0</v>
      </c>
      <c r="AY122" s="21">
        <f>IF(ISERROR(LOOKUP(AY$10,$R122:$AT122,#REF!)),0,(LOOKUP(AY$10,$R122:$AT122,#REF!)))</f>
        <v>0</v>
      </c>
      <c r="AZ122" s="21">
        <f>IF(ISERROR(LOOKUP(AZ$10,$R122:$AT122,#REF!)),0,(LOOKUP(AZ$10,$R122:$AT122,#REF!)))</f>
        <v>0</v>
      </c>
      <c r="BA122" s="21">
        <f>IF(ISERROR(LOOKUP(BA$10,$R122:$AT122,#REF!)),0,(LOOKUP(BA$10,$R122:$AT122,#REF!)))</f>
        <v>0</v>
      </c>
      <c r="BB122" s="21">
        <f>IF(ISERROR(LOOKUP(BB$10,$R122:$AT122,#REF!)),0,(LOOKUP(BB$10,$R122:$AT122,#REF!)))</f>
        <v>0</v>
      </c>
      <c r="BC122" s="21">
        <f>IF(ISERROR(LOOKUP(BC$10,$R122:$AT122,#REF!)),0,(LOOKUP(BC$10,$R122:$AT122,#REF!)))</f>
        <v>0</v>
      </c>
      <c r="BD122" s="21">
        <f>IF(ISERROR(LOOKUP(BD$10,$R122:$AT122,#REF!)),0,(LOOKUP(BD$10,$R122:$AT122,#REF!)))</f>
        <v>0</v>
      </c>
      <c r="BE122" s="21">
        <f ca="1">IF(ISERROR(LOOKUP(BE$10,$R122:$AT122,#REF!)),0,(LOOKUP(BE$10,$R122:$AT122,#REF!)))</f>
        <v>0</v>
      </c>
      <c r="BF122" s="415" t="s">
        <v>963</v>
      </c>
      <c r="BG122" s="428">
        <v>46327</v>
      </c>
      <c r="BH122" s="428"/>
    </row>
    <row r="123" spans="1:60" s="3" customFormat="1" ht="14.25" thickTop="1" thickBot="1" x14ac:dyDescent="0.45">
      <c r="A123" s="496"/>
      <c r="B123" s="92" t="s">
        <v>272</v>
      </c>
      <c r="C123" s="40" t="s">
        <v>76</v>
      </c>
      <c r="D123" s="42" t="s">
        <v>77</v>
      </c>
      <c r="E123" s="42" t="s">
        <v>66</v>
      </c>
      <c r="F123" s="45" t="s">
        <v>58</v>
      </c>
      <c r="G123" s="22" t="s">
        <v>51</v>
      </c>
      <c r="H123" s="22" t="s">
        <v>189</v>
      </c>
      <c r="I123" s="40" t="s">
        <v>290</v>
      </c>
      <c r="J123" s="42"/>
      <c r="K123" s="194"/>
      <c r="L123" s="213" t="s">
        <v>619</v>
      </c>
      <c r="M123" s="208" t="s">
        <v>619</v>
      </c>
      <c r="N123" s="286" t="s">
        <v>619</v>
      </c>
      <c r="O123" s="42"/>
      <c r="P123" s="175" t="s">
        <v>69</v>
      </c>
      <c r="Q123" s="25" t="s">
        <v>34</v>
      </c>
      <c r="R123" s="26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>
        <f>AE122</f>
        <v>46324</v>
      </c>
      <c r="AF123" s="27">
        <f>AE123+0</f>
        <v>46324</v>
      </c>
      <c r="AG123" s="27">
        <f>AF123</f>
        <v>46324</v>
      </c>
      <c r="AH123" s="27">
        <f>AG123</f>
        <v>46324</v>
      </c>
      <c r="AI123" s="27">
        <f>AH123</f>
        <v>46324</v>
      </c>
      <c r="AJ123" s="27">
        <f>AI123</f>
        <v>46324</v>
      </c>
      <c r="AK123" s="27">
        <f>AP123</f>
        <v>46327</v>
      </c>
      <c r="AL123" s="27">
        <f>AK123+5</f>
        <v>46332</v>
      </c>
      <c r="AM123" s="27">
        <f>AL123+30</f>
        <v>46362</v>
      </c>
      <c r="AN123" s="88"/>
      <c r="AO123" s="89"/>
      <c r="AP123" s="82">
        <f>BG122</f>
        <v>46327</v>
      </c>
      <c r="AQ123" s="82"/>
      <c r="AR123" s="28"/>
      <c r="AS123" s="361" t="s">
        <v>909</v>
      </c>
      <c r="AT123" s="502"/>
      <c r="AU123" s="20">
        <f>IF(ISERROR(LOOKUP(AU$10,$R123:$AT123,#REF!)),0,(LOOKUP(AU$10,$R123:$AT123,#REF!)))</f>
        <v>0</v>
      </c>
      <c r="AV123" s="21">
        <f>IF(ISERROR(LOOKUP(AV$10,$R123:$AT123,#REF!)),0,(LOOKUP(AV$10,$R123:$AT123,#REF!)))</f>
        <v>0</v>
      </c>
      <c r="AW123" s="21">
        <f>IF(ISERROR(LOOKUP(AW$10,$R123:$AT123,#REF!)),0,(LOOKUP(AW$10,$R123:$AT123,#REF!)))</f>
        <v>0</v>
      </c>
      <c r="AX123" s="21">
        <f>IF(ISERROR(LOOKUP(AX$10,$R123:$AT123,#REF!)),0,(LOOKUP(AX$10,$R123:$AT123,#REF!)))</f>
        <v>0</v>
      </c>
      <c r="AY123" s="21">
        <f>IF(ISERROR(LOOKUP(AY$10,$R123:$AT123,#REF!)),0,(LOOKUP(AY$10,$R123:$AT123,#REF!)))</f>
        <v>0</v>
      </c>
      <c r="AZ123" s="21">
        <f>IF(ISERROR(LOOKUP(AZ$10,$R123:$AT123,#REF!)),0,(LOOKUP(AZ$10,$R123:$AT123,#REF!)))</f>
        <v>0</v>
      </c>
      <c r="BA123" s="21">
        <f>IF(ISERROR(LOOKUP(BA$10,$R123:$AT123,#REF!)),0,(LOOKUP(BA$10,$R123:$AT123,#REF!)))</f>
        <v>0</v>
      </c>
      <c r="BB123" s="21">
        <f>IF(ISERROR(LOOKUP(BB$10,$R123:$AT123,#REF!)),0,(LOOKUP(BB$10,$R123:$AT123,#REF!)))</f>
        <v>0</v>
      </c>
      <c r="BC123" s="21">
        <f>IF(ISERROR(LOOKUP(BC$10,$R123:$AT123,#REF!)),0,(LOOKUP(BC$10,$R123:$AT123,#REF!)))</f>
        <v>0</v>
      </c>
      <c r="BD123" s="21">
        <f>IF(ISERROR(LOOKUP(BD$10,$R123:$AT123,#REF!)),0,(LOOKUP(BD$10,$R123:$AT123,#REF!)))</f>
        <v>0</v>
      </c>
      <c r="BE123" s="21">
        <f ca="1">IF(ISERROR(LOOKUP(BE$10,$R123:$AT123,#REF!)),0,(LOOKUP(BE$10,$R123:$AT123,#REF!)))</f>
        <v>0</v>
      </c>
      <c r="BF123" s="415"/>
      <c r="BG123" s="428"/>
      <c r="BH123" s="428"/>
    </row>
    <row r="124" spans="1:60" s="3" customFormat="1" ht="21" thickTop="1" thickBot="1" x14ac:dyDescent="0.45">
      <c r="A124" s="497"/>
      <c r="B124" s="93" t="s">
        <v>272</v>
      </c>
      <c r="C124" s="31" t="s">
        <v>76</v>
      </c>
      <c r="D124" s="44" t="s">
        <v>454</v>
      </c>
      <c r="E124" s="44" t="s">
        <v>66</v>
      </c>
      <c r="F124" s="33" t="s">
        <v>58</v>
      </c>
      <c r="G124" s="31" t="s">
        <v>51</v>
      </c>
      <c r="H124" s="31" t="s">
        <v>189</v>
      </c>
      <c r="I124" s="31" t="s">
        <v>290</v>
      </c>
      <c r="J124" s="44"/>
      <c r="K124" s="195"/>
      <c r="L124" s="290" t="s">
        <v>620</v>
      </c>
      <c r="M124" s="210" t="s">
        <v>705</v>
      </c>
      <c r="N124" s="313" t="s">
        <v>705</v>
      </c>
      <c r="O124" s="44"/>
      <c r="P124" s="176" t="s">
        <v>69</v>
      </c>
      <c r="Q124" s="34" t="s">
        <v>35</v>
      </c>
      <c r="R124" s="35">
        <v>46184</v>
      </c>
      <c r="S124" s="35">
        <v>46148</v>
      </c>
      <c r="T124" s="35">
        <v>46165</v>
      </c>
      <c r="U124" s="35">
        <v>46184</v>
      </c>
      <c r="V124" s="35">
        <v>46184</v>
      </c>
      <c r="W124" s="35">
        <v>46199</v>
      </c>
      <c r="X124" s="35">
        <v>46220</v>
      </c>
      <c r="Y124" s="35">
        <v>46246</v>
      </c>
      <c r="Z124" s="372"/>
      <c r="AA124" s="379" t="s">
        <v>962</v>
      </c>
      <c r="AB124" s="35">
        <v>46266</v>
      </c>
      <c r="AC124" s="35" t="s">
        <v>342</v>
      </c>
      <c r="AD124" s="35">
        <v>46274</v>
      </c>
      <c r="AE124" s="35"/>
      <c r="AF124" s="35"/>
      <c r="AG124" s="35"/>
      <c r="AH124" s="35"/>
      <c r="AI124" s="35"/>
      <c r="AJ124" s="35"/>
      <c r="AK124" s="35"/>
      <c r="AL124" s="35"/>
      <c r="AM124" s="35"/>
      <c r="AN124" s="81"/>
      <c r="AO124" s="79"/>
      <c r="AP124" s="36"/>
      <c r="AQ124" s="36"/>
      <c r="AR124" s="37"/>
      <c r="AS124" s="141"/>
      <c r="AT124" s="503"/>
      <c r="AU124" s="38">
        <f>IF(ISERROR(LOOKUP(AU$10,$R124:$AT124,#REF!)),0,(LOOKUP(AU$10,$R124:$AT124,#REF!)))</f>
        <v>0</v>
      </c>
      <c r="AV124" s="39">
        <f>IF(ISERROR(LOOKUP(AV$10,$R124:$AT124,#REF!)),0,(LOOKUP(AV$10,$R124:$AT124,#REF!)))</f>
        <v>0</v>
      </c>
      <c r="AW124" s="39">
        <f>IF(ISERROR(LOOKUP(AW$10,$R124:$AT124,#REF!)),0,(LOOKUP(AW$10,$R124:$AT124,#REF!)))</f>
        <v>0</v>
      </c>
      <c r="AX124" s="39">
        <f>IF(ISERROR(LOOKUP(AX$10,$R124:$AT124,#REF!)),0,(LOOKUP(AX$10,$R124:$AT124,#REF!)))</f>
        <v>0</v>
      </c>
      <c r="AY124" s="39">
        <f>IF(ISERROR(LOOKUP(AY$10,$R124:$AT124,#REF!)),0,(LOOKUP(AY$10,$R124:$AT124,#REF!)))</f>
        <v>0</v>
      </c>
      <c r="AZ124" s="39">
        <f>IF(ISERROR(LOOKUP(AZ$10,$R124:$AT124,#REF!)),0,(LOOKUP(AZ$10,$R124:$AT124,#REF!)))</f>
        <v>0</v>
      </c>
      <c r="BA124" s="39">
        <f>IF(ISERROR(LOOKUP(BA$10,$R124:$AT124,#REF!)),0,(LOOKUP(BA$10,$R124:$AT124,#REF!)))</f>
        <v>0</v>
      </c>
      <c r="BB124" s="39">
        <f>IF(ISERROR(LOOKUP(BB$10,$R124:$AT124,#REF!)),0,(LOOKUP(BB$10,$R124:$AT124,#REF!)))</f>
        <v>0</v>
      </c>
      <c r="BC124" s="39">
        <f>IF(ISERROR(LOOKUP(BC$10,$R124:$AT124,#REF!)),0,(LOOKUP(BC$10,$R124:$AT124,#REF!)))</f>
        <v>0</v>
      </c>
      <c r="BD124" s="39">
        <f>IF(ISERROR(LOOKUP(BD$10,$R124:$AT124,#REF!)),0,(LOOKUP(BD$10,$R124:$AT124,#REF!)))</f>
        <v>0</v>
      </c>
      <c r="BE124" s="39">
        <f ca="1">IF(ISERROR(LOOKUP(BE$10,$R124:$AT124,#REF!)),0,(LOOKUP(BE$10,$R124:$AT124,#REF!)))</f>
        <v>0</v>
      </c>
      <c r="BF124" s="415"/>
      <c r="BG124" s="428"/>
      <c r="BH124" s="428"/>
    </row>
    <row r="125" spans="1:60" s="3" customFormat="1" ht="14.25" thickTop="1" thickBot="1" x14ac:dyDescent="0.45">
      <c r="A125" s="495"/>
      <c r="B125" s="473" t="s">
        <v>272</v>
      </c>
      <c r="C125" s="474" t="s">
        <v>78</v>
      </c>
      <c r="D125" s="475" t="s">
        <v>1030</v>
      </c>
      <c r="E125" s="63" t="s">
        <v>66</v>
      </c>
      <c r="F125" s="241" t="s">
        <v>58</v>
      </c>
      <c r="G125" s="234" t="s">
        <v>51</v>
      </c>
      <c r="H125" s="234" t="s">
        <v>189</v>
      </c>
      <c r="I125" s="234" t="s">
        <v>292</v>
      </c>
      <c r="J125" s="220" t="s">
        <v>844</v>
      </c>
      <c r="K125" s="193"/>
      <c r="L125" s="41"/>
      <c r="M125" s="41"/>
      <c r="N125" s="41"/>
      <c r="O125" s="41"/>
      <c r="P125" s="174" t="s">
        <v>69</v>
      </c>
      <c r="Q125" s="17" t="s">
        <v>33</v>
      </c>
      <c r="R125" s="56">
        <v>46199</v>
      </c>
      <c r="S125" s="56">
        <v>46204</v>
      </c>
      <c r="T125" s="56">
        <v>46211</v>
      </c>
      <c r="U125" s="56">
        <v>46212</v>
      </c>
      <c r="V125" s="56">
        <v>46217</v>
      </c>
      <c r="W125" s="56">
        <v>46224</v>
      </c>
      <c r="X125" s="56">
        <v>46237</v>
      </c>
      <c r="Y125" s="56">
        <v>46239</v>
      </c>
      <c r="Z125" s="56"/>
      <c r="AA125" s="56">
        <v>46246</v>
      </c>
      <c r="AB125" s="56">
        <v>46248</v>
      </c>
      <c r="AC125" s="56">
        <v>46255</v>
      </c>
      <c r="AD125" s="56">
        <v>46269</v>
      </c>
      <c r="AE125" s="56">
        <v>46283</v>
      </c>
      <c r="AF125" s="56">
        <v>46293</v>
      </c>
      <c r="AG125" s="56">
        <v>46293</v>
      </c>
      <c r="AH125" s="56">
        <v>46295</v>
      </c>
      <c r="AI125" s="56">
        <v>46324</v>
      </c>
      <c r="AJ125" s="56">
        <v>46329</v>
      </c>
      <c r="AK125" s="56">
        <v>46336</v>
      </c>
      <c r="AL125" s="56">
        <v>46339</v>
      </c>
      <c r="AM125" s="56">
        <v>46366</v>
      </c>
      <c r="AN125" s="58">
        <v>12.857142857142858</v>
      </c>
      <c r="AO125" s="58">
        <v>90</v>
      </c>
      <c r="AP125" s="77">
        <v>46336</v>
      </c>
      <c r="AQ125" s="77"/>
      <c r="AR125" s="19"/>
      <c r="AS125" s="142"/>
      <c r="AT125" s="501" t="s">
        <v>690</v>
      </c>
      <c r="AU125" s="20">
        <f>IF(ISERROR(LOOKUP(AU$10,$R125:$AT125,#REF!)),0,(LOOKUP(AU$10,$R125:$AT125,#REF!)))</f>
        <v>0</v>
      </c>
      <c r="AV125" s="21">
        <f>IF(ISERROR(LOOKUP(AV$10,$R125:$AT125,#REF!)),0,(LOOKUP(AV$10,$R125:$AT125,#REF!)))</f>
        <v>0</v>
      </c>
      <c r="AW125" s="21">
        <f>IF(ISERROR(LOOKUP(AW$10,$R125:$AT125,#REF!)),0,(LOOKUP(AW$10,$R125:$AT125,#REF!)))</f>
        <v>0</v>
      </c>
      <c r="AX125" s="21">
        <f>IF(ISERROR(LOOKUP(AX$10,$R125:$AT125,#REF!)),0,(LOOKUP(AX$10,$R125:$AT125,#REF!)))</f>
        <v>0</v>
      </c>
      <c r="AY125" s="21">
        <f>IF(ISERROR(LOOKUP(AY$10,$R125:$AT125,#REF!)),0,(LOOKUP(AY$10,$R125:$AT125,#REF!)))</f>
        <v>0</v>
      </c>
      <c r="AZ125" s="21">
        <f>IF(ISERROR(LOOKUP(AZ$10,$R125:$AT125,#REF!)),0,(LOOKUP(AZ$10,$R125:$AT125,#REF!)))</f>
        <v>0</v>
      </c>
      <c r="BA125" s="21">
        <f>IF(ISERROR(LOOKUP(BA$10,$R125:$AT125,#REF!)),0,(LOOKUP(BA$10,$R125:$AT125,#REF!)))</f>
        <v>0</v>
      </c>
      <c r="BB125" s="21">
        <f>IF(ISERROR(LOOKUP(BB$10,$R125:$AT125,#REF!)),0,(LOOKUP(BB$10,$R125:$AT125,#REF!)))</f>
        <v>0</v>
      </c>
      <c r="BC125" s="21">
        <f>IF(ISERROR(LOOKUP(BC$10,$R125:$AT125,#REF!)),0,(LOOKUP(BC$10,$R125:$AT125,#REF!)))</f>
        <v>0</v>
      </c>
      <c r="BD125" s="21">
        <f>IF(ISERROR(LOOKUP(BD$10,$R125:$AT125,#REF!)),0,(LOOKUP(BD$10,$R125:$AT125,#REF!)))</f>
        <v>0</v>
      </c>
      <c r="BE125" s="21">
        <f ca="1">IF(ISERROR(LOOKUP(BE$10,$R125:$AT125,#REF!)),0,(LOOKUP(BE$10,$R125:$AT125,#REF!)))</f>
        <v>0</v>
      </c>
      <c r="BF125" s="415"/>
      <c r="BG125" s="428"/>
      <c r="BH125" s="428"/>
    </row>
    <row r="126" spans="1:60" s="3" customFormat="1" ht="22.5" customHeight="1" thickTop="1" thickBot="1" x14ac:dyDescent="0.45">
      <c r="A126" s="496"/>
      <c r="B126" s="476" t="s">
        <v>272</v>
      </c>
      <c r="C126" s="477" t="s">
        <v>78</v>
      </c>
      <c r="D126" s="478" t="s">
        <v>1030</v>
      </c>
      <c r="E126" s="42" t="s">
        <v>66</v>
      </c>
      <c r="F126" s="243" t="s">
        <v>58</v>
      </c>
      <c r="G126" s="244" t="s">
        <v>51</v>
      </c>
      <c r="H126" s="235" t="s">
        <v>189</v>
      </c>
      <c r="I126" s="235" t="s">
        <v>292</v>
      </c>
      <c r="J126" s="242"/>
      <c r="K126" s="194"/>
      <c r="L126" s="42"/>
      <c r="M126" s="42"/>
      <c r="N126" s="42"/>
      <c r="O126" s="42"/>
      <c r="P126" s="175" t="s">
        <v>69</v>
      </c>
      <c r="Q126" s="25" t="s">
        <v>34</v>
      </c>
      <c r="R126" s="26"/>
      <c r="S126" s="27"/>
      <c r="T126" s="27"/>
      <c r="U126" s="27"/>
      <c r="V126" s="27"/>
      <c r="W126" s="27">
        <v>46254</v>
      </c>
      <c r="X126" s="27">
        <f>X125</f>
        <v>46237</v>
      </c>
      <c r="Y126" s="27">
        <f>WORKDAY(X126, Y9, IF(Y12="China",'China Holidays'!$A$2:$A$84,'Thai Holidays'!$A$2:$A$65))</f>
        <v>46252</v>
      </c>
      <c r="Z126" s="27"/>
      <c r="AA126" s="27">
        <f>Y126</f>
        <v>46252</v>
      </c>
      <c r="AB126" s="27">
        <f>WORKDAY(AA126, AB9, IF(AB12="China",'China Holidays'!$A$2:$A$84,'Thai Holidays'!$A$2:$A$65))</f>
        <v>46254</v>
      </c>
      <c r="AC126" s="27">
        <f>WORKDAY(AB126, AC9, IF(AC12="China",'China Holidays'!$A$2:$A$84,'Thai Holidays'!$A$2:$A$65))</f>
        <v>46261</v>
      </c>
      <c r="AD126" s="27">
        <f>WORKDAY(AC126, AD9, IF(AD12="China",'China Holidays'!$A$2:$A$84,'Thai Holidays'!$A$2:$A$65))</f>
        <v>46275</v>
      </c>
      <c r="AE126" s="27">
        <f>WORKDAY(AD126, AE9, IF(AE12="China",'China Holidays'!$A$2:$A$84,'Thai Holidays'!$A$2:$A$65))</f>
        <v>46289</v>
      </c>
      <c r="AF126" s="27">
        <f>AE126+10</f>
        <v>46299</v>
      </c>
      <c r="AG126" s="27">
        <f>AF126</f>
        <v>46299</v>
      </c>
      <c r="AH126" s="27">
        <f>AG126+2</f>
        <v>46301</v>
      </c>
      <c r="AI126" s="27">
        <f>AJ126-5</f>
        <v>46330</v>
      </c>
      <c r="AJ126" s="27">
        <f>AK126-7</f>
        <v>46335</v>
      </c>
      <c r="AK126" s="27">
        <f>AP126</f>
        <v>46342</v>
      </c>
      <c r="AL126" s="27">
        <f>AP125+3</f>
        <v>46339</v>
      </c>
      <c r="AM126" s="27">
        <f>AP125+30</f>
        <v>46366</v>
      </c>
      <c r="AN126" s="80"/>
      <c r="AO126" s="78"/>
      <c r="AP126" s="82">
        <f>AA126+AO125</f>
        <v>46342</v>
      </c>
      <c r="AQ126" s="82"/>
      <c r="AR126" s="28"/>
      <c r="AS126" s="362"/>
      <c r="AT126" s="502"/>
      <c r="AU126" s="20">
        <f>IF(ISERROR(LOOKUP(AU$10,$R126:$AT126,#REF!)),0,(LOOKUP(AU$10,$R126:$AT126,#REF!)))</f>
        <v>0</v>
      </c>
      <c r="AV126" s="21">
        <f>IF(ISERROR(LOOKUP(AV$10,$R126:$AT126,#REF!)),0,(LOOKUP(AV$10,$R126:$AT126,#REF!)))</f>
        <v>0</v>
      </c>
      <c r="AW126" s="21">
        <f>IF(ISERROR(LOOKUP(AW$10,$R126:$AT126,#REF!)),0,(LOOKUP(AW$10,$R126:$AT126,#REF!)))</f>
        <v>0</v>
      </c>
      <c r="AX126" s="21">
        <f>IF(ISERROR(LOOKUP(AX$10,$R126:$AT126,#REF!)),0,(LOOKUP(AX$10,$R126:$AT126,#REF!)))</f>
        <v>0</v>
      </c>
      <c r="AY126" s="21">
        <f>IF(ISERROR(LOOKUP(AY$10,$R126:$AT126,#REF!)),0,(LOOKUP(AY$10,$R126:$AT126,#REF!)))</f>
        <v>0</v>
      </c>
      <c r="AZ126" s="21">
        <f>IF(ISERROR(LOOKUP(AZ$10,$R126:$AT126,#REF!)),0,(LOOKUP(AZ$10,$R126:$AT126,#REF!)))</f>
        <v>0</v>
      </c>
      <c r="BA126" s="21">
        <f>IF(ISERROR(LOOKUP(BA$10,$R126:$AT126,#REF!)),0,(LOOKUP(BA$10,$R126:$AT126,#REF!)))</f>
        <v>0</v>
      </c>
      <c r="BB126" s="21">
        <f>IF(ISERROR(LOOKUP(BB$10,$R126:$AT126,#REF!)),0,(LOOKUP(BB$10,$R126:$AT126,#REF!)))</f>
        <v>0</v>
      </c>
      <c r="BC126" s="21">
        <f>IF(ISERROR(LOOKUP(BC$10,$R126:$AT126,#REF!)),0,(LOOKUP(BC$10,$R126:$AT126,#REF!)))</f>
        <v>0</v>
      </c>
      <c r="BD126" s="21">
        <f>IF(ISERROR(LOOKUP(BD$10,$R126:$AT126,#REF!)),0,(LOOKUP(BD$10,$R126:$AT126,#REF!)))</f>
        <v>0</v>
      </c>
      <c r="BE126" s="21">
        <f ca="1">IF(ISERROR(LOOKUP(BE$10,$R126:$AT126,#REF!)),0,(LOOKUP(BE$10,$R126:$AT126,#REF!)))</f>
        <v>0</v>
      </c>
      <c r="BF126" s="415"/>
      <c r="BG126" s="428"/>
      <c r="BH126" s="428"/>
    </row>
    <row r="127" spans="1:60" s="3" customFormat="1" ht="14.25" thickTop="1" thickBot="1" x14ac:dyDescent="0.45">
      <c r="A127" s="497"/>
      <c r="B127" s="479" t="s">
        <v>272</v>
      </c>
      <c r="C127" s="480" t="s">
        <v>78</v>
      </c>
      <c r="D127" s="481" t="s">
        <v>1030</v>
      </c>
      <c r="E127" s="44" t="s">
        <v>66</v>
      </c>
      <c r="F127" s="246" t="s">
        <v>58</v>
      </c>
      <c r="G127" s="236" t="s">
        <v>51</v>
      </c>
      <c r="H127" s="236" t="s">
        <v>189</v>
      </c>
      <c r="I127" s="236" t="s">
        <v>292</v>
      </c>
      <c r="J127" s="245"/>
      <c r="K127" s="195"/>
      <c r="L127" s="44"/>
      <c r="M127" s="44"/>
      <c r="N127" s="44"/>
      <c r="O127" s="44"/>
      <c r="P127" s="176" t="s">
        <v>69</v>
      </c>
      <c r="Q127" s="34" t="s">
        <v>35</v>
      </c>
      <c r="R127" s="35">
        <v>46185</v>
      </c>
      <c r="S127" s="35">
        <v>46148</v>
      </c>
      <c r="T127" s="35">
        <v>46165</v>
      </c>
      <c r="U127" s="35">
        <v>46197</v>
      </c>
      <c r="V127" s="35">
        <v>46197</v>
      </c>
      <c r="W127" s="372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81"/>
      <c r="AO127" s="79"/>
      <c r="AP127" s="36"/>
      <c r="AQ127" s="36"/>
      <c r="AR127" s="37"/>
      <c r="AS127" s="141"/>
      <c r="AT127" s="503"/>
      <c r="AU127" s="38">
        <f>IF(ISERROR(LOOKUP(AU$10,$R127:$AT127,#REF!)),0,(LOOKUP(AU$10,$R127:$AT127,#REF!)))</f>
        <v>0</v>
      </c>
      <c r="AV127" s="39">
        <f>IF(ISERROR(LOOKUP(AV$10,$R127:$AT127,#REF!)),0,(LOOKUP(AV$10,$R127:$AT127,#REF!)))</f>
        <v>0</v>
      </c>
      <c r="AW127" s="39">
        <f>IF(ISERROR(LOOKUP(AW$10,$R127:$AT127,#REF!)),0,(LOOKUP(AW$10,$R127:$AT127,#REF!)))</f>
        <v>0</v>
      </c>
      <c r="AX127" s="39">
        <f>IF(ISERROR(LOOKUP(AX$10,$R127:$AT127,#REF!)),0,(LOOKUP(AX$10,$R127:$AT127,#REF!)))</f>
        <v>0</v>
      </c>
      <c r="AY127" s="39">
        <f>IF(ISERROR(LOOKUP(AY$10,$R127:$AT127,#REF!)),0,(LOOKUP(AY$10,$R127:$AT127,#REF!)))</f>
        <v>0</v>
      </c>
      <c r="AZ127" s="39">
        <f>IF(ISERROR(LOOKUP(AZ$10,$R127:$AT127,#REF!)),0,(LOOKUP(AZ$10,$R127:$AT127,#REF!)))</f>
        <v>0</v>
      </c>
      <c r="BA127" s="39">
        <f>IF(ISERROR(LOOKUP(BA$10,$R127:$AT127,#REF!)),0,(LOOKUP(BA$10,$R127:$AT127,#REF!)))</f>
        <v>0</v>
      </c>
      <c r="BB127" s="39">
        <f>IF(ISERROR(LOOKUP(BB$10,$R127:$AT127,#REF!)),0,(LOOKUP(BB$10,$R127:$AT127,#REF!)))</f>
        <v>0</v>
      </c>
      <c r="BC127" s="39">
        <f>IF(ISERROR(LOOKUP(BC$10,$R127:$AT127,#REF!)),0,(LOOKUP(BC$10,$R127:$AT127,#REF!)))</f>
        <v>0</v>
      </c>
      <c r="BD127" s="39">
        <f>IF(ISERROR(LOOKUP(BD$10,$R127:$AT127,#REF!)),0,(LOOKUP(BD$10,$R127:$AT127,#REF!)))</f>
        <v>0</v>
      </c>
      <c r="BE127" s="39">
        <f ca="1">IF(ISERROR(LOOKUP(BE$10,$R127:$AT127,#REF!)),0,(LOOKUP(BE$10,$R127:$AT127,#REF!)))</f>
        <v>0</v>
      </c>
      <c r="BF127" s="415"/>
      <c r="BG127" s="428"/>
      <c r="BH127" s="428"/>
    </row>
    <row r="128" spans="1:60" s="3" customFormat="1" ht="14.25" thickTop="1" thickBot="1" x14ac:dyDescent="0.45">
      <c r="A128" s="495">
        <f>A122+1</f>
        <v>34</v>
      </c>
      <c r="B128" s="91" t="s">
        <v>272</v>
      </c>
      <c r="C128" s="13" t="s">
        <v>79</v>
      </c>
      <c r="D128" s="338" t="s">
        <v>813</v>
      </c>
      <c r="E128" s="63" t="s">
        <v>66</v>
      </c>
      <c r="F128" s="15" t="s">
        <v>58</v>
      </c>
      <c r="G128" s="13" t="s">
        <v>51</v>
      </c>
      <c r="H128" s="13" t="s">
        <v>189</v>
      </c>
      <c r="I128" s="13" t="s">
        <v>292</v>
      </c>
      <c r="J128" s="344" t="s">
        <v>951</v>
      </c>
      <c r="K128" s="193"/>
      <c r="L128" s="41"/>
      <c r="M128" s="41"/>
      <c r="N128" s="41"/>
      <c r="O128" s="41"/>
      <c r="P128" s="174" t="s">
        <v>69</v>
      </c>
      <c r="Q128" s="17" t="s">
        <v>33</v>
      </c>
      <c r="R128" s="18">
        <v>46189</v>
      </c>
      <c r="S128" s="18">
        <v>46192</v>
      </c>
      <c r="T128" s="18">
        <v>46199</v>
      </c>
      <c r="U128" s="56">
        <v>46202</v>
      </c>
      <c r="V128" s="18">
        <v>46205</v>
      </c>
      <c r="W128" s="18">
        <v>46212</v>
      </c>
      <c r="X128" s="18">
        <v>46223</v>
      </c>
      <c r="Y128" s="18">
        <v>46225</v>
      </c>
      <c r="Z128" s="18"/>
      <c r="AA128" s="18">
        <v>46232</v>
      </c>
      <c r="AB128" s="18">
        <v>46234</v>
      </c>
      <c r="AC128" s="18">
        <v>46241</v>
      </c>
      <c r="AD128" s="206">
        <v>46255</v>
      </c>
      <c r="AE128" s="18">
        <v>46269</v>
      </c>
      <c r="AF128" s="18">
        <v>46279</v>
      </c>
      <c r="AG128" s="18">
        <v>46279</v>
      </c>
      <c r="AH128" s="18">
        <v>46281</v>
      </c>
      <c r="AI128" s="18">
        <v>46313</v>
      </c>
      <c r="AJ128" s="18">
        <v>46318</v>
      </c>
      <c r="AK128" s="18">
        <v>46322</v>
      </c>
      <c r="AL128" s="18">
        <v>46325</v>
      </c>
      <c r="AM128" s="18">
        <v>46352</v>
      </c>
      <c r="AN128" s="57">
        <v>12.857142857142858</v>
      </c>
      <c r="AO128" s="58">
        <v>90</v>
      </c>
      <c r="AP128" s="77">
        <v>46322</v>
      </c>
      <c r="AQ128" s="77">
        <v>46348</v>
      </c>
      <c r="AR128" s="19">
        <f>AQ128-AP129</f>
        <v>23</v>
      </c>
      <c r="AS128" s="142" t="s">
        <v>1010</v>
      </c>
      <c r="AT128" s="501"/>
      <c r="AU128" s="20">
        <f>IF(ISERROR(LOOKUP(AU$10,$R128:$AT128,#REF!)),0,(LOOKUP(AU$10,$R128:$AT128,#REF!)))</f>
        <v>0</v>
      </c>
      <c r="AV128" s="21">
        <f>IF(ISERROR(LOOKUP(AV$10,$R128:$AT128,#REF!)),0,(LOOKUP(AV$10,$R128:$AT128,#REF!)))</f>
        <v>0</v>
      </c>
      <c r="AW128" s="21">
        <f>IF(ISERROR(LOOKUP(AW$10,$R128:$AT128,#REF!)),0,(LOOKUP(AW$10,$R128:$AT128,#REF!)))</f>
        <v>0</v>
      </c>
      <c r="AX128" s="21">
        <f>IF(ISERROR(LOOKUP(AX$10,$R128:$AT128,#REF!)),0,(LOOKUP(AX$10,$R128:$AT128,#REF!)))</f>
        <v>0</v>
      </c>
      <c r="AY128" s="21">
        <f>IF(ISERROR(LOOKUP(AY$10,$R128:$AT128,#REF!)),0,(LOOKUP(AY$10,$R128:$AT128,#REF!)))</f>
        <v>0</v>
      </c>
      <c r="AZ128" s="21">
        <f>IF(ISERROR(LOOKUP(AZ$10,$R128:$AT128,#REF!)),0,(LOOKUP(AZ$10,$R128:$AT128,#REF!)))</f>
        <v>0</v>
      </c>
      <c r="BA128" s="21">
        <f>IF(ISERROR(LOOKUP(BA$10,$R128:$AT128,#REF!)),0,(LOOKUP(BA$10,$R128:$AT128,#REF!)))</f>
        <v>0</v>
      </c>
      <c r="BB128" s="21">
        <f>IF(ISERROR(LOOKUP(BB$10,$R128:$AT128,#REF!)),0,(LOOKUP(BB$10,$R128:$AT128,#REF!)))</f>
        <v>0</v>
      </c>
      <c r="BC128" s="21">
        <f>IF(ISERROR(LOOKUP(BC$10,$R128:$AT128,#REF!)),0,(LOOKUP(BC$10,$R128:$AT128,#REF!)))</f>
        <v>0</v>
      </c>
      <c r="BD128" s="21">
        <f>IF(ISERROR(LOOKUP(BD$10,$R128:$AT128,#REF!)),0,(LOOKUP(BD$10,$R128:$AT128,#REF!)))</f>
        <v>0</v>
      </c>
      <c r="BE128" s="21">
        <f ca="1">IF(ISERROR(LOOKUP(BE$10,$R128:$AT128,#REF!)),0,(LOOKUP(BE$10,$R128:$AT128,#REF!)))</f>
        <v>0</v>
      </c>
      <c r="BF128" s="415" t="s">
        <v>965</v>
      </c>
      <c r="BG128" s="428">
        <v>46325</v>
      </c>
      <c r="BH128" s="428"/>
    </row>
    <row r="129" spans="1:60" s="3" customFormat="1" ht="17.649999999999999" customHeight="1" thickTop="1" thickBot="1" x14ac:dyDescent="0.45">
      <c r="A129" s="496"/>
      <c r="B129" s="92" t="s">
        <v>272</v>
      </c>
      <c r="C129" s="40" t="s">
        <v>79</v>
      </c>
      <c r="D129" s="87" t="s">
        <v>814</v>
      </c>
      <c r="E129" s="42" t="s">
        <v>66</v>
      </c>
      <c r="F129" s="45" t="s">
        <v>58</v>
      </c>
      <c r="G129" s="22" t="s">
        <v>51</v>
      </c>
      <c r="H129" s="40" t="s">
        <v>189</v>
      </c>
      <c r="I129" s="40" t="s">
        <v>292</v>
      </c>
      <c r="J129" s="42"/>
      <c r="K129" s="194"/>
      <c r="L129" s="42"/>
      <c r="M129" s="42"/>
      <c r="N129" s="42"/>
      <c r="O129" s="42"/>
      <c r="P129" s="175" t="s">
        <v>69</v>
      </c>
      <c r="Q129" s="25" t="s">
        <v>34</v>
      </c>
      <c r="R129" s="26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>
        <v>46289</v>
      </c>
      <c r="AE129" s="27">
        <f>WORKDAY(AD129, AE9, IF(AE12="China",'China Holidays'!$A$2:$A$84,'Thai Holidays'!$A$2:$A$65))</f>
        <v>46303</v>
      </c>
      <c r="AF129" s="27">
        <f>AE129+10</f>
        <v>46313</v>
      </c>
      <c r="AG129" s="27">
        <f>AF129</f>
        <v>46313</v>
      </c>
      <c r="AH129" s="27">
        <f>AG129+2</f>
        <v>46315</v>
      </c>
      <c r="AI129" s="27">
        <f>AJ129-5</f>
        <v>46316</v>
      </c>
      <c r="AJ129" s="27">
        <f>AK129-4</f>
        <v>46321</v>
      </c>
      <c r="AK129" s="27">
        <f>AP129</f>
        <v>46325</v>
      </c>
      <c r="AL129" s="27">
        <f>AK129+3</f>
        <v>46328</v>
      </c>
      <c r="AM129" s="27">
        <f>AL129+30</f>
        <v>46358</v>
      </c>
      <c r="AN129" s="80"/>
      <c r="AO129" s="78"/>
      <c r="AP129" s="82">
        <v>46325</v>
      </c>
      <c r="AQ129" s="82"/>
      <c r="AR129" s="28"/>
      <c r="AS129" s="361" t="s">
        <v>909</v>
      </c>
      <c r="AT129" s="502"/>
      <c r="AU129" s="20">
        <f>IF(ISERROR(LOOKUP(AU$10,$R129:$AT129,#REF!)),0,(LOOKUP(AU$10,$R129:$AT129,#REF!)))</f>
        <v>0</v>
      </c>
      <c r="AV129" s="21">
        <f>IF(ISERROR(LOOKUP(AV$10,$R129:$AT129,#REF!)),0,(LOOKUP(AV$10,$R129:$AT129,#REF!)))</f>
        <v>0</v>
      </c>
      <c r="AW129" s="21">
        <f>IF(ISERROR(LOOKUP(AW$10,$R129:$AT129,#REF!)),0,(LOOKUP(AW$10,$R129:$AT129,#REF!)))</f>
        <v>0</v>
      </c>
      <c r="AX129" s="21">
        <f>IF(ISERROR(LOOKUP(AX$10,$R129:$AT129,#REF!)),0,(LOOKUP(AX$10,$R129:$AT129,#REF!)))</f>
        <v>0</v>
      </c>
      <c r="AY129" s="21">
        <f>IF(ISERROR(LOOKUP(AY$10,$R129:$AT129,#REF!)),0,(LOOKUP(AY$10,$R129:$AT129,#REF!)))</f>
        <v>0</v>
      </c>
      <c r="AZ129" s="21">
        <f>IF(ISERROR(LOOKUP(AZ$10,$R129:$AT129,#REF!)),0,(LOOKUP(AZ$10,$R129:$AT129,#REF!)))</f>
        <v>0</v>
      </c>
      <c r="BA129" s="21">
        <f>IF(ISERROR(LOOKUP(BA$10,$R129:$AT129,#REF!)),0,(LOOKUP(BA$10,$R129:$AT129,#REF!)))</f>
        <v>0</v>
      </c>
      <c r="BB129" s="21">
        <f>IF(ISERROR(LOOKUP(BB$10,$R129:$AT129,#REF!)),0,(LOOKUP(BB$10,$R129:$AT129,#REF!)))</f>
        <v>0</v>
      </c>
      <c r="BC129" s="21">
        <f>IF(ISERROR(LOOKUP(BC$10,$R129:$AT129,#REF!)),0,(LOOKUP(BC$10,$R129:$AT129,#REF!)))</f>
        <v>0</v>
      </c>
      <c r="BD129" s="21">
        <f>IF(ISERROR(LOOKUP(BD$10,$R129:$AT129,#REF!)),0,(LOOKUP(BD$10,$R129:$AT129,#REF!)))</f>
        <v>0</v>
      </c>
      <c r="BE129" s="21">
        <f ca="1">IF(ISERROR(LOOKUP(BE$10,$R129:$AT129,#REF!)),0,(LOOKUP(BE$10,$R129:$AT129,#REF!)))</f>
        <v>0</v>
      </c>
      <c r="BF129" s="415"/>
      <c r="BG129" s="428"/>
      <c r="BH129" s="428"/>
    </row>
    <row r="130" spans="1:60" s="3" customFormat="1" ht="19.899999999999999" customHeight="1" thickTop="1" thickBot="1" x14ac:dyDescent="0.45">
      <c r="A130" s="497"/>
      <c r="B130" s="93" t="s">
        <v>272</v>
      </c>
      <c r="C130" s="31" t="s">
        <v>79</v>
      </c>
      <c r="D130" s="43" t="s">
        <v>814</v>
      </c>
      <c r="E130" s="44" t="s">
        <v>66</v>
      </c>
      <c r="F130" s="33" t="s">
        <v>58</v>
      </c>
      <c r="G130" s="31" t="s">
        <v>51</v>
      </c>
      <c r="H130" s="31" t="s">
        <v>189</v>
      </c>
      <c r="I130" s="31" t="s">
        <v>292</v>
      </c>
      <c r="J130" s="195" t="s">
        <v>812</v>
      </c>
      <c r="K130" s="195"/>
      <c r="L130" s="44"/>
      <c r="M130" s="44"/>
      <c r="N130" s="44"/>
      <c r="O130" s="44"/>
      <c r="P130" s="176" t="s">
        <v>69</v>
      </c>
      <c r="Q130" s="34" t="s">
        <v>35</v>
      </c>
      <c r="R130" s="35">
        <v>46185</v>
      </c>
      <c r="S130" s="35">
        <v>46148</v>
      </c>
      <c r="T130" s="35">
        <v>46165</v>
      </c>
      <c r="U130" s="35">
        <v>46197</v>
      </c>
      <c r="V130" s="35">
        <v>46197</v>
      </c>
      <c r="W130" s="35">
        <v>46212</v>
      </c>
      <c r="X130" s="379" t="s">
        <v>947</v>
      </c>
      <c r="Y130" s="35">
        <v>46263</v>
      </c>
      <c r="Z130" s="35"/>
      <c r="AA130" s="35">
        <v>46266</v>
      </c>
      <c r="AB130" s="35">
        <v>46268</v>
      </c>
      <c r="AC130" s="35" t="s">
        <v>342</v>
      </c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81"/>
      <c r="AO130" s="79"/>
      <c r="AP130" s="36"/>
      <c r="AQ130" s="36"/>
      <c r="AR130" s="37"/>
      <c r="AS130" s="141"/>
      <c r="AT130" s="503"/>
      <c r="AU130" s="38">
        <f>IF(ISERROR(LOOKUP(AU$10,$R130:$AT130,#REF!)),0,(LOOKUP(AU$10,$R130:$AT130,#REF!)))</f>
        <v>0</v>
      </c>
      <c r="AV130" s="39">
        <f>IF(ISERROR(LOOKUP(AV$10,$R130:$AT130,#REF!)),0,(LOOKUP(AV$10,$R130:$AT130,#REF!)))</f>
        <v>0</v>
      </c>
      <c r="AW130" s="39">
        <f>IF(ISERROR(LOOKUP(AW$10,$R130:$AT130,#REF!)),0,(LOOKUP(AW$10,$R130:$AT130,#REF!)))</f>
        <v>0</v>
      </c>
      <c r="AX130" s="39">
        <f>IF(ISERROR(LOOKUP(AX$10,$R130:$AT130,#REF!)),0,(LOOKUP(AX$10,$R130:$AT130,#REF!)))</f>
        <v>0</v>
      </c>
      <c r="AY130" s="39">
        <f>IF(ISERROR(LOOKUP(AY$10,$R130:$AT130,#REF!)),0,(LOOKUP(AY$10,$R130:$AT130,#REF!)))</f>
        <v>0</v>
      </c>
      <c r="AZ130" s="39">
        <f>IF(ISERROR(LOOKUP(AZ$10,$R130:$AT130,#REF!)),0,(LOOKUP(AZ$10,$R130:$AT130,#REF!)))</f>
        <v>0</v>
      </c>
      <c r="BA130" s="39">
        <f>IF(ISERROR(LOOKUP(BA$10,$R130:$AT130,#REF!)),0,(LOOKUP(BA$10,$R130:$AT130,#REF!)))</f>
        <v>0</v>
      </c>
      <c r="BB130" s="39">
        <f>IF(ISERROR(LOOKUP(BB$10,$R130:$AT130,#REF!)),0,(LOOKUP(BB$10,$R130:$AT130,#REF!)))</f>
        <v>0</v>
      </c>
      <c r="BC130" s="39">
        <f>IF(ISERROR(LOOKUP(BC$10,$R130:$AT130,#REF!)),0,(LOOKUP(BC$10,$R130:$AT130,#REF!)))</f>
        <v>0</v>
      </c>
      <c r="BD130" s="39">
        <f>IF(ISERROR(LOOKUP(BD$10,$R130:$AT130,#REF!)),0,(LOOKUP(BD$10,$R130:$AT130,#REF!)))</f>
        <v>0</v>
      </c>
      <c r="BE130" s="39">
        <f ca="1">IF(ISERROR(LOOKUP(BE$10,$R130:$AT130,#REF!)),0,(LOOKUP(BE$10,$R130:$AT130,#REF!)))</f>
        <v>0</v>
      </c>
      <c r="BF130" s="415"/>
      <c r="BG130" s="428"/>
      <c r="BH130" s="428"/>
    </row>
    <row r="131" spans="1:60" s="3" customFormat="1" ht="14.25" thickTop="1" thickBot="1" x14ac:dyDescent="0.45">
      <c r="A131" s="495">
        <f t="shared" ref="A131" si="30">A128+1</f>
        <v>35</v>
      </c>
      <c r="B131" s="91" t="s">
        <v>272</v>
      </c>
      <c r="C131" s="13" t="s">
        <v>80</v>
      </c>
      <c r="D131" s="338" t="s">
        <v>723</v>
      </c>
      <c r="E131" s="63" t="s">
        <v>66</v>
      </c>
      <c r="F131" s="15" t="s">
        <v>58</v>
      </c>
      <c r="G131" s="13" t="s">
        <v>51</v>
      </c>
      <c r="H131" s="13" t="s">
        <v>189</v>
      </c>
      <c r="I131" s="13" t="s">
        <v>290</v>
      </c>
      <c r="J131" s="344" t="s">
        <v>890</v>
      </c>
      <c r="K131" s="193"/>
      <c r="L131" s="41"/>
      <c r="M131" s="41" t="s">
        <v>890</v>
      </c>
      <c r="N131" s="205" t="s">
        <v>890</v>
      </c>
      <c r="O131" s="41"/>
      <c r="P131" s="174" t="s">
        <v>69</v>
      </c>
      <c r="Q131" s="17" t="s">
        <v>33</v>
      </c>
      <c r="R131" s="18">
        <v>46168</v>
      </c>
      <c r="S131" s="18">
        <v>46171</v>
      </c>
      <c r="T131" s="18">
        <v>46182</v>
      </c>
      <c r="U131" s="18">
        <v>46183</v>
      </c>
      <c r="V131" s="18">
        <v>46190</v>
      </c>
      <c r="W131" s="18">
        <v>46205</v>
      </c>
      <c r="X131" s="18">
        <v>46226</v>
      </c>
      <c r="Y131" s="18">
        <v>46233</v>
      </c>
      <c r="Z131" s="18"/>
      <c r="AA131" s="18">
        <v>46247</v>
      </c>
      <c r="AB131" s="18">
        <v>46251</v>
      </c>
      <c r="AC131" s="18">
        <v>46258</v>
      </c>
      <c r="AD131" s="206">
        <v>46279</v>
      </c>
      <c r="AE131" s="18">
        <v>46293</v>
      </c>
      <c r="AF131" s="18">
        <v>46323</v>
      </c>
      <c r="AG131" s="18">
        <v>46323</v>
      </c>
      <c r="AH131" s="18">
        <v>46325</v>
      </c>
      <c r="AI131" s="18">
        <v>46380</v>
      </c>
      <c r="AJ131" s="18">
        <v>46385</v>
      </c>
      <c r="AK131" s="18">
        <v>46415</v>
      </c>
      <c r="AL131" s="18">
        <v>46418</v>
      </c>
      <c r="AM131" s="18">
        <v>46445</v>
      </c>
      <c r="AN131" s="57">
        <v>24</v>
      </c>
      <c r="AO131" s="58">
        <v>168</v>
      </c>
      <c r="AP131" s="77">
        <v>46415</v>
      </c>
      <c r="AQ131" s="77">
        <v>46379</v>
      </c>
      <c r="AR131" s="19">
        <f>AQ131-AP133</f>
        <v>20</v>
      </c>
      <c r="AS131" s="142" t="s">
        <v>1010</v>
      </c>
      <c r="AT131" s="498" t="s">
        <v>774</v>
      </c>
      <c r="AU131" s="20">
        <f>IF(ISERROR(LOOKUP(AU$10,$R131:$AT131,#REF!)),0,(LOOKUP(AU$10,$R131:$AT131,#REF!)))</f>
        <v>0</v>
      </c>
      <c r="AV131" s="21">
        <f>IF(ISERROR(LOOKUP(AV$10,$R131:$AT131,#REF!)),0,(LOOKUP(AV$10,$R131:$AT131,#REF!)))</f>
        <v>0</v>
      </c>
      <c r="AW131" s="21">
        <f>IF(ISERROR(LOOKUP(AW$10,$R131:$AT131,#REF!)),0,(LOOKUP(AW$10,$R131:$AT131,#REF!)))</f>
        <v>0</v>
      </c>
      <c r="AX131" s="21">
        <f>IF(ISERROR(LOOKUP(AX$10,$R131:$AT131,#REF!)),0,(LOOKUP(AX$10,$R131:$AT131,#REF!)))</f>
        <v>0</v>
      </c>
      <c r="AY131" s="21">
        <f>IF(ISERROR(LOOKUP(AY$10,$R131:$AT131,#REF!)),0,(LOOKUP(AY$10,$R131:$AT131,#REF!)))</f>
        <v>0</v>
      </c>
      <c r="AZ131" s="21">
        <f>IF(ISERROR(LOOKUP(AZ$10,$R131:$AT131,#REF!)),0,(LOOKUP(AZ$10,$R131:$AT131,#REF!)))</f>
        <v>0</v>
      </c>
      <c r="BA131" s="21">
        <f>IF(ISERROR(LOOKUP(BA$10,$R131:$AT131,#REF!)),0,(LOOKUP(BA$10,$R131:$AT131,#REF!)))</f>
        <v>0</v>
      </c>
      <c r="BB131" s="21">
        <f>IF(ISERROR(LOOKUP(BB$10,$R131:$AT131,#REF!)),0,(LOOKUP(BB$10,$R131:$AT131,#REF!)))</f>
        <v>0</v>
      </c>
      <c r="BC131" s="21">
        <f>IF(ISERROR(LOOKUP(BC$10,$R131:$AT131,#REF!)),0,(LOOKUP(BC$10,$R131:$AT131,#REF!)))</f>
        <v>0</v>
      </c>
      <c r="BD131" s="21">
        <f>IF(ISERROR(LOOKUP(BD$10,$R131:$AT131,#REF!)),0,(LOOKUP(BD$10,$R131:$AT131,#REF!)))</f>
        <v>0</v>
      </c>
      <c r="BE131" s="21">
        <f ca="1">IF(ISERROR(LOOKUP(BE$10,$R131:$AT131,#REF!)),0,(LOOKUP(BE$10,$R131:$AT131,#REF!)))</f>
        <v>0</v>
      </c>
      <c r="BF131" s="415" t="s">
        <v>966</v>
      </c>
      <c r="BG131" s="428" t="s">
        <v>954</v>
      </c>
      <c r="BH131" s="428"/>
    </row>
    <row r="132" spans="1:60" s="3" customFormat="1" ht="14.25" thickTop="1" thickBot="1" x14ac:dyDescent="0.45">
      <c r="A132" s="496"/>
      <c r="B132" s="92" t="s">
        <v>272</v>
      </c>
      <c r="C132" s="40" t="s">
        <v>80</v>
      </c>
      <c r="D132" s="42" t="s">
        <v>722</v>
      </c>
      <c r="E132" s="42" t="s">
        <v>66</v>
      </c>
      <c r="F132" s="45" t="s">
        <v>58</v>
      </c>
      <c r="G132" s="22" t="s">
        <v>51</v>
      </c>
      <c r="H132" s="40" t="s">
        <v>189</v>
      </c>
      <c r="I132" s="40" t="s">
        <v>290</v>
      </c>
      <c r="J132" s="42"/>
      <c r="K132" s="194"/>
      <c r="L132" s="42"/>
      <c r="M132" s="42" t="s">
        <v>891</v>
      </c>
      <c r="N132" s="384" t="s">
        <v>891</v>
      </c>
      <c r="O132" s="42"/>
      <c r="P132" s="175" t="s">
        <v>69</v>
      </c>
      <c r="Q132" s="25" t="s">
        <v>34</v>
      </c>
      <c r="R132" s="26"/>
      <c r="S132" s="27"/>
      <c r="T132" s="27"/>
      <c r="U132" s="27"/>
      <c r="V132" s="27"/>
      <c r="W132" s="27"/>
      <c r="X132" s="144"/>
      <c r="Y132" s="27"/>
      <c r="Z132" s="27"/>
      <c r="AA132" s="27"/>
      <c r="AB132" s="27"/>
      <c r="AC132" s="27"/>
      <c r="AD132" s="27">
        <v>46293</v>
      </c>
      <c r="AE132" s="27">
        <f>WORKDAY(AD132, AE8, IF(AE12="China",'China Holidays'!$A$2:$A$84,'Thai Holidays'!$A$2:$A$65))</f>
        <v>46307</v>
      </c>
      <c r="AF132" s="27">
        <f>AE132+3</f>
        <v>46310</v>
      </c>
      <c r="AG132" s="27">
        <f>AF132</f>
        <v>46310</v>
      </c>
      <c r="AH132" s="27">
        <f>AG132+2</f>
        <v>46312</v>
      </c>
      <c r="AI132" s="27">
        <f>AJ132-5</f>
        <v>46324</v>
      </c>
      <c r="AJ132" s="27">
        <f>AK132-30</f>
        <v>46329</v>
      </c>
      <c r="AK132" s="27">
        <f>AP133</f>
        <v>46359</v>
      </c>
      <c r="AL132" s="27">
        <f>AK132+3</f>
        <v>46362</v>
      </c>
      <c r="AM132" s="27">
        <f>AL132+30</f>
        <v>46392</v>
      </c>
      <c r="AN132" s="80">
        <v>7</v>
      </c>
      <c r="AO132" s="78">
        <f>AN132*7</f>
        <v>49</v>
      </c>
      <c r="AP132" s="82">
        <f>AA134+AO132</f>
        <v>46317</v>
      </c>
      <c r="AQ132" s="82"/>
      <c r="AR132" s="28"/>
      <c r="AS132" s="361" t="s">
        <v>953</v>
      </c>
      <c r="AT132" s="502"/>
      <c r="AU132" s="20">
        <f>IF(ISERROR(LOOKUP(AU$10,$R132:$AT132,#REF!)),0,(LOOKUP(AU$10,$R132:$AT132,#REF!)))</f>
        <v>0</v>
      </c>
      <c r="AV132" s="21">
        <f>IF(ISERROR(LOOKUP(AV$10,$R132:$AT132,#REF!)),0,(LOOKUP(AV$10,$R132:$AT132,#REF!)))</f>
        <v>0</v>
      </c>
      <c r="AW132" s="21">
        <f>IF(ISERROR(LOOKUP(AW$10,$R132:$AT132,#REF!)),0,(LOOKUP(AW$10,$R132:$AT132,#REF!)))</f>
        <v>0</v>
      </c>
      <c r="AX132" s="21">
        <f>IF(ISERROR(LOOKUP(AX$10,$R132:$AT132,#REF!)),0,(LOOKUP(AX$10,$R132:$AT132,#REF!)))</f>
        <v>0</v>
      </c>
      <c r="AY132" s="21">
        <f>IF(ISERROR(LOOKUP(AY$10,$R132:$AT132,#REF!)),0,(LOOKUP(AY$10,$R132:$AT132,#REF!)))</f>
        <v>0</v>
      </c>
      <c r="AZ132" s="21">
        <f>IF(ISERROR(LOOKUP(AZ$10,$R132:$AT132,#REF!)),0,(LOOKUP(AZ$10,$R132:$AT132,#REF!)))</f>
        <v>0</v>
      </c>
      <c r="BA132" s="21">
        <f>IF(ISERROR(LOOKUP(BA$10,$R132:$AT132,#REF!)),0,(LOOKUP(BA$10,$R132:$AT132,#REF!)))</f>
        <v>0</v>
      </c>
      <c r="BB132" s="21">
        <f>IF(ISERROR(LOOKUP(BB$10,$R132:$AT132,#REF!)),0,(LOOKUP(BB$10,$R132:$AT132,#REF!)))</f>
        <v>0</v>
      </c>
      <c r="BC132" s="21">
        <f>IF(ISERROR(LOOKUP(BC$10,$R132:$AT132,#REF!)),0,(LOOKUP(BC$10,$R132:$AT132,#REF!)))</f>
        <v>0</v>
      </c>
      <c r="BD132" s="21">
        <f>IF(ISERROR(LOOKUP(BD$10,$R132:$AT132,#REF!)),0,(LOOKUP(BD$10,$R132:$AT132,#REF!)))</f>
        <v>0</v>
      </c>
      <c r="BE132" s="21">
        <f ca="1">IF(ISERROR(LOOKUP(BE$10,$R132:$AT132,#REF!)),0,(LOOKUP(BE$10,$R132:$AT132,#REF!)))</f>
        <v>0</v>
      </c>
      <c r="BF132" s="415" t="s">
        <v>966</v>
      </c>
      <c r="BG132" s="428" t="s">
        <v>955</v>
      </c>
      <c r="BH132" s="428"/>
    </row>
    <row r="133" spans="1:60" s="3" customFormat="1" ht="14.25" thickTop="1" thickBot="1" x14ac:dyDescent="0.45">
      <c r="A133" s="496"/>
      <c r="B133" s="385" t="s">
        <v>272</v>
      </c>
      <c r="C133" s="116" t="s">
        <v>80</v>
      </c>
      <c r="D133" s="117" t="s">
        <v>722</v>
      </c>
      <c r="E133" s="117"/>
      <c r="F133" s="45" t="s">
        <v>58</v>
      </c>
      <c r="G133" s="119" t="s">
        <v>51</v>
      </c>
      <c r="H133" s="116" t="s">
        <v>1</v>
      </c>
      <c r="I133" s="116" t="s">
        <v>290</v>
      </c>
      <c r="J133" s="117"/>
      <c r="K133" s="304"/>
      <c r="L133" s="117"/>
      <c r="M133" s="117"/>
      <c r="N133" s="457"/>
      <c r="O133" s="117"/>
      <c r="P133" s="175" t="s">
        <v>69</v>
      </c>
      <c r="Q133" s="25" t="s">
        <v>34</v>
      </c>
      <c r="R133" s="390"/>
      <c r="S133" s="391"/>
      <c r="T133" s="391"/>
      <c r="U133" s="391"/>
      <c r="V133" s="391"/>
      <c r="W133" s="391"/>
      <c r="X133" s="458"/>
      <c r="Y133" s="391"/>
      <c r="Z133" s="391"/>
      <c r="AA133" s="391"/>
      <c r="AB133" s="391"/>
      <c r="AC133" s="391"/>
      <c r="AD133" s="391"/>
      <c r="AE133" s="391"/>
      <c r="AF133" s="391"/>
      <c r="AG133" s="391"/>
      <c r="AH133" s="391"/>
      <c r="AI133" s="391"/>
      <c r="AJ133" s="391"/>
      <c r="AK133" s="391"/>
      <c r="AL133" s="391"/>
      <c r="AM133" s="391"/>
      <c r="AN133" s="392">
        <v>13</v>
      </c>
      <c r="AO133" s="78">
        <f>AN133*7</f>
        <v>91</v>
      </c>
      <c r="AP133" s="82">
        <f>AA134+AO133</f>
        <v>46359</v>
      </c>
      <c r="AQ133" s="393"/>
      <c r="AR133" s="459"/>
      <c r="AS133" s="460"/>
      <c r="AT133" s="502"/>
      <c r="AU133" s="38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415"/>
      <c r="BG133" s="428"/>
      <c r="BH133" s="428"/>
    </row>
    <row r="134" spans="1:60" s="3" customFormat="1" ht="13.9" thickBot="1" x14ac:dyDescent="0.45">
      <c r="A134" s="497"/>
      <c r="B134" s="93" t="s">
        <v>272</v>
      </c>
      <c r="C134" s="31" t="s">
        <v>80</v>
      </c>
      <c r="D134" s="44" t="s">
        <v>723</v>
      </c>
      <c r="E134" s="44" t="s">
        <v>66</v>
      </c>
      <c r="F134" s="33" t="s">
        <v>58</v>
      </c>
      <c r="G134" s="31" t="s">
        <v>51</v>
      </c>
      <c r="H134" s="31" t="s">
        <v>189</v>
      </c>
      <c r="I134" s="31" t="s">
        <v>290</v>
      </c>
      <c r="J134" s="44"/>
      <c r="K134" s="195"/>
      <c r="L134" s="44"/>
      <c r="M134" s="44"/>
      <c r="N134" s="44"/>
      <c r="O134" s="44"/>
      <c r="P134" s="176" t="s">
        <v>69</v>
      </c>
      <c r="Q134" s="34" t="s">
        <v>35</v>
      </c>
      <c r="R134" s="35">
        <v>46184</v>
      </c>
      <c r="S134" s="35">
        <v>46148</v>
      </c>
      <c r="T134" s="35">
        <v>46165</v>
      </c>
      <c r="U134" s="35">
        <v>46185</v>
      </c>
      <c r="V134" s="35">
        <v>46185</v>
      </c>
      <c r="W134" s="35">
        <v>46209</v>
      </c>
      <c r="X134" s="35">
        <v>46262</v>
      </c>
      <c r="Y134" s="35">
        <v>46263</v>
      </c>
      <c r="Z134" s="35"/>
      <c r="AA134" s="35">
        <v>46268</v>
      </c>
      <c r="AB134" s="377">
        <v>46283</v>
      </c>
      <c r="AC134" s="377" t="s">
        <v>342</v>
      </c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81"/>
      <c r="AO134" s="79"/>
      <c r="AP134" s="36" t="s">
        <v>904</v>
      </c>
      <c r="AQ134" s="36"/>
      <c r="AR134" s="37"/>
      <c r="AS134" s="141"/>
      <c r="AT134" s="503"/>
      <c r="AU134" s="38">
        <f>IF(ISERROR(LOOKUP(AU$10,$R134:$AT134,#REF!)),0,(LOOKUP(AU$10,$R134:$AT134,#REF!)))</f>
        <v>0</v>
      </c>
      <c r="AV134" s="39">
        <f>IF(ISERROR(LOOKUP(AV$10,$R134:$AT134,#REF!)),0,(LOOKUP(AV$10,$R134:$AT134,#REF!)))</f>
        <v>0</v>
      </c>
      <c r="AW134" s="39">
        <f>IF(ISERROR(LOOKUP(AW$10,$R134:$AT134,#REF!)),0,(LOOKUP(AW$10,$R134:$AT134,#REF!)))</f>
        <v>0</v>
      </c>
      <c r="AX134" s="39">
        <f>IF(ISERROR(LOOKUP(AX$10,$R134:$AT134,#REF!)),0,(LOOKUP(AX$10,$R134:$AT134,#REF!)))</f>
        <v>0</v>
      </c>
      <c r="AY134" s="39">
        <f>IF(ISERROR(LOOKUP(AY$10,$R134:$AT134,#REF!)),0,(LOOKUP(AY$10,$R134:$AT134,#REF!)))</f>
        <v>0</v>
      </c>
      <c r="AZ134" s="39">
        <f>IF(ISERROR(LOOKUP(AZ$10,$R134:$AT134,#REF!)),0,(LOOKUP(AZ$10,$R134:$AT134,#REF!)))</f>
        <v>0</v>
      </c>
      <c r="BA134" s="39">
        <f>IF(ISERROR(LOOKUP(BA$10,$R134:$AT134,#REF!)),0,(LOOKUP(BA$10,$R134:$AT134,#REF!)))</f>
        <v>0</v>
      </c>
      <c r="BB134" s="39">
        <f>IF(ISERROR(LOOKUP(BB$10,$R134:$AT134,#REF!)),0,(LOOKUP(BB$10,$R134:$AT134,#REF!)))</f>
        <v>0</v>
      </c>
      <c r="BC134" s="39">
        <f>IF(ISERROR(LOOKUP(BC$10,$R134:$AT134,#REF!)),0,(LOOKUP(BC$10,$R134:$AT134,#REF!)))</f>
        <v>0</v>
      </c>
      <c r="BD134" s="39">
        <f>IF(ISERROR(LOOKUP(BD$10,$R134:$AT134,#REF!)),0,(LOOKUP(BD$10,$R134:$AT134,#REF!)))</f>
        <v>0</v>
      </c>
      <c r="BE134" s="39">
        <f ca="1">IF(ISERROR(LOOKUP(BE$10,$R134:$AT134,#REF!)),0,(LOOKUP(BE$10,$R134:$AT134,#REF!)))</f>
        <v>0</v>
      </c>
      <c r="BF134" s="415"/>
      <c r="BG134" s="428"/>
      <c r="BH134" s="428"/>
    </row>
    <row r="135" spans="1:60" s="3" customFormat="1" ht="14.25" thickTop="1" thickBot="1" x14ac:dyDescent="0.45">
      <c r="A135" s="495"/>
      <c r="B135" s="222" t="s">
        <v>272</v>
      </c>
      <c r="C135" s="234" t="s">
        <v>81</v>
      </c>
      <c r="D135" s="224" t="s">
        <v>352</v>
      </c>
      <c r="E135" s="63" t="s">
        <v>66</v>
      </c>
      <c r="F135" s="241" t="s">
        <v>58</v>
      </c>
      <c r="G135" s="234" t="s">
        <v>51</v>
      </c>
      <c r="H135" s="234" t="s">
        <v>189</v>
      </c>
      <c r="I135" s="234" t="s">
        <v>292</v>
      </c>
      <c r="J135" s="220" t="s">
        <v>721</v>
      </c>
      <c r="K135" s="193"/>
      <c r="L135" s="41"/>
      <c r="M135" s="41"/>
      <c r="N135" s="41"/>
      <c r="O135" s="41"/>
      <c r="P135" s="174" t="s">
        <v>69</v>
      </c>
      <c r="Q135" s="17" t="s">
        <v>33</v>
      </c>
      <c r="R135" s="18">
        <v>46199</v>
      </c>
      <c r="S135" s="18">
        <v>46204</v>
      </c>
      <c r="T135" s="18">
        <v>46211</v>
      </c>
      <c r="U135" s="18">
        <v>46212</v>
      </c>
      <c r="V135" s="18">
        <v>46217</v>
      </c>
      <c r="W135" s="18">
        <v>46224</v>
      </c>
      <c r="X135" s="18">
        <v>46237</v>
      </c>
      <c r="Y135" s="18">
        <v>46239</v>
      </c>
      <c r="Z135" s="18"/>
      <c r="AA135" s="18">
        <v>46246</v>
      </c>
      <c r="AB135" s="18">
        <v>46248</v>
      </c>
      <c r="AC135" s="18">
        <v>46255</v>
      </c>
      <c r="AD135" s="18">
        <v>46269</v>
      </c>
      <c r="AE135" s="18">
        <v>46283</v>
      </c>
      <c r="AF135" s="18">
        <v>46303</v>
      </c>
      <c r="AG135" s="18">
        <v>46303</v>
      </c>
      <c r="AH135" s="18">
        <v>46305</v>
      </c>
      <c r="AI135" s="18">
        <v>46326</v>
      </c>
      <c r="AJ135" s="18">
        <v>46331</v>
      </c>
      <c r="AK135" s="18">
        <v>46336</v>
      </c>
      <c r="AL135" s="18">
        <v>46339</v>
      </c>
      <c r="AM135" s="18">
        <v>46366</v>
      </c>
      <c r="AN135" s="57">
        <v>12.857142857142858</v>
      </c>
      <c r="AO135" s="58">
        <v>90</v>
      </c>
      <c r="AP135" s="77">
        <v>46336</v>
      </c>
      <c r="AQ135" s="77"/>
      <c r="AR135" s="19"/>
      <c r="AS135" s="142"/>
      <c r="AT135" s="501" t="s">
        <v>480</v>
      </c>
      <c r="AU135" s="20">
        <f>IF(ISERROR(LOOKUP(AU$10,$R135:$AT135,#REF!)),0,(LOOKUP(AU$10,$R135:$AT135,#REF!)))</f>
        <v>0</v>
      </c>
      <c r="AV135" s="21">
        <f>IF(ISERROR(LOOKUP(AV$10,$R135:$AT135,#REF!)),0,(LOOKUP(AV$10,$R135:$AT135,#REF!)))</f>
        <v>0</v>
      </c>
      <c r="AW135" s="21">
        <f>IF(ISERROR(LOOKUP(AW$10,$R135:$AT135,#REF!)),0,(LOOKUP(AW$10,$R135:$AT135,#REF!)))</f>
        <v>0</v>
      </c>
      <c r="AX135" s="21">
        <f>IF(ISERROR(LOOKUP(AX$10,$R135:$AT135,#REF!)),0,(LOOKUP(AX$10,$R135:$AT135,#REF!)))</f>
        <v>0</v>
      </c>
      <c r="AY135" s="21">
        <f>IF(ISERROR(LOOKUP(AY$10,$R135:$AT135,#REF!)),0,(LOOKUP(AY$10,$R135:$AT135,#REF!)))</f>
        <v>0</v>
      </c>
      <c r="AZ135" s="21">
        <f>IF(ISERROR(LOOKUP(AZ$10,$R135:$AT135,#REF!)),0,(LOOKUP(AZ$10,$R135:$AT135,#REF!)))</f>
        <v>0</v>
      </c>
      <c r="BA135" s="21">
        <f>IF(ISERROR(LOOKUP(BA$10,$R135:$AT135,#REF!)),0,(LOOKUP(BA$10,$R135:$AT135,#REF!)))</f>
        <v>0</v>
      </c>
      <c r="BB135" s="21">
        <f>IF(ISERROR(LOOKUP(BB$10,$R135:$AT135,#REF!)),0,(LOOKUP(BB$10,$R135:$AT135,#REF!)))</f>
        <v>0</v>
      </c>
      <c r="BC135" s="21">
        <f>IF(ISERROR(LOOKUP(BC$10,$R135:$AT135,#REF!)),0,(LOOKUP(BC$10,$R135:$AT135,#REF!)))</f>
        <v>0</v>
      </c>
      <c r="BD135" s="21">
        <f>IF(ISERROR(LOOKUP(BD$10,$R135:$AT135,#REF!)),0,(LOOKUP(BD$10,$R135:$AT135,#REF!)))</f>
        <v>0</v>
      </c>
      <c r="BE135" s="21">
        <f ca="1">IF(ISERROR(LOOKUP(BE$10,$R135:$AT135,#REF!)),0,(LOOKUP(BE$10,$R135:$AT135,#REF!)))</f>
        <v>0</v>
      </c>
      <c r="BF135" s="415"/>
      <c r="BG135" s="428"/>
      <c r="BH135" s="428"/>
    </row>
    <row r="136" spans="1:60" s="3" customFormat="1" ht="14.25" thickTop="1" thickBot="1" x14ac:dyDescent="0.45">
      <c r="A136" s="496"/>
      <c r="B136" s="225" t="s">
        <v>272</v>
      </c>
      <c r="C136" s="235" t="s">
        <v>81</v>
      </c>
      <c r="D136" s="242" t="s">
        <v>352</v>
      </c>
      <c r="E136" s="42" t="s">
        <v>66</v>
      </c>
      <c r="F136" s="243" t="s">
        <v>58</v>
      </c>
      <c r="G136" s="244" t="s">
        <v>51</v>
      </c>
      <c r="H136" s="235" t="s">
        <v>189</v>
      </c>
      <c r="I136" s="235" t="s">
        <v>292</v>
      </c>
      <c r="J136" s="42"/>
      <c r="K136" s="194"/>
      <c r="L136" s="42"/>
      <c r="M136" s="42"/>
      <c r="N136" s="42"/>
      <c r="O136" s="42"/>
      <c r="P136" s="175" t="s">
        <v>69</v>
      </c>
      <c r="Q136" s="25" t="s">
        <v>34</v>
      </c>
      <c r="R136" s="26"/>
      <c r="S136" s="27"/>
      <c r="T136" s="27"/>
      <c r="U136" s="27"/>
      <c r="V136" s="27"/>
      <c r="W136" s="27"/>
      <c r="X136" s="27">
        <f>X135</f>
        <v>46237</v>
      </c>
      <c r="Y136" s="27">
        <f>WORKDAY(X136, Y9, IF(Y12="China",'China Holidays'!$A$2:$A$84,'Thai Holidays'!$A$2:$A$65))</f>
        <v>46252</v>
      </c>
      <c r="Z136" s="27"/>
      <c r="AA136" s="27">
        <f>Y136</f>
        <v>46252</v>
      </c>
      <c r="AB136" s="27">
        <f>WORKDAY(AA136, AB9, IF(AB12="China",'China Holidays'!$A$2:$A$84,'Thai Holidays'!$A$2:$A$65))</f>
        <v>46254</v>
      </c>
      <c r="AC136" s="27">
        <f>WORKDAY(AB136, AC9, IF(AC12="China",'China Holidays'!$A$2:$A$84,'Thai Holidays'!$A$2:$A$65))</f>
        <v>46261</v>
      </c>
      <c r="AD136" s="27">
        <f>WORKDAY(AC136, AD9, IF(AD12="China",'China Holidays'!$A$2:$A$84,'Thai Holidays'!$A$2:$A$65))</f>
        <v>46275</v>
      </c>
      <c r="AE136" s="27">
        <f>WORKDAY(AD136, AE9, IF(AE12="China",'China Holidays'!$A$2:$A$84,'Thai Holidays'!$A$2:$A$65))</f>
        <v>46289</v>
      </c>
      <c r="AF136" s="27">
        <f>AE136+20</f>
        <v>46309</v>
      </c>
      <c r="AG136" s="27">
        <f>AF136</f>
        <v>46309</v>
      </c>
      <c r="AH136" s="27">
        <f>AG136+2</f>
        <v>46311</v>
      </c>
      <c r="AI136" s="27">
        <f>AJ136-5</f>
        <v>46332</v>
      </c>
      <c r="AJ136" s="27">
        <f>AK136-5</f>
        <v>46337</v>
      </c>
      <c r="AK136" s="27">
        <f>AP136</f>
        <v>46342</v>
      </c>
      <c r="AL136" s="27">
        <f>AP135+3</f>
        <v>46339</v>
      </c>
      <c r="AM136" s="27">
        <f>AP135+30</f>
        <v>46366</v>
      </c>
      <c r="AN136" s="80"/>
      <c r="AO136" s="78"/>
      <c r="AP136" s="82">
        <f>AA136+AO135</f>
        <v>46342</v>
      </c>
      <c r="AQ136" s="82"/>
      <c r="AR136" s="28"/>
      <c r="AS136" s="362"/>
      <c r="AT136" s="502"/>
      <c r="AU136" s="20">
        <f>IF(ISERROR(LOOKUP(AU$10,$R136:$AT136,#REF!)),0,(LOOKUP(AU$10,$R136:$AT136,#REF!)))</f>
        <v>0</v>
      </c>
      <c r="AV136" s="21">
        <f>IF(ISERROR(LOOKUP(AV$10,$R136:$AT136,#REF!)),0,(LOOKUP(AV$10,$R136:$AT136,#REF!)))</f>
        <v>0</v>
      </c>
      <c r="AW136" s="21">
        <f>IF(ISERROR(LOOKUP(AW$10,$R136:$AT136,#REF!)),0,(LOOKUP(AW$10,$R136:$AT136,#REF!)))</f>
        <v>0</v>
      </c>
      <c r="AX136" s="21">
        <f>IF(ISERROR(LOOKUP(AX$10,$R136:$AT136,#REF!)),0,(LOOKUP(AX$10,$R136:$AT136,#REF!)))</f>
        <v>0</v>
      </c>
      <c r="AY136" s="21">
        <f>IF(ISERROR(LOOKUP(AY$10,$R136:$AT136,#REF!)),0,(LOOKUP(AY$10,$R136:$AT136,#REF!)))</f>
        <v>0</v>
      </c>
      <c r="AZ136" s="21">
        <f>IF(ISERROR(LOOKUP(AZ$10,$R136:$AT136,#REF!)),0,(LOOKUP(AZ$10,$R136:$AT136,#REF!)))</f>
        <v>0</v>
      </c>
      <c r="BA136" s="21">
        <f>IF(ISERROR(LOOKUP(BA$10,$R136:$AT136,#REF!)),0,(LOOKUP(BA$10,$R136:$AT136,#REF!)))</f>
        <v>0</v>
      </c>
      <c r="BB136" s="21">
        <f>IF(ISERROR(LOOKUP(BB$10,$R136:$AT136,#REF!)),0,(LOOKUP(BB$10,$R136:$AT136,#REF!)))</f>
        <v>0</v>
      </c>
      <c r="BC136" s="21">
        <f>IF(ISERROR(LOOKUP(BC$10,$R136:$AT136,#REF!)),0,(LOOKUP(BC$10,$R136:$AT136,#REF!)))</f>
        <v>0</v>
      </c>
      <c r="BD136" s="21">
        <f>IF(ISERROR(LOOKUP(BD$10,$R136:$AT136,#REF!)),0,(LOOKUP(BD$10,$R136:$AT136,#REF!)))</f>
        <v>0</v>
      </c>
      <c r="BE136" s="21">
        <f ca="1">IF(ISERROR(LOOKUP(BE$10,$R136:$AT136,#REF!)),0,(LOOKUP(BE$10,$R136:$AT136,#REF!)))</f>
        <v>0</v>
      </c>
      <c r="BF136" s="415"/>
      <c r="BG136" s="428"/>
      <c r="BH136" s="428"/>
    </row>
    <row r="137" spans="1:60" s="3" customFormat="1" ht="14.25" thickTop="1" thickBot="1" x14ac:dyDescent="0.45">
      <c r="A137" s="497"/>
      <c r="B137" s="228" t="s">
        <v>272</v>
      </c>
      <c r="C137" s="236" t="s">
        <v>81</v>
      </c>
      <c r="D137" s="245" t="s">
        <v>352</v>
      </c>
      <c r="E137" s="44" t="s">
        <v>66</v>
      </c>
      <c r="F137" s="246" t="s">
        <v>58</v>
      </c>
      <c r="G137" s="236" t="s">
        <v>51</v>
      </c>
      <c r="H137" s="236" t="s">
        <v>189</v>
      </c>
      <c r="I137" s="236" t="s">
        <v>292</v>
      </c>
      <c r="J137" s="44"/>
      <c r="K137" s="195"/>
      <c r="L137" s="44"/>
      <c r="M137" s="44"/>
      <c r="N137" s="44"/>
      <c r="O137" s="44"/>
      <c r="P137" s="176" t="s">
        <v>69</v>
      </c>
      <c r="Q137" s="34" t="s">
        <v>35</v>
      </c>
      <c r="R137" s="35">
        <v>46185</v>
      </c>
      <c r="S137" s="35">
        <v>46148</v>
      </c>
      <c r="T137" s="35">
        <v>46165</v>
      </c>
      <c r="U137" s="35">
        <v>46191</v>
      </c>
      <c r="V137" s="35">
        <v>46191</v>
      </c>
      <c r="W137" s="35">
        <v>46199</v>
      </c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81"/>
      <c r="AO137" s="79"/>
      <c r="AP137" s="36"/>
      <c r="AQ137" s="36"/>
      <c r="AR137" s="37"/>
      <c r="AS137" s="141"/>
      <c r="AT137" s="503"/>
      <c r="AU137" s="38">
        <f>IF(ISERROR(LOOKUP(AU$10,$R137:$AT137,#REF!)),0,(LOOKUP(AU$10,$R137:$AT137,#REF!)))</f>
        <v>0</v>
      </c>
      <c r="AV137" s="39">
        <f>IF(ISERROR(LOOKUP(AV$10,$R137:$AT137,#REF!)),0,(LOOKUP(AV$10,$R137:$AT137,#REF!)))</f>
        <v>0</v>
      </c>
      <c r="AW137" s="39">
        <f>IF(ISERROR(LOOKUP(AW$10,$R137:$AT137,#REF!)),0,(LOOKUP(AW$10,$R137:$AT137,#REF!)))</f>
        <v>0</v>
      </c>
      <c r="AX137" s="39">
        <f>IF(ISERROR(LOOKUP(AX$10,$R137:$AT137,#REF!)),0,(LOOKUP(AX$10,$R137:$AT137,#REF!)))</f>
        <v>0</v>
      </c>
      <c r="AY137" s="39">
        <f>IF(ISERROR(LOOKUP(AY$10,$R137:$AT137,#REF!)),0,(LOOKUP(AY$10,$R137:$AT137,#REF!)))</f>
        <v>0</v>
      </c>
      <c r="AZ137" s="39">
        <f>IF(ISERROR(LOOKUP(AZ$10,$R137:$AT137,#REF!)),0,(LOOKUP(AZ$10,$R137:$AT137,#REF!)))</f>
        <v>0</v>
      </c>
      <c r="BA137" s="39">
        <f>IF(ISERROR(LOOKUP(BA$10,$R137:$AT137,#REF!)),0,(LOOKUP(BA$10,$R137:$AT137,#REF!)))</f>
        <v>0</v>
      </c>
      <c r="BB137" s="39">
        <f>IF(ISERROR(LOOKUP(BB$10,$R137:$AT137,#REF!)),0,(LOOKUP(BB$10,$R137:$AT137,#REF!)))</f>
        <v>0</v>
      </c>
      <c r="BC137" s="39">
        <f>IF(ISERROR(LOOKUP(BC$10,$R137:$AT137,#REF!)),0,(LOOKUP(BC$10,$R137:$AT137,#REF!)))</f>
        <v>0</v>
      </c>
      <c r="BD137" s="39">
        <f>IF(ISERROR(LOOKUP(BD$10,$R137:$AT137,#REF!)),0,(LOOKUP(BD$10,$R137:$AT137,#REF!)))</f>
        <v>0</v>
      </c>
      <c r="BE137" s="39">
        <f ca="1">IF(ISERROR(LOOKUP(BE$10,$R137:$AT137,#REF!)),0,(LOOKUP(BE$10,$R137:$AT137,#REF!)))</f>
        <v>0</v>
      </c>
      <c r="BF137" s="415"/>
      <c r="BG137" s="428"/>
      <c r="BH137" s="428"/>
    </row>
    <row r="138" spans="1:60" s="3" customFormat="1" ht="14.25" thickTop="1" thickBot="1" x14ac:dyDescent="0.45">
      <c r="A138" s="495">
        <f>A131+1</f>
        <v>36</v>
      </c>
      <c r="B138" s="91" t="s">
        <v>272</v>
      </c>
      <c r="C138" s="16" t="s">
        <v>731</v>
      </c>
      <c r="D138" s="203" t="s">
        <v>733</v>
      </c>
      <c r="E138" s="63" t="s">
        <v>66</v>
      </c>
      <c r="F138" s="15" t="s">
        <v>58</v>
      </c>
      <c r="G138" s="13" t="s">
        <v>51</v>
      </c>
      <c r="H138" s="13" t="s">
        <v>189</v>
      </c>
      <c r="I138" s="13" t="s">
        <v>290</v>
      </c>
      <c r="J138" s="41"/>
      <c r="K138" s="193"/>
      <c r="L138" s="41"/>
      <c r="M138" s="41"/>
      <c r="N138" s="41"/>
      <c r="O138" s="41"/>
      <c r="P138" s="174" t="s">
        <v>69</v>
      </c>
      <c r="Q138" s="17" t="s">
        <v>33</v>
      </c>
      <c r="R138" s="18">
        <v>46231</v>
      </c>
      <c r="S138" s="18">
        <v>46171</v>
      </c>
      <c r="T138" s="18">
        <v>46182</v>
      </c>
      <c r="U138" s="18">
        <v>46233</v>
      </c>
      <c r="V138" s="18">
        <v>46232</v>
      </c>
      <c r="W138" s="18">
        <v>46238</v>
      </c>
      <c r="X138" s="18">
        <v>46258</v>
      </c>
      <c r="Y138" s="206">
        <v>46272</v>
      </c>
      <c r="Z138" s="18"/>
      <c r="AA138" s="18">
        <v>46283</v>
      </c>
      <c r="AB138" s="18">
        <v>46287</v>
      </c>
      <c r="AC138" s="18">
        <v>46295</v>
      </c>
      <c r="AD138" s="18">
        <v>46323</v>
      </c>
      <c r="AE138" s="18">
        <v>46337</v>
      </c>
      <c r="AF138" s="18">
        <v>46367</v>
      </c>
      <c r="AG138" s="18">
        <v>46367</v>
      </c>
      <c r="AH138" s="18">
        <v>46369</v>
      </c>
      <c r="AI138" s="18">
        <v>46338</v>
      </c>
      <c r="AJ138" s="18">
        <v>46343</v>
      </c>
      <c r="AK138" s="18">
        <v>46373</v>
      </c>
      <c r="AL138" s="18">
        <v>46418</v>
      </c>
      <c r="AM138" s="18">
        <v>46445</v>
      </c>
      <c r="AN138" s="57">
        <v>12.857142857142858</v>
      </c>
      <c r="AO138" s="58">
        <v>90</v>
      </c>
      <c r="AP138" s="77">
        <v>46415</v>
      </c>
      <c r="AQ138" s="77">
        <v>46426</v>
      </c>
      <c r="AR138" s="19">
        <f>AQ138-AP139</f>
        <v>32</v>
      </c>
      <c r="AS138" s="142" t="s">
        <v>1010</v>
      </c>
      <c r="AT138" s="501" t="s">
        <v>734</v>
      </c>
      <c r="AU138" s="20">
        <f>IF(ISERROR(LOOKUP(AU$10,$R138:$AT138,#REF!)),0,(LOOKUP(AU$10,$R138:$AT138,#REF!)))</f>
        <v>0</v>
      </c>
      <c r="AV138" s="21">
        <f>IF(ISERROR(LOOKUP(AV$10,$R138:$AT138,#REF!)),0,(LOOKUP(AV$10,$R138:$AT138,#REF!)))</f>
        <v>0</v>
      </c>
      <c r="AW138" s="21">
        <f>IF(ISERROR(LOOKUP(AW$10,$R138:$AT138,#REF!)),0,(LOOKUP(AW$10,$R138:$AT138,#REF!)))</f>
        <v>0</v>
      </c>
      <c r="AX138" s="21">
        <f>IF(ISERROR(LOOKUP(AX$10,$R138:$AT138,#REF!)),0,(LOOKUP(AX$10,$R138:$AT138,#REF!)))</f>
        <v>0</v>
      </c>
      <c r="AY138" s="21">
        <f>IF(ISERROR(LOOKUP(AY$10,$R138:$AT138,#REF!)),0,(LOOKUP(AY$10,$R138:$AT138,#REF!)))</f>
        <v>0</v>
      </c>
      <c r="AZ138" s="21">
        <f>IF(ISERROR(LOOKUP(AZ$10,$R138:$AT138,#REF!)),0,(LOOKUP(AZ$10,$R138:$AT138,#REF!)))</f>
        <v>0</v>
      </c>
      <c r="BA138" s="21">
        <f>IF(ISERROR(LOOKUP(BA$10,$R138:$AT138,#REF!)),0,(LOOKUP(BA$10,$R138:$AT138,#REF!)))</f>
        <v>0</v>
      </c>
      <c r="BB138" s="21">
        <f>IF(ISERROR(LOOKUP(BB$10,$R138:$AT138,#REF!)),0,(LOOKUP(BB$10,$R138:$AT138,#REF!)))</f>
        <v>0</v>
      </c>
      <c r="BC138" s="21">
        <f>IF(ISERROR(LOOKUP(BC$10,$R138:$AT138,#REF!)),0,(LOOKUP(BC$10,$R138:$AT138,#REF!)))</f>
        <v>0</v>
      </c>
      <c r="BD138" s="21">
        <f>IF(ISERROR(LOOKUP(BD$10,$R138:$AT138,#REF!)),0,(LOOKUP(BD$10,$R138:$AT138,#REF!)))</f>
        <v>0</v>
      </c>
      <c r="BE138" s="21">
        <f ca="1">IF(ISERROR(LOOKUP(BE$10,$R138:$AT138,#REF!)),0,(LOOKUP(BE$10,$R138:$AT138,#REF!)))</f>
        <v>0</v>
      </c>
      <c r="BF138" s="415"/>
      <c r="BG138" s="428"/>
      <c r="BH138" s="428"/>
    </row>
    <row r="139" spans="1:60" s="3" customFormat="1" ht="14.25" thickTop="1" thickBot="1" x14ac:dyDescent="0.45">
      <c r="A139" s="496"/>
      <c r="B139" s="92" t="s">
        <v>272</v>
      </c>
      <c r="C139" s="70" t="s">
        <v>730</v>
      </c>
      <c r="D139" s="42" t="s">
        <v>733</v>
      </c>
      <c r="E139" s="42" t="s">
        <v>66</v>
      </c>
      <c r="F139" s="45" t="s">
        <v>58</v>
      </c>
      <c r="G139" s="22" t="s">
        <v>51</v>
      </c>
      <c r="H139" s="40" t="s">
        <v>189</v>
      </c>
      <c r="I139" s="40" t="s">
        <v>290</v>
      </c>
      <c r="J139" s="42"/>
      <c r="K139" s="194"/>
      <c r="L139" s="42"/>
      <c r="M139" s="42"/>
      <c r="N139" s="42"/>
      <c r="O139" s="42"/>
      <c r="P139" s="175" t="s">
        <v>69</v>
      </c>
      <c r="Q139" s="25" t="s">
        <v>34</v>
      </c>
      <c r="R139" s="26"/>
      <c r="S139" s="27"/>
      <c r="T139" s="27"/>
      <c r="U139" s="27"/>
      <c r="V139" s="27"/>
      <c r="W139" s="27"/>
      <c r="X139" s="27"/>
      <c r="Y139" s="27">
        <f>WORKDAY(X140, Y8, IF(Y12="China",'China Holidays'!$A$2:$A$84,'Thai Holidays'!$A$2:$A$65))</f>
        <v>46295</v>
      </c>
      <c r="Z139" s="27"/>
      <c r="AA139" s="27">
        <v>46304</v>
      </c>
      <c r="AB139" s="27">
        <f>WORKDAY(AA139, 1, IF(AB12="China",'China Holidays'!$A$2:$A$84,'Thai Holidays'!$A$2:$A$65))</f>
        <v>46307</v>
      </c>
      <c r="AC139" s="27">
        <f>WORKDAY(AB139, 1, IF(AC12="China",'China Holidays'!$A$2:$A$84,'Thai Holidays'!$A$2:$A$65))</f>
        <v>46308</v>
      </c>
      <c r="AD139" s="27">
        <f>WORKDAY(AC139, AD8, IF(AD12="China",'China Holidays'!$A$2:$A$84,'Thai Holidays'!$A$2:$A$65))</f>
        <v>46329</v>
      </c>
      <c r="AE139" s="27">
        <f>WORKDAY(AD139, AE8, IF(AE12="China",'China Holidays'!$A$2:$A$84,'Thai Holidays'!$A$2:$A$65))</f>
        <v>46343</v>
      </c>
      <c r="AF139" s="27">
        <f>AE139+30</f>
        <v>46373</v>
      </c>
      <c r="AG139" s="27">
        <f>AF139</f>
        <v>46373</v>
      </c>
      <c r="AH139" s="27">
        <f>AG139+2</f>
        <v>46375</v>
      </c>
      <c r="AI139" s="27">
        <f>AJ139-5</f>
        <v>46359</v>
      </c>
      <c r="AJ139" s="27">
        <f>AK139-30</f>
        <v>46364</v>
      </c>
      <c r="AK139" s="27">
        <f>AP139</f>
        <v>46394</v>
      </c>
      <c r="AL139" s="27">
        <f>AP138+3</f>
        <v>46418</v>
      </c>
      <c r="AM139" s="27">
        <f>AP138+30</f>
        <v>46445</v>
      </c>
      <c r="AN139" s="80"/>
      <c r="AO139" s="78"/>
      <c r="AP139" s="82">
        <f>AA139+AO138</f>
        <v>46394</v>
      </c>
      <c r="AQ139" s="82"/>
      <c r="AR139" s="28"/>
      <c r="AS139" s="362"/>
      <c r="AT139" s="502"/>
      <c r="AU139" s="20">
        <f>IF(ISERROR(LOOKUP(AU$10,$R139:$AT139,#REF!)),0,(LOOKUP(AU$10,$R139:$AT139,#REF!)))</f>
        <v>0</v>
      </c>
      <c r="AV139" s="21">
        <f>IF(ISERROR(LOOKUP(AV$10,$R139:$AT139,#REF!)),0,(LOOKUP(AV$10,$R139:$AT139,#REF!)))</f>
        <v>0</v>
      </c>
      <c r="AW139" s="21">
        <f>IF(ISERROR(LOOKUP(AW$10,$R139:$AT139,#REF!)),0,(LOOKUP(AW$10,$R139:$AT139,#REF!)))</f>
        <v>0</v>
      </c>
      <c r="AX139" s="21">
        <f>IF(ISERROR(LOOKUP(AX$10,$R139:$AT139,#REF!)),0,(LOOKUP(AX$10,$R139:$AT139,#REF!)))</f>
        <v>0</v>
      </c>
      <c r="AY139" s="21">
        <f>IF(ISERROR(LOOKUP(AY$10,$R139:$AT139,#REF!)),0,(LOOKUP(AY$10,$R139:$AT139,#REF!)))</f>
        <v>0</v>
      </c>
      <c r="AZ139" s="21">
        <f>IF(ISERROR(LOOKUP(AZ$10,$R139:$AT139,#REF!)),0,(LOOKUP(AZ$10,$R139:$AT139,#REF!)))</f>
        <v>0</v>
      </c>
      <c r="BA139" s="21">
        <f>IF(ISERROR(LOOKUP(BA$10,$R139:$AT139,#REF!)),0,(LOOKUP(BA$10,$R139:$AT139,#REF!)))</f>
        <v>0</v>
      </c>
      <c r="BB139" s="21">
        <f>IF(ISERROR(LOOKUP(BB$10,$R139:$AT139,#REF!)),0,(LOOKUP(BB$10,$R139:$AT139,#REF!)))</f>
        <v>0</v>
      </c>
      <c r="BC139" s="21">
        <f>IF(ISERROR(LOOKUP(BC$10,$R139:$AT139,#REF!)),0,(LOOKUP(BC$10,$R139:$AT139,#REF!)))</f>
        <v>0</v>
      </c>
      <c r="BD139" s="21">
        <f>IF(ISERROR(LOOKUP(BD$10,$R139:$AT139,#REF!)),0,(LOOKUP(BD$10,$R139:$AT139,#REF!)))</f>
        <v>0</v>
      </c>
      <c r="BE139" s="21">
        <f ca="1">IF(ISERROR(LOOKUP(BE$10,$R139:$AT139,#REF!)),0,(LOOKUP(BE$10,$R139:$AT139,#REF!)))</f>
        <v>0</v>
      </c>
      <c r="BF139" s="415"/>
      <c r="BG139" s="428"/>
      <c r="BH139" s="428"/>
    </row>
    <row r="140" spans="1:60" s="3" customFormat="1" ht="14.25" thickTop="1" thickBot="1" x14ac:dyDescent="0.45">
      <c r="A140" s="497"/>
      <c r="B140" s="93" t="s">
        <v>272</v>
      </c>
      <c r="C140" s="71" t="s">
        <v>730</v>
      </c>
      <c r="D140" s="43" t="s">
        <v>732</v>
      </c>
      <c r="E140" s="44" t="s">
        <v>66</v>
      </c>
      <c r="F140" s="33" t="s">
        <v>58</v>
      </c>
      <c r="G140" s="31" t="s">
        <v>51</v>
      </c>
      <c r="H140" s="31" t="s">
        <v>189</v>
      </c>
      <c r="I140" s="31" t="s">
        <v>290</v>
      </c>
      <c r="J140" s="44"/>
      <c r="K140" s="195"/>
      <c r="L140" s="44"/>
      <c r="M140" s="44"/>
      <c r="N140" s="44"/>
      <c r="O140" s="44"/>
      <c r="P140" s="176" t="s">
        <v>69</v>
      </c>
      <c r="Q140" s="34" t="s">
        <v>35</v>
      </c>
      <c r="R140" s="35">
        <v>46185</v>
      </c>
      <c r="S140" s="35">
        <v>46148</v>
      </c>
      <c r="T140" s="35">
        <v>46165</v>
      </c>
      <c r="U140" s="35">
        <v>46222</v>
      </c>
      <c r="V140" s="35">
        <v>46222</v>
      </c>
      <c r="W140" s="35">
        <v>46244</v>
      </c>
      <c r="X140" s="377">
        <v>46281</v>
      </c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81"/>
      <c r="AO140" s="79"/>
      <c r="AP140" s="36"/>
      <c r="AQ140" s="36"/>
      <c r="AR140" s="37"/>
      <c r="AS140" s="141"/>
      <c r="AT140" s="503"/>
      <c r="AU140" s="38">
        <f>IF(ISERROR(LOOKUP(AU$10,$R140:$AT140,#REF!)),0,(LOOKUP(AU$10,$R140:$AT140,#REF!)))</f>
        <v>0</v>
      </c>
      <c r="AV140" s="39">
        <f>IF(ISERROR(LOOKUP(AV$10,$R140:$AT140,#REF!)),0,(LOOKUP(AV$10,$R140:$AT140,#REF!)))</f>
        <v>0</v>
      </c>
      <c r="AW140" s="39">
        <f>IF(ISERROR(LOOKUP(AW$10,$R140:$AT140,#REF!)),0,(LOOKUP(AW$10,$R140:$AT140,#REF!)))</f>
        <v>0</v>
      </c>
      <c r="AX140" s="39">
        <f>IF(ISERROR(LOOKUP(AX$10,$R140:$AT140,#REF!)),0,(LOOKUP(AX$10,$R140:$AT140,#REF!)))</f>
        <v>0</v>
      </c>
      <c r="AY140" s="39">
        <f>IF(ISERROR(LOOKUP(AY$10,$R140:$AT140,#REF!)),0,(LOOKUP(AY$10,$R140:$AT140,#REF!)))</f>
        <v>0</v>
      </c>
      <c r="AZ140" s="39">
        <f>IF(ISERROR(LOOKUP(AZ$10,$R140:$AT140,#REF!)),0,(LOOKUP(AZ$10,$R140:$AT140,#REF!)))</f>
        <v>0</v>
      </c>
      <c r="BA140" s="39">
        <f>IF(ISERROR(LOOKUP(BA$10,$R140:$AT140,#REF!)),0,(LOOKUP(BA$10,$R140:$AT140,#REF!)))</f>
        <v>0</v>
      </c>
      <c r="BB140" s="39">
        <f>IF(ISERROR(LOOKUP(BB$10,$R140:$AT140,#REF!)),0,(LOOKUP(BB$10,$R140:$AT140,#REF!)))</f>
        <v>0</v>
      </c>
      <c r="BC140" s="39">
        <f>IF(ISERROR(LOOKUP(BC$10,$R140:$AT140,#REF!)),0,(LOOKUP(BC$10,$R140:$AT140,#REF!)))</f>
        <v>0</v>
      </c>
      <c r="BD140" s="39">
        <f>IF(ISERROR(LOOKUP(BD$10,$R140:$AT140,#REF!)),0,(LOOKUP(BD$10,$R140:$AT140,#REF!)))</f>
        <v>0</v>
      </c>
      <c r="BE140" s="39">
        <f ca="1">IF(ISERROR(LOOKUP(BE$10,$R140:$AT140,#REF!)),0,(LOOKUP(BE$10,$R140:$AT140,#REF!)))</f>
        <v>0</v>
      </c>
      <c r="BF140" s="415"/>
      <c r="BG140" s="428"/>
      <c r="BH140" s="428"/>
    </row>
    <row r="141" spans="1:60" s="3" customFormat="1" ht="21" customHeight="1" thickTop="1" thickBot="1" x14ac:dyDescent="0.45">
      <c r="A141" s="507"/>
      <c r="B141" s="222" t="s">
        <v>478</v>
      </c>
      <c r="C141" s="234" t="s">
        <v>516</v>
      </c>
      <c r="D141" s="224" t="s">
        <v>476</v>
      </c>
      <c r="E141" s="247" t="s">
        <v>36</v>
      </c>
      <c r="F141" s="241" t="s">
        <v>58</v>
      </c>
      <c r="G141" s="234" t="s">
        <v>366</v>
      </c>
      <c r="H141" s="234" t="s">
        <v>192</v>
      </c>
      <c r="I141" s="13" t="s">
        <v>321</v>
      </c>
      <c r="J141" s="254" t="s">
        <v>563</v>
      </c>
      <c r="K141" s="254"/>
      <c r="L141" s="14"/>
      <c r="M141" s="14"/>
      <c r="N141" s="14"/>
      <c r="O141" s="14"/>
      <c r="P141" s="177" t="s">
        <v>339</v>
      </c>
      <c r="Q141" s="263" t="s">
        <v>33</v>
      </c>
      <c r="R141" s="264">
        <v>46164</v>
      </c>
      <c r="S141" s="264">
        <v>46167</v>
      </c>
      <c r="T141" s="264">
        <v>46175</v>
      </c>
      <c r="U141" s="264">
        <v>46176</v>
      </c>
      <c r="V141" s="264">
        <v>46183</v>
      </c>
      <c r="W141" s="264">
        <v>46198</v>
      </c>
      <c r="X141" s="264">
        <v>46226</v>
      </c>
      <c r="Y141" s="264">
        <v>46233</v>
      </c>
      <c r="Z141" s="264"/>
      <c r="AA141" s="264">
        <v>46247</v>
      </c>
      <c r="AB141" s="264">
        <v>46251</v>
      </c>
      <c r="AC141" s="264">
        <v>46258</v>
      </c>
      <c r="AD141" s="264">
        <v>46286</v>
      </c>
      <c r="AE141" s="264">
        <v>46300</v>
      </c>
      <c r="AF141" s="264">
        <v>46335</v>
      </c>
      <c r="AG141" s="264">
        <v>46338</v>
      </c>
      <c r="AH141" s="264">
        <v>46341</v>
      </c>
      <c r="AI141" s="264">
        <v>46441</v>
      </c>
      <c r="AJ141" s="264">
        <v>46456</v>
      </c>
      <c r="AK141" s="264">
        <v>46471</v>
      </c>
      <c r="AL141" s="264">
        <v>46474</v>
      </c>
      <c r="AM141" s="264">
        <v>46501</v>
      </c>
      <c r="AN141" s="268">
        <v>32</v>
      </c>
      <c r="AO141" s="269">
        <v>224</v>
      </c>
      <c r="AP141" s="270">
        <v>46471</v>
      </c>
      <c r="AQ141" s="270">
        <v>46500</v>
      </c>
      <c r="AR141" s="19"/>
      <c r="AS141" s="142"/>
      <c r="AT141" s="501"/>
      <c r="AU141" s="20">
        <f>IF(ISERROR(LOOKUP(AU$10,$R141:$AT141,#REF!)),0,(LOOKUP(AU$10,$R141:$AT141,#REF!)))</f>
        <v>0</v>
      </c>
      <c r="AV141" s="21">
        <f>IF(ISERROR(LOOKUP(AV$10,$R141:$AT141,#REF!)),0,(LOOKUP(AV$10,$R141:$AT141,#REF!)))</f>
        <v>0</v>
      </c>
      <c r="AW141" s="21">
        <f>IF(ISERROR(LOOKUP(AW$10,$R141:$AT141,#REF!)),0,(LOOKUP(AW$10,$R141:$AT141,#REF!)))</f>
        <v>0</v>
      </c>
      <c r="AX141" s="21">
        <f>IF(ISERROR(LOOKUP(AX$10,$R141:$AT141,#REF!)),0,(LOOKUP(AX$10,$R141:$AT141,#REF!)))</f>
        <v>0</v>
      </c>
      <c r="AY141" s="21">
        <f>IF(ISERROR(LOOKUP(AY$10,$R141:$AT141,#REF!)),0,(LOOKUP(AY$10,$R141:$AT141,#REF!)))</f>
        <v>0</v>
      </c>
      <c r="AZ141" s="21">
        <f>IF(ISERROR(LOOKUP(AZ$10,$R141:$AT141,#REF!)),0,(LOOKUP(AZ$10,$R141:$AT141,#REF!)))</f>
        <v>0</v>
      </c>
      <c r="BA141" s="21">
        <f>IF(ISERROR(LOOKUP(BA$10,$R141:$AT141,#REF!)),0,(LOOKUP(BA$10,$R141:$AT141,#REF!)))</f>
        <v>0</v>
      </c>
      <c r="BB141" s="21">
        <f>IF(ISERROR(LOOKUP(BB$10,$R141:$AT141,#REF!)),0,(LOOKUP(BB$10,$R141:$AT141,#REF!)))</f>
        <v>0</v>
      </c>
      <c r="BC141" s="21">
        <f>IF(ISERROR(LOOKUP(BC$10,$R141:$AT141,#REF!)),0,(LOOKUP(BC$10,$R141:$AT141,#REF!)))</f>
        <v>0</v>
      </c>
      <c r="BD141" s="21">
        <f>IF(ISERROR(LOOKUP(BD$10,$R141:$AT141,#REF!)),0,(LOOKUP(BD$10,$R141:$AT141,#REF!)))</f>
        <v>0</v>
      </c>
      <c r="BE141" s="402">
        <f ca="1">IF(ISERROR(LOOKUP(BE$10,$R141:$AT141,#REF!)),0,(LOOKUP(BE$10,$R141:$AT141,#REF!)))</f>
        <v>0</v>
      </c>
      <c r="BF141" s="415"/>
      <c r="BG141" s="428"/>
      <c r="BH141" s="428"/>
    </row>
    <row r="142" spans="1:60" s="3" customFormat="1" ht="14.25" thickTop="1" thickBot="1" x14ac:dyDescent="0.45">
      <c r="A142" s="508"/>
      <c r="B142" s="248" t="s">
        <v>477</v>
      </c>
      <c r="C142" s="235" t="s">
        <v>516</v>
      </c>
      <c r="D142" s="249" t="s">
        <v>475</v>
      </c>
      <c r="E142" s="250" t="s">
        <v>36</v>
      </c>
      <c r="F142" s="251" t="s">
        <v>58</v>
      </c>
      <c r="G142" s="244" t="s">
        <v>51</v>
      </c>
      <c r="H142" s="244" t="s">
        <v>192</v>
      </c>
      <c r="I142" s="22" t="s">
        <v>321</v>
      </c>
      <c r="J142" s="92"/>
      <c r="K142" s="208"/>
      <c r="L142" s="23"/>
      <c r="M142" s="23"/>
      <c r="N142" s="23"/>
      <c r="O142" s="23"/>
      <c r="P142" s="178" t="s">
        <v>339</v>
      </c>
      <c r="Q142" s="265" t="s">
        <v>34</v>
      </c>
      <c r="R142" s="266">
        <v>46164</v>
      </c>
      <c r="S142" s="272">
        <v>46167</v>
      </c>
      <c r="T142" s="267">
        <v>46175</v>
      </c>
      <c r="U142" s="267">
        <v>46176</v>
      </c>
      <c r="V142" s="267">
        <v>46183</v>
      </c>
      <c r="W142" s="267">
        <v>46198</v>
      </c>
      <c r="X142" s="267">
        <v>46226</v>
      </c>
      <c r="Y142" s="267">
        <v>46233</v>
      </c>
      <c r="Z142" s="267"/>
      <c r="AA142" s="267">
        <f>AA141</f>
        <v>46247</v>
      </c>
      <c r="AB142" s="267">
        <f>WORKDAY(AA142, AB6, IF(AB12="China",'China Holidays'!$A$2:$A$84,'Thai Holidays'!$A$2:$A$65))</f>
        <v>46251</v>
      </c>
      <c r="AC142" s="267">
        <f>WORKDAY(AB142, AC6, IF(AC12="China",'China Holidays'!$A$2:$A$84,'Thai Holidays'!$A$2:$A$65))</f>
        <v>46258</v>
      </c>
      <c r="AD142" s="267">
        <f>WORKDAY(AC142, AD6, IF(AD12="China",'China Holidays'!$A$2:$A$84,'Thai Holidays'!$A$2:$A$65))</f>
        <v>46286</v>
      </c>
      <c r="AE142" s="267">
        <f>WORKDAY(AD142, AE6, IF(AE12="China",'China Holidays'!$A$2:$A$84,'Thai Holidays'!$A$2:$A$65))</f>
        <v>46300</v>
      </c>
      <c r="AF142" s="267">
        <f>AE142+35</f>
        <v>46335</v>
      </c>
      <c r="AG142" s="267">
        <f>AF142+3</f>
        <v>46338</v>
      </c>
      <c r="AH142" s="267">
        <f>AG142+3</f>
        <v>46341</v>
      </c>
      <c r="AI142" s="267">
        <f>AJ142-15</f>
        <v>46446</v>
      </c>
      <c r="AJ142" s="267">
        <f>AK142-15</f>
        <v>46461</v>
      </c>
      <c r="AK142" s="267">
        <f>AP142</f>
        <v>46476</v>
      </c>
      <c r="AL142" s="267">
        <f>AP141+3</f>
        <v>46474</v>
      </c>
      <c r="AM142" s="267">
        <f>AP141+30</f>
        <v>46501</v>
      </c>
      <c r="AN142" s="271"/>
      <c r="AO142" s="271"/>
      <c r="AP142" s="272">
        <v>46476</v>
      </c>
      <c r="AQ142" s="272"/>
      <c r="AR142" s="28"/>
      <c r="AS142" s="140"/>
      <c r="AT142" s="502"/>
      <c r="AU142" s="20">
        <f>IF(ISERROR(LOOKUP(AU$10,$R142:$AT142,#REF!)),0,(LOOKUP(AU$10,$R142:$AT142,#REF!)))</f>
        <v>0</v>
      </c>
      <c r="AV142" s="21">
        <f>IF(ISERROR(LOOKUP(AV$10,$R142:$AT142,#REF!)),0,(LOOKUP(AV$10,$R142:$AT142,#REF!)))</f>
        <v>0</v>
      </c>
      <c r="AW142" s="21">
        <f>IF(ISERROR(LOOKUP(AW$10,$R142:$AT142,#REF!)),0,(LOOKUP(AW$10,$R142:$AT142,#REF!)))</f>
        <v>0</v>
      </c>
      <c r="AX142" s="21">
        <f>IF(ISERROR(LOOKUP(AX$10,$R142:$AT142,#REF!)),0,(LOOKUP(AX$10,$R142:$AT142,#REF!)))</f>
        <v>0</v>
      </c>
      <c r="AY142" s="21">
        <f>IF(ISERROR(LOOKUP(AY$10,$R142:$AT142,#REF!)),0,(LOOKUP(AY$10,$R142:$AT142,#REF!)))</f>
        <v>0</v>
      </c>
      <c r="AZ142" s="21">
        <f>IF(ISERROR(LOOKUP(AZ$10,$R142:$AT142,#REF!)),0,(LOOKUP(AZ$10,$R142:$AT142,#REF!)))</f>
        <v>0</v>
      </c>
      <c r="BA142" s="21">
        <f>IF(ISERROR(LOOKUP(BA$10,$R142:$AT142,#REF!)),0,(LOOKUP(BA$10,$R142:$AT142,#REF!)))</f>
        <v>0</v>
      </c>
      <c r="BB142" s="21">
        <f>IF(ISERROR(LOOKUP(BB$10,$R142:$AT142,#REF!)),0,(LOOKUP(BB$10,$R142:$AT142,#REF!)))</f>
        <v>0</v>
      </c>
      <c r="BC142" s="21">
        <f>IF(ISERROR(LOOKUP(BC$10,$R142:$AT142,#REF!)),0,(LOOKUP(BC$10,$R142:$AT142,#REF!)))</f>
        <v>0</v>
      </c>
      <c r="BD142" s="21">
        <f>IF(ISERROR(LOOKUP(BD$10,$R142:$AT142,#REF!)),0,(LOOKUP(BD$10,$R142:$AT142,#REF!)))</f>
        <v>0</v>
      </c>
      <c r="BE142" s="402">
        <f ca="1">IF(ISERROR(LOOKUP(BE$10,$R142:$AT142,#REF!)),0,(LOOKUP(BE$10,$R142:$AT142,#REF!)))</f>
        <v>0</v>
      </c>
      <c r="BF142" s="415"/>
      <c r="BG142" s="428"/>
      <c r="BH142" s="428"/>
    </row>
    <row r="143" spans="1:60" s="3" customFormat="1" ht="14.25" thickTop="1" thickBot="1" x14ac:dyDescent="0.45">
      <c r="A143" s="509"/>
      <c r="B143" s="228" t="s">
        <v>477</v>
      </c>
      <c r="C143" s="236" t="s">
        <v>516</v>
      </c>
      <c r="D143" s="252" t="s">
        <v>475</v>
      </c>
      <c r="E143" s="253" t="s">
        <v>36</v>
      </c>
      <c r="F143" s="246" t="s">
        <v>58</v>
      </c>
      <c r="G143" s="236" t="s">
        <v>51</v>
      </c>
      <c r="H143" s="236" t="s">
        <v>192</v>
      </c>
      <c r="I143" s="31" t="s">
        <v>321</v>
      </c>
      <c r="J143" s="93"/>
      <c r="K143" s="209"/>
      <c r="L143" s="32"/>
      <c r="M143" s="32"/>
      <c r="N143" s="32"/>
      <c r="O143" s="32"/>
      <c r="P143" s="179" t="s">
        <v>339</v>
      </c>
      <c r="Q143" s="34" t="s">
        <v>35</v>
      </c>
      <c r="R143" s="273"/>
      <c r="S143" s="273"/>
      <c r="T143" s="273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81"/>
      <c r="AO143" s="81"/>
      <c r="AP143" s="36"/>
      <c r="AQ143" s="36"/>
      <c r="AR143" s="37"/>
      <c r="AS143" s="141"/>
      <c r="AT143" s="503"/>
      <c r="AU143" s="38">
        <f>IF(ISERROR(LOOKUP(AU$10,$R143:$AT143,#REF!)),0,(LOOKUP(AU$10,$R143:$AT143,#REF!)))</f>
        <v>0</v>
      </c>
      <c r="AV143" s="39">
        <f>IF(ISERROR(LOOKUP(AV$10,$R143:$AT143,#REF!)),0,(LOOKUP(AV$10,$R143:$AT143,#REF!)))</f>
        <v>0</v>
      </c>
      <c r="AW143" s="39">
        <f>IF(ISERROR(LOOKUP(AW$10,$R143:$AT143,#REF!)),0,(LOOKUP(AW$10,$R143:$AT143,#REF!)))</f>
        <v>0</v>
      </c>
      <c r="AX143" s="39">
        <f>IF(ISERROR(LOOKUP(AX$10,$R143:$AT143,#REF!)),0,(LOOKUP(AX$10,$R143:$AT143,#REF!)))</f>
        <v>0</v>
      </c>
      <c r="AY143" s="39">
        <f>IF(ISERROR(LOOKUP(AY$10,$R143:$AT143,#REF!)),0,(LOOKUP(AY$10,$R143:$AT143,#REF!)))</f>
        <v>0</v>
      </c>
      <c r="AZ143" s="39">
        <f>IF(ISERROR(LOOKUP(AZ$10,$R143:$AT143,#REF!)),0,(LOOKUP(AZ$10,$R143:$AT143,#REF!)))</f>
        <v>0</v>
      </c>
      <c r="BA143" s="39">
        <f>IF(ISERROR(LOOKUP(BA$10,$R143:$AT143,#REF!)),0,(LOOKUP(BA$10,$R143:$AT143,#REF!)))</f>
        <v>0</v>
      </c>
      <c r="BB143" s="39">
        <f>IF(ISERROR(LOOKUP(BB$10,$R143:$AT143,#REF!)),0,(LOOKUP(BB$10,$R143:$AT143,#REF!)))</f>
        <v>0</v>
      </c>
      <c r="BC143" s="39">
        <f>IF(ISERROR(LOOKUP(BC$10,$R143:$AT143,#REF!)),0,(LOOKUP(BC$10,$R143:$AT143,#REF!)))</f>
        <v>0</v>
      </c>
      <c r="BD143" s="39">
        <f>IF(ISERROR(LOOKUP(BD$10,$R143:$AT143,#REF!)),0,(LOOKUP(BD$10,$R143:$AT143,#REF!)))</f>
        <v>0</v>
      </c>
      <c r="BE143" s="405">
        <f ca="1">IF(ISERROR(LOOKUP(BE$10,$R143:$AT143,#REF!)),0,(LOOKUP(BE$10,$R143:$AT143,#REF!)))</f>
        <v>0</v>
      </c>
      <c r="BF143" s="415"/>
      <c r="BG143" s="428"/>
      <c r="BH143" s="428"/>
    </row>
    <row r="144" spans="1:60" s="3" customFormat="1" ht="24" thickTop="1" thickBot="1" x14ac:dyDescent="0.45">
      <c r="A144" s="495">
        <f>A138+1</f>
        <v>37</v>
      </c>
      <c r="B144" s="91" t="s">
        <v>376</v>
      </c>
      <c r="C144" s="13" t="s">
        <v>517</v>
      </c>
      <c r="D144" s="338" t="s">
        <v>562</v>
      </c>
      <c r="E144" s="60" t="s">
        <v>36</v>
      </c>
      <c r="F144" s="15" t="s">
        <v>58</v>
      </c>
      <c r="G144" s="13" t="s">
        <v>366</v>
      </c>
      <c r="H144" s="13" t="s">
        <v>189</v>
      </c>
      <c r="I144" s="13" t="s">
        <v>321</v>
      </c>
      <c r="J144" s="344" t="s">
        <v>977</v>
      </c>
      <c r="K144" s="191"/>
      <c r="L144" s="219" t="s">
        <v>622</v>
      </c>
      <c r="M144" s="219" t="s">
        <v>622</v>
      </c>
      <c r="N144" s="219" t="s">
        <v>622</v>
      </c>
      <c r="O144" s="219" t="s">
        <v>622</v>
      </c>
      <c r="P144" s="174" t="s">
        <v>69</v>
      </c>
      <c r="Q144" s="17" t="s">
        <v>33</v>
      </c>
      <c r="R144" s="18">
        <v>46164</v>
      </c>
      <c r="S144" s="18">
        <v>46167</v>
      </c>
      <c r="T144" s="18">
        <v>46175</v>
      </c>
      <c r="U144" s="18">
        <v>46176</v>
      </c>
      <c r="V144" s="18">
        <v>46183</v>
      </c>
      <c r="W144" s="18">
        <v>46198</v>
      </c>
      <c r="X144" s="18">
        <v>46226</v>
      </c>
      <c r="Y144" s="18">
        <v>46233</v>
      </c>
      <c r="Z144" s="18"/>
      <c r="AA144" s="18">
        <v>46247</v>
      </c>
      <c r="AB144" s="18">
        <v>46251</v>
      </c>
      <c r="AC144" s="18">
        <v>46258</v>
      </c>
      <c r="AD144" s="206">
        <v>46286</v>
      </c>
      <c r="AE144" s="18">
        <v>46300</v>
      </c>
      <c r="AF144" s="18">
        <v>46335</v>
      </c>
      <c r="AG144" s="18">
        <v>46338</v>
      </c>
      <c r="AH144" s="18">
        <v>46341</v>
      </c>
      <c r="AI144" s="18">
        <v>46441</v>
      </c>
      <c r="AJ144" s="18">
        <v>46456</v>
      </c>
      <c r="AK144" s="18">
        <v>46471</v>
      </c>
      <c r="AL144" s="18">
        <v>46474</v>
      </c>
      <c r="AM144" s="18">
        <v>46501</v>
      </c>
      <c r="AN144" s="57">
        <v>32</v>
      </c>
      <c r="AO144" s="58">
        <v>224</v>
      </c>
      <c r="AP144" s="77">
        <v>46471</v>
      </c>
      <c r="AQ144" s="77">
        <v>46497</v>
      </c>
      <c r="AR144" s="19">
        <f>AQ144-AP145</f>
        <v>26</v>
      </c>
      <c r="AS144" s="142" t="s">
        <v>520</v>
      </c>
      <c r="AT144" s="501" t="s">
        <v>505</v>
      </c>
      <c r="AU144" s="20">
        <f>IF(ISERROR(LOOKUP(AU$10,$R144:$AT144,#REF!)),0,(LOOKUP(AU$10,$R144:$AT144,#REF!)))</f>
        <v>0</v>
      </c>
      <c r="AV144" s="21">
        <f>IF(ISERROR(LOOKUP(AV$10,$R144:$AT144,#REF!)),0,(LOOKUP(AV$10,$R144:$AT144,#REF!)))</f>
        <v>0</v>
      </c>
      <c r="AW144" s="21">
        <f>IF(ISERROR(LOOKUP(AW$10,$R144:$AT144,#REF!)),0,(LOOKUP(AW$10,$R144:$AT144,#REF!)))</f>
        <v>0</v>
      </c>
      <c r="AX144" s="21">
        <f>IF(ISERROR(LOOKUP(AX$10,$R144:$AT144,#REF!)),0,(LOOKUP(AX$10,$R144:$AT144,#REF!)))</f>
        <v>0</v>
      </c>
      <c r="AY144" s="21">
        <f>IF(ISERROR(LOOKUP(AY$10,$R144:$AT144,#REF!)),0,(LOOKUP(AY$10,$R144:$AT144,#REF!)))</f>
        <v>0</v>
      </c>
      <c r="AZ144" s="21">
        <f>IF(ISERROR(LOOKUP(AZ$10,$R144:$AT144,#REF!)),0,(LOOKUP(AZ$10,$R144:$AT144,#REF!)))</f>
        <v>0</v>
      </c>
      <c r="BA144" s="21">
        <f>IF(ISERROR(LOOKUP(BA$10,$R144:$AT144,#REF!)),0,(LOOKUP(BA$10,$R144:$AT144,#REF!)))</f>
        <v>0</v>
      </c>
      <c r="BB144" s="21">
        <f>IF(ISERROR(LOOKUP(BB$10,$R144:$AT144,#REF!)),0,(LOOKUP(BB$10,$R144:$AT144,#REF!)))</f>
        <v>0</v>
      </c>
      <c r="BC144" s="21">
        <f>IF(ISERROR(LOOKUP(BC$10,$R144:$AT144,#REF!)),0,(LOOKUP(BC$10,$R144:$AT144,#REF!)))</f>
        <v>0</v>
      </c>
      <c r="BD144" s="21">
        <f>IF(ISERROR(LOOKUP(BD$10,$R144:$AT144,#REF!)),0,(LOOKUP(BD$10,$R144:$AT144,#REF!)))</f>
        <v>0</v>
      </c>
      <c r="BE144" s="21">
        <f ca="1">IF(ISERROR(LOOKUP(BE$10,$R144:$AT144,#REF!)),0,(LOOKUP(BE$10,$R144:$AT144,#REF!)))</f>
        <v>0</v>
      </c>
      <c r="BF144" s="461" t="s">
        <v>957</v>
      </c>
      <c r="BG144" s="428" t="s">
        <v>956</v>
      </c>
      <c r="BH144" s="428"/>
    </row>
    <row r="145" spans="1:60" s="3" customFormat="1" ht="24" thickTop="1" thickBot="1" x14ac:dyDescent="0.45">
      <c r="A145" s="496"/>
      <c r="B145" s="97" t="s">
        <v>271</v>
      </c>
      <c r="C145" s="40" t="s">
        <v>517</v>
      </c>
      <c r="D145" s="187" t="s">
        <v>982</v>
      </c>
      <c r="E145" s="61" t="s">
        <v>36</v>
      </c>
      <c r="F145" s="24" t="s">
        <v>58</v>
      </c>
      <c r="G145" s="22" t="s">
        <v>51</v>
      </c>
      <c r="H145" s="40" t="s">
        <v>189</v>
      </c>
      <c r="I145" s="22" t="s">
        <v>321</v>
      </c>
      <c r="J145" s="23"/>
      <c r="K145" s="192"/>
      <c r="L145" s="208" t="s">
        <v>623</v>
      </c>
      <c r="M145" s="208" t="s">
        <v>623</v>
      </c>
      <c r="N145" s="208" t="s">
        <v>623</v>
      </c>
      <c r="O145" s="208" t="s">
        <v>623</v>
      </c>
      <c r="P145" s="175" t="s">
        <v>69</v>
      </c>
      <c r="Q145" s="25" t="s">
        <v>34</v>
      </c>
      <c r="R145" s="26"/>
      <c r="S145" s="144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>
        <v>46290</v>
      </c>
      <c r="AE145" s="27">
        <f>WORKDAY(AD145, AE6, IF(AE12="China",'China Holidays'!$A$2:$A$84,'Thai Holidays'!$A$2:$A$65))</f>
        <v>46304</v>
      </c>
      <c r="AF145" s="27">
        <f>AE145+30</f>
        <v>46334</v>
      </c>
      <c r="AG145" s="27">
        <f>AF145+3</f>
        <v>46337</v>
      </c>
      <c r="AH145" s="27">
        <f>AG145+3</f>
        <v>46340</v>
      </c>
      <c r="AI145" s="27">
        <f>AJ145-15</f>
        <v>46441</v>
      </c>
      <c r="AJ145" s="27">
        <f>AK145-15</f>
        <v>46456</v>
      </c>
      <c r="AK145" s="27">
        <f>AP145</f>
        <v>46471</v>
      </c>
      <c r="AL145" s="27">
        <f>AP144+3</f>
        <v>46474</v>
      </c>
      <c r="AM145" s="27">
        <f>AP144+30</f>
        <v>46501</v>
      </c>
      <c r="AN145" s="80">
        <f>22+6</f>
        <v>28</v>
      </c>
      <c r="AO145" s="80">
        <f>AN145*7</f>
        <v>196</v>
      </c>
      <c r="AP145" s="82">
        <f>AP144</f>
        <v>46471</v>
      </c>
      <c r="AQ145" s="82"/>
      <c r="AR145" s="28"/>
      <c r="AS145" s="362" t="s">
        <v>909</v>
      </c>
      <c r="AT145" s="502"/>
      <c r="AU145" s="20">
        <f>IF(ISERROR(LOOKUP(AU$10,$R145:$AT145,#REF!)),0,(LOOKUP(AU$10,$R145:$AT145,#REF!)))</f>
        <v>0</v>
      </c>
      <c r="AV145" s="21">
        <f>IF(ISERROR(LOOKUP(AV$10,$R145:$AT145,#REF!)),0,(LOOKUP(AV$10,$R145:$AT145,#REF!)))</f>
        <v>0</v>
      </c>
      <c r="AW145" s="21">
        <f>IF(ISERROR(LOOKUP(AW$10,$R145:$AT145,#REF!)),0,(LOOKUP(AW$10,$R145:$AT145,#REF!)))</f>
        <v>0</v>
      </c>
      <c r="AX145" s="21">
        <f>IF(ISERROR(LOOKUP(AX$10,$R145:$AT145,#REF!)),0,(LOOKUP(AX$10,$R145:$AT145,#REF!)))</f>
        <v>0</v>
      </c>
      <c r="AY145" s="21">
        <f>IF(ISERROR(LOOKUP(AY$10,$R145:$AT145,#REF!)),0,(LOOKUP(AY$10,$R145:$AT145,#REF!)))</f>
        <v>0</v>
      </c>
      <c r="AZ145" s="21">
        <f>IF(ISERROR(LOOKUP(AZ$10,$R145:$AT145,#REF!)),0,(LOOKUP(AZ$10,$R145:$AT145,#REF!)))</f>
        <v>0</v>
      </c>
      <c r="BA145" s="21">
        <f>IF(ISERROR(LOOKUP(BA$10,$R145:$AT145,#REF!)),0,(LOOKUP(BA$10,$R145:$AT145,#REF!)))</f>
        <v>0</v>
      </c>
      <c r="BB145" s="21">
        <f>IF(ISERROR(LOOKUP(BB$10,$R145:$AT145,#REF!)),0,(LOOKUP(BB$10,$R145:$AT145,#REF!)))</f>
        <v>0</v>
      </c>
      <c r="BC145" s="21">
        <f>IF(ISERROR(LOOKUP(BC$10,$R145:$AT145,#REF!)),0,(LOOKUP(BC$10,$R145:$AT145,#REF!)))</f>
        <v>0</v>
      </c>
      <c r="BD145" s="21">
        <f>IF(ISERROR(LOOKUP(BD$10,$R145:$AT145,#REF!)),0,(LOOKUP(BD$10,$R145:$AT145,#REF!)))</f>
        <v>0</v>
      </c>
      <c r="BE145" s="21">
        <f ca="1">IF(ISERROR(LOOKUP(BE$10,$R145:$AT145,#REF!)),0,(LOOKUP(BE$10,$R145:$AT145,#REF!)))</f>
        <v>0</v>
      </c>
      <c r="BF145" s="415"/>
      <c r="BG145" s="428"/>
      <c r="BH145" s="428"/>
    </row>
    <row r="146" spans="1:60" s="3" customFormat="1" ht="24" thickTop="1" thickBot="1" x14ac:dyDescent="0.45">
      <c r="A146" s="497"/>
      <c r="B146" s="93" t="s">
        <v>271</v>
      </c>
      <c r="C146" s="31" t="s">
        <v>517</v>
      </c>
      <c r="D146" s="216" t="s">
        <v>562</v>
      </c>
      <c r="E146" s="62" t="s">
        <v>36</v>
      </c>
      <c r="F146" s="33" t="s">
        <v>58</v>
      </c>
      <c r="G146" s="31" t="s">
        <v>51</v>
      </c>
      <c r="H146" s="31" t="s">
        <v>189</v>
      </c>
      <c r="I146" s="31" t="s">
        <v>321</v>
      </c>
      <c r="J146" s="32"/>
      <c r="K146" s="201"/>
      <c r="L146" s="32"/>
      <c r="M146" s="32"/>
      <c r="N146" s="32"/>
      <c r="O146" s="32"/>
      <c r="P146" s="176" t="s">
        <v>69</v>
      </c>
      <c r="Q146" s="34" t="s">
        <v>35</v>
      </c>
      <c r="R146" s="35">
        <v>46174</v>
      </c>
      <c r="S146" s="35">
        <v>46148</v>
      </c>
      <c r="T146" s="35">
        <v>46165</v>
      </c>
      <c r="U146" s="35">
        <v>46183</v>
      </c>
      <c r="V146" s="35">
        <v>46183</v>
      </c>
      <c r="W146" s="35">
        <v>46198</v>
      </c>
      <c r="X146" s="379" t="s">
        <v>845</v>
      </c>
      <c r="Y146" s="379" t="s">
        <v>870</v>
      </c>
      <c r="Z146" s="35">
        <v>46268</v>
      </c>
      <c r="AA146" s="35">
        <v>46275</v>
      </c>
      <c r="AB146" s="377">
        <v>46281</v>
      </c>
      <c r="AC146" s="35">
        <v>46275</v>
      </c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81"/>
      <c r="AO146" s="81"/>
      <c r="AP146" s="36"/>
      <c r="AQ146" s="36"/>
      <c r="AR146" s="37"/>
      <c r="AS146" s="141"/>
      <c r="AT146" s="503"/>
      <c r="AU146" s="38">
        <f>IF(ISERROR(LOOKUP(AU$10,$R146:$AT146,#REF!)),0,(LOOKUP(AU$10,$R146:$AT146,#REF!)))</f>
        <v>0</v>
      </c>
      <c r="AV146" s="39">
        <f>IF(ISERROR(LOOKUP(AV$10,$R146:$AT146,#REF!)),0,(LOOKUP(AV$10,$R146:$AT146,#REF!)))</f>
        <v>0</v>
      </c>
      <c r="AW146" s="39">
        <f>IF(ISERROR(LOOKUP(AW$10,$R146:$AT146,#REF!)),0,(LOOKUP(AW$10,$R146:$AT146,#REF!)))</f>
        <v>0</v>
      </c>
      <c r="AX146" s="39">
        <f>IF(ISERROR(LOOKUP(AX$10,$R146:$AT146,#REF!)),0,(LOOKUP(AX$10,$R146:$AT146,#REF!)))</f>
        <v>0</v>
      </c>
      <c r="AY146" s="39">
        <f>IF(ISERROR(LOOKUP(AY$10,$R146:$AT146,#REF!)),0,(LOOKUP(AY$10,$R146:$AT146,#REF!)))</f>
        <v>0</v>
      </c>
      <c r="AZ146" s="39">
        <f>IF(ISERROR(LOOKUP(AZ$10,$R146:$AT146,#REF!)),0,(LOOKUP(AZ$10,$R146:$AT146,#REF!)))</f>
        <v>0</v>
      </c>
      <c r="BA146" s="39">
        <f>IF(ISERROR(LOOKUP(BA$10,$R146:$AT146,#REF!)),0,(LOOKUP(BA$10,$R146:$AT146,#REF!)))</f>
        <v>0</v>
      </c>
      <c r="BB146" s="39">
        <f>IF(ISERROR(LOOKUP(BB$10,$R146:$AT146,#REF!)),0,(LOOKUP(BB$10,$R146:$AT146,#REF!)))</f>
        <v>0</v>
      </c>
      <c r="BC146" s="39">
        <f>IF(ISERROR(LOOKUP(BC$10,$R146:$AT146,#REF!)),0,(LOOKUP(BC$10,$R146:$AT146,#REF!)))</f>
        <v>0</v>
      </c>
      <c r="BD146" s="39">
        <f>IF(ISERROR(LOOKUP(BD$10,$R146:$AT146,#REF!)),0,(LOOKUP(BD$10,$R146:$AT146,#REF!)))</f>
        <v>0</v>
      </c>
      <c r="BE146" s="39">
        <f ca="1">IF(ISERROR(LOOKUP(BE$10,$R146:$AT146,#REF!)),0,(LOOKUP(BE$10,$R146:$AT146,#REF!)))</f>
        <v>0</v>
      </c>
      <c r="BF146" s="415"/>
      <c r="BG146" s="428"/>
      <c r="BH146" s="428"/>
    </row>
    <row r="147" spans="1:60" s="3" customFormat="1" ht="14.25" thickTop="1" thickBot="1" x14ac:dyDescent="0.45">
      <c r="A147" s="495">
        <f>A144+1</f>
        <v>38</v>
      </c>
      <c r="B147" s="91"/>
      <c r="C147" s="13" t="s">
        <v>381</v>
      </c>
      <c r="D147" s="338" t="s">
        <v>815</v>
      </c>
      <c r="E147" s="63" t="s">
        <v>159</v>
      </c>
      <c r="F147" s="15" t="s">
        <v>58</v>
      </c>
      <c r="G147" s="13" t="s">
        <v>51</v>
      </c>
      <c r="H147" s="13" t="s">
        <v>3</v>
      </c>
      <c r="I147" s="13" t="s">
        <v>323</v>
      </c>
      <c r="J147" s="344" t="s">
        <v>1001</v>
      </c>
      <c r="K147" s="193"/>
      <c r="L147" s="41"/>
      <c r="M147" s="41"/>
      <c r="N147" s="41"/>
      <c r="O147" s="41"/>
      <c r="P147" s="174" t="s">
        <v>69</v>
      </c>
      <c r="Q147" s="17" t="s">
        <v>33</v>
      </c>
      <c r="R147" s="18">
        <v>46224</v>
      </c>
      <c r="S147" s="18">
        <v>46216</v>
      </c>
      <c r="T147" s="18">
        <v>46230</v>
      </c>
      <c r="U147" s="18">
        <v>46230</v>
      </c>
      <c r="V147" s="18">
        <v>46230</v>
      </c>
      <c r="W147" s="18">
        <v>46237</v>
      </c>
      <c r="X147" s="18">
        <v>46247</v>
      </c>
      <c r="Y147" s="18">
        <v>46261</v>
      </c>
      <c r="Z147" s="18"/>
      <c r="AA147" s="18">
        <v>46269</v>
      </c>
      <c r="AB147" s="18">
        <v>46273</v>
      </c>
      <c r="AC147" s="206">
        <v>46280</v>
      </c>
      <c r="AD147" s="18">
        <v>46295</v>
      </c>
      <c r="AE147" s="18">
        <v>46310</v>
      </c>
      <c r="AF147" s="18"/>
      <c r="AG147" s="18"/>
      <c r="AH147" s="18"/>
      <c r="AI147" s="18"/>
      <c r="AJ147" s="18">
        <v>46320</v>
      </c>
      <c r="AK147" s="18">
        <v>46325</v>
      </c>
      <c r="AL147" s="18">
        <v>46328</v>
      </c>
      <c r="AM147" s="18">
        <v>46355</v>
      </c>
      <c r="AN147" s="57">
        <v>8</v>
      </c>
      <c r="AO147" s="58">
        <v>56</v>
      </c>
      <c r="AP147" s="77">
        <v>46325</v>
      </c>
      <c r="AQ147" s="77">
        <v>46371</v>
      </c>
      <c r="AR147" s="19">
        <f>AQ147-AP148</f>
        <v>46</v>
      </c>
      <c r="AS147" s="142" t="s">
        <v>824</v>
      </c>
      <c r="AT147" s="501"/>
      <c r="AU147" s="20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415"/>
      <c r="BG147" s="428" t="s">
        <v>1000</v>
      </c>
      <c r="BH147" s="428"/>
    </row>
    <row r="148" spans="1:60" s="3" customFormat="1" ht="14.25" thickTop="1" thickBot="1" x14ac:dyDescent="0.45">
      <c r="A148" s="496"/>
      <c r="B148" s="92"/>
      <c r="C148" s="40" t="s">
        <v>381</v>
      </c>
      <c r="D148" s="42" t="s">
        <v>164</v>
      </c>
      <c r="E148" s="42" t="s">
        <v>159</v>
      </c>
      <c r="F148" s="45" t="s">
        <v>58</v>
      </c>
      <c r="G148" s="22" t="s">
        <v>51</v>
      </c>
      <c r="H148" s="40" t="s">
        <v>3</v>
      </c>
      <c r="I148" s="40" t="s">
        <v>323</v>
      </c>
      <c r="J148" s="42"/>
      <c r="K148" s="194"/>
      <c r="L148" s="42"/>
      <c r="M148" s="42"/>
      <c r="N148" s="42"/>
      <c r="O148" s="42"/>
      <c r="P148" s="175" t="s">
        <v>69</v>
      </c>
      <c r="Q148" s="25" t="s">
        <v>34</v>
      </c>
      <c r="R148" s="26"/>
      <c r="S148" s="27"/>
      <c r="T148" s="27"/>
      <c r="U148" s="27"/>
      <c r="V148" s="27"/>
      <c r="W148" s="144"/>
      <c r="X148" s="27"/>
      <c r="Y148" s="27"/>
      <c r="Z148" s="27"/>
      <c r="AA148" s="27"/>
      <c r="AB148" s="27"/>
      <c r="AC148" s="27">
        <v>46289</v>
      </c>
      <c r="AD148" s="27">
        <f>WORKDAY(AC148, AD9, IF(AD12="China",'China Holidays'!$A$2:$A$84,'Thai Holidays'!$A$2:$A$65))</f>
        <v>46311</v>
      </c>
      <c r="AE148" s="27">
        <f>WORKDAY(AD148, AE9, IF(AE12="China",'China Holidays'!$A$2:$A$84,'Thai Holidays'!$A$2:$A$65))</f>
        <v>46328</v>
      </c>
      <c r="AF148" s="27"/>
      <c r="AG148" s="27"/>
      <c r="AH148" s="27"/>
      <c r="AI148" s="27"/>
      <c r="AJ148" s="27">
        <f>AK148-5</f>
        <v>46320</v>
      </c>
      <c r="AK148" s="27">
        <f>AP147</f>
        <v>46325</v>
      </c>
      <c r="AL148" s="27">
        <f>AP147+3</f>
        <v>46328</v>
      </c>
      <c r="AM148" s="27">
        <f>AP147+30</f>
        <v>46355</v>
      </c>
      <c r="AN148" s="80"/>
      <c r="AO148" s="78"/>
      <c r="AP148" s="82">
        <f>AK148</f>
        <v>46325</v>
      </c>
      <c r="AQ148" s="82"/>
      <c r="AR148" s="78"/>
      <c r="AS148" s="362"/>
      <c r="AT148" s="502"/>
      <c r="AU148" s="20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415"/>
      <c r="BG148" s="428"/>
      <c r="BH148" s="428"/>
    </row>
    <row r="149" spans="1:60" s="3" customFormat="1" ht="14.25" thickTop="1" thickBot="1" x14ac:dyDescent="0.45">
      <c r="A149" s="497"/>
      <c r="B149" s="93"/>
      <c r="C149" s="31" t="s">
        <v>381</v>
      </c>
      <c r="D149" s="43" t="s">
        <v>164</v>
      </c>
      <c r="E149" s="44" t="s">
        <v>159</v>
      </c>
      <c r="F149" s="33" t="s">
        <v>58</v>
      </c>
      <c r="G149" s="31" t="s">
        <v>51</v>
      </c>
      <c r="H149" s="31" t="s">
        <v>3</v>
      </c>
      <c r="I149" s="31" t="s">
        <v>323</v>
      </c>
      <c r="J149" s="44"/>
      <c r="K149" s="195"/>
      <c r="L149" s="44"/>
      <c r="M149" s="44"/>
      <c r="N149" s="44"/>
      <c r="O149" s="44"/>
      <c r="P149" s="176" t="s">
        <v>69</v>
      </c>
      <c r="Q149" s="34" t="s">
        <v>35</v>
      </c>
      <c r="R149" s="35">
        <v>46217</v>
      </c>
      <c r="S149" s="35">
        <v>46230</v>
      </c>
      <c r="T149" s="35">
        <v>46230</v>
      </c>
      <c r="U149" s="35">
        <v>46230</v>
      </c>
      <c r="V149" s="35">
        <v>46230</v>
      </c>
      <c r="W149" s="35">
        <v>46258</v>
      </c>
      <c r="X149" s="35" t="s">
        <v>988</v>
      </c>
      <c r="Y149" s="35" t="s">
        <v>999</v>
      </c>
      <c r="Z149" s="35"/>
      <c r="AA149" s="377">
        <v>46283</v>
      </c>
      <c r="AB149" s="377">
        <v>46283</v>
      </c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81"/>
      <c r="AO149" s="79"/>
      <c r="AP149" s="36"/>
      <c r="AQ149" s="36"/>
      <c r="AR149" s="79"/>
      <c r="AS149" s="143"/>
      <c r="AT149" s="503"/>
      <c r="AU149" s="38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415"/>
      <c r="BG149" s="428"/>
      <c r="BH149" s="428"/>
    </row>
    <row r="150" spans="1:60" s="3" customFormat="1" ht="14.25" thickTop="1" thickBot="1" x14ac:dyDescent="0.45">
      <c r="A150" s="507">
        <f>A147+1</f>
        <v>39</v>
      </c>
      <c r="B150" s="91" t="s">
        <v>215</v>
      </c>
      <c r="C150" s="13" t="s">
        <v>362</v>
      </c>
      <c r="D150" s="346" t="s">
        <v>214</v>
      </c>
      <c r="E150" s="68" t="s">
        <v>89</v>
      </c>
      <c r="F150" s="15" t="s">
        <v>84</v>
      </c>
      <c r="G150" s="13" t="s">
        <v>51</v>
      </c>
      <c r="H150" s="13" t="s">
        <v>1</v>
      </c>
      <c r="I150" s="13" t="s">
        <v>286</v>
      </c>
      <c r="J150" s="344" t="s">
        <v>626</v>
      </c>
      <c r="K150" s="219" t="s">
        <v>625</v>
      </c>
      <c r="L150" s="219" t="s">
        <v>625</v>
      </c>
      <c r="M150" s="219" t="s">
        <v>626</v>
      </c>
      <c r="N150" s="219" t="s">
        <v>626</v>
      </c>
      <c r="O150" s="219" t="s">
        <v>626</v>
      </c>
      <c r="P150" s="174" t="s">
        <v>32</v>
      </c>
      <c r="Q150" s="17" t="s">
        <v>33</v>
      </c>
      <c r="R150" s="18">
        <v>46136</v>
      </c>
      <c r="S150" s="18">
        <v>46139</v>
      </c>
      <c r="T150" s="18">
        <v>46148</v>
      </c>
      <c r="U150" s="18">
        <v>46149</v>
      </c>
      <c r="V150" s="18">
        <v>46156</v>
      </c>
      <c r="W150" s="18">
        <v>46170</v>
      </c>
      <c r="X150" s="18">
        <v>46202</v>
      </c>
      <c r="Y150" s="18">
        <v>46205</v>
      </c>
      <c r="Z150" s="18"/>
      <c r="AA150" s="18">
        <v>46219</v>
      </c>
      <c r="AB150" s="18">
        <v>46223</v>
      </c>
      <c r="AC150" s="18">
        <v>46230</v>
      </c>
      <c r="AD150" s="18">
        <v>46258</v>
      </c>
      <c r="AE150" s="206">
        <v>46272</v>
      </c>
      <c r="AF150" s="18">
        <v>46292</v>
      </c>
      <c r="AG150" s="18">
        <v>46292</v>
      </c>
      <c r="AH150" s="18">
        <v>46295</v>
      </c>
      <c r="AI150" s="18">
        <v>46446</v>
      </c>
      <c r="AJ150" s="18">
        <v>46461</v>
      </c>
      <c r="AK150" s="18">
        <v>46471</v>
      </c>
      <c r="AL150" s="18">
        <v>46474</v>
      </c>
      <c r="AM150" s="18">
        <v>46501</v>
      </c>
      <c r="AN150" s="57">
        <v>36</v>
      </c>
      <c r="AO150" s="58">
        <v>252</v>
      </c>
      <c r="AP150" s="77">
        <v>46471</v>
      </c>
      <c r="AQ150" s="77">
        <v>46571</v>
      </c>
      <c r="AR150" s="19">
        <f>AQ150-AP151</f>
        <v>113</v>
      </c>
      <c r="AS150" s="142" t="s">
        <v>364</v>
      </c>
      <c r="AT150" s="498" t="s">
        <v>431</v>
      </c>
      <c r="AU150" s="20">
        <f>IF(ISERROR(LOOKUP(AU$10,$R150:$AT150,#REF!)),0,(LOOKUP(AU$10,$R150:$AT150,#REF!)))</f>
        <v>0</v>
      </c>
      <c r="AV150" s="21">
        <f>IF(ISERROR(LOOKUP(AV$10,$R150:$AT150,#REF!)),0,(LOOKUP(AV$10,$R150:$AT150,#REF!)))</f>
        <v>0</v>
      </c>
      <c r="AW150" s="21">
        <f>IF(ISERROR(LOOKUP(AW$10,$R150:$AT150,#REF!)),0,(LOOKUP(AW$10,$R150:$AT150,#REF!)))</f>
        <v>0</v>
      </c>
      <c r="AX150" s="21">
        <f>IF(ISERROR(LOOKUP(AX$10,$R150:$AT150,#REF!)),0,(LOOKUP(AX$10,$R150:$AT150,#REF!)))</f>
        <v>0</v>
      </c>
      <c r="AY150" s="21">
        <f>IF(ISERROR(LOOKUP(AY$10,$R150:$AT150,#REF!)),0,(LOOKUP(AY$10,$R150:$AT150,#REF!)))</f>
        <v>0</v>
      </c>
      <c r="AZ150" s="21">
        <f>IF(ISERROR(LOOKUP(AZ$10,$R150:$AT150,#REF!)),0,(LOOKUP(AZ$10,$R150:$AT150,#REF!)))</f>
        <v>0</v>
      </c>
      <c r="BA150" s="21">
        <f>IF(ISERROR(LOOKUP(BA$10,$R150:$AT150,#REF!)),0,(LOOKUP(BA$10,$R150:$AT150,#REF!)))</f>
        <v>0</v>
      </c>
      <c r="BB150" s="21">
        <f>IF(ISERROR(LOOKUP(BB$10,$R150:$AT150,#REF!)),0,(LOOKUP(BB$10,$R150:$AT150,#REF!)))</f>
        <v>0</v>
      </c>
      <c r="BC150" s="21">
        <f>IF(ISERROR(LOOKUP(BC$10,$R150:$AT150,#REF!)),0,(LOOKUP(BC$10,$R150:$AT150,#REF!)))</f>
        <v>0</v>
      </c>
      <c r="BD150" s="21">
        <f>IF(ISERROR(LOOKUP(BD$10,$R150:$AT150,#REF!)),0,(LOOKUP(BD$10,$R150:$AT150,#REF!)))</f>
        <v>0</v>
      </c>
      <c r="BE150" s="402">
        <f ca="1">IF(ISERROR(LOOKUP(BE$10,$R150:$AT150,#REF!)),0,(LOOKUP(BE$10,$R150:$AT150,#REF!)))</f>
        <v>0</v>
      </c>
      <c r="BF150" s="415"/>
      <c r="BG150" s="428"/>
      <c r="BH150" s="428"/>
    </row>
    <row r="151" spans="1:60" s="3" customFormat="1" ht="14.25" thickTop="1" thickBot="1" x14ac:dyDescent="0.45">
      <c r="A151" s="508"/>
      <c r="B151" s="92" t="s">
        <v>215</v>
      </c>
      <c r="C151" s="40" t="s">
        <v>82</v>
      </c>
      <c r="D151" s="23" t="s">
        <v>214</v>
      </c>
      <c r="E151" s="42" t="s">
        <v>89</v>
      </c>
      <c r="F151" s="45" t="s">
        <v>84</v>
      </c>
      <c r="G151" s="22" t="s">
        <v>51</v>
      </c>
      <c r="H151" s="40" t="s">
        <v>1</v>
      </c>
      <c r="I151" s="40" t="s">
        <v>286</v>
      </c>
      <c r="J151" s="208" t="s">
        <v>717</v>
      </c>
      <c r="K151" s="208" t="s">
        <v>570</v>
      </c>
      <c r="L151" s="208" t="s">
        <v>570</v>
      </c>
      <c r="M151" s="285" t="s">
        <v>706</v>
      </c>
      <c r="N151" s="208" t="s">
        <v>443</v>
      </c>
      <c r="O151" s="208" t="s">
        <v>443</v>
      </c>
      <c r="P151" s="175" t="s">
        <v>32</v>
      </c>
      <c r="Q151" s="25" t="s">
        <v>34</v>
      </c>
      <c r="R151" s="26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>
        <v>46293</v>
      </c>
      <c r="AF151" s="27">
        <f>AE151+20</f>
        <v>46313</v>
      </c>
      <c r="AG151" s="27">
        <f>AF151</f>
        <v>46313</v>
      </c>
      <c r="AH151" s="27">
        <f>AG151+3</f>
        <v>46316</v>
      </c>
      <c r="AI151" s="27">
        <f>AJ151-20</f>
        <v>46428</v>
      </c>
      <c r="AJ151" s="27">
        <f>AK151-10</f>
        <v>46448</v>
      </c>
      <c r="AK151" s="27">
        <f>AP151</f>
        <v>46458</v>
      </c>
      <c r="AL151" s="27">
        <f>AP150+3</f>
        <v>46474</v>
      </c>
      <c r="AM151" s="27">
        <f>AP150+30</f>
        <v>46501</v>
      </c>
      <c r="AN151" s="80">
        <v>32</v>
      </c>
      <c r="AO151" s="78">
        <f>AN151*7</f>
        <v>224</v>
      </c>
      <c r="AP151" s="82">
        <f>BG151+7</f>
        <v>46458</v>
      </c>
      <c r="AQ151" s="82"/>
      <c r="AR151" s="28"/>
      <c r="AS151" s="140"/>
      <c r="AT151" s="502"/>
      <c r="AU151" s="20">
        <f>IF(ISERROR(LOOKUP(AU$10,$R151:$AT151,#REF!)),0,(LOOKUP(AU$10,$R151:$AT151,#REF!)))</f>
        <v>0</v>
      </c>
      <c r="AV151" s="21">
        <f>IF(ISERROR(LOOKUP(AV$10,$R151:$AT151,#REF!)),0,(LOOKUP(AV$10,$R151:$AT151,#REF!)))</f>
        <v>0</v>
      </c>
      <c r="AW151" s="21">
        <f>IF(ISERROR(LOOKUP(AW$10,$R151:$AT151,#REF!)),0,(LOOKUP(AW$10,$R151:$AT151,#REF!)))</f>
        <v>0</v>
      </c>
      <c r="AX151" s="21">
        <f>IF(ISERROR(LOOKUP(AX$10,$R151:$AT151,#REF!)),0,(LOOKUP(AX$10,$R151:$AT151,#REF!)))</f>
        <v>0</v>
      </c>
      <c r="AY151" s="21">
        <f>IF(ISERROR(LOOKUP(AY$10,$R151:$AT151,#REF!)),0,(LOOKUP(AY$10,$R151:$AT151,#REF!)))</f>
        <v>0</v>
      </c>
      <c r="AZ151" s="21">
        <f>IF(ISERROR(LOOKUP(AZ$10,$R151:$AT151,#REF!)),0,(LOOKUP(AZ$10,$R151:$AT151,#REF!)))</f>
        <v>0</v>
      </c>
      <c r="BA151" s="21">
        <f>IF(ISERROR(LOOKUP(BA$10,$R151:$AT151,#REF!)),0,(LOOKUP(BA$10,$R151:$AT151,#REF!)))</f>
        <v>0</v>
      </c>
      <c r="BB151" s="21">
        <f>IF(ISERROR(LOOKUP(BB$10,$R151:$AT151,#REF!)),0,(LOOKUP(BB$10,$R151:$AT151,#REF!)))</f>
        <v>0</v>
      </c>
      <c r="BC151" s="21">
        <f>IF(ISERROR(LOOKUP(BC$10,$R151:$AT151,#REF!)),0,(LOOKUP(BC$10,$R151:$AT151,#REF!)))</f>
        <v>0</v>
      </c>
      <c r="BD151" s="21">
        <f>IF(ISERROR(LOOKUP(BD$10,$R151:$AT151,#REF!)),0,(LOOKUP(BD$10,$R151:$AT151,#REF!)))</f>
        <v>0</v>
      </c>
      <c r="BE151" s="402">
        <f ca="1">IF(ISERROR(LOOKUP(BE$10,$R151:$AT151,#REF!)),0,(LOOKUP(BE$10,$R151:$AT151,#REF!)))</f>
        <v>0</v>
      </c>
      <c r="BF151" s="415" t="s">
        <v>901</v>
      </c>
      <c r="BG151" s="428">
        <v>46451</v>
      </c>
      <c r="BH151" s="428"/>
    </row>
    <row r="152" spans="1:60" s="3" customFormat="1" ht="14.25" thickTop="1" thickBot="1" x14ac:dyDescent="0.45">
      <c r="A152" s="509"/>
      <c r="B152" s="93" t="s">
        <v>215</v>
      </c>
      <c r="C152" s="31" t="s">
        <v>82</v>
      </c>
      <c r="D152" s="32" t="s">
        <v>214</v>
      </c>
      <c r="E152" s="44" t="s">
        <v>89</v>
      </c>
      <c r="F152" s="33" t="s">
        <v>84</v>
      </c>
      <c r="G152" s="31" t="s">
        <v>51</v>
      </c>
      <c r="H152" s="31" t="s">
        <v>1</v>
      </c>
      <c r="I152" s="31" t="s">
        <v>286</v>
      </c>
      <c r="J152" s="209"/>
      <c r="K152" s="209" t="s">
        <v>624</v>
      </c>
      <c r="L152" s="209" t="s">
        <v>624</v>
      </c>
      <c r="M152" s="209"/>
      <c r="N152" s="209" t="s">
        <v>624</v>
      </c>
      <c r="O152" s="209"/>
      <c r="P152" s="176" t="s">
        <v>32</v>
      </c>
      <c r="Q152" s="34" t="s">
        <v>35</v>
      </c>
      <c r="R152" s="35">
        <v>46133</v>
      </c>
      <c r="S152" s="35">
        <v>46136</v>
      </c>
      <c r="T152" s="35">
        <v>46153</v>
      </c>
      <c r="U152" s="35">
        <v>46153</v>
      </c>
      <c r="V152" s="35">
        <v>46153</v>
      </c>
      <c r="W152" s="35">
        <v>46164</v>
      </c>
      <c r="X152" s="35">
        <v>46205</v>
      </c>
      <c r="Y152" s="35">
        <v>46207</v>
      </c>
      <c r="Z152" s="35">
        <v>46227</v>
      </c>
      <c r="AA152" s="35">
        <v>46241</v>
      </c>
      <c r="AB152" s="35">
        <v>46262</v>
      </c>
      <c r="AC152" s="35">
        <v>46233</v>
      </c>
      <c r="AD152" s="35">
        <v>46253</v>
      </c>
      <c r="AE152" s="35"/>
      <c r="AF152" s="35"/>
      <c r="AG152" s="35"/>
      <c r="AH152" s="35"/>
      <c r="AI152" s="35"/>
      <c r="AJ152" s="35"/>
      <c r="AK152" s="35"/>
      <c r="AL152" s="35"/>
      <c r="AM152" s="35"/>
      <c r="AN152" s="81"/>
      <c r="AO152" s="79"/>
      <c r="AP152" s="36" t="s">
        <v>904</v>
      </c>
      <c r="AQ152" s="36"/>
      <c r="AR152" s="37"/>
      <c r="AS152" s="141"/>
      <c r="AT152" s="503"/>
      <c r="AU152" s="38">
        <f>IF(ISERROR(LOOKUP(AU$10,$R152:$AT152,#REF!)),0,(LOOKUP(AU$10,$R152:$AT152,#REF!)))</f>
        <v>0</v>
      </c>
      <c r="AV152" s="39">
        <f>IF(ISERROR(LOOKUP(AV$10,$R152:$AT152,#REF!)),0,(LOOKUP(AV$10,$R152:$AT152,#REF!)))</f>
        <v>0</v>
      </c>
      <c r="AW152" s="39">
        <f>IF(ISERROR(LOOKUP(AW$10,$R152:$AT152,#REF!)),0,(LOOKUP(AW$10,$R152:$AT152,#REF!)))</f>
        <v>0</v>
      </c>
      <c r="AX152" s="39">
        <f>IF(ISERROR(LOOKUP(AX$10,$R152:$AT152,#REF!)),0,(LOOKUP(AX$10,$R152:$AT152,#REF!)))</f>
        <v>0</v>
      </c>
      <c r="AY152" s="39">
        <f>IF(ISERROR(LOOKUP(AY$10,$R152:$AT152,#REF!)),0,(LOOKUP(AY$10,$R152:$AT152,#REF!)))</f>
        <v>0</v>
      </c>
      <c r="AZ152" s="39">
        <f>IF(ISERROR(LOOKUP(AZ$10,$R152:$AT152,#REF!)),0,(LOOKUP(AZ$10,$R152:$AT152,#REF!)))</f>
        <v>0</v>
      </c>
      <c r="BA152" s="39">
        <f>IF(ISERROR(LOOKUP(BA$10,$R152:$AT152,#REF!)),0,(LOOKUP(BA$10,$R152:$AT152,#REF!)))</f>
        <v>0</v>
      </c>
      <c r="BB152" s="39">
        <f>IF(ISERROR(LOOKUP(BB$10,$R152:$AT152,#REF!)),0,(LOOKUP(BB$10,$R152:$AT152,#REF!)))</f>
        <v>0</v>
      </c>
      <c r="BC152" s="39">
        <f>IF(ISERROR(LOOKUP(BC$10,$R152:$AT152,#REF!)),0,(LOOKUP(BC$10,$R152:$AT152,#REF!)))</f>
        <v>0</v>
      </c>
      <c r="BD152" s="39">
        <f>IF(ISERROR(LOOKUP(BD$10,$R152:$AT152,#REF!)),0,(LOOKUP(BD$10,$R152:$AT152,#REF!)))</f>
        <v>0</v>
      </c>
      <c r="BE152" s="405">
        <f ca="1">IF(ISERROR(LOOKUP(BE$10,$R152:$AT152,#REF!)),0,(LOOKUP(BE$10,$R152:$AT152,#REF!)))</f>
        <v>0</v>
      </c>
      <c r="BF152" s="415"/>
      <c r="BG152" s="428"/>
      <c r="BH152" s="428"/>
    </row>
    <row r="153" spans="1:60" s="3" customFormat="1" ht="14.25" thickTop="1" thickBot="1" x14ac:dyDescent="0.45">
      <c r="A153" s="507">
        <f t="shared" ref="A153" si="31">A150+1</f>
        <v>40</v>
      </c>
      <c r="B153" s="91" t="s">
        <v>217</v>
      </c>
      <c r="C153" s="13" t="s">
        <v>368</v>
      </c>
      <c r="D153" s="338" t="s">
        <v>216</v>
      </c>
      <c r="E153" s="63"/>
      <c r="F153" s="15" t="s">
        <v>84</v>
      </c>
      <c r="G153" s="13" t="s">
        <v>180</v>
      </c>
      <c r="H153" s="13" t="s">
        <v>1</v>
      </c>
      <c r="I153" s="13" t="s">
        <v>324</v>
      </c>
      <c r="J153" s="344" t="s">
        <v>626</v>
      </c>
      <c r="K153" s="219" t="s">
        <v>625</v>
      </c>
      <c r="L153" s="219" t="s">
        <v>625</v>
      </c>
      <c r="M153" s="219" t="s">
        <v>625</v>
      </c>
      <c r="N153" s="219" t="s">
        <v>626</v>
      </c>
      <c r="O153" s="219" t="s">
        <v>626</v>
      </c>
      <c r="P153" s="174" t="s">
        <v>32</v>
      </c>
      <c r="Q153" s="17" t="s">
        <v>33</v>
      </c>
      <c r="R153" s="18">
        <v>46136</v>
      </c>
      <c r="S153" s="18">
        <v>46139</v>
      </c>
      <c r="T153" s="18">
        <v>46148</v>
      </c>
      <c r="U153" s="18">
        <v>46149</v>
      </c>
      <c r="V153" s="18">
        <v>46156</v>
      </c>
      <c r="W153" s="18">
        <v>46170</v>
      </c>
      <c r="X153" s="18">
        <v>46202</v>
      </c>
      <c r="Y153" s="18">
        <v>46205</v>
      </c>
      <c r="Z153" s="18"/>
      <c r="AA153" s="18">
        <v>46219</v>
      </c>
      <c r="AB153" s="18">
        <v>46223</v>
      </c>
      <c r="AC153" s="18">
        <v>46230</v>
      </c>
      <c r="AD153" s="18">
        <v>46258</v>
      </c>
      <c r="AE153" s="206">
        <v>46272</v>
      </c>
      <c r="AF153" s="18">
        <v>46292</v>
      </c>
      <c r="AG153" s="18">
        <v>46292</v>
      </c>
      <c r="AH153" s="18">
        <v>46295</v>
      </c>
      <c r="AI153" s="18">
        <v>46469</v>
      </c>
      <c r="AJ153" s="18">
        <v>46489</v>
      </c>
      <c r="AK153" s="18">
        <v>46499</v>
      </c>
      <c r="AL153" s="18">
        <v>46502</v>
      </c>
      <c r="AM153" s="18">
        <v>46529</v>
      </c>
      <c r="AN153" s="57">
        <v>40</v>
      </c>
      <c r="AO153" s="58">
        <v>280</v>
      </c>
      <c r="AP153" s="77">
        <v>46493</v>
      </c>
      <c r="AQ153" s="77">
        <v>46498</v>
      </c>
      <c r="AR153" s="19">
        <f>AQ153-AP154</f>
        <v>40</v>
      </c>
      <c r="AS153" s="142" t="s">
        <v>364</v>
      </c>
      <c r="AT153" s="498" t="s">
        <v>432</v>
      </c>
      <c r="AU153" s="20">
        <f>IF(ISERROR(LOOKUP(AU$10,$R153:$AT153,#REF!)),0,(LOOKUP(AU$10,$R153:$AT153,#REF!)))</f>
        <v>0</v>
      </c>
      <c r="AV153" s="21">
        <f>IF(ISERROR(LOOKUP(AV$10,$R153:$AT153,#REF!)),0,(LOOKUP(AV$10,$R153:$AT153,#REF!)))</f>
        <v>0</v>
      </c>
      <c r="AW153" s="21">
        <f>IF(ISERROR(LOOKUP(AW$10,$R153:$AT153,#REF!)),0,(LOOKUP(AW$10,$R153:$AT153,#REF!)))</f>
        <v>0</v>
      </c>
      <c r="AX153" s="21">
        <f>IF(ISERROR(LOOKUP(AX$10,$R153:$AT153,#REF!)),0,(LOOKUP(AX$10,$R153:$AT153,#REF!)))</f>
        <v>0</v>
      </c>
      <c r="AY153" s="21">
        <f>IF(ISERROR(LOOKUP(AY$10,$R153:$AT153,#REF!)),0,(LOOKUP(AY$10,$R153:$AT153,#REF!)))</f>
        <v>0</v>
      </c>
      <c r="AZ153" s="21">
        <f>IF(ISERROR(LOOKUP(AZ$10,$R153:$AT153,#REF!)),0,(LOOKUP(AZ$10,$R153:$AT153,#REF!)))</f>
        <v>0</v>
      </c>
      <c r="BA153" s="21">
        <f>IF(ISERROR(LOOKUP(BA$10,$R153:$AT153,#REF!)),0,(LOOKUP(BA$10,$R153:$AT153,#REF!)))</f>
        <v>0</v>
      </c>
      <c r="BB153" s="21">
        <f>IF(ISERROR(LOOKUP(BB$10,$R153:$AT153,#REF!)),0,(LOOKUP(BB$10,$R153:$AT153,#REF!)))</f>
        <v>0</v>
      </c>
      <c r="BC153" s="21">
        <f>IF(ISERROR(LOOKUP(BC$10,$R153:$AT153,#REF!)),0,(LOOKUP(BC$10,$R153:$AT153,#REF!)))</f>
        <v>0</v>
      </c>
      <c r="BD153" s="21">
        <f>IF(ISERROR(LOOKUP(BD$10,$R153:$AT153,#REF!)),0,(LOOKUP(BD$10,$R153:$AT153,#REF!)))</f>
        <v>0</v>
      </c>
      <c r="BE153" s="402">
        <f ca="1">IF(ISERROR(LOOKUP(BE$10,$R153:$AT153,#REF!)),0,(LOOKUP(BE$10,$R153:$AT153,#REF!)))</f>
        <v>0</v>
      </c>
      <c r="BF153" s="415"/>
      <c r="BG153" s="428"/>
      <c r="BH153" s="428"/>
    </row>
    <row r="154" spans="1:60" s="3" customFormat="1" ht="14.25" thickTop="1" thickBot="1" x14ac:dyDescent="0.45">
      <c r="A154" s="508"/>
      <c r="B154" s="92" t="s">
        <v>217</v>
      </c>
      <c r="C154" s="40" t="s">
        <v>85</v>
      </c>
      <c r="D154" s="23" t="s">
        <v>216</v>
      </c>
      <c r="E154" s="42"/>
      <c r="F154" s="45" t="s">
        <v>84</v>
      </c>
      <c r="G154" s="22" t="s">
        <v>31</v>
      </c>
      <c r="H154" s="40" t="s">
        <v>1</v>
      </c>
      <c r="I154" s="40" t="s">
        <v>324</v>
      </c>
      <c r="J154" s="208" t="s">
        <v>717</v>
      </c>
      <c r="K154" s="208" t="s">
        <v>570</v>
      </c>
      <c r="L154" s="208" t="s">
        <v>570</v>
      </c>
      <c r="M154" s="208"/>
      <c r="N154" s="208" t="s">
        <v>443</v>
      </c>
      <c r="O154" s="208"/>
      <c r="P154" s="175" t="s">
        <v>32</v>
      </c>
      <c r="Q154" s="25" t="s">
        <v>34</v>
      </c>
      <c r="R154" s="26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>
        <v>46293</v>
      </c>
      <c r="AF154" s="27">
        <f>AE154+20</f>
        <v>46313</v>
      </c>
      <c r="AG154" s="27">
        <f>AF154</f>
        <v>46313</v>
      </c>
      <c r="AH154" s="27">
        <f>AG154+3</f>
        <v>46316</v>
      </c>
      <c r="AI154" s="27">
        <f>AJ154-20</f>
        <v>46428</v>
      </c>
      <c r="AJ154" s="27">
        <f>AK154-10</f>
        <v>46448</v>
      </c>
      <c r="AK154" s="27">
        <f>AP154</f>
        <v>46458</v>
      </c>
      <c r="AL154" s="27">
        <f>AP153+3</f>
        <v>46496</v>
      </c>
      <c r="AM154" s="27">
        <f>AP153+30</f>
        <v>46523</v>
      </c>
      <c r="AN154" s="80">
        <v>32</v>
      </c>
      <c r="AO154" s="78">
        <f>AN154*7</f>
        <v>224</v>
      </c>
      <c r="AP154" s="82">
        <f>BG154+7</f>
        <v>46458</v>
      </c>
      <c r="AQ154" s="82"/>
      <c r="AR154" s="28"/>
      <c r="AS154" s="140"/>
      <c r="AT154" s="502"/>
      <c r="AU154" s="20">
        <f>IF(ISERROR(LOOKUP(AU$10,$R154:$AT154,#REF!)),0,(LOOKUP(AU$10,$R154:$AT154,#REF!)))</f>
        <v>0</v>
      </c>
      <c r="AV154" s="21">
        <f>IF(ISERROR(LOOKUP(AV$10,$R154:$AT154,#REF!)),0,(LOOKUP(AV$10,$R154:$AT154,#REF!)))</f>
        <v>0</v>
      </c>
      <c r="AW154" s="21">
        <f>IF(ISERROR(LOOKUP(AW$10,$R154:$AT154,#REF!)),0,(LOOKUP(AW$10,$R154:$AT154,#REF!)))</f>
        <v>0</v>
      </c>
      <c r="AX154" s="21">
        <f>IF(ISERROR(LOOKUP(AX$10,$R154:$AT154,#REF!)),0,(LOOKUP(AX$10,$R154:$AT154,#REF!)))</f>
        <v>0</v>
      </c>
      <c r="AY154" s="21">
        <f>IF(ISERROR(LOOKUP(AY$10,$R154:$AT154,#REF!)),0,(LOOKUP(AY$10,$R154:$AT154,#REF!)))</f>
        <v>0</v>
      </c>
      <c r="AZ154" s="21">
        <f>IF(ISERROR(LOOKUP(AZ$10,$R154:$AT154,#REF!)),0,(LOOKUP(AZ$10,$R154:$AT154,#REF!)))</f>
        <v>0</v>
      </c>
      <c r="BA154" s="21">
        <f>IF(ISERROR(LOOKUP(BA$10,$R154:$AT154,#REF!)),0,(LOOKUP(BA$10,$R154:$AT154,#REF!)))</f>
        <v>0</v>
      </c>
      <c r="BB154" s="21">
        <f>IF(ISERROR(LOOKUP(BB$10,$R154:$AT154,#REF!)),0,(LOOKUP(BB$10,$R154:$AT154,#REF!)))</f>
        <v>0</v>
      </c>
      <c r="BC154" s="21">
        <f>IF(ISERROR(LOOKUP(BC$10,$R154:$AT154,#REF!)),0,(LOOKUP(BC$10,$R154:$AT154,#REF!)))</f>
        <v>0</v>
      </c>
      <c r="BD154" s="21">
        <f>IF(ISERROR(LOOKUP(BD$10,$R154:$AT154,#REF!)),0,(LOOKUP(BD$10,$R154:$AT154,#REF!)))</f>
        <v>0</v>
      </c>
      <c r="BE154" s="402">
        <f ca="1">IF(ISERROR(LOOKUP(BE$10,$R154:$AT154,#REF!)),0,(LOOKUP(BE$10,$R154:$AT154,#REF!)))</f>
        <v>0</v>
      </c>
      <c r="BF154" s="415" t="s">
        <v>901</v>
      </c>
      <c r="BG154" s="428">
        <v>46451</v>
      </c>
      <c r="BH154" s="428"/>
    </row>
    <row r="155" spans="1:60" s="3" customFormat="1" ht="14.25" thickTop="1" thickBot="1" x14ac:dyDescent="0.45">
      <c r="A155" s="509"/>
      <c r="B155" s="93" t="s">
        <v>217</v>
      </c>
      <c r="C155" s="31" t="s">
        <v>85</v>
      </c>
      <c r="D155" s="32" t="s">
        <v>216</v>
      </c>
      <c r="E155" s="43"/>
      <c r="F155" s="33" t="s">
        <v>84</v>
      </c>
      <c r="G155" s="31" t="s">
        <v>31</v>
      </c>
      <c r="H155" s="31" t="s">
        <v>1</v>
      </c>
      <c r="I155" s="31" t="s">
        <v>324</v>
      </c>
      <c r="J155" s="209"/>
      <c r="K155" s="209" t="s">
        <v>624</v>
      </c>
      <c r="L155" s="209" t="s">
        <v>624</v>
      </c>
      <c r="M155" s="209" t="s">
        <v>624</v>
      </c>
      <c r="N155" s="209" t="s">
        <v>624</v>
      </c>
      <c r="O155" s="209" t="s">
        <v>624</v>
      </c>
      <c r="P155" s="176" t="s">
        <v>32</v>
      </c>
      <c r="Q155" s="34" t="s">
        <v>35</v>
      </c>
      <c r="R155" s="35">
        <v>46133</v>
      </c>
      <c r="S155" s="35">
        <v>46140</v>
      </c>
      <c r="T155" s="35">
        <v>46153</v>
      </c>
      <c r="U155" s="35">
        <v>46153</v>
      </c>
      <c r="V155" s="35">
        <v>46153</v>
      </c>
      <c r="W155" s="35">
        <v>46164</v>
      </c>
      <c r="X155" s="35">
        <v>46210</v>
      </c>
      <c r="Y155" s="35">
        <v>46211</v>
      </c>
      <c r="Z155" s="35">
        <v>46227</v>
      </c>
      <c r="AA155" s="35">
        <v>46241</v>
      </c>
      <c r="AB155" s="35">
        <v>46262</v>
      </c>
      <c r="AC155" s="35">
        <v>46233</v>
      </c>
      <c r="AD155" s="35">
        <v>46253</v>
      </c>
      <c r="AE155" s="35"/>
      <c r="AF155" s="35"/>
      <c r="AG155" s="35"/>
      <c r="AH155" s="35"/>
      <c r="AI155" s="35"/>
      <c r="AJ155" s="35"/>
      <c r="AK155" s="35"/>
      <c r="AL155" s="35"/>
      <c r="AM155" s="35"/>
      <c r="AN155" s="81"/>
      <c r="AO155" s="79"/>
      <c r="AP155" s="36" t="s">
        <v>904</v>
      </c>
      <c r="AQ155" s="36"/>
      <c r="AR155" s="37"/>
      <c r="AS155" s="141"/>
      <c r="AT155" s="503"/>
      <c r="AU155" s="38">
        <f>IF(ISERROR(LOOKUP(AU$10,$R155:$AT155,#REF!)),0,(LOOKUP(AU$10,$R155:$AT155,#REF!)))</f>
        <v>0</v>
      </c>
      <c r="AV155" s="39">
        <f>IF(ISERROR(LOOKUP(AV$10,$R155:$AT155,#REF!)),0,(LOOKUP(AV$10,$R155:$AT155,#REF!)))</f>
        <v>0</v>
      </c>
      <c r="AW155" s="39">
        <f>IF(ISERROR(LOOKUP(AW$10,$R155:$AT155,#REF!)),0,(LOOKUP(AW$10,$R155:$AT155,#REF!)))</f>
        <v>0</v>
      </c>
      <c r="AX155" s="39">
        <f>IF(ISERROR(LOOKUP(AX$10,$R155:$AT155,#REF!)),0,(LOOKUP(AX$10,$R155:$AT155,#REF!)))</f>
        <v>0</v>
      </c>
      <c r="AY155" s="39">
        <f>IF(ISERROR(LOOKUP(AY$10,$R155:$AT155,#REF!)),0,(LOOKUP(AY$10,$R155:$AT155,#REF!)))</f>
        <v>0</v>
      </c>
      <c r="AZ155" s="39">
        <f>IF(ISERROR(LOOKUP(AZ$10,$R155:$AT155,#REF!)),0,(LOOKUP(AZ$10,$R155:$AT155,#REF!)))</f>
        <v>0</v>
      </c>
      <c r="BA155" s="39">
        <f>IF(ISERROR(LOOKUP(BA$10,$R155:$AT155,#REF!)),0,(LOOKUP(BA$10,$R155:$AT155,#REF!)))</f>
        <v>0</v>
      </c>
      <c r="BB155" s="39">
        <f>IF(ISERROR(LOOKUP(BB$10,$R155:$AT155,#REF!)),0,(LOOKUP(BB$10,$R155:$AT155,#REF!)))</f>
        <v>0</v>
      </c>
      <c r="BC155" s="39">
        <f>IF(ISERROR(LOOKUP(BC$10,$R155:$AT155,#REF!)),0,(LOOKUP(BC$10,$R155:$AT155,#REF!)))</f>
        <v>0</v>
      </c>
      <c r="BD155" s="39">
        <f>IF(ISERROR(LOOKUP(BD$10,$R155:$AT155,#REF!)),0,(LOOKUP(BD$10,$R155:$AT155,#REF!)))</f>
        <v>0</v>
      </c>
      <c r="BE155" s="405">
        <f ca="1">IF(ISERROR(LOOKUP(BE$10,$R155:$AT155,#REF!)),0,(LOOKUP(BE$10,$R155:$AT155,#REF!)))</f>
        <v>0</v>
      </c>
      <c r="BF155" s="415"/>
      <c r="BG155" s="428"/>
      <c r="BH155" s="428"/>
    </row>
    <row r="156" spans="1:60" s="3" customFormat="1" ht="14.25" thickTop="1" thickBot="1" x14ac:dyDescent="0.45">
      <c r="A156" s="507">
        <f t="shared" ref="A156" si="32">A153+1</f>
        <v>41</v>
      </c>
      <c r="B156" s="91" t="s">
        <v>218</v>
      </c>
      <c r="C156" s="13" t="s">
        <v>88</v>
      </c>
      <c r="D156" s="338" t="s">
        <v>718</v>
      </c>
      <c r="E156" s="63" t="s">
        <v>87</v>
      </c>
      <c r="F156" s="15" t="s">
        <v>84</v>
      </c>
      <c r="G156" s="13" t="s">
        <v>31</v>
      </c>
      <c r="H156" s="13" t="s">
        <v>1</v>
      </c>
      <c r="I156" s="13" t="s">
        <v>288</v>
      </c>
      <c r="J156" s="344" t="s">
        <v>626</v>
      </c>
      <c r="K156" s="219" t="s">
        <v>625</v>
      </c>
      <c r="L156" s="219" t="s">
        <v>625</v>
      </c>
      <c r="M156" s="211" t="s">
        <v>707</v>
      </c>
      <c r="N156" s="219" t="s">
        <v>626</v>
      </c>
      <c r="O156" s="219" t="s">
        <v>626</v>
      </c>
      <c r="P156" s="174" t="s">
        <v>32</v>
      </c>
      <c r="Q156" s="17" t="s">
        <v>33</v>
      </c>
      <c r="R156" s="18">
        <v>46136</v>
      </c>
      <c r="S156" s="18">
        <v>46139</v>
      </c>
      <c r="T156" s="18">
        <v>46148</v>
      </c>
      <c r="U156" s="18">
        <v>46149</v>
      </c>
      <c r="V156" s="18">
        <v>46156</v>
      </c>
      <c r="W156" s="18">
        <v>46170</v>
      </c>
      <c r="X156" s="18">
        <v>46202</v>
      </c>
      <c r="Y156" s="18">
        <v>46205</v>
      </c>
      <c r="Z156" s="18"/>
      <c r="AA156" s="18">
        <v>46219</v>
      </c>
      <c r="AB156" s="18">
        <v>46223</v>
      </c>
      <c r="AC156" s="18">
        <v>46230</v>
      </c>
      <c r="AD156" s="18">
        <v>46258</v>
      </c>
      <c r="AE156" s="206">
        <v>46272</v>
      </c>
      <c r="AF156" s="18">
        <v>46292</v>
      </c>
      <c r="AG156" s="18">
        <v>46292</v>
      </c>
      <c r="AH156" s="18">
        <v>46295</v>
      </c>
      <c r="AI156" s="18">
        <v>46469</v>
      </c>
      <c r="AJ156" s="18">
        <v>46489</v>
      </c>
      <c r="AK156" s="18">
        <v>46499</v>
      </c>
      <c r="AL156" s="18">
        <v>46502</v>
      </c>
      <c r="AM156" s="18">
        <v>46529</v>
      </c>
      <c r="AN156" s="57">
        <v>40</v>
      </c>
      <c r="AO156" s="58">
        <v>280</v>
      </c>
      <c r="AP156" s="77">
        <v>46493</v>
      </c>
      <c r="AQ156" s="77">
        <v>46498</v>
      </c>
      <c r="AR156" s="19">
        <f>AQ156-AP157</f>
        <v>40</v>
      </c>
      <c r="AS156" s="142" t="s">
        <v>364</v>
      </c>
      <c r="AT156" s="498" t="s">
        <v>432</v>
      </c>
      <c r="AU156" s="20">
        <f>IF(ISERROR(LOOKUP(AU$10,$R156:$AT156,#REF!)),0,(LOOKUP(AU$10,$R156:$AT156,#REF!)))</f>
        <v>0</v>
      </c>
      <c r="AV156" s="21">
        <f>IF(ISERROR(LOOKUP(AV$10,$R156:$AT156,#REF!)),0,(LOOKUP(AV$10,$R156:$AT156,#REF!)))</f>
        <v>0</v>
      </c>
      <c r="AW156" s="21">
        <f>IF(ISERROR(LOOKUP(AW$10,$R156:$AT156,#REF!)),0,(LOOKUP(AW$10,$R156:$AT156,#REF!)))</f>
        <v>0</v>
      </c>
      <c r="AX156" s="21">
        <f>IF(ISERROR(LOOKUP(AX$10,$R156:$AT156,#REF!)),0,(LOOKUP(AX$10,$R156:$AT156,#REF!)))</f>
        <v>0</v>
      </c>
      <c r="AY156" s="21">
        <f>IF(ISERROR(LOOKUP(AY$10,$R156:$AT156,#REF!)),0,(LOOKUP(AY$10,$R156:$AT156,#REF!)))</f>
        <v>0</v>
      </c>
      <c r="AZ156" s="21">
        <f>IF(ISERROR(LOOKUP(AZ$10,$R156:$AT156,#REF!)),0,(LOOKUP(AZ$10,$R156:$AT156,#REF!)))</f>
        <v>0</v>
      </c>
      <c r="BA156" s="21">
        <f>IF(ISERROR(LOOKUP(BA$10,$R156:$AT156,#REF!)),0,(LOOKUP(BA$10,$R156:$AT156,#REF!)))</f>
        <v>0</v>
      </c>
      <c r="BB156" s="21">
        <f>IF(ISERROR(LOOKUP(BB$10,$R156:$AT156,#REF!)),0,(LOOKUP(BB$10,$R156:$AT156,#REF!)))</f>
        <v>0</v>
      </c>
      <c r="BC156" s="21">
        <f>IF(ISERROR(LOOKUP(BC$10,$R156:$AT156,#REF!)),0,(LOOKUP(BC$10,$R156:$AT156,#REF!)))</f>
        <v>0</v>
      </c>
      <c r="BD156" s="21">
        <f>IF(ISERROR(LOOKUP(BD$10,$R156:$AT156,#REF!)),0,(LOOKUP(BD$10,$R156:$AT156,#REF!)))</f>
        <v>0</v>
      </c>
      <c r="BE156" s="402">
        <f ca="1">IF(ISERROR(LOOKUP(BE$10,$R156:$AT156,#REF!)),0,(LOOKUP(BE$10,$R156:$AT156,#REF!)))</f>
        <v>0</v>
      </c>
      <c r="BF156" s="415"/>
      <c r="BG156" s="428"/>
      <c r="BH156" s="428"/>
    </row>
    <row r="157" spans="1:60" s="3" customFormat="1" ht="14.25" thickTop="1" thickBot="1" x14ac:dyDescent="0.45">
      <c r="A157" s="508"/>
      <c r="B157" s="92" t="s">
        <v>218</v>
      </c>
      <c r="C157" s="40" t="s">
        <v>88</v>
      </c>
      <c r="D157" s="23" t="s">
        <v>86</v>
      </c>
      <c r="E157" s="42" t="s">
        <v>87</v>
      </c>
      <c r="F157" s="45" t="s">
        <v>84</v>
      </c>
      <c r="G157" s="22" t="s">
        <v>31</v>
      </c>
      <c r="H157" s="40" t="s">
        <v>1</v>
      </c>
      <c r="I157" s="40" t="s">
        <v>288</v>
      </c>
      <c r="J157" s="208" t="s">
        <v>717</v>
      </c>
      <c r="K157" s="208" t="s">
        <v>570</v>
      </c>
      <c r="L157" s="208" t="s">
        <v>570</v>
      </c>
      <c r="M157" s="208"/>
      <c r="N157" s="208" t="s">
        <v>443</v>
      </c>
      <c r="O157" s="208"/>
      <c r="P157" s="175" t="s">
        <v>32</v>
      </c>
      <c r="Q157" s="25" t="s">
        <v>34</v>
      </c>
      <c r="R157" s="26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>
        <v>46293</v>
      </c>
      <c r="AF157" s="27">
        <f>AE157+20</f>
        <v>46313</v>
      </c>
      <c r="AG157" s="27">
        <f>AF157</f>
        <v>46313</v>
      </c>
      <c r="AH157" s="27">
        <f>AG157+3</f>
        <v>46316</v>
      </c>
      <c r="AI157" s="27">
        <f>AJ157-20</f>
        <v>46428</v>
      </c>
      <c r="AJ157" s="27">
        <f>AK157-10</f>
        <v>46448</v>
      </c>
      <c r="AK157" s="27">
        <f>AP157</f>
        <v>46458</v>
      </c>
      <c r="AL157" s="27">
        <f>AP156+3</f>
        <v>46496</v>
      </c>
      <c r="AM157" s="27">
        <f>AP156+30</f>
        <v>46523</v>
      </c>
      <c r="AN157" s="80">
        <v>32</v>
      </c>
      <c r="AO157" s="78">
        <f>AN157*7</f>
        <v>224</v>
      </c>
      <c r="AP157" s="82">
        <f>BG157+7</f>
        <v>46458</v>
      </c>
      <c r="AQ157" s="82"/>
      <c r="AR157" s="28"/>
      <c r="AS157" s="140"/>
      <c r="AT157" s="502"/>
      <c r="AU157" s="20">
        <f>IF(ISERROR(LOOKUP(AU$10,$R157:$AT157,#REF!)),0,(LOOKUP(AU$10,$R157:$AT157,#REF!)))</f>
        <v>0</v>
      </c>
      <c r="AV157" s="21">
        <f>IF(ISERROR(LOOKUP(AV$10,$R157:$AT157,#REF!)),0,(LOOKUP(AV$10,$R157:$AT157,#REF!)))</f>
        <v>0</v>
      </c>
      <c r="AW157" s="21">
        <f>IF(ISERROR(LOOKUP(AW$10,$R157:$AT157,#REF!)),0,(LOOKUP(AW$10,$R157:$AT157,#REF!)))</f>
        <v>0</v>
      </c>
      <c r="AX157" s="21">
        <f>IF(ISERROR(LOOKUP(AX$10,$R157:$AT157,#REF!)),0,(LOOKUP(AX$10,$R157:$AT157,#REF!)))</f>
        <v>0</v>
      </c>
      <c r="AY157" s="21">
        <f>IF(ISERROR(LOOKUP(AY$10,$R157:$AT157,#REF!)),0,(LOOKUP(AY$10,$R157:$AT157,#REF!)))</f>
        <v>0</v>
      </c>
      <c r="AZ157" s="21">
        <f>IF(ISERROR(LOOKUP(AZ$10,$R157:$AT157,#REF!)),0,(LOOKUP(AZ$10,$R157:$AT157,#REF!)))</f>
        <v>0</v>
      </c>
      <c r="BA157" s="21">
        <f>IF(ISERROR(LOOKUP(BA$10,$R157:$AT157,#REF!)),0,(LOOKUP(BA$10,$R157:$AT157,#REF!)))</f>
        <v>0</v>
      </c>
      <c r="BB157" s="21">
        <f>IF(ISERROR(LOOKUP(BB$10,$R157:$AT157,#REF!)),0,(LOOKUP(BB$10,$R157:$AT157,#REF!)))</f>
        <v>0</v>
      </c>
      <c r="BC157" s="21">
        <f>IF(ISERROR(LOOKUP(BC$10,$R157:$AT157,#REF!)),0,(LOOKUP(BC$10,$R157:$AT157,#REF!)))</f>
        <v>0</v>
      </c>
      <c r="BD157" s="21">
        <f>IF(ISERROR(LOOKUP(BD$10,$R157:$AT157,#REF!)),0,(LOOKUP(BD$10,$R157:$AT157,#REF!)))</f>
        <v>0</v>
      </c>
      <c r="BE157" s="402">
        <f ca="1">IF(ISERROR(LOOKUP(BE$10,$R157:$AT157,#REF!)),0,(LOOKUP(BE$10,$R157:$AT157,#REF!)))</f>
        <v>0</v>
      </c>
      <c r="BF157" s="415" t="s">
        <v>901</v>
      </c>
      <c r="BG157" s="428">
        <v>46451</v>
      </c>
      <c r="BH157" s="428"/>
    </row>
    <row r="158" spans="1:60" s="3" customFormat="1" ht="14.25" thickTop="1" thickBot="1" x14ac:dyDescent="0.45">
      <c r="A158" s="509"/>
      <c r="B158" s="93" t="s">
        <v>218</v>
      </c>
      <c r="C158" s="31" t="s">
        <v>88</v>
      </c>
      <c r="D158" s="32" t="s">
        <v>86</v>
      </c>
      <c r="E158" s="43" t="s">
        <v>87</v>
      </c>
      <c r="F158" s="33" t="s">
        <v>84</v>
      </c>
      <c r="G158" s="31" t="s">
        <v>31</v>
      </c>
      <c r="H158" s="31" t="s">
        <v>1</v>
      </c>
      <c r="I158" s="31" t="s">
        <v>288</v>
      </c>
      <c r="J158" s="209"/>
      <c r="K158" s="209" t="s">
        <v>624</v>
      </c>
      <c r="L158" s="209" t="s">
        <v>624</v>
      </c>
      <c r="M158" s="209" t="s">
        <v>624</v>
      </c>
      <c r="N158" s="209" t="s">
        <v>624</v>
      </c>
      <c r="O158" s="209" t="s">
        <v>624</v>
      </c>
      <c r="P158" s="176" t="s">
        <v>32</v>
      </c>
      <c r="Q158" s="34" t="s">
        <v>35</v>
      </c>
      <c r="R158" s="35">
        <v>46133</v>
      </c>
      <c r="S158" s="35">
        <v>46140</v>
      </c>
      <c r="T158" s="35">
        <v>46153</v>
      </c>
      <c r="U158" s="35">
        <v>46153</v>
      </c>
      <c r="V158" s="35">
        <v>46153</v>
      </c>
      <c r="W158" s="35">
        <v>46164</v>
      </c>
      <c r="X158" s="35">
        <v>46210</v>
      </c>
      <c r="Y158" s="35">
        <v>46215</v>
      </c>
      <c r="Z158" s="35">
        <v>46227</v>
      </c>
      <c r="AA158" s="35">
        <v>46241</v>
      </c>
      <c r="AB158" s="35">
        <v>46262</v>
      </c>
      <c r="AC158" s="35">
        <v>46233</v>
      </c>
      <c r="AD158" s="35">
        <v>46253</v>
      </c>
      <c r="AE158" s="35"/>
      <c r="AF158" s="35"/>
      <c r="AG158" s="35"/>
      <c r="AH158" s="35"/>
      <c r="AI158" s="35"/>
      <c r="AJ158" s="35"/>
      <c r="AK158" s="35"/>
      <c r="AL158" s="35"/>
      <c r="AM158" s="35"/>
      <c r="AN158" s="81"/>
      <c r="AO158" s="79"/>
      <c r="AP158" s="36" t="s">
        <v>904</v>
      </c>
      <c r="AQ158" s="36"/>
      <c r="AR158" s="37"/>
      <c r="AS158" s="141"/>
      <c r="AT158" s="503"/>
      <c r="AU158" s="38">
        <f>IF(ISERROR(LOOKUP(AU$10,$R158:$AT158,#REF!)),0,(LOOKUP(AU$10,$R158:$AT158,#REF!)))</f>
        <v>0</v>
      </c>
      <c r="AV158" s="39">
        <f>IF(ISERROR(LOOKUP(AV$10,$R158:$AT158,#REF!)),0,(LOOKUP(AV$10,$R158:$AT158,#REF!)))</f>
        <v>0</v>
      </c>
      <c r="AW158" s="39">
        <f>IF(ISERROR(LOOKUP(AW$10,$R158:$AT158,#REF!)),0,(LOOKUP(AW$10,$R158:$AT158,#REF!)))</f>
        <v>0</v>
      </c>
      <c r="AX158" s="39">
        <f>IF(ISERROR(LOOKUP(AX$10,$R158:$AT158,#REF!)),0,(LOOKUP(AX$10,$R158:$AT158,#REF!)))</f>
        <v>0</v>
      </c>
      <c r="AY158" s="39">
        <f>IF(ISERROR(LOOKUP(AY$10,$R158:$AT158,#REF!)),0,(LOOKUP(AY$10,$R158:$AT158,#REF!)))</f>
        <v>0</v>
      </c>
      <c r="AZ158" s="39">
        <f>IF(ISERROR(LOOKUP(AZ$10,$R158:$AT158,#REF!)),0,(LOOKUP(AZ$10,$R158:$AT158,#REF!)))</f>
        <v>0</v>
      </c>
      <c r="BA158" s="39">
        <f>IF(ISERROR(LOOKUP(BA$10,$R158:$AT158,#REF!)),0,(LOOKUP(BA$10,$R158:$AT158,#REF!)))</f>
        <v>0</v>
      </c>
      <c r="BB158" s="39">
        <f>IF(ISERROR(LOOKUP(BB$10,$R158:$AT158,#REF!)),0,(LOOKUP(BB$10,$R158:$AT158,#REF!)))</f>
        <v>0</v>
      </c>
      <c r="BC158" s="39">
        <f>IF(ISERROR(LOOKUP(BC$10,$R158:$AT158,#REF!)),0,(LOOKUP(BC$10,$R158:$AT158,#REF!)))</f>
        <v>0</v>
      </c>
      <c r="BD158" s="39">
        <f>IF(ISERROR(LOOKUP(BD$10,$R158:$AT158,#REF!)),0,(LOOKUP(BD$10,$R158:$AT158,#REF!)))</f>
        <v>0</v>
      </c>
      <c r="BE158" s="405">
        <f ca="1">IF(ISERROR(LOOKUP(BE$10,$R158:$AT158,#REF!)),0,(LOOKUP(BE$10,$R158:$AT158,#REF!)))</f>
        <v>0</v>
      </c>
      <c r="BF158" s="415"/>
      <c r="BG158" s="428"/>
      <c r="BH158" s="428"/>
    </row>
    <row r="159" spans="1:60" s="3" customFormat="1" ht="18.75" customHeight="1" thickTop="1" thickBot="1" x14ac:dyDescent="0.45">
      <c r="A159" s="507">
        <f t="shared" ref="A159" si="33">A156+1</f>
        <v>42</v>
      </c>
      <c r="B159" s="91" t="s">
        <v>221</v>
      </c>
      <c r="C159" s="13" t="s">
        <v>90</v>
      </c>
      <c r="D159" s="347" t="s">
        <v>220</v>
      </c>
      <c r="E159" s="63" t="s">
        <v>83</v>
      </c>
      <c r="F159" s="15" t="s">
        <v>84</v>
      </c>
      <c r="G159" s="13" t="s">
        <v>31</v>
      </c>
      <c r="H159" s="13" t="s">
        <v>3</v>
      </c>
      <c r="I159" s="13" t="s">
        <v>288</v>
      </c>
      <c r="J159" s="344" t="s">
        <v>626</v>
      </c>
      <c r="K159" s="219" t="s">
        <v>650</v>
      </c>
      <c r="L159" s="219" t="s">
        <v>444</v>
      </c>
      <c r="M159" s="219" t="s">
        <v>650</v>
      </c>
      <c r="N159" s="219" t="s">
        <v>650</v>
      </c>
      <c r="O159" s="219" t="s">
        <v>650</v>
      </c>
      <c r="P159" s="174" t="s">
        <v>32</v>
      </c>
      <c r="Q159" s="17" t="s">
        <v>33</v>
      </c>
      <c r="R159" s="56">
        <v>46149</v>
      </c>
      <c r="S159" s="56">
        <v>46150</v>
      </c>
      <c r="T159" s="56">
        <v>46157</v>
      </c>
      <c r="U159" s="56">
        <v>46160</v>
      </c>
      <c r="V159" s="56">
        <v>46167</v>
      </c>
      <c r="W159" s="56">
        <v>46181</v>
      </c>
      <c r="X159" s="56">
        <v>46209</v>
      </c>
      <c r="Y159" s="56">
        <v>46212</v>
      </c>
      <c r="Z159" s="56"/>
      <c r="AA159" s="18">
        <v>46226</v>
      </c>
      <c r="AB159" s="18">
        <v>46230</v>
      </c>
      <c r="AC159" s="18">
        <v>46237</v>
      </c>
      <c r="AD159" s="18">
        <v>46265</v>
      </c>
      <c r="AE159" s="206">
        <v>46279</v>
      </c>
      <c r="AF159" s="18">
        <v>46309</v>
      </c>
      <c r="AG159" s="18">
        <v>46309</v>
      </c>
      <c r="AH159" s="18">
        <v>46312</v>
      </c>
      <c r="AI159" s="18">
        <v>46470</v>
      </c>
      <c r="AJ159" s="18">
        <v>46490</v>
      </c>
      <c r="AK159" s="18">
        <v>46520</v>
      </c>
      <c r="AL159" s="18">
        <v>46523</v>
      </c>
      <c r="AM159" s="18">
        <v>46550</v>
      </c>
      <c r="AN159" s="57">
        <v>42</v>
      </c>
      <c r="AO159" s="58">
        <v>294</v>
      </c>
      <c r="AP159" s="77">
        <v>46520</v>
      </c>
      <c r="AQ159" s="77">
        <v>46506</v>
      </c>
      <c r="AR159" s="19">
        <f>AQ159-AP160</f>
        <v>48</v>
      </c>
      <c r="AS159" s="142" t="s">
        <v>364</v>
      </c>
      <c r="AT159" s="498" t="s">
        <v>437</v>
      </c>
      <c r="AU159" s="20">
        <f>IF(ISERROR(LOOKUP(AU$10,$R159:$AT159,#REF!)),0,(LOOKUP(AU$10,$R159:$AT159,#REF!)))</f>
        <v>0</v>
      </c>
      <c r="AV159" s="21">
        <f>IF(ISERROR(LOOKUP(AV$10,$R159:$AT159,#REF!)),0,(LOOKUP(AV$10,$R159:$AT159,#REF!)))</f>
        <v>0</v>
      </c>
      <c r="AW159" s="21">
        <f>IF(ISERROR(LOOKUP(AW$10,$R159:$AT159,#REF!)),0,(LOOKUP(AW$10,$R159:$AT159,#REF!)))</f>
        <v>0</v>
      </c>
      <c r="AX159" s="21">
        <f>IF(ISERROR(LOOKUP(AX$10,$R159:$AT159,#REF!)),0,(LOOKUP(AX$10,$R159:$AT159,#REF!)))</f>
        <v>0</v>
      </c>
      <c r="AY159" s="21">
        <f>IF(ISERROR(LOOKUP(AY$10,$R159:$AT159,#REF!)),0,(LOOKUP(AY$10,$R159:$AT159,#REF!)))</f>
        <v>0</v>
      </c>
      <c r="AZ159" s="21">
        <f>IF(ISERROR(LOOKUP(AZ$10,$R159:$AT159,#REF!)),0,(LOOKUP(AZ$10,$R159:$AT159,#REF!)))</f>
        <v>0</v>
      </c>
      <c r="BA159" s="21">
        <f>IF(ISERROR(LOOKUP(BA$10,$R159:$AT159,#REF!)),0,(LOOKUP(BA$10,$R159:$AT159,#REF!)))</f>
        <v>0</v>
      </c>
      <c r="BB159" s="21">
        <f>IF(ISERROR(LOOKUP(BB$10,$R159:$AT159,#REF!)),0,(LOOKUP(BB$10,$R159:$AT159,#REF!)))</f>
        <v>0</v>
      </c>
      <c r="BC159" s="21">
        <f>IF(ISERROR(LOOKUP(BC$10,$R159:$AT159,#REF!)),0,(LOOKUP(BC$10,$R159:$AT159,#REF!)))</f>
        <v>0</v>
      </c>
      <c r="BD159" s="21">
        <f>IF(ISERROR(LOOKUP(BD$10,$R159:$AT159,#REF!)),0,(LOOKUP(BD$10,$R159:$AT159,#REF!)))</f>
        <v>0</v>
      </c>
      <c r="BE159" s="402">
        <f ca="1">IF(ISERROR(LOOKUP(BE$10,$R159:$AT159,#REF!)),0,(LOOKUP(BE$10,$R159:$AT159,#REF!)))</f>
        <v>0</v>
      </c>
      <c r="BF159" s="415"/>
      <c r="BG159" s="428"/>
      <c r="BH159" s="428"/>
    </row>
    <row r="160" spans="1:60" s="3" customFormat="1" ht="21" thickTop="1" thickBot="1" x14ac:dyDescent="0.45">
      <c r="A160" s="508"/>
      <c r="B160" s="92" t="s">
        <v>221</v>
      </c>
      <c r="C160" s="40" t="s">
        <v>90</v>
      </c>
      <c r="D160" s="97" t="s">
        <v>220</v>
      </c>
      <c r="E160" s="42" t="s">
        <v>83</v>
      </c>
      <c r="F160" s="45" t="s">
        <v>84</v>
      </c>
      <c r="G160" s="22" t="s">
        <v>31</v>
      </c>
      <c r="H160" s="40" t="s">
        <v>3</v>
      </c>
      <c r="I160" s="40" t="s">
        <v>288</v>
      </c>
      <c r="J160" s="208" t="s">
        <v>717</v>
      </c>
      <c r="K160" s="208" t="s">
        <v>626</v>
      </c>
      <c r="L160" s="208" t="s">
        <v>626</v>
      </c>
      <c r="M160" s="208" t="s">
        <v>625</v>
      </c>
      <c r="N160" s="208" t="s">
        <v>625</v>
      </c>
      <c r="O160" s="208" t="s">
        <v>625</v>
      </c>
      <c r="P160" s="175" t="s">
        <v>32</v>
      </c>
      <c r="Q160" s="25" t="s">
        <v>34</v>
      </c>
      <c r="R160" s="26"/>
      <c r="S160" s="27"/>
      <c r="T160" s="144"/>
      <c r="U160" s="27"/>
      <c r="V160" s="27"/>
      <c r="W160" s="27"/>
      <c r="X160" s="27"/>
      <c r="Y160" s="27"/>
      <c r="Z160" s="27"/>
      <c r="AA160" s="27"/>
      <c r="AB160" s="27"/>
      <c r="AC160" s="27"/>
      <c r="AD160" s="427"/>
      <c r="AE160" s="27">
        <v>46293</v>
      </c>
      <c r="AF160" s="27">
        <f>AE160+30</f>
        <v>46323</v>
      </c>
      <c r="AG160" s="27">
        <f>AF160</f>
        <v>46323</v>
      </c>
      <c r="AH160" s="27">
        <f>AG160+3</f>
        <v>46326</v>
      </c>
      <c r="AI160" s="27">
        <f>AJ160-20</f>
        <v>46408</v>
      </c>
      <c r="AJ160" s="27">
        <f>AK160-30</f>
        <v>46428</v>
      </c>
      <c r="AK160" s="27">
        <f>AP160</f>
        <v>46458</v>
      </c>
      <c r="AL160" s="27">
        <f>AP159+3</f>
        <v>46523</v>
      </c>
      <c r="AM160" s="27">
        <f>AP159+30</f>
        <v>46550</v>
      </c>
      <c r="AN160" s="80">
        <v>32</v>
      </c>
      <c r="AO160" s="78">
        <f>AN160*7</f>
        <v>224</v>
      </c>
      <c r="AP160" s="82">
        <f>BG160+7</f>
        <v>46458</v>
      </c>
      <c r="AQ160" s="82"/>
      <c r="AR160" s="28"/>
      <c r="AS160" s="140"/>
      <c r="AT160" s="502"/>
      <c r="AU160" s="20">
        <f>IF(ISERROR(LOOKUP(AU$10,$R160:$AT160,#REF!)),0,(LOOKUP(AU$10,$R160:$AT160,#REF!)))</f>
        <v>0</v>
      </c>
      <c r="AV160" s="21">
        <f>IF(ISERROR(LOOKUP(AV$10,$R160:$AT160,#REF!)),0,(LOOKUP(AV$10,$R160:$AT160,#REF!)))</f>
        <v>0</v>
      </c>
      <c r="AW160" s="21">
        <f>IF(ISERROR(LOOKUP(AW$10,$R160:$AT160,#REF!)),0,(LOOKUP(AW$10,$R160:$AT160,#REF!)))</f>
        <v>0</v>
      </c>
      <c r="AX160" s="21">
        <f>IF(ISERROR(LOOKUP(AX$10,$R160:$AT160,#REF!)),0,(LOOKUP(AX$10,$R160:$AT160,#REF!)))</f>
        <v>0</v>
      </c>
      <c r="AY160" s="21">
        <f>IF(ISERROR(LOOKUP(AY$10,$R160:$AT160,#REF!)),0,(LOOKUP(AY$10,$R160:$AT160,#REF!)))</f>
        <v>0</v>
      </c>
      <c r="AZ160" s="21">
        <f>IF(ISERROR(LOOKUP(AZ$10,$R160:$AT160,#REF!)),0,(LOOKUP(AZ$10,$R160:$AT160,#REF!)))</f>
        <v>0</v>
      </c>
      <c r="BA160" s="21">
        <f>IF(ISERROR(LOOKUP(BA$10,$R160:$AT160,#REF!)),0,(LOOKUP(BA$10,$R160:$AT160,#REF!)))</f>
        <v>0</v>
      </c>
      <c r="BB160" s="21">
        <f>IF(ISERROR(LOOKUP(BB$10,$R160:$AT160,#REF!)),0,(LOOKUP(BB$10,$R160:$AT160,#REF!)))</f>
        <v>0</v>
      </c>
      <c r="BC160" s="21">
        <f>IF(ISERROR(LOOKUP(BC$10,$R160:$AT160,#REF!)),0,(LOOKUP(BC$10,$R160:$AT160,#REF!)))</f>
        <v>0</v>
      </c>
      <c r="BD160" s="21">
        <f>IF(ISERROR(LOOKUP(BD$10,$R160:$AT160,#REF!)),0,(LOOKUP(BD$10,$R160:$AT160,#REF!)))</f>
        <v>0</v>
      </c>
      <c r="BE160" s="402">
        <f ca="1">IF(ISERROR(LOOKUP(BE$10,$R160:$AT160,#REF!)),0,(LOOKUP(BE$10,$R160:$AT160,#REF!)))</f>
        <v>0</v>
      </c>
      <c r="BF160" s="415" t="s">
        <v>901</v>
      </c>
      <c r="BG160" s="428">
        <v>46451</v>
      </c>
      <c r="BH160" s="428"/>
    </row>
    <row r="161" spans="1:60" s="3" customFormat="1" ht="21" thickTop="1" thickBot="1" x14ac:dyDescent="0.45">
      <c r="A161" s="509"/>
      <c r="B161" s="93" t="s">
        <v>221</v>
      </c>
      <c r="C161" s="31" t="s">
        <v>90</v>
      </c>
      <c r="D161" s="96" t="s">
        <v>219</v>
      </c>
      <c r="E161" s="44" t="s">
        <v>83</v>
      </c>
      <c r="F161" s="33" t="s">
        <v>84</v>
      </c>
      <c r="G161" s="31" t="s">
        <v>31</v>
      </c>
      <c r="H161" s="31" t="s">
        <v>3</v>
      </c>
      <c r="I161" s="31" t="s">
        <v>288</v>
      </c>
      <c r="J161" s="210"/>
      <c r="K161" s="210" t="s">
        <v>651</v>
      </c>
      <c r="L161" s="210" t="s">
        <v>627</v>
      </c>
      <c r="M161" s="210"/>
      <c r="N161" s="210" t="s">
        <v>651</v>
      </c>
      <c r="O161" s="210"/>
      <c r="P161" s="176" t="s">
        <v>32</v>
      </c>
      <c r="Q161" s="34" t="s">
        <v>35</v>
      </c>
      <c r="R161" s="35">
        <v>46133</v>
      </c>
      <c r="S161" s="35">
        <v>46142</v>
      </c>
      <c r="T161" s="35">
        <v>46160</v>
      </c>
      <c r="U161" s="35">
        <v>46160</v>
      </c>
      <c r="V161" s="35">
        <v>46160</v>
      </c>
      <c r="W161" s="35">
        <v>46163</v>
      </c>
      <c r="X161" s="35">
        <v>46213</v>
      </c>
      <c r="Y161" s="35">
        <v>46236</v>
      </c>
      <c r="Z161" s="35">
        <v>46236</v>
      </c>
      <c r="AA161" s="35">
        <v>46241</v>
      </c>
      <c r="AB161" s="35">
        <v>46262</v>
      </c>
      <c r="AC161" s="35">
        <v>46233</v>
      </c>
      <c r="AD161" s="35">
        <v>46253</v>
      </c>
      <c r="AE161" s="35"/>
      <c r="AF161" s="35"/>
      <c r="AG161" s="35"/>
      <c r="AH161" s="35"/>
      <c r="AI161" s="35"/>
      <c r="AJ161" s="35"/>
      <c r="AK161" s="35"/>
      <c r="AL161" s="35"/>
      <c r="AM161" s="35"/>
      <c r="AN161" s="81"/>
      <c r="AO161" s="79"/>
      <c r="AP161" s="36" t="s">
        <v>904</v>
      </c>
      <c r="AQ161" s="36"/>
      <c r="AR161" s="37"/>
      <c r="AS161" s="141"/>
      <c r="AT161" s="503"/>
      <c r="AU161" s="38">
        <f>IF(ISERROR(LOOKUP(AU$10,$R161:$AT161,#REF!)),0,(LOOKUP(AU$10,$R161:$AT161,#REF!)))</f>
        <v>0</v>
      </c>
      <c r="AV161" s="39">
        <f>IF(ISERROR(LOOKUP(AV$10,$R161:$AT161,#REF!)),0,(LOOKUP(AV$10,$R161:$AT161,#REF!)))</f>
        <v>0</v>
      </c>
      <c r="AW161" s="39">
        <f>IF(ISERROR(LOOKUP(AW$10,$R161:$AT161,#REF!)),0,(LOOKUP(AW$10,$R161:$AT161,#REF!)))</f>
        <v>0</v>
      </c>
      <c r="AX161" s="39">
        <f>IF(ISERROR(LOOKUP(AX$10,$R161:$AT161,#REF!)),0,(LOOKUP(AX$10,$R161:$AT161,#REF!)))</f>
        <v>0</v>
      </c>
      <c r="AY161" s="39">
        <f>IF(ISERROR(LOOKUP(AY$10,$R161:$AT161,#REF!)),0,(LOOKUP(AY$10,$R161:$AT161,#REF!)))</f>
        <v>0</v>
      </c>
      <c r="AZ161" s="39">
        <f>IF(ISERROR(LOOKUP(AZ$10,$R161:$AT161,#REF!)),0,(LOOKUP(AZ$10,$R161:$AT161,#REF!)))</f>
        <v>0</v>
      </c>
      <c r="BA161" s="39">
        <f>IF(ISERROR(LOOKUP(BA$10,$R161:$AT161,#REF!)),0,(LOOKUP(BA$10,$R161:$AT161,#REF!)))</f>
        <v>0</v>
      </c>
      <c r="BB161" s="39">
        <f>IF(ISERROR(LOOKUP(BB$10,$R161:$AT161,#REF!)),0,(LOOKUP(BB$10,$R161:$AT161,#REF!)))</f>
        <v>0</v>
      </c>
      <c r="BC161" s="39">
        <f>IF(ISERROR(LOOKUP(BC$10,$R161:$AT161,#REF!)),0,(LOOKUP(BC$10,$R161:$AT161,#REF!)))</f>
        <v>0</v>
      </c>
      <c r="BD161" s="39">
        <f>IF(ISERROR(LOOKUP(BD$10,$R161:$AT161,#REF!)),0,(LOOKUP(BD$10,$R161:$AT161,#REF!)))</f>
        <v>0</v>
      </c>
      <c r="BE161" s="405">
        <f ca="1">IF(ISERROR(LOOKUP(BE$10,$R161:$AT161,#REF!)),0,(LOOKUP(BE$10,$R161:$AT161,#REF!)))</f>
        <v>0</v>
      </c>
      <c r="BF161" s="415"/>
      <c r="BG161" s="428"/>
      <c r="BH161" s="428"/>
    </row>
    <row r="162" spans="1:60" s="3" customFormat="1" ht="14.25" thickTop="1" thickBot="1" x14ac:dyDescent="0.45">
      <c r="A162" s="495">
        <f t="shared" ref="A162" si="34">A159+1</f>
        <v>43</v>
      </c>
      <c r="B162" s="91" t="s">
        <v>222</v>
      </c>
      <c r="C162" s="13" t="s">
        <v>492</v>
      </c>
      <c r="D162" s="203" t="s">
        <v>479</v>
      </c>
      <c r="E162" s="63" t="s">
        <v>92</v>
      </c>
      <c r="F162" s="15" t="s">
        <v>84</v>
      </c>
      <c r="G162" s="13" t="s">
        <v>51</v>
      </c>
      <c r="H162" s="13" t="s">
        <v>189</v>
      </c>
      <c r="I162" s="13" t="s">
        <v>323</v>
      </c>
      <c r="J162" s="198"/>
      <c r="K162" s="220" t="s">
        <v>692</v>
      </c>
      <c r="L162" s="198"/>
      <c r="M162" s="198"/>
      <c r="N162" s="198"/>
      <c r="O162" s="198"/>
      <c r="P162" s="174" t="s">
        <v>69</v>
      </c>
      <c r="Q162" s="17" t="s">
        <v>33</v>
      </c>
      <c r="R162" s="18">
        <v>46262</v>
      </c>
      <c r="S162" s="18">
        <v>46258</v>
      </c>
      <c r="T162" s="18">
        <v>46272</v>
      </c>
      <c r="U162" s="18">
        <v>46272</v>
      </c>
      <c r="V162" s="18">
        <v>46272</v>
      </c>
      <c r="W162" s="18">
        <v>46279</v>
      </c>
      <c r="X162" s="206">
        <v>46288</v>
      </c>
      <c r="Y162" s="18">
        <v>46302</v>
      </c>
      <c r="Z162" s="18"/>
      <c r="AA162" s="18">
        <v>46309</v>
      </c>
      <c r="AB162" s="18">
        <v>46311</v>
      </c>
      <c r="AC162" s="18">
        <v>46318</v>
      </c>
      <c r="AD162" s="18">
        <v>46332</v>
      </c>
      <c r="AE162" s="18">
        <v>46346</v>
      </c>
      <c r="AF162" s="18">
        <v>46356</v>
      </c>
      <c r="AG162" s="18">
        <v>46356</v>
      </c>
      <c r="AH162" s="18">
        <v>46358</v>
      </c>
      <c r="AI162" s="18">
        <v>46391</v>
      </c>
      <c r="AJ162" s="18">
        <v>46398</v>
      </c>
      <c r="AK162" s="18">
        <v>46403</v>
      </c>
      <c r="AL162" s="18">
        <v>46406</v>
      </c>
      <c r="AM162" s="18">
        <v>46433</v>
      </c>
      <c r="AN162" s="57">
        <v>13.428571428571429</v>
      </c>
      <c r="AO162" s="58">
        <v>94</v>
      </c>
      <c r="AP162" s="77">
        <v>46403</v>
      </c>
      <c r="AQ162" s="77">
        <v>46524</v>
      </c>
      <c r="AR162" s="19">
        <f>AQ162-AP163</f>
        <v>121</v>
      </c>
      <c r="AS162" s="142" t="s">
        <v>816</v>
      </c>
      <c r="AT162" s="501" t="s">
        <v>482</v>
      </c>
      <c r="AU162" s="20">
        <f>IF(ISERROR(LOOKUP(AU$10,$R162:$AT162,#REF!)),0,(LOOKUP(AU$10,$R162:$AT162,#REF!)))</f>
        <v>0</v>
      </c>
      <c r="AV162" s="21">
        <f>IF(ISERROR(LOOKUP(AV$10,$R162:$AT162,#REF!)),0,(LOOKUP(AV$10,$R162:$AT162,#REF!)))</f>
        <v>0</v>
      </c>
      <c r="AW162" s="21">
        <f>IF(ISERROR(LOOKUP(AW$10,$R162:$AT162,#REF!)),0,(LOOKUP(AW$10,$R162:$AT162,#REF!)))</f>
        <v>0</v>
      </c>
      <c r="AX162" s="21">
        <f>IF(ISERROR(LOOKUP(AX$10,$R162:$AT162,#REF!)),0,(LOOKUP(AX$10,$R162:$AT162,#REF!)))</f>
        <v>0</v>
      </c>
      <c r="AY162" s="21">
        <f>IF(ISERROR(LOOKUP(AY$10,$R162:$AT162,#REF!)),0,(LOOKUP(AY$10,$R162:$AT162,#REF!)))</f>
        <v>0</v>
      </c>
      <c r="AZ162" s="21">
        <f>IF(ISERROR(LOOKUP(AZ$10,$R162:$AT162,#REF!)),0,(LOOKUP(AZ$10,$R162:$AT162,#REF!)))</f>
        <v>0</v>
      </c>
      <c r="BA162" s="21">
        <f>IF(ISERROR(LOOKUP(BA$10,$R162:$AT162,#REF!)),0,(LOOKUP(BA$10,$R162:$AT162,#REF!)))</f>
        <v>0</v>
      </c>
      <c r="BB162" s="21">
        <f>IF(ISERROR(LOOKUP(BB$10,$R162:$AT162,#REF!)),0,(LOOKUP(BB$10,$R162:$AT162,#REF!)))</f>
        <v>0</v>
      </c>
      <c r="BC162" s="21">
        <f>IF(ISERROR(LOOKUP(BC$10,$R162:$AT162,#REF!)),0,(LOOKUP(BC$10,$R162:$AT162,#REF!)))</f>
        <v>0</v>
      </c>
      <c r="BD162" s="21">
        <f>IF(ISERROR(LOOKUP(BD$10,$R162:$AT162,#REF!)),0,(LOOKUP(BD$10,$R162:$AT162,#REF!)))</f>
        <v>0</v>
      </c>
      <c r="BE162" s="21">
        <f ca="1">IF(ISERROR(LOOKUP(BE$10,$R162:$AT162,#REF!)),0,(LOOKUP(BE$10,$R162:$AT162,#REF!)))</f>
        <v>0</v>
      </c>
      <c r="BF162" s="415"/>
      <c r="BG162" s="428"/>
      <c r="BH162" s="428"/>
    </row>
    <row r="163" spans="1:60" s="3" customFormat="1" ht="14.25" thickTop="1" thickBot="1" x14ac:dyDescent="0.45">
      <c r="A163" s="496"/>
      <c r="B163" s="92" t="s">
        <v>222</v>
      </c>
      <c r="C163" s="40" t="s">
        <v>93</v>
      </c>
      <c r="D163" s="42" t="s">
        <v>91</v>
      </c>
      <c r="E163" s="42" t="s">
        <v>92</v>
      </c>
      <c r="F163" s="45" t="s">
        <v>84</v>
      </c>
      <c r="G163" s="22" t="s">
        <v>51</v>
      </c>
      <c r="H163" s="40" t="s">
        <v>1</v>
      </c>
      <c r="I163" s="40" t="s">
        <v>323</v>
      </c>
      <c r="J163" s="199"/>
      <c r="K163" s="213" t="s">
        <v>693</v>
      </c>
      <c r="L163" s="199"/>
      <c r="M163" s="199"/>
      <c r="N163" s="199"/>
      <c r="O163" s="199"/>
      <c r="P163" s="175" t="s">
        <v>69</v>
      </c>
      <c r="Q163" s="25" t="s">
        <v>34</v>
      </c>
      <c r="R163" s="26"/>
      <c r="S163" s="27"/>
      <c r="T163" s="27"/>
      <c r="U163" s="27"/>
      <c r="V163" s="27"/>
      <c r="W163" s="27"/>
      <c r="X163" s="27">
        <f>X162</f>
        <v>46288</v>
      </c>
      <c r="Y163" s="27">
        <f>WORKDAY(X163, Y9, IF(Y12="China",'China Holidays'!$A$2:$A$84,'Thai Holidays'!$A$2:$A$65))</f>
        <v>46302</v>
      </c>
      <c r="Z163" s="27"/>
      <c r="AA163" s="27">
        <f>WORKDAY(Y163, AA9, IF(AA12="China",'China Holidays'!$A$2:$A$84,'Thai Holidays'!$A$2:$A$65))</f>
        <v>46309</v>
      </c>
      <c r="AB163" s="27">
        <f>WORKDAY(AA163, AB9, IF(AB12="China",'China Holidays'!$A$2:$A$84,'Thai Holidays'!$A$2:$A$65))</f>
        <v>46311</v>
      </c>
      <c r="AC163" s="27">
        <f>WORKDAY(AB163, AC9, IF(AC12="China",'China Holidays'!$A$2:$A$84,'Thai Holidays'!$A$2:$A$65))</f>
        <v>46318</v>
      </c>
      <c r="AD163" s="27">
        <f>WORKDAY(AC163, AD9, IF(AD12="China",'China Holidays'!$A$2:$A$84,'Thai Holidays'!$A$2:$A$65))</f>
        <v>46332</v>
      </c>
      <c r="AE163" s="27">
        <f>WORKDAY(AD163, AE9, IF(AE12="China",'China Holidays'!$A$2:$A$84,'Thai Holidays'!$A$2:$A$65))</f>
        <v>46346</v>
      </c>
      <c r="AF163" s="27">
        <f>AE163+10</f>
        <v>46356</v>
      </c>
      <c r="AG163" s="27">
        <f>AF163</f>
        <v>46356</v>
      </c>
      <c r="AH163" s="27">
        <f>AG163+2</f>
        <v>46358</v>
      </c>
      <c r="AI163" s="27">
        <f>AJ163-7</f>
        <v>46391</v>
      </c>
      <c r="AJ163" s="27">
        <f>AK163-5</f>
        <v>46398</v>
      </c>
      <c r="AK163" s="27">
        <f>AP162</f>
        <v>46403</v>
      </c>
      <c r="AL163" s="27">
        <f>AP162+3</f>
        <v>46406</v>
      </c>
      <c r="AM163" s="27">
        <f>AP162+30</f>
        <v>46433</v>
      </c>
      <c r="AN163" s="80"/>
      <c r="AO163" s="78"/>
      <c r="AP163" s="82">
        <f>AA163+AO162</f>
        <v>46403</v>
      </c>
      <c r="AQ163" s="82"/>
      <c r="AR163" s="28"/>
      <c r="AS163" s="362"/>
      <c r="AT163" s="502"/>
      <c r="AU163" s="20">
        <f>IF(ISERROR(LOOKUP(AU$10,$R163:$AT163,#REF!)),0,(LOOKUP(AU$10,$R163:$AT163,#REF!)))</f>
        <v>0</v>
      </c>
      <c r="AV163" s="21">
        <f>IF(ISERROR(LOOKUP(AV$10,$R163:$AT163,#REF!)),0,(LOOKUP(AV$10,$R163:$AT163,#REF!)))</f>
        <v>0</v>
      </c>
      <c r="AW163" s="21">
        <f>IF(ISERROR(LOOKUP(AW$10,$R163:$AT163,#REF!)),0,(LOOKUP(AW$10,$R163:$AT163,#REF!)))</f>
        <v>0</v>
      </c>
      <c r="AX163" s="21">
        <f>IF(ISERROR(LOOKUP(AX$10,$R163:$AT163,#REF!)),0,(LOOKUP(AX$10,$R163:$AT163,#REF!)))</f>
        <v>0</v>
      </c>
      <c r="AY163" s="21">
        <f>IF(ISERROR(LOOKUP(AY$10,$R163:$AT163,#REF!)),0,(LOOKUP(AY$10,$R163:$AT163,#REF!)))</f>
        <v>0</v>
      </c>
      <c r="AZ163" s="21">
        <f>IF(ISERROR(LOOKUP(AZ$10,$R163:$AT163,#REF!)),0,(LOOKUP(AZ$10,$R163:$AT163,#REF!)))</f>
        <v>0</v>
      </c>
      <c r="BA163" s="21">
        <f>IF(ISERROR(LOOKUP(BA$10,$R163:$AT163,#REF!)),0,(LOOKUP(BA$10,$R163:$AT163,#REF!)))</f>
        <v>0</v>
      </c>
      <c r="BB163" s="21">
        <f>IF(ISERROR(LOOKUP(BB$10,$R163:$AT163,#REF!)),0,(LOOKUP(BB$10,$R163:$AT163,#REF!)))</f>
        <v>0</v>
      </c>
      <c r="BC163" s="21">
        <f>IF(ISERROR(LOOKUP(BC$10,$R163:$AT163,#REF!)),0,(LOOKUP(BC$10,$R163:$AT163,#REF!)))</f>
        <v>0</v>
      </c>
      <c r="BD163" s="21">
        <f>IF(ISERROR(LOOKUP(BD$10,$R163:$AT163,#REF!)),0,(LOOKUP(BD$10,$R163:$AT163,#REF!)))</f>
        <v>0</v>
      </c>
      <c r="BE163" s="21">
        <f ca="1">IF(ISERROR(LOOKUP(BE$10,$R163:$AT163,#REF!)),0,(LOOKUP(BE$10,$R163:$AT163,#REF!)))</f>
        <v>0</v>
      </c>
      <c r="BF163" s="415"/>
      <c r="BG163" s="428"/>
      <c r="BH163" s="428"/>
    </row>
    <row r="164" spans="1:60" s="3" customFormat="1" ht="14.25" thickTop="1" thickBot="1" x14ac:dyDescent="0.45">
      <c r="A164" s="497"/>
      <c r="B164" s="93" t="s">
        <v>222</v>
      </c>
      <c r="C164" s="31" t="s">
        <v>93</v>
      </c>
      <c r="D164" s="44" t="s">
        <v>91</v>
      </c>
      <c r="E164" s="44" t="s">
        <v>92</v>
      </c>
      <c r="F164" s="33" t="s">
        <v>84</v>
      </c>
      <c r="G164" s="31" t="s">
        <v>51</v>
      </c>
      <c r="H164" s="31" t="s">
        <v>1</v>
      </c>
      <c r="I164" s="31" t="s">
        <v>323</v>
      </c>
      <c r="J164" s="197"/>
      <c r="K164" s="290"/>
      <c r="L164" s="197"/>
      <c r="M164" s="197"/>
      <c r="N164" s="197"/>
      <c r="O164" s="197"/>
      <c r="P164" s="176" t="s">
        <v>69</v>
      </c>
      <c r="Q164" s="34" t="s">
        <v>35</v>
      </c>
      <c r="R164" s="35">
        <v>46189</v>
      </c>
      <c r="S164" s="35">
        <v>46160</v>
      </c>
      <c r="T164" s="35">
        <v>46188</v>
      </c>
      <c r="U164" s="35">
        <v>46190</v>
      </c>
      <c r="V164" s="35">
        <v>46190</v>
      </c>
      <c r="W164" s="35">
        <v>46212</v>
      </c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81"/>
      <c r="AO164" s="79"/>
      <c r="AP164" s="36"/>
      <c r="AQ164" s="36"/>
      <c r="AR164" s="37"/>
      <c r="AS164" s="141"/>
      <c r="AT164" s="503"/>
      <c r="AU164" s="38">
        <f>IF(ISERROR(LOOKUP(AU$10,$R164:$AT164,#REF!)),0,(LOOKUP(AU$10,$R164:$AT164,#REF!)))</f>
        <v>0</v>
      </c>
      <c r="AV164" s="39">
        <f>IF(ISERROR(LOOKUP(AV$10,$R164:$AT164,#REF!)),0,(LOOKUP(AV$10,$R164:$AT164,#REF!)))</f>
        <v>0</v>
      </c>
      <c r="AW164" s="39">
        <f>IF(ISERROR(LOOKUP(AW$10,$R164:$AT164,#REF!)),0,(LOOKUP(AW$10,$R164:$AT164,#REF!)))</f>
        <v>0</v>
      </c>
      <c r="AX164" s="39">
        <f>IF(ISERROR(LOOKUP(AX$10,$R164:$AT164,#REF!)),0,(LOOKUP(AX$10,$R164:$AT164,#REF!)))</f>
        <v>0</v>
      </c>
      <c r="AY164" s="39">
        <f>IF(ISERROR(LOOKUP(AY$10,$R164:$AT164,#REF!)),0,(LOOKUP(AY$10,$R164:$AT164,#REF!)))</f>
        <v>0</v>
      </c>
      <c r="AZ164" s="39">
        <f>IF(ISERROR(LOOKUP(AZ$10,$R164:$AT164,#REF!)),0,(LOOKUP(AZ$10,$R164:$AT164,#REF!)))</f>
        <v>0</v>
      </c>
      <c r="BA164" s="39">
        <f>IF(ISERROR(LOOKUP(BA$10,$R164:$AT164,#REF!)),0,(LOOKUP(BA$10,$R164:$AT164,#REF!)))</f>
        <v>0</v>
      </c>
      <c r="BB164" s="39">
        <f>IF(ISERROR(LOOKUP(BB$10,$R164:$AT164,#REF!)),0,(LOOKUP(BB$10,$R164:$AT164,#REF!)))</f>
        <v>0</v>
      </c>
      <c r="BC164" s="39">
        <f>IF(ISERROR(LOOKUP(BC$10,$R164:$AT164,#REF!)),0,(LOOKUP(BC$10,$R164:$AT164,#REF!)))</f>
        <v>0</v>
      </c>
      <c r="BD164" s="39">
        <f>IF(ISERROR(LOOKUP(BD$10,$R164:$AT164,#REF!)),0,(LOOKUP(BD$10,$R164:$AT164,#REF!)))</f>
        <v>0</v>
      </c>
      <c r="BE164" s="39">
        <f ca="1">IF(ISERROR(LOOKUP(BE$10,$R164:$AT164,#REF!)),0,(LOOKUP(BE$10,$R164:$AT164,#REF!)))</f>
        <v>0</v>
      </c>
      <c r="BF164" s="415"/>
      <c r="BG164" s="428"/>
      <c r="BH164" s="428"/>
    </row>
    <row r="165" spans="1:60" s="3" customFormat="1" ht="14.25" thickTop="1" thickBot="1" x14ac:dyDescent="0.45">
      <c r="A165" s="495"/>
      <c r="B165" s="222" t="s">
        <v>222</v>
      </c>
      <c r="C165" s="234" t="s">
        <v>94</v>
      </c>
      <c r="D165" s="224" t="s">
        <v>949</v>
      </c>
      <c r="E165" s="240" t="s">
        <v>92</v>
      </c>
      <c r="F165" s="241" t="s">
        <v>84</v>
      </c>
      <c r="G165" s="234" t="s">
        <v>51</v>
      </c>
      <c r="H165" s="234" t="s">
        <v>3</v>
      </c>
      <c r="I165" s="234" t="s">
        <v>292</v>
      </c>
      <c r="J165" s="220"/>
      <c r="K165" s="220"/>
      <c r="L165" s="198"/>
      <c r="M165" s="198"/>
      <c r="N165" s="198"/>
      <c r="O165" s="198"/>
      <c r="P165" s="174" t="s">
        <v>69</v>
      </c>
      <c r="Q165" s="17" t="s">
        <v>33</v>
      </c>
      <c r="R165" s="18">
        <v>46262</v>
      </c>
      <c r="S165" s="18">
        <v>46258</v>
      </c>
      <c r="T165" s="18">
        <v>46272</v>
      </c>
      <c r="U165" s="18">
        <v>46272</v>
      </c>
      <c r="V165" s="18">
        <v>46272</v>
      </c>
      <c r="W165" s="56">
        <v>46279</v>
      </c>
      <c r="X165" s="56">
        <v>46288</v>
      </c>
      <c r="Y165" s="18">
        <v>46302</v>
      </c>
      <c r="Z165" s="18"/>
      <c r="AA165" s="18">
        <v>46309</v>
      </c>
      <c r="AB165" s="18">
        <v>46311</v>
      </c>
      <c r="AC165" s="18">
        <v>46318</v>
      </c>
      <c r="AD165" s="18">
        <v>46332</v>
      </c>
      <c r="AE165" s="18">
        <v>46346</v>
      </c>
      <c r="AF165" s="18">
        <v>46356</v>
      </c>
      <c r="AG165" s="18">
        <v>46356</v>
      </c>
      <c r="AH165" s="18">
        <v>46358</v>
      </c>
      <c r="AI165" s="18">
        <v>46391</v>
      </c>
      <c r="AJ165" s="18">
        <v>46398</v>
      </c>
      <c r="AK165" s="18">
        <v>46403</v>
      </c>
      <c r="AL165" s="18">
        <v>46406</v>
      </c>
      <c r="AM165" s="18">
        <v>46433</v>
      </c>
      <c r="AN165" s="57">
        <v>13.428571428571429</v>
      </c>
      <c r="AO165" s="58">
        <v>94</v>
      </c>
      <c r="AP165" s="77">
        <v>46403</v>
      </c>
      <c r="AQ165" s="77">
        <v>46556</v>
      </c>
      <c r="AR165" s="19">
        <f>AQ165-AP166</f>
        <v>153</v>
      </c>
      <c r="AS165" s="142"/>
      <c r="AT165" s="501"/>
      <c r="AU165" s="20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415"/>
      <c r="BG165" s="428"/>
      <c r="BH165" s="428"/>
    </row>
    <row r="166" spans="1:60" s="3" customFormat="1" ht="14.25" thickTop="1" thickBot="1" x14ac:dyDescent="0.45">
      <c r="A166" s="496"/>
      <c r="B166" s="225" t="s">
        <v>222</v>
      </c>
      <c r="C166" s="235" t="s">
        <v>94</v>
      </c>
      <c r="D166" s="242" t="s">
        <v>557</v>
      </c>
      <c r="E166" s="242" t="s">
        <v>92</v>
      </c>
      <c r="F166" s="243" t="s">
        <v>84</v>
      </c>
      <c r="G166" s="244" t="s">
        <v>51</v>
      </c>
      <c r="H166" s="235" t="s">
        <v>3</v>
      </c>
      <c r="I166" s="235" t="s">
        <v>292</v>
      </c>
      <c r="J166" s="199"/>
      <c r="K166" s="213"/>
      <c r="L166" s="199"/>
      <c r="M166" s="199"/>
      <c r="N166" s="199"/>
      <c r="O166" s="199"/>
      <c r="P166" s="175" t="s">
        <v>69</v>
      </c>
      <c r="Q166" s="25" t="s">
        <v>34</v>
      </c>
      <c r="R166" s="26">
        <v>46273</v>
      </c>
      <c r="S166" s="27">
        <f>S165</f>
        <v>46258</v>
      </c>
      <c r="T166" s="27">
        <v>46275</v>
      </c>
      <c r="U166" s="27">
        <f>WORKDAY(T166, U9, IF(U12="China",'China Holidays'!$A$2:$A$84,'Thai Holidays'!$A$2:$A$65))</f>
        <v>46275</v>
      </c>
      <c r="V166" s="27">
        <f>WORKDAY(U166, V9, IF(V12="China",'China Holidays'!$A$2:$A$84,'Thai Holidays'!$A$2:$A$65))</f>
        <v>46275</v>
      </c>
      <c r="W166" s="27">
        <f>WORKDAY(V166, W9, IF(W12="China",'China Holidays'!$A$2:$A$84,'Thai Holidays'!$A$2:$A$65))</f>
        <v>46282</v>
      </c>
      <c r="X166" s="27">
        <f>WORKDAY(W166, X9, IF(X12="China",'China Holidays'!$A$2:$A$84,'Thai Holidays'!$A$2:$A$65))</f>
        <v>46293</v>
      </c>
      <c r="Y166" s="27">
        <f>WORKDAY(X166, Y9, IF(Y12="China",'China Holidays'!$A$2:$A$84,'Thai Holidays'!$A$2:$A$65))</f>
        <v>46307</v>
      </c>
      <c r="Z166" s="27"/>
      <c r="AA166" s="27">
        <f>AA165</f>
        <v>46309</v>
      </c>
      <c r="AB166" s="27">
        <f>WORKDAY(AA166, AB9, IF(AB12="China",'China Holidays'!$A$2:$A$84,'Thai Holidays'!$A$2:$A$65))</f>
        <v>46311</v>
      </c>
      <c r="AC166" s="27">
        <f>WORKDAY(AB166, AC9, IF(AC12="China",'China Holidays'!$A$2:$A$84,'Thai Holidays'!$A$2:$A$65))</f>
        <v>46318</v>
      </c>
      <c r="AD166" s="27">
        <f>WORKDAY(AC166, AD9, IF(AD12="China",'China Holidays'!$A$2:$A$84,'Thai Holidays'!$A$2:$A$65))</f>
        <v>46332</v>
      </c>
      <c r="AE166" s="27">
        <f>WORKDAY(AD166, AE9, IF(AE12="China",'China Holidays'!$A$2:$A$84,'Thai Holidays'!$A$2:$A$65))</f>
        <v>46346</v>
      </c>
      <c r="AF166" s="27">
        <f>AE166+10</f>
        <v>46356</v>
      </c>
      <c r="AG166" s="27">
        <f>AF166</f>
        <v>46356</v>
      </c>
      <c r="AH166" s="27">
        <f>AG166+2</f>
        <v>46358</v>
      </c>
      <c r="AI166" s="27">
        <f>AJ166-7</f>
        <v>46391</v>
      </c>
      <c r="AJ166" s="27">
        <f>AK166-5</f>
        <v>46398</v>
      </c>
      <c r="AK166" s="27">
        <f>AP165</f>
        <v>46403</v>
      </c>
      <c r="AL166" s="27">
        <f>AP165+3</f>
        <v>46406</v>
      </c>
      <c r="AM166" s="27">
        <f>AP165+30</f>
        <v>46433</v>
      </c>
      <c r="AN166" s="80"/>
      <c r="AO166" s="78"/>
      <c r="AP166" s="82">
        <f>AA166+AO165</f>
        <v>46403</v>
      </c>
      <c r="AQ166" s="82"/>
      <c r="AR166" s="28"/>
      <c r="AS166" s="362"/>
      <c r="AT166" s="502"/>
      <c r="AU166" s="20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415"/>
      <c r="BG166" s="428"/>
      <c r="BH166" s="428"/>
    </row>
    <row r="167" spans="1:60" s="3" customFormat="1" ht="14.25" thickTop="1" thickBot="1" x14ac:dyDescent="0.45">
      <c r="A167" s="497"/>
      <c r="B167" s="228" t="s">
        <v>222</v>
      </c>
      <c r="C167" s="236" t="s">
        <v>94</v>
      </c>
      <c r="D167" s="315" t="s">
        <v>557</v>
      </c>
      <c r="E167" s="245" t="s">
        <v>92</v>
      </c>
      <c r="F167" s="246" t="s">
        <v>84</v>
      </c>
      <c r="G167" s="236" t="s">
        <v>51</v>
      </c>
      <c r="H167" s="236" t="s">
        <v>3</v>
      </c>
      <c r="I167" s="236" t="s">
        <v>292</v>
      </c>
      <c r="J167" s="214" t="s">
        <v>1003</v>
      </c>
      <c r="K167" s="214"/>
      <c r="L167" s="95"/>
      <c r="M167" s="95"/>
      <c r="N167" s="95"/>
      <c r="O167" s="95"/>
      <c r="P167" s="176" t="s">
        <v>69</v>
      </c>
      <c r="Q167" s="34" t="s">
        <v>35</v>
      </c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81"/>
      <c r="AO167" s="79"/>
      <c r="AP167" s="36"/>
      <c r="AQ167" s="36"/>
      <c r="AR167" s="37"/>
      <c r="AS167" s="141"/>
      <c r="AT167" s="503"/>
      <c r="AU167" s="38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415"/>
      <c r="BG167" s="428"/>
      <c r="BH167" s="428"/>
    </row>
    <row r="168" spans="1:60" s="3" customFormat="1" ht="21" customHeight="1" thickTop="1" thickBot="1" x14ac:dyDescent="0.45">
      <c r="A168" s="495">
        <f>A162+1</f>
        <v>44</v>
      </c>
      <c r="B168" s="91" t="s">
        <v>418</v>
      </c>
      <c r="C168" s="13" t="s">
        <v>95</v>
      </c>
      <c r="D168" s="338" t="s">
        <v>225</v>
      </c>
      <c r="E168" s="63" t="s">
        <v>92</v>
      </c>
      <c r="F168" s="15" t="s">
        <v>84</v>
      </c>
      <c r="G168" s="13" t="s">
        <v>51</v>
      </c>
      <c r="H168" s="13" t="s">
        <v>3</v>
      </c>
      <c r="I168" s="13" t="s">
        <v>292</v>
      </c>
      <c r="J168" s="344" t="s">
        <v>889</v>
      </c>
      <c r="K168" s="220"/>
      <c r="L168" s="220" t="s">
        <v>645</v>
      </c>
      <c r="M168" s="220" t="s">
        <v>645</v>
      </c>
      <c r="N168" s="220" t="s">
        <v>645</v>
      </c>
      <c r="O168" s="198"/>
      <c r="P168" s="174" t="s">
        <v>69</v>
      </c>
      <c r="Q168" s="17" t="s">
        <v>33</v>
      </c>
      <c r="R168" s="18">
        <v>46176</v>
      </c>
      <c r="S168" s="18">
        <v>46168</v>
      </c>
      <c r="T168" s="18">
        <v>46182</v>
      </c>
      <c r="U168" s="18">
        <v>46182</v>
      </c>
      <c r="V168" s="18">
        <v>46182</v>
      </c>
      <c r="W168" s="18">
        <v>46189</v>
      </c>
      <c r="X168" s="18">
        <v>46226</v>
      </c>
      <c r="Y168" s="18">
        <v>46240</v>
      </c>
      <c r="Z168" s="18"/>
      <c r="AA168" s="18">
        <v>46247</v>
      </c>
      <c r="AB168" s="18">
        <v>46251</v>
      </c>
      <c r="AC168" s="18">
        <v>46258</v>
      </c>
      <c r="AD168" s="206">
        <v>46272</v>
      </c>
      <c r="AE168" s="18">
        <v>46287</v>
      </c>
      <c r="AF168" s="18">
        <v>46297</v>
      </c>
      <c r="AG168" s="18">
        <v>46297</v>
      </c>
      <c r="AH168" s="18">
        <v>46299</v>
      </c>
      <c r="AI168" s="18">
        <v>46428</v>
      </c>
      <c r="AJ168" s="18">
        <v>46438</v>
      </c>
      <c r="AK168" s="18">
        <v>46443</v>
      </c>
      <c r="AL168" s="18">
        <v>46446</v>
      </c>
      <c r="AM168" s="18">
        <v>46473</v>
      </c>
      <c r="AN168" s="57">
        <v>28</v>
      </c>
      <c r="AO168" s="58">
        <v>196</v>
      </c>
      <c r="AP168" s="77">
        <v>46415</v>
      </c>
      <c r="AQ168" s="77">
        <v>46571</v>
      </c>
      <c r="AR168" s="19">
        <f>AQ168-AP169</f>
        <v>246</v>
      </c>
      <c r="AS168" s="142" t="s">
        <v>816</v>
      </c>
      <c r="AT168" s="501" t="s">
        <v>481</v>
      </c>
      <c r="AU168" s="20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415" t="s">
        <v>967</v>
      </c>
      <c r="BG168" s="428">
        <v>46325</v>
      </c>
      <c r="BH168" s="428"/>
    </row>
    <row r="169" spans="1:60" s="3" customFormat="1" ht="21.75" customHeight="1" thickTop="1" thickBot="1" x14ac:dyDescent="0.45">
      <c r="A169" s="496"/>
      <c r="B169" s="92" t="s">
        <v>223</v>
      </c>
      <c r="C169" s="40" t="s">
        <v>95</v>
      </c>
      <c r="D169" s="42" t="s">
        <v>224</v>
      </c>
      <c r="E169" s="42" t="s">
        <v>92</v>
      </c>
      <c r="F169" s="45" t="s">
        <v>84</v>
      </c>
      <c r="G169" s="22" t="s">
        <v>51</v>
      </c>
      <c r="H169" s="40" t="s">
        <v>3</v>
      </c>
      <c r="I169" s="40" t="s">
        <v>292</v>
      </c>
      <c r="J169" s="199"/>
      <c r="K169" s="213"/>
      <c r="L169" s="213" t="s">
        <v>646</v>
      </c>
      <c r="M169" s="213" t="s">
        <v>646</v>
      </c>
      <c r="N169" s="213" t="s">
        <v>646</v>
      </c>
      <c r="O169" s="199"/>
      <c r="P169" s="175" t="s">
        <v>69</v>
      </c>
      <c r="Q169" s="25" t="s">
        <v>34</v>
      </c>
      <c r="R169" s="26"/>
      <c r="S169" s="27"/>
      <c r="T169" s="27"/>
      <c r="U169" s="27"/>
      <c r="V169" s="27"/>
      <c r="W169" s="144"/>
      <c r="X169" s="27"/>
      <c r="Y169" s="27"/>
      <c r="Z169" s="27"/>
      <c r="AA169" s="27"/>
      <c r="AB169" s="27"/>
      <c r="AC169" s="27"/>
      <c r="AD169" s="27">
        <v>46290</v>
      </c>
      <c r="AE169" s="27">
        <f>WORKDAY(AD169, AE9, IF(AE12="China",'China Holidays'!$A$2:$A$84,'Thai Holidays'!$A$2:$A$65))</f>
        <v>46304</v>
      </c>
      <c r="AF169" s="27">
        <f>AE169+10</f>
        <v>46314</v>
      </c>
      <c r="AG169" s="27">
        <f>AF169</f>
        <v>46314</v>
      </c>
      <c r="AH169" s="27">
        <f>AG169+2</f>
        <v>46316</v>
      </c>
      <c r="AI169" s="27">
        <f>AJ169-10</f>
        <v>46310</v>
      </c>
      <c r="AJ169" s="27">
        <f>AK169-5</f>
        <v>46320</v>
      </c>
      <c r="AK169" s="27">
        <f>AP169</f>
        <v>46325</v>
      </c>
      <c r="AL169" s="27">
        <f>AP168+3</f>
        <v>46418</v>
      </c>
      <c r="AM169" s="27">
        <f>AP168+30</f>
        <v>46445</v>
      </c>
      <c r="AN169" s="88"/>
      <c r="AO169" s="89"/>
      <c r="AP169" s="82">
        <v>46325</v>
      </c>
      <c r="AQ169" s="82"/>
      <c r="AR169" s="28"/>
      <c r="AS169" s="140"/>
      <c r="AT169" s="502"/>
      <c r="AU169" s="20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415"/>
      <c r="BG169" s="428"/>
      <c r="BH169" s="428"/>
    </row>
    <row r="170" spans="1:60" s="3" customFormat="1" ht="18" customHeight="1" thickTop="1" thickBot="1" x14ac:dyDescent="0.45">
      <c r="A170" s="497"/>
      <c r="B170" s="93" t="s">
        <v>223</v>
      </c>
      <c r="C170" s="31" t="s">
        <v>95</v>
      </c>
      <c r="D170" s="43" t="s">
        <v>225</v>
      </c>
      <c r="E170" s="44" t="s">
        <v>92</v>
      </c>
      <c r="F170" s="33" t="s">
        <v>84</v>
      </c>
      <c r="G170" s="31" t="s">
        <v>51</v>
      </c>
      <c r="H170" s="31" t="s">
        <v>3</v>
      </c>
      <c r="I170" s="31" t="s">
        <v>292</v>
      </c>
      <c r="J170" s="95"/>
      <c r="K170" s="214"/>
      <c r="L170" s="95"/>
      <c r="M170" s="95"/>
      <c r="N170" s="95"/>
      <c r="O170" s="95"/>
      <c r="P170" s="176" t="s">
        <v>69</v>
      </c>
      <c r="Q170" s="34" t="s">
        <v>35</v>
      </c>
      <c r="R170" s="35">
        <v>46189</v>
      </c>
      <c r="S170" s="35">
        <v>46142</v>
      </c>
      <c r="T170" s="35">
        <v>46160</v>
      </c>
      <c r="U170" s="35">
        <v>46190</v>
      </c>
      <c r="V170" s="35">
        <v>46190</v>
      </c>
      <c r="W170" s="35">
        <v>46202</v>
      </c>
      <c r="X170" s="35">
        <v>46239</v>
      </c>
      <c r="Y170" s="35">
        <v>46241</v>
      </c>
      <c r="Z170" s="35">
        <v>46262</v>
      </c>
      <c r="AA170" s="35">
        <v>46266</v>
      </c>
      <c r="AB170" s="35">
        <v>46268</v>
      </c>
      <c r="AC170" s="35" t="s">
        <v>342</v>
      </c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81"/>
      <c r="AO170" s="79"/>
      <c r="AP170" s="36"/>
      <c r="AQ170" s="36"/>
      <c r="AR170" s="37"/>
      <c r="AS170" s="141"/>
      <c r="AT170" s="503"/>
      <c r="AU170" s="38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415"/>
      <c r="BG170" s="428"/>
      <c r="BH170" s="428"/>
    </row>
    <row r="171" spans="1:60" s="3" customFormat="1" ht="14.25" thickTop="1" thickBot="1" x14ac:dyDescent="0.45">
      <c r="A171" s="495">
        <f t="shared" ref="A171" si="35">A168+1</f>
        <v>45</v>
      </c>
      <c r="B171" s="91" t="s">
        <v>226</v>
      </c>
      <c r="C171" s="13" t="s">
        <v>96</v>
      </c>
      <c r="D171" s="205" t="s">
        <v>558</v>
      </c>
      <c r="E171" s="63" t="s">
        <v>92</v>
      </c>
      <c r="F171" s="15" t="s">
        <v>84</v>
      </c>
      <c r="G171" s="13" t="s">
        <v>51</v>
      </c>
      <c r="H171" s="13" t="s">
        <v>3</v>
      </c>
      <c r="I171" s="13" t="s">
        <v>292</v>
      </c>
      <c r="J171" s="198"/>
      <c r="K171" s="220"/>
      <c r="L171" s="198"/>
      <c r="M171" s="198"/>
      <c r="N171" s="198"/>
      <c r="O171" s="198"/>
      <c r="P171" s="174" t="s">
        <v>69</v>
      </c>
      <c r="Q171" s="17" t="s">
        <v>33</v>
      </c>
      <c r="R171" s="18">
        <v>46262</v>
      </c>
      <c r="S171" s="18">
        <v>46258</v>
      </c>
      <c r="T171" s="18">
        <v>46272</v>
      </c>
      <c r="U171" s="206">
        <v>46272</v>
      </c>
      <c r="V171" s="18">
        <v>46272</v>
      </c>
      <c r="W171" s="18">
        <v>46279</v>
      </c>
      <c r="X171" s="18">
        <v>46288</v>
      </c>
      <c r="Y171" s="18">
        <v>46302</v>
      </c>
      <c r="Z171" s="18"/>
      <c r="AA171" s="18">
        <v>46309</v>
      </c>
      <c r="AB171" s="18">
        <v>46311</v>
      </c>
      <c r="AC171" s="18">
        <v>46318</v>
      </c>
      <c r="AD171" s="18">
        <v>46332</v>
      </c>
      <c r="AE171" s="18">
        <v>46346</v>
      </c>
      <c r="AF171" s="18">
        <v>46356</v>
      </c>
      <c r="AG171" s="18">
        <v>46356</v>
      </c>
      <c r="AH171" s="18">
        <v>46358</v>
      </c>
      <c r="AI171" s="18">
        <v>46391</v>
      </c>
      <c r="AJ171" s="18">
        <v>46398</v>
      </c>
      <c r="AK171" s="18">
        <v>46403</v>
      </c>
      <c r="AL171" s="18">
        <v>46406</v>
      </c>
      <c r="AM171" s="18">
        <v>46433</v>
      </c>
      <c r="AN171" s="57">
        <v>13.428571428571429</v>
      </c>
      <c r="AO171" s="58">
        <v>94</v>
      </c>
      <c r="AP171" s="77">
        <v>46403</v>
      </c>
      <c r="AQ171" s="77">
        <v>46486</v>
      </c>
      <c r="AR171" s="19">
        <f>AQ171-AP172</f>
        <v>83</v>
      </c>
      <c r="AS171" s="142"/>
      <c r="AT171" s="501" t="s">
        <v>1004</v>
      </c>
      <c r="AU171" s="20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415"/>
      <c r="BG171" s="428"/>
      <c r="BH171" s="428"/>
    </row>
    <row r="172" spans="1:60" s="3" customFormat="1" ht="14.25" thickTop="1" thickBot="1" x14ac:dyDescent="0.45">
      <c r="A172" s="496"/>
      <c r="B172" s="92" t="s">
        <v>226</v>
      </c>
      <c r="C172" s="40" t="s">
        <v>96</v>
      </c>
      <c r="D172" s="42" t="s">
        <v>558</v>
      </c>
      <c r="E172" s="42" t="s">
        <v>92</v>
      </c>
      <c r="F172" s="45" t="s">
        <v>84</v>
      </c>
      <c r="G172" s="22" t="s">
        <v>51</v>
      </c>
      <c r="H172" s="40" t="s">
        <v>3</v>
      </c>
      <c r="I172" s="40" t="s">
        <v>292</v>
      </c>
      <c r="J172" s="199"/>
      <c r="K172" s="213"/>
      <c r="L172" s="199"/>
      <c r="M172" s="199"/>
      <c r="N172" s="199"/>
      <c r="O172" s="199"/>
      <c r="P172" s="175" t="s">
        <v>69</v>
      </c>
      <c r="Q172" s="25" t="s">
        <v>34</v>
      </c>
      <c r="R172" s="26">
        <v>46287</v>
      </c>
      <c r="S172" s="27"/>
      <c r="T172" s="27"/>
      <c r="U172" s="27">
        <v>46287</v>
      </c>
      <c r="V172" s="27">
        <f>WORKDAY(U172, V9, IF(V12="China",'China Holidays'!$A$2:$A$84,'Thai Holidays'!$A$2:$A$65))</f>
        <v>46287</v>
      </c>
      <c r="W172" s="27">
        <f>WORKDAY(V172, W9, IF(W12="China",'China Holidays'!$A$2:$A$84,'Thai Holidays'!$A$2:$A$65))</f>
        <v>46295</v>
      </c>
      <c r="X172" s="27">
        <f>WORKDAY(W172, X9, IF(X12="China",'China Holidays'!$A$2:$A$84,'Thai Holidays'!$A$2:$A$65))</f>
        <v>46304</v>
      </c>
      <c r="Y172" s="27">
        <f>WORKDAY(X172, Y9, IF(Y12="China",'China Holidays'!$A$2:$A$84,'Thai Holidays'!$A$2:$A$65))</f>
        <v>46322</v>
      </c>
      <c r="Z172" s="27"/>
      <c r="AA172" s="27">
        <f>AA171</f>
        <v>46309</v>
      </c>
      <c r="AB172" s="27">
        <f>WORKDAY(AA172, AB9, IF(AB12="China",'China Holidays'!$A$2:$A$84,'Thai Holidays'!$A$2:$A$65))</f>
        <v>46311</v>
      </c>
      <c r="AC172" s="27">
        <f>WORKDAY(AB172, AC9, IF(AC12="China",'China Holidays'!$A$2:$A$84,'Thai Holidays'!$A$2:$A$65))</f>
        <v>46318</v>
      </c>
      <c r="AD172" s="27">
        <f>WORKDAY(AC172, AD9, IF(AD12="China",'China Holidays'!$A$2:$A$84,'Thai Holidays'!$A$2:$A$65))</f>
        <v>46332</v>
      </c>
      <c r="AE172" s="27">
        <f>WORKDAY(AD172, AE9, IF(AE12="China",'China Holidays'!$A$2:$A$84,'Thai Holidays'!$A$2:$A$65))</f>
        <v>46346</v>
      </c>
      <c r="AF172" s="27">
        <f>AE172+10</f>
        <v>46356</v>
      </c>
      <c r="AG172" s="27">
        <f>AF172</f>
        <v>46356</v>
      </c>
      <c r="AH172" s="27">
        <f>AG172+2</f>
        <v>46358</v>
      </c>
      <c r="AI172" s="27">
        <f>AJ172-7</f>
        <v>46391</v>
      </c>
      <c r="AJ172" s="27">
        <f>AK172-5</f>
        <v>46398</v>
      </c>
      <c r="AK172" s="27">
        <f>AP172</f>
        <v>46403</v>
      </c>
      <c r="AL172" s="27">
        <f>AP171+3</f>
        <v>46406</v>
      </c>
      <c r="AM172" s="27">
        <f>AP171+30</f>
        <v>46433</v>
      </c>
      <c r="AN172" s="80"/>
      <c r="AO172" s="78"/>
      <c r="AP172" s="82">
        <f>AA172+AO171</f>
        <v>46403</v>
      </c>
      <c r="AQ172" s="82"/>
      <c r="AR172" s="28"/>
      <c r="AS172" s="140"/>
      <c r="AT172" s="502"/>
      <c r="AU172" s="20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415"/>
      <c r="BG172" s="428"/>
      <c r="BH172" s="428"/>
    </row>
    <row r="173" spans="1:60" s="3" customFormat="1" ht="14.25" thickTop="1" thickBot="1" x14ac:dyDescent="0.45">
      <c r="A173" s="497"/>
      <c r="B173" s="93" t="s">
        <v>226</v>
      </c>
      <c r="C173" s="31" t="s">
        <v>96</v>
      </c>
      <c r="D173" s="43" t="s">
        <v>558</v>
      </c>
      <c r="E173" s="44" t="s">
        <v>92</v>
      </c>
      <c r="F173" s="33" t="s">
        <v>84</v>
      </c>
      <c r="G173" s="31" t="s">
        <v>51</v>
      </c>
      <c r="H173" s="31" t="s">
        <v>3</v>
      </c>
      <c r="I173" s="31" t="s">
        <v>292</v>
      </c>
      <c r="J173" s="95"/>
      <c r="K173" s="214"/>
      <c r="L173" s="95"/>
      <c r="M173" s="95"/>
      <c r="N173" s="95"/>
      <c r="O173" s="95"/>
      <c r="P173" s="176" t="s">
        <v>69</v>
      </c>
      <c r="Q173" s="34" t="s">
        <v>35</v>
      </c>
      <c r="R173" s="35"/>
      <c r="S173" s="35">
        <v>46194</v>
      </c>
      <c r="T173" s="35">
        <v>46210</v>
      </c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81"/>
      <c r="AO173" s="79"/>
      <c r="AP173" s="36"/>
      <c r="AQ173" s="36"/>
      <c r="AR173" s="37"/>
      <c r="AS173" s="141"/>
      <c r="AT173" s="503"/>
      <c r="AU173" s="38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415"/>
      <c r="BG173" s="428"/>
      <c r="BH173" s="428"/>
    </row>
    <row r="174" spans="1:60" s="3" customFormat="1" ht="14.25" thickTop="1" thickBot="1" x14ac:dyDescent="0.45">
      <c r="A174" s="495">
        <f t="shared" ref="A174" si="36">A171+1</f>
        <v>46</v>
      </c>
      <c r="B174" s="91" t="s">
        <v>227</v>
      </c>
      <c r="C174" s="13" t="s">
        <v>97</v>
      </c>
      <c r="D174" s="205" t="s">
        <v>559</v>
      </c>
      <c r="E174" s="63" t="s">
        <v>92</v>
      </c>
      <c r="F174" s="15" t="s">
        <v>84</v>
      </c>
      <c r="G174" s="13" t="s">
        <v>51</v>
      </c>
      <c r="H174" s="13" t="s">
        <v>3</v>
      </c>
      <c r="I174" s="13" t="s">
        <v>292</v>
      </c>
      <c r="J174" s="198"/>
      <c r="K174" s="220"/>
      <c r="L174" s="198"/>
      <c r="M174" s="198"/>
      <c r="N174" s="198"/>
      <c r="O174" s="198"/>
      <c r="P174" s="174" t="s">
        <v>69</v>
      </c>
      <c r="Q174" s="17" t="s">
        <v>33</v>
      </c>
      <c r="R174" s="18">
        <v>46247</v>
      </c>
      <c r="S174" s="18">
        <v>46238</v>
      </c>
      <c r="T174" s="18">
        <v>46253</v>
      </c>
      <c r="U174" s="206">
        <v>46253</v>
      </c>
      <c r="V174" s="18">
        <v>46253</v>
      </c>
      <c r="W174" s="18">
        <v>46260</v>
      </c>
      <c r="X174" s="18">
        <v>46269</v>
      </c>
      <c r="Y174" s="18">
        <v>46283</v>
      </c>
      <c r="Z174" s="18"/>
      <c r="AA174" s="18">
        <v>46293</v>
      </c>
      <c r="AB174" s="18">
        <v>46295</v>
      </c>
      <c r="AC174" s="18">
        <v>46309</v>
      </c>
      <c r="AD174" s="18">
        <v>46323</v>
      </c>
      <c r="AE174" s="18">
        <v>46337</v>
      </c>
      <c r="AF174" s="18">
        <v>46352</v>
      </c>
      <c r="AG174" s="18">
        <v>46352</v>
      </c>
      <c r="AH174" s="18">
        <v>46354</v>
      </c>
      <c r="AI174" s="18">
        <v>46391</v>
      </c>
      <c r="AJ174" s="18">
        <v>46400</v>
      </c>
      <c r="AK174" s="18">
        <v>46405</v>
      </c>
      <c r="AL174" s="18">
        <v>46408</v>
      </c>
      <c r="AM174" s="18">
        <v>46435</v>
      </c>
      <c r="AN174" s="57">
        <v>16</v>
      </c>
      <c r="AO174" s="58">
        <v>112</v>
      </c>
      <c r="AP174" s="77">
        <v>46405</v>
      </c>
      <c r="AQ174" s="77">
        <v>46546</v>
      </c>
      <c r="AR174" s="19">
        <v>44</v>
      </c>
      <c r="AS174" s="142"/>
      <c r="AT174" s="501" t="s">
        <v>1038</v>
      </c>
      <c r="AU174" s="20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415"/>
      <c r="BG174" s="428"/>
      <c r="BH174" s="428"/>
    </row>
    <row r="175" spans="1:60" s="3" customFormat="1" ht="14.25" thickTop="1" thickBot="1" x14ac:dyDescent="0.45">
      <c r="A175" s="496"/>
      <c r="B175" s="92" t="s">
        <v>227</v>
      </c>
      <c r="C175" s="40" t="s">
        <v>97</v>
      </c>
      <c r="D175" s="42" t="s">
        <v>559</v>
      </c>
      <c r="E175" s="42" t="s">
        <v>92</v>
      </c>
      <c r="F175" s="45" t="s">
        <v>84</v>
      </c>
      <c r="G175" s="22" t="s">
        <v>51</v>
      </c>
      <c r="H175" s="40" t="s">
        <v>3</v>
      </c>
      <c r="I175" s="40" t="s">
        <v>292</v>
      </c>
      <c r="J175" s="199"/>
      <c r="K175" s="213"/>
      <c r="L175" s="199"/>
      <c r="M175" s="199"/>
      <c r="N175" s="199"/>
      <c r="O175" s="199"/>
      <c r="P175" s="175" t="s">
        <v>69</v>
      </c>
      <c r="Q175" s="25" t="s">
        <v>34</v>
      </c>
      <c r="R175" s="26">
        <v>46287</v>
      </c>
      <c r="S175" s="27"/>
      <c r="T175" s="27"/>
      <c r="U175" s="27">
        <v>46287</v>
      </c>
      <c r="V175" s="27">
        <f>WORKDAY(U175, V9, IF(V12="China",'China Holidays'!$A$2:$A$84,'Thai Holidays'!$A$2:$A$65))</f>
        <v>46287</v>
      </c>
      <c r="W175" s="27">
        <f>WORKDAY(V175, W9, IF(W12="China",'China Holidays'!$A$2:$A$84,'Thai Holidays'!$A$2:$A$65))</f>
        <v>46295</v>
      </c>
      <c r="X175" s="27">
        <f>WORKDAY(W175, X9, IF(X12="China",'China Holidays'!$A$2:$A$84,'Thai Holidays'!$A$2:$A$65))</f>
        <v>46304</v>
      </c>
      <c r="Y175" s="27">
        <f>WORKDAY(X175, Y9, IF(Y12="China",'China Holidays'!$A$2:$A$84,'Thai Holidays'!$A$2:$A$65))</f>
        <v>46322</v>
      </c>
      <c r="Z175" s="27"/>
      <c r="AA175" s="27">
        <f>Y175</f>
        <v>46322</v>
      </c>
      <c r="AB175" s="27">
        <f>WORKDAY(AA175, AB9, IF(AB12="China",'China Holidays'!$A$2:$A$84,'Thai Holidays'!$A$2:$A$65))</f>
        <v>46324</v>
      </c>
      <c r="AC175" s="27">
        <f>WORKDAY(AB175, AC9, IF(AC12="China",'China Holidays'!$A$2:$A$84,'Thai Holidays'!$A$2:$A$65))</f>
        <v>46331</v>
      </c>
      <c r="AD175" s="27">
        <f>WORKDAY(AC175, AD9, IF(AD12="China",'China Holidays'!$A$2:$A$84,'Thai Holidays'!$A$2:$A$65))</f>
        <v>46345</v>
      </c>
      <c r="AE175" s="27">
        <f>WORKDAY(AD175, AE9, IF(AE12="China",'China Holidays'!$A$2:$A$84,'Thai Holidays'!$A$2:$A$65))</f>
        <v>46359</v>
      </c>
      <c r="AF175" s="27">
        <f>AE175+15</f>
        <v>46374</v>
      </c>
      <c r="AG175" s="27">
        <f>AF175</f>
        <v>46374</v>
      </c>
      <c r="AH175" s="27">
        <f>AG175+2</f>
        <v>46376</v>
      </c>
      <c r="AI175" s="27">
        <f>AJ175-9</f>
        <v>46420</v>
      </c>
      <c r="AJ175" s="27">
        <f>AK175-5</f>
        <v>46429</v>
      </c>
      <c r="AK175" s="27">
        <f>AP175</f>
        <v>46434</v>
      </c>
      <c r="AL175" s="27">
        <f>AP174+3</f>
        <v>46408</v>
      </c>
      <c r="AM175" s="27">
        <f>AP174+30</f>
        <v>46435</v>
      </c>
      <c r="AN175" s="80"/>
      <c r="AO175" s="78"/>
      <c r="AP175" s="82">
        <f>AA175+AO174</f>
        <v>46434</v>
      </c>
      <c r="AQ175" s="82"/>
      <c r="AR175" s="28"/>
      <c r="AS175" s="140"/>
      <c r="AT175" s="502"/>
      <c r="AU175" s="20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415"/>
      <c r="BG175" s="428"/>
      <c r="BH175" s="428"/>
    </row>
    <row r="176" spans="1:60" s="3" customFormat="1" ht="14.25" thickTop="1" thickBot="1" x14ac:dyDescent="0.45">
      <c r="A176" s="497"/>
      <c r="B176" s="93" t="s">
        <v>227</v>
      </c>
      <c r="C176" s="31" t="s">
        <v>97</v>
      </c>
      <c r="D176" s="43" t="s">
        <v>559</v>
      </c>
      <c r="E176" s="44" t="s">
        <v>92</v>
      </c>
      <c r="F176" s="33" t="s">
        <v>84</v>
      </c>
      <c r="G176" s="31" t="s">
        <v>51</v>
      </c>
      <c r="H176" s="31" t="s">
        <v>3</v>
      </c>
      <c r="I176" s="31" t="s">
        <v>292</v>
      </c>
      <c r="J176" s="95"/>
      <c r="K176" s="214"/>
      <c r="L176" s="95"/>
      <c r="M176" s="95"/>
      <c r="N176" s="95"/>
      <c r="O176" s="95"/>
      <c r="P176" s="176" t="s">
        <v>69</v>
      </c>
      <c r="Q176" s="34" t="s">
        <v>35</v>
      </c>
      <c r="R176" s="35"/>
      <c r="S176" s="35">
        <v>46185</v>
      </c>
      <c r="T176" s="35">
        <v>46201</v>
      </c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81"/>
      <c r="AO176" s="79"/>
      <c r="AP176" s="36"/>
      <c r="AQ176" s="36"/>
      <c r="AR176" s="37"/>
      <c r="AS176" s="141"/>
      <c r="AT176" s="503"/>
      <c r="AU176" s="38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415"/>
      <c r="BG176" s="428"/>
      <c r="BH176" s="428"/>
    </row>
    <row r="177" spans="1:60" s="3" customFormat="1" ht="21" thickTop="1" thickBot="1" x14ac:dyDescent="0.45">
      <c r="A177" s="495">
        <f t="shared" ref="A177" si="37">A174+1</f>
        <v>47</v>
      </c>
      <c r="B177" s="91" t="s">
        <v>228</v>
      </c>
      <c r="C177" s="13" t="s">
        <v>1002</v>
      </c>
      <c r="D177" s="462" t="s">
        <v>737</v>
      </c>
      <c r="E177" s="63" t="s">
        <v>92</v>
      </c>
      <c r="F177" s="15" t="s">
        <v>84</v>
      </c>
      <c r="G177" s="13" t="s">
        <v>51</v>
      </c>
      <c r="H177" s="13" t="s">
        <v>3</v>
      </c>
      <c r="I177" s="13" t="s">
        <v>292</v>
      </c>
      <c r="J177" s="198"/>
      <c r="K177" s="220"/>
      <c r="L177" s="198"/>
      <c r="M177" s="198"/>
      <c r="N177" s="198"/>
      <c r="O177" s="198"/>
      <c r="P177" s="174" t="s">
        <v>69</v>
      </c>
      <c r="Q177" s="17" t="s">
        <v>33</v>
      </c>
      <c r="R177" s="18">
        <v>46247</v>
      </c>
      <c r="S177" s="18">
        <v>46238</v>
      </c>
      <c r="T177" s="18">
        <v>46253</v>
      </c>
      <c r="U177" s="206">
        <v>46253</v>
      </c>
      <c r="V177" s="18">
        <v>46253</v>
      </c>
      <c r="W177" s="18">
        <v>46260</v>
      </c>
      <c r="X177" s="18">
        <v>46269</v>
      </c>
      <c r="Y177" s="18">
        <v>46283</v>
      </c>
      <c r="Z177" s="18"/>
      <c r="AA177" s="18">
        <v>46293</v>
      </c>
      <c r="AB177" s="18">
        <v>46295</v>
      </c>
      <c r="AC177" s="18">
        <v>46309</v>
      </c>
      <c r="AD177" s="18">
        <v>46323</v>
      </c>
      <c r="AE177" s="18">
        <v>46337</v>
      </c>
      <c r="AF177" s="18">
        <v>46352</v>
      </c>
      <c r="AG177" s="18">
        <v>46352</v>
      </c>
      <c r="AH177" s="18">
        <v>46354</v>
      </c>
      <c r="AI177" s="18">
        <v>46390</v>
      </c>
      <c r="AJ177" s="18">
        <v>46400</v>
      </c>
      <c r="AK177" s="18">
        <v>46405</v>
      </c>
      <c r="AL177" s="18">
        <v>46408</v>
      </c>
      <c r="AM177" s="18">
        <v>46435</v>
      </c>
      <c r="AN177" s="57">
        <v>16</v>
      </c>
      <c r="AO177" s="58">
        <v>112</v>
      </c>
      <c r="AP177" s="77">
        <v>46405</v>
      </c>
      <c r="AQ177" s="77">
        <v>46515</v>
      </c>
      <c r="AR177" s="19">
        <f>AQ177-AP178</f>
        <v>81</v>
      </c>
      <c r="AS177" s="142"/>
      <c r="AT177" s="501" t="s">
        <v>1004</v>
      </c>
      <c r="AU177" s="20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415"/>
      <c r="BG177" s="428"/>
      <c r="BH177" s="428"/>
    </row>
    <row r="178" spans="1:60" s="3" customFormat="1" ht="21" thickTop="1" thickBot="1" x14ac:dyDescent="0.45">
      <c r="A178" s="496"/>
      <c r="B178" s="92" t="s">
        <v>228</v>
      </c>
      <c r="C178" s="40" t="s">
        <v>229</v>
      </c>
      <c r="D178" s="86" t="s">
        <v>736</v>
      </c>
      <c r="E178" s="42" t="s">
        <v>92</v>
      </c>
      <c r="F178" s="45" t="s">
        <v>84</v>
      </c>
      <c r="G178" s="22" t="s">
        <v>51</v>
      </c>
      <c r="H178" s="40" t="s">
        <v>3</v>
      </c>
      <c r="I178" s="40" t="s">
        <v>292</v>
      </c>
      <c r="J178" s="199"/>
      <c r="K178" s="213"/>
      <c r="L178" s="199"/>
      <c r="M178" s="199"/>
      <c r="N178" s="199"/>
      <c r="O178" s="199"/>
      <c r="P178" s="175" t="s">
        <v>69</v>
      </c>
      <c r="Q178" s="25" t="s">
        <v>34</v>
      </c>
      <c r="R178" s="26">
        <v>46287</v>
      </c>
      <c r="S178" s="27"/>
      <c r="T178" s="27"/>
      <c r="U178" s="27">
        <v>46287</v>
      </c>
      <c r="V178" s="27">
        <f>WORKDAY(U178, V9, IF(V12="China",'China Holidays'!$A$2:$A$84,'Thai Holidays'!$A$2:$A$65))</f>
        <v>46287</v>
      </c>
      <c r="W178" s="27">
        <f>WORKDAY(V178, W9, IF(W12="China",'China Holidays'!$A$2:$A$84,'Thai Holidays'!$A$2:$A$65))</f>
        <v>46295</v>
      </c>
      <c r="X178" s="27">
        <f>WORKDAY(W178, X9, IF(X12="China",'China Holidays'!$A$2:$A$84,'Thai Holidays'!$A$2:$A$65))</f>
        <v>46304</v>
      </c>
      <c r="Y178" s="27">
        <f>WORKDAY(X178, Y9, IF(Y12="China",'China Holidays'!$A$2:$A$84,'Thai Holidays'!$A$2:$A$65))</f>
        <v>46322</v>
      </c>
      <c r="Z178" s="27"/>
      <c r="AA178" s="27">
        <f>Y178</f>
        <v>46322</v>
      </c>
      <c r="AB178" s="27">
        <f>WORKDAY(AA178, AB9, IF(AB12="China",'China Holidays'!$A$2:$A$84,'Thai Holidays'!$A$2:$A$65))</f>
        <v>46324</v>
      </c>
      <c r="AC178" s="27">
        <f>WORKDAY(AB178, AC9, IF(AC12="China",'China Holidays'!$A$2:$A$84,'Thai Holidays'!$A$2:$A$65))</f>
        <v>46331</v>
      </c>
      <c r="AD178" s="27">
        <f>WORKDAY(AC178, AD9, IF(AD12="China",'China Holidays'!$A$2:$A$84,'Thai Holidays'!$A$2:$A$65))</f>
        <v>46345</v>
      </c>
      <c r="AE178" s="27">
        <f>WORKDAY(AD178, AE9, IF(AE12="China",'China Holidays'!$A$2:$A$84,'Thai Holidays'!$A$2:$A$65))</f>
        <v>46359</v>
      </c>
      <c r="AF178" s="27">
        <f>AE178+15</f>
        <v>46374</v>
      </c>
      <c r="AG178" s="27">
        <f>AF178</f>
        <v>46374</v>
      </c>
      <c r="AH178" s="27">
        <f>AG178+2</f>
        <v>46376</v>
      </c>
      <c r="AI178" s="27">
        <f>AJ178-10</f>
        <v>46419</v>
      </c>
      <c r="AJ178" s="27">
        <f>AK178-5</f>
        <v>46429</v>
      </c>
      <c r="AK178" s="27">
        <f>AP178</f>
        <v>46434</v>
      </c>
      <c r="AL178" s="27">
        <f>AP177+3</f>
        <v>46408</v>
      </c>
      <c r="AM178" s="27">
        <f>AP177+30</f>
        <v>46435</v>
      </c>
      <c r="AN178" s="80"/>
      <c r="AO178" s="78"/>
      <c r="AP178" s="82">
        <f>AA178+AO177</f>
        <v>46434</v>
      </c>
      <c r="AQ178" s="82"/>
      <c r="AR178" s="28"/>
      <c r="AS178" s="140"/>
      <c r="AT178" s="502"/>
      <c r="AU178" s="20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415"/>
      <c r="BG178" s="428"/>
      <c r="BH178" s="428"/>
    </row>
    <row r="179" spans="1:60" s="3" customFormat="1" ht="21" thickTop="1" thickBot="1" x14ac:dyDescent="0.45">
      <c r="A179" s="497"/>
      <c r="B179" s="93" t="s">
        <v>228</v>
      </c>
      <c r="C179" s="31" t="s">
        <v>229</v>
      </c>
      <c r="D179" s="95" t="s">
        <v>736</v>
      </c>
      <c r="E179" s="44" t="s">
        <v>92</v>
      </c>
      <c r="F179" s="33" t="s">
        <v>84</v>
      </c>
      <c r="G179" s="31" t="s">
        <v>51</v>
      </c>
      <c r="H179" s="31" t="s">
        <v>3</v>
      </c>
      <c r="I179" s="31" t="s">
        <v>292</v>
      </c>
      <c r="J179" s="95"/>
      <c r="K179" s="214"/>
      <c r="L179" s="95"/>
      <c r="M179" s="95"/>
      <c r="N179" s="95"/>
      <c r="O179" s="95"/>
      <c r="P179" s="176" t="s">
        <v>69</v>
      </c>
      <c r="Q179" s="34" t="s">
        <v>35</v>
      </c>
      <c r="R179" s="35"/>
      <c r="S179" s="35">
        <v>46191</v>
      </c>
      <c r="T179" s="35">
        <v>46207</v>
      </c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81"/>
      <c r="AO179" s="79"/>
      <c r="AP179" s="36"/>
      <c r="AQ179" s="36"/>
      <c r="AR179" s="37"/>
      <c r="AS179" s="141"/>
      <c r="AT179" s="503"/>
      <c r="AU179" s="38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415"/>
      <c r="BG179" s="428"/>
      <c r="BH179" s="428"/>
    </row>
    <row r="180" spans="1:60" s="3" customFormat="1" ht="14.25" thickTop="1" thickBot="1" x14ac:dyDescent="0.45">
      <c r="A180" s="507">
        <f t="shared" ref="A180" si="38">A177+1</f>
        <v>48</v>
      </c>
      <c r="B180" s="91" t="s">
        <v>230</v>
      </c>
      <c r="C180" s="13" t="s">
        <v>543</v>
      </c>
      <c r="D180" s="338" t="s">
        <v>345</v>
      </c>
      <c r="E180" s="67" t="s">
        <v>107</v>
      </c>
      <c r="F180" s="15" t="s">
        <v>100</v>
      </c>
      <c r="G180" s="16" t="s">
        <v>31</v>
      </c>
      <c r="H180" s="13" t="s">
        <v>0</v>
      </c>
      <c r="I180" s="13" t="s">
        <v>286</v>
      </c>
      <c r="J180" s="344" t="s">
        <v>653</v>
      </c>
      <c r="K180" s="219" t="s">
        <v>652</v>
      </c>
      <c r="L180" s="191" t="s">
        <v>652</v>
      </c>
      <c r="M180" s="191"/>
      <c r="N180" s="191"/>
      <c r="O180" s="191"/>
      <c r="P180" s="174" t="s">
        <v>32</v>
      </c>
      <c r="Q180" s="17" t="s">
        <v>33</v>
      </c>
      <c r="R180" s="18">
        <v>46129</v>
      </c>
      <c r="S180" s="56">
        <v>46130</v>
      </c>
      <c r="T180" s="18">
        <v>46139</v>
      </c>
      <c r="U180" s="18">
        <v>46140</v>
      </c>
      <c r="V180" s="18">
        <v>46147</v>
      </c>
      <c r="W180" s="18">
        <v>46154</v>
      </c>
      <c r="X180" s="18">
        <v>46163</v>
      </c>
      <c r="Y180" s="18">
        <v>46167</v>
      </c>
      <c r="Z180" s="18"/>
      <c r="AA180" s="18">
        <v>46174</v>
      </c>
      <c r="AB180" s="18">
        <v>46176</v>
      </c>
      <c r="AC180" s="18">
        <v>46183</v>
      </c>
      <c r="AD180" s="18">
        <v>46198</v>
      </c>
      <c r="AE180" s="206">
        <v>46212</v>
      </c>
      <c r="AF180" s="18">
        <v>46272</v>
      </c>
      <c r="AG180" s="18">
        <v>46272</v>
      </c>
      <c r="AH180" s="18">
        <v>46274</v>
      </c>
      <c r="AI180" s="18">
        <v>46432</v>
      </c>
      <c r="AJ180" s="18">
        <v>46452</v>
      </c>
      <c r="AK180" s="18">
        <v>46482</v>
      </c>
      <c r="AL180" s="18">
        <v>46485</v>
      </c>
      <c r="AM180" s="18">
        <v>46512</v>
      </c>
      <c r="AN180" s="57">
        <v>44</v>
      </c>
      <c r="AO180" s="58">
        <v>308</v>
      </c>
      <c r="AP180" s="77">
        <v>46482</v>
      </c>
      <c r="AQ180" s="77">
        <v>46492</v>
      </c>
      <c r="AR180" s="19">
        <f>AQ180-AP181</f>
        <v>31</v>
      </c>
      <c r="AS180" s="142" t="s">
        <v>449</v>
      </c>
      <c r="AT180" s="498" t="s">
        <v>775</v>
      </c>
      <c r="AU180" s="20"/>
      <c r="AV180" s="21"/>
      <c r="AW180" s="21"/>
      <c r="AX180" s="21"/>
      <c r="AY180" s="21"/>
      <c r="AZ180" s="21"/>
      <c r="BA180" s="21"/>
      <c r="BB180" s="21"/>
      <c r="BC180" s="21"/>
      <c r="BD180" s="21"/>
      <c r="BE180" s="402"/>
      <c r="BF180" s="415"/>
      <c r="BG180" s="428"/>
      <c r="BH180" s="428"/>
    </row>
    <row r="181" spans="1:60" s="3" customFormat="1" ht="14.25" thickTop="1" thickBot="1" x14ac:dyDescent="0.45">
      <c r="A181" s="508"/>
      <c r="B181" s="92" t="s">
        <v>230</v>
      </c>
      <c r="C181" s="40" t="s">
        <v>98</v>
      </c>
      <c r="D181" s="23" t="s">
        <v>345</v>
      </c>
      <c r="E181" s="42" t="s">
        <v>107</v>
      </c>
      <c r="F181" s="45" t="s">
        <v>100</v>
      </c>
      <c r="G181" s="70" t="s">
        <v>31</v>
      </c>
      <c r="H181" s="40" t="s">
        <v>0</v>
      </c>
      <c r="I181" s="40" t="s">
        <v>286</v>
      </c>
      <c r="J181" s="208" t="s">
        <v>603</v>
      </c>
      <c r="K181" s="192" t="s">
        <v>653</v>
      </c>
      <c r="L181" s="192" t="s">
        <v>653</v>
      </c>
      <c r="M181" s="192" t="s">
        <v>653</v>
      </c>
      <c r="N181" s="192" t="s">
        <v>653</v>
      </c>
      <c r="O181" s="192" t="s">
        <v>653</v>
      </c>
      <c r="P181" s="175" t="s">
        <v>32</v>
      </c>
      <c r="Q181" s="25" t="s">
        <v>34</v>
      </c>
      <c r="R181" s="26"/>
      <c r="S181" s="27"/>
      <c r="T181" s="82"/>
      <c r="U181" s="27"/>
      <c r="V181" s="27"/>
      <c r="W181" s="27"/>
      <c r="X181" s="144"/>
      <c r="Y181" s="27"/>
      <c r="Z181" s="27"/>
      <c r="AA181" s="27"/>
      <c r="AB181" s="27"/>
      <c r="AC181" s="27"/>
      <c r="AD181" s="27"/>
      <c r="AE181" s="27">
        <v>46293</v>
      </c>
      <c r="AF181" s="27">
        <f>AE181+30</f>
        <v>46323</v>
      </c>
      <c r="AG181" s="27">
        <f>AF181+2</f>
        <v>46325</v>
      </c>
      <c r="AH181" s="27">
        <f>AG181+2</f>
        <v>46327</v>
      </c>
      <c r="AI181" s="27">
        <f>AJ181-20</f>
        <v>46041</v>
      </c>
      <c r="AJ181" s="27">
        <v>46061</v>
      </c>
      <c r="AK181" s="27">
        <f>AP181</f>
        <v>46461</v>
      </c>
      <c r="AL181" s="27">
        <f>AP180+3</f>
        <v>46485</v>
      </c>
      <c r="AM181" s="27">
        <f>AP180+30</f>
        <v>46512</v>
      </c>
      <c r="AN181" s="80">
        <v>36</v>
      </c>
      <c r="AO181" s="78">
        <f>AN181*7</f>
        <v>252</v>
      </c>
      <c r="AP181" s="82">
        <f>BG181+7</f>
        <v>46461</v>
      </c>
      <c r="AQ181" s="82"/>
      <c r="AR181" s="28"/>
      <c r="AS181" s="361" t="s">
        <v>776</v>
      </c>
      <c r="AT181" s="502"/>
      <c r="AU181" s="20"/>
      <c r="AV181" s="21"/>
      <c r="AW181" s="21"/>
      <c r="AX181" s="21"/>
      <c r="AY181" s="21"/>
      <c r="AZ181" s="21"/>
      <c r="BA181" s="21"/>
      <c r="BB181" s="21"/>
      <c r="BC181" s="21"/>
      <c r="BD181" s="21"/>
      <c r="BE181" s="402"/>
      <c r="BF181" s="415" t="s">
        <v>901</v>
      </c>
      <c r="BG181" s="428">
        <v>46454</v>
      </c>
      <c r="BH181" s="428"/>
    </row>
    <row r="182" spans="1:60" s="3" customFormat="1" ht="14.25" thickTop="1" thickBot="1" x14ac:dyDescent="0.45">
      <c r="A182" s="509"/>
      <c r="B182" s="93" t="s">
        <v>230</v>
      </c>
      <c r="C182" s="31" t="s">
        <v>98</v>
      </c>
      <c r="D182" s="32" t="s">
        <v>345</v>
      </c>
      <c r="E182" s="43" t="s">
        <v>107</v>
      </c>
      <c r="F182" s="33" t="s">
        <v>100</v>
      </c>
      <c r="G182" s="71" t="s">
        <v>31</v>
      </c>
      <c r="H182" s="31" t="s">
        <v>0</v>
      </c>
      <c r="I182" s="31" t="s">
        <v>286</v>
      </c>
      <c r="J182" s="201"/>
      <c r="K182" s="201" t="s">
        <v>654</v>
      </c>
      <c r="L182" s="201" t="s">
        <v>654</v>
      </c>
      <c r="M182" s="201" t="s">
        <v>654</v>
      </c>
      <c r="N182" s="201"/>
      <c r="O182" s="201"/>
      <c r="P182" s="176" t="s">
        <v>32</v>
      </c>
      <c r="Q182" s="34" t="s">
        <v>35</v>
      </c>
      <c r="R182" s="35">
        <v>46133</v>
      </c>
      <c r="S182" s="35">
        <v>46122</v>
      </c>
      <c r="T182" s="35">
        <v>46140</v>
      </c>
      <c r="U182" s="35">
        <v>46151</v>
      </c>
      <c r="V182" s="35">
        <v>46151</v>
      </c>
      <c r="W182" s="35">
        <v>46164</v>
      </c>
      <c r="X182" s="35">
        <v>46185</v>
      </c>
      <c r="Y182" s="35">
        <v>46191</v>
      </c>
      <c r="Z182" s="35">
        <v>46203</v>
      </c>
      <c r="AA182" s="35">
        <v>46206</v>
      </c>
      <c r="AB182" s="35">
        <v>46220</v>
      </c>
      <c r="AC182" s="35">
        <v>46213</v>
      </c>
      <c r="AD182" s="35">
        <v>46248</v>
      </c>
      <c r="AE182" s="35"/>
      <c r="AF182" s="35"/>
      <c r="AG182" s="35"/>
      <c r="AH182" s="35"/>
      <c r="AI182" s="35"/>
      <c r="AJ182" s="35"/>
      <c r="AK182" s="35"/>
      <c r="AL182" s="35"/>
      <c r="AM182" s="35"/>
      <c r="AN182" s="81"/>
      <c r="AO182" s="79"/>
      <c r="AP182" s="275" t="s">
        <v>903</v>
      </c>
      <c r="AQ182" s="36"/>
      <c r="AR182" s="37"/>
      <c r="AS182" s="141"/>
      <c r="AT182" s="503"/>
      <c r="AU182" s="38"/>
      <c r="AV182" s="39"/>
      <c r="AW182" s="39"/>
      <c r="AX182" s="39"/>
      <c r="AY182" s="39"/>
      <c r="AZ182" s="39"/>
      <c r="BA182" s="39"/>
      <c r="BB182" s="39"/>
      <c r="BC182" s="39"/>
      <c r="BD182" s="39"/>
      <c r="BE182" s="405"/>
      <c r="BF182" s="415"/>
      <c r="BG182" s="428"/>
      <c r="BH182" s="428"/>
    </row>
    <row r="183" spans="1:60" s="3" customFormat="1" ht="17.25" customHeight="1" thickTop="1" thickBot="1" x14ac:dyDescent="0.45">
      <c r="A183" s="507">
        <f t="shared" ref="A183" si="39">A180+1</f>
        <v>49</v>
      </c>
      <c r="B183" s="91" t="s">
        <v>232</v>
      </c>
      <c r="C183" s="13" t="s">
        <v>233</v>
      </c>
      <c r="D183" s="338" t="s">
        <v>346</v>
      </c>
      <c r="E183" s="63" t="s">
        <v>57</v>
      </c>
      <c r="F183" s="15" t="s">
        <v>100</v>
      </c>
      <c r="G183" s="13" t="s">
        <v>51</v>
      </c>
      <c r="H183" s="13" t="s">
        <v>0</v>
      </c>
      <c r="I183" s="13" t="s">
        <v>324</v>
      </c>
      <c r="J183" s="344" t="s">
        <v>485</v>
      </c>
      <c r="K183" s="220" t="s">
        <v>655</v>
      </c>
      <c r="L183" s="219" t="s">
        <v>658</v>
      </c>
      <c r="M183" s="211" t="s">
        <v>709</v>
      </c>
      <c r="N183" s="219" t="s">
        <v>756</v>
      </c>
      <c r="O183" s="219" t="s">
        <v>756</v>
      </c>
      <c r="P183" s="174" t="s">
        <v>32</v>
      </c>
      <c r="Q183" s="17" t="s">
        <v>33</v>
      </c>
      <c r="R183" s="18">
        <v>46141</v>
      </c>
      <c r="S183" s="18">
        <v>46142</v>
      </c>
      <c r="T183" s="18">
        <v>46153</v>
      </c>
      <c r="U183" s="18">
        <v>46154</v>
      </c>
      <c r="V183" s="18">
        <v>46161</v>
      </c>
      <c r="W183" s="18">
        <v>46175</v>
      </c>
      <c r="X183" s="18">
        <v>46204</v>
      </c>
      <c r="Y183" s="18">
        <v>46209</v>
      </c>
      <c r="Z183" s="18"/>
      <c r="AA183" s="18">
        <v>46223</v>
      </c>
      <c r="AB183" s="18">
        <v>46225</v>
      </c>
      <c r="AC183" s="18">
        <v>46232</v>
      </c>
      <c r="AD183" s="18">
        <v>46260</v>
      </c>
      <c r="AE183" s="206">
        <v>46274</v>
      </c>
      <c r="AF183" s="18">
        <v>46334</v>
      </c>
      <c r="AG183" s="18">
        <v>46334</v>
      </c>
      <c r="AH183" s="18">
        <v>46336</v>
      </c>
      <c r="AI183" s="18">
        <v>46420</v>
      </c>
      <c r="AJ183" s="18">
        <v>46445</v>
      </c>
      <c r="AK183" s="18">
        <v>46475</v>
      </c>
      <c r="AL183" s="18">
        <v>46478</v>
      </c>
      <c r="AM183" s="18">
        <v>46505</v>
      </c>
      <c r="AN183" s="57">
        <v>36</v>
      </c>
      <c r="AO183" s="58">
        <v>252</v>
      </c>
      <c r="AP183" s="77">
        <v>46475</v>
      </c>
      <c r="AQ183" s="77">
        <v>46492</v>
      </c>
      <c r="AR183" s="19">
        <f>AQ183-AP184</f>
        <v>52</v>
      </c>
      <c r="AS183" s="142" t="s">
        <v>449</v>
      </c>
      <c r="AT183" s="498" t="s">
        <v>466</v>
      </c>
      <c r="AU183" s="20"/>
      <c r="AV183" s="21"/>
      <c r="AW183" s="21"/>
      <c r="AX183" s="21"/>
      <c r="AY183" s="21"/>
      <c r="AZ183" s="21"/>
      <c r="BA183" s="21"/>
      <c r="BB183" s="21"/>
      <c r="BC183" s="21"/>
      <c r="BD183" s="21"/>
      <c r="BE183" s="402"/>
      <c r="BF183" s="415"/>
      <c r="BG183" s="428"/>
      <c r="BH183" s="428"/>
    </row>
    <row r="184" spans="1:60" s="3" customFormat="1" ht="19.149999999999999" customHeight="1" thickTop="1" thickBot="1" x14ac:dyDescent="0.45">
      <c r="A184" s="508"/>
      <c r="B184" s="92" t="s">
        <v>231</v>
      </c>
      <c r="C184" s="40" t="s">
        <v>233</v>
      </c>
      <c r="D184" s="23" t="s">
        <v>346</v>
      </c>
      <c r="E184" s="42" t="s">
        <v>57</v>
      </c>
      <c r="F184" s="45" t="s">
        <v>100</v>
      </c>
      <c r="G184" s="22" t="s">
        <v>51</v>
      </c>
      <c r="H184" s="40" t="s">
        <v>0</v>
      </c>
      <c r="I184" s="40" t="s">
        <v>324</v>
      </c>
      <c r="J184" s="208" t="s">
        <v>719</v>
      </c>
      <c r="K184" s="213" t="s">
        <v>656</v>
      </c>
      <c r="L184" s="208" t="s">
        <v>521</v>
      </c>
      <c r="M184" s="339" t="s">
        <v>708</v>
      </c>
      <c r="N184" s="208" t="s">
        <v>757</v>
      </c>
      <c r="O184" s="208"/>
      <c r="P184" s="175" t="s">
        <v>32</v>
      </c>
      <c r="Q184" s="25" t="s">
        <v>34</v>
      </c>
      <c r="R184" s="26"/>
      <c r="S184" s="27"/>
      <c r="T184" s="82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>
        <f>WORKDAY(AD185, 22, IF(AE12="China",'China Holidays'!$A$2:$A$84,'Thai Holidays'!$A$2:$A$65))</f>
        <v>46301</v>
      </c>
      <c r="AF184" s="27">
        <f>AE184+60</f>
        <v>46361</v>
      </c>
      <c r="AG184" s="27">
        <f>AF184</f>
        <v>46361</v>
      </c>
      <c r="AH184" s="27">
        <f>AG184+2</f>
        <v>46363</v>
      </c>
      <c r="AI184" s="27">
        <f>AJ184-25</f>
        <v>46385</v>
      </c>
      <c r="AJ184" s="27">
        <f>AK184-30</f>
        <v>46410</v>
      </c>
      <c r="AK184" s="27">
        <f>AP184</f>
        <v>46440</v>
      </c>
      <c r="AL184" s="27">
        <f>AP183+3</f>
        <v>46478</v>
      </c>
      <c r="AM184" s="27">
        <f>AP183+30</f>
        <v>46505</v>
      </c>
      <c r="AN184" s="80"/>
      <c r="AO184" s="78"/>
      <c r="AP184" s="82">
        <f>BG184</f>
        <v>46440</v>
      </c>
      <c r="AQ184" s="82"/>
      <c r="AR184" s="28"/>
      <c r="AS184" s="363" t="s">
        <v>913</v>
      </c>
      <c r="AT184" s="502"/>
      <c r="AU184" s="20"/>
      <c r="AV184" s="21"/>
      <c r="AW184" s="21"/>
      <c r="AX184" s="21"/>
      <c r="AY184" s="21"/>
      <c r="AZ184" s="21"/>
      <c r="BA184" s="21"/>
      <c r="BB184" s="21"/>
      <c r="BC184" s="21"/>
      <c r="BD184" s="21"/>
      <c r="BE184" s="402"/>
      <c r="BF184" s="415" t="s">
        <v>901</v>
      </c>
      <c r="BG184" s="428">
        <v>46440</v>
      </c>
      <c r="BH184" s="428"/>
    </row>
    <row r="185" spans="1:60" s="3" customFormat="1" ht="20.25" customHeight="1" thickTop="1" thickBot="1" x14ac:dyDescent="0.45">
      <c r="A185" s="509"/>
      <c r="B185" s="93" t="s">
        <v>231</v>
      </c>
      <c r="C185" s="31" t="s">
        <v>233</v>
      </c>
      <c r="D185" s="47" t="s">
        <v>346</v>
      </c>
      <c r="E185" s="44" t="s">
        <v>57</v>
      </c>
      <c r="F185" s="33" t="s">
        <v>100</v>
      </c>
      <c r="G185" s="31" t="s">
        <v>51</v>
      </c>
      <c r="H185" s="31" t="s">
        <v>0</v>
      </c>
      <c r="I185" s="31" t="s">
        <v>324</v>
      </c>
      <c r="J185" s="214"/>
      <c r="K185" s="214" t="s">
        <v>657</v>
      </c>
      <c r="L185" s="209" t="s">
        <v>608</v>
      </c>
      <c r="M185" s="209" t="s">
        <v>608</v>
      </c>
      <c r="N185" s="209"/>
      <c r="O185" s="209"/>
      <c r="P185" s="176" t="s">
        <v>32</v>
      </c>
      <c r="Q185" s="34" t="s">
        <v>35</v>
      </c>
      <c r="R185" s="35">
        <v>46164</v>
      </c>
      <c r="S185" s="35">
        <v>46133</v>
      </c>
      <c r="T185" s="35">
        <v>46153</v>
      </c>
      <c r="U185" s="35">
        <v>46167</v>
      </c>
      <c r="V185" s="35">
        <v>46167</v>
      </c>
      <c r="W185" s="35">
        <v>46179</v>
      </c>
      <c r="X185" s="379" t="s">
        <v>943</v>
      </c>
      <c r="Y185" s="379" t="s">
        <v>958</v>
      </c>
      <c r="Z185" s="35">
        <v>46267</v>
      </c>
      <c r="AA185" s="35">
        <v>46269</v>
      </c>
      <c r="AB185" s="35">
        <v>46269</v>
      </c>
      <c r="AC185" s="35">
        <v>46269</v>
      </c>
      <c r="AD185" s="35">
        <f>AC185</f>
        <v>46269</v>
      </c>
      <c r="AE185" s="35"/>
      <c r="AF185" s="35"/>
      <c r="AG185" s="35"/>
      <c r="AH185" s="35"/>
      <c r="AI185" s="35"/>
      <c r="AJ185" s="35"/>
      <c r="AK185" s="35"/>
      <c r="AL185" s="35"/>
      <c r="AM185" s="35"/>
      <c r="AN185" s="81"/>
      <c r="AO185" s="79"/>
      <c r="AP185" s="36"/>
      <c r="AQ185" s="36"/>
      <c r="AR185" s="37"/>
      <c r="AS185" s="141"/>
      <c r="AT185" s="503"/>
      <c r="AU185" s="38"/>
      <c r="AV185" s="39"/>
      <c r="AW185" s="39"/>
      <c r="AX185" s="39"/>
      <c r="AY185" s="39"/>
      <c r="AZ185" s="39"/>
      <c r="BA185" s="39"/>
      <c r="BB185" s="39"/>
      <c r="BC185" s="39"/>
      <c r="BD185" s="39"/>
      <c r="BE185" s="405"/>
      <c r="BF185" s="415"/>
      <c r="BG185" s="428"/>
      <c r="BH185" s="428"/>
    </row>
    <row r="186" spans="1:60" s="3" customFormat="1" ht="14.25" thickTop="1" thickBot="1" x14ac:dyDescent="0.45">
      <c r="A186" s="507">
        <f t="shared" ref="A186" si="40">A183+1</f>
        <v>50</v>
      </c>
      <c r="B186" s="91" t="s">
        <v>234</v>
      </c>
      <c r="C186" s="13" t="s">
        <v>102</v>
      </c>
      <c r="D186" s="338" t="s">
        <v>187</v>
      </c>
      <c r="E186" s="63" t="s">
        <v>101</v>
      </c>
      <c r="F186" s="15" t="s">
        <v>100</v>
      </c>
      <c r="G186" s="13" t="s">
        <v>31</v>
      </c>
      <c r="H186" s="13" t="s">
        <v>0</v>
      </c>
      <c r="I186" s="13" t="s">
        <v>286</v>
      </c>
      <c r="J186" s="345" t="s">
        <v>713</v>
      </c>
      <c r="K186" s="191" t="s">
        <v>661</v>
      </c>
      <c r="L186" s="191" t="s">
        <v>485</v>
      </c>
      <c r="M186" s="191" t="s">
        <v>696</v>
      </c>
      <c r="N186" s="191"/>
      <c r="O186" s="191"/>
      <c r="P186" s="174" t="s">
        <v>32</v>
      </c>
      <c r="Q186" s="17" t="s">
        <v>33</v>
      </c>
      <c r="R186" s="18">
        <v>46140</v>
      </c>
      <c r="S186" s="56">
        <v>46141</v>
      </c>
      <c r="T186" s="18">
        <v>46150</v>
      </c>
      <c r="U186" s="18">
        <v>46153</v>
      </c>
      <c r="V186" s="18">
        <v>46160</v>
      </c>
      <c r="W186" s="18">
        <v>46174</v>
      </c>
      <c r="X186" s="18">
        <v>46203</v>
      </c>
      <c r="Y186" s="18">
        <v>46206</v>
      </c>
      <c r="Z186" s="18"/>
      <c r="AA186" s="18">
        <v>46220</v>
      </c>
      <c r="AB186" s="18">
        <v>46224</v>
      </c>
      <c r="AC186" s="18">
        <v>46231</v>
      </c>
      <c r="AD186" s="18">
        <v>46259</v>
      </c>
      <c r="AE186" s="206">
        <v>46273</v>
      </c>
      <c r="AF186" s="18">
        <v>46333</v>
      </c>
      <c r="AG186" s="18">
        <v>46333</v>
      </c>
      <c r="AH186" s="18">
        <v>46335</v>
      </c>
      <c r="AI186" s="18">
        <v>46450</v>
      </c>
      <c r="AJ186" s="18">
        <v>46470</v>
      </c>
      <c r="AK186" s="18">
        <v>46500</v>
      </c>
      <c r="AL186" s="18">
        <v>46503</v>
      </c>
      <c r="AM186" s="18">
        <v>46530</v>
      </c>
      <c r="AN186" s="57">
        <v>40</v>
      </c>
      <c r="AO186" s="58">
        <v>280</v>
      </c>
      <c r="AP186" s="77">
        <f>AQ186-7</f>
        <v>46485</v>
      </c>
      <c r="AQ186" s="77">
        <v>46492</v>
      </c>
      <c r="AR186" s="19">
        <f>AQ186-AP187</f>
        <v>47</v>
      </c>
      <c r="AS186" s="142" t="s">
        <v>449</v>
      </c>
      <c r="AT186" s="498" t="s">
        <v>433</v>
      </c>
      <c r="AU186" s="20"/>
      <c r="AV186" s="21"/>
      <c r="AW186" s="21"/>
      <c r="AX186" s="21"/>
      <c r="AY186" s="21"/>
      <c r="AZ186" s="21"/>
      <c r="BA186" s="21"/>
      <c r="BB186" s="21"/>
      <c r="BC186" s="21"/>
      <c r="BD186" s="21"/>
      <c r="BE186" s="402"/>
      <c r="BF186" s="415"/>
      <c r="BG186" s="428"/>
      <c r="BH186" s="428"/>
    </row>
    <row r="187" spans="1:60" s="3" customFormat="1" ht="21" thickTop="1" thickBot="1" x14ac:dyDescent="0.45">
      <c r="A187" s="508"/>
      <c r="B187" s="92" t="s">
        <v>234</v>
      </c>
      <c r="C187" s="40" t="s">
        <v>102</v>
      </c>
      <c r="D187" s="23" t="s">
        <v>187</v>
      </c>
      <c r="E187" s="42" t="s">
        <v>101</v>
      </c>
      <c r="F187" s="45" t="s">
        <v>100</v>
      </c>
      <c r="G187" s="22" t="s">
        <v>31</v>
      </c>
      <c r="H187" s="40" t="s">
        <v>0</v>
      </c>
      <c r="I187" s="40" t="s">
        <v>286</v>
      </c>
      <c r="J187" s="208" t="s">
        <v>714</v>
      </c>
      <c r="K187" s="208" t="s">
        <v>659</v>
      </c>
      <c r="L187" s="208" t="s">
        <v>660</v>
      </c>
      <c r="M187" s="208" t="s">
        <v>712</v>
      </c>
      <c r="N187" s="208" t="s">
        <v>660</v>
      </c>
      <c r="O187" s="208" t="s">
        <v>660</v>
      </c>
      <c r="P187" s="175" t="s">
        <v>32</v>
      </c>
      <c r="Q187" s="25" t="s">
        <v>34</v>
      </c>
      <c r="R187" s="26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>
        <f>WORKDAY(AD188, 22, IF(AE12="China",'China Holidays'!$A$2:$A$84,'Thai Holidays'!$A$2:$A$65))</f>
        <v>46297</v>
      </c>
      <c r="AF187" s="27">
        <f>AE187+60</f>
        <v>46357</v>
      </c>
      <c r="AG187" s="27">
        <f>AF187</f>
        <v>46357</v>
      </c>
      <c r="AH187" s="27">
        <f>AG187+2</f>
        <v>46359</v>
      </c>
      <c r="AI187" s="27">
        <f>AJ187-20</f>
        <v>46395</v>
      </c>
      <c r="AJ187" s="27">
        <f>AK187-30</f>
        <v>46415</v>
      </c>
      <c r="AK187" s="27">
        <f>AP187</f>
        <v>46445</v>
      </c>
      <c r="AL187" s="27">
        <f>AP186+3</f>
        <v>46488</v>
      </c>
      <c r="AM187" s="27">
        <f>AP186+30</f>
        <v>46515</v>
      </c>
      <c r="AN187" s="80"/>
      <c r="AO187" s="78"/>
      <c r="AP187" s="82">
        <f>BG187+7</f>
        <v>46445</v>
      </c>
      <c r="AQ187" s="82"/>
      <c r="AR187" s="28"/>
      <c r="AS187" s="363" t="s">
        <v>777</v>
      </c>
      <c r="AT187" s="502"/>
      <c r="AU187" s="20"/>
      <c r="AV187" s="21"/>
      <c r="AW187" s="21"/>
      <c r="AX187" s="21"/>
      <c r="AY187" s="21"/>
      <c r="AZ187" s="21"/>
      <c r="BA187" s="21"/>
      <c r="BB187" s="21"/>
      <c r="BC187" s="21"/>
      <c r="BD187" s="21"/>
      <c r="BE187" s="402"/>
      <c r="BF187" s="415" t="s">
        <v>901</v>
      </c>
      <c r="BG187" s="428">
        <v>46438</v>
      </c>
      <c r="BH187" s="428"/>
    </row>
    <row r="188" spans="1:60" s="3" customFormat="1" ht="17.649999999999999" customHeight="1" thickTop="1" thickBot="1" x14ac:dyDescent="0.45">
      <c r="A188" s="509"/>
      <c r="B188" s="93" t="s">
        <v>234</v>
      </c>
      <c r="C188" s="31" t="s">
        <v>102</v>
      </c>
      <c r="D188" s="47" t="s">
        <v>187</v>
      </c>
      <c r="E188" s="44" t="s">
        <v>101</v>
      </c>
      <c r="F188" s="33" t="s">
        <v>100</v>
      </c>
      <c r="G188" s="31" t="s">
        <v>31</v>
      </c>
      <c r="H188" s="31" t="s">
        <v>0</v>
      </c>
      <c r="I188" s="31" t="s">
        <v>286</v>
      </c>
      <c r="J188" s="209"/>
      <c r="K188" s="209" t="s">
        <v>662</v>
      </c>
      <c r="L188" s="209" t="s">
        <v>628</v>
      </c>
      <c r="M188" s="209" t="s">
        <v>695</v>
      </c>
      <c r="N188" s="209"/>
      <c r="O188" s="209"/>
      <c r="P188" s="176" t="s">
        <v>32</v>
      </c>
      <c r="Q188" s="34" t="s">
        <v>35</v>
      </c>
      <c r="R188" s="35">
        <v>46133</v>
      </c>
      <c r="S188" s="36">
        <v>46133</v>
      </c>
      <c r="T188" s="35">
        <v>46153</v>
      </c>
      <c r="U188" s="35">
        <v>46153</v>
      </c>
      <c r="V188" s="35">
        <v>46153</v>
      </c>
      <c r="W188" s="35">
        <v>46178</v>
      </c>
      <c r="X188" s="35">
        <v>46217</v>
      </c>
      <c r="Y188" s="35">
        <v>46230</v>
      </c>
      <c r="Z188" s="35">
        <v>46224</v>
      </c>
      <c r="AA188" s="35">
        <v>46234</v>
      </c>
      <c r="AB188" s="35">
        <v>46268</v>
      </c>
      <c r="AC188" s="35">
        <v>46234</v>
      </c>
      <c r="AD188" s="35">
        <v>46267</v>
      </c>
      <c r="AE188" s="372" t="s">
        <v>1059</v>
      </c>
      <c r="AF188" s="35"/>
      <c r="AG188" s="35"/>
      <c r="AH188" s="35"/>
      <c r="AI188" s="35"/>
      <c r="AJ188" s="35"/>
      <c r="AK188" s="35"/>
      <c r="AL188" s="35"/>
      <c r="AM188" s="35"/>
      <c r="AN188" s="81"/>
      <c r="AO188" s="79"/>
      <c r="AP188" s="36" t="s">
        <v>904</v>
      </c>
      <c r="AQ188" s="36"/>
      <c r="AR188" s="37"/>
      <c r="AS188" s="141"/>
      <c r="AT188" s="503"/>
      <c r="AU188" s="38"/>
      <c r="AV188" s="39"/>
      <c r="AW188" s="39"/>
      <c r="AX188" s="39"/>
      <c r="AY188" s="39"/>
      <c r="AZ188" s="39"/>
      <c r="BA188" s="39"/>
      <c r="BB188" s="39"/>
      <c r="BC188" s="39"/>
      <c r="BD188" s="39"/>
      <c r="BE188" s="405"/>
      <c r="BF188" s="415"/>
      <c r="BG188" s="428"/>
      <c r="BH188" s="428"/>
    </row>
    <row r="189" spans="1:60" s="3" customFormat="1" ht="14.25" thickTop="1" thickBot="1" x14ac:dyDescent="0.45">
      <c r="A189" s="507">
        <f t="shared" ref="A189" si="41">A186+1</f>
        <v>51</v>
      </c>
      <c r="B189" s="91" t="s">
        <v>235</v>
      </c>
      <c r="C189" s="13" t="s">
        <v>331</v>
      </c>
      <c r="D189" s="338" t="s">
        <v>442</v>
      </c>
      <c r="E189" s="63" t="s">
        <v>109</v>
      </c>
      <c r="F189" s="15" t="s">
        <v>100</v>
      </c>
      <c r="G189" s="13" t="s">
        <v>51</v>
      </c>
      <c r="H189" s="13" t="s">
        <v>0</v>
      </c>
      <c r="I189" s="13" t="s">
        <v>324</v>
      </c>
      <c r="J189" s="345" t="s">
        <v>876</v>
      </c>
      <c r="K189" s="193" t="s">
        <v>663</v>
      </c>
      <c r="L189" s="297" t="s">
        <v>663</v>
      </c>
      <c r="M189" s="297"/>
      <c r="N189" s="354"/>
      <c r="O189" s="212"/>
      <c r="P189" s="174" t="s">
        <v>32</v>
      </c>
      <c r="Q189" s="17" t="s">
        <v>33</v>
      </c>
      <c r="R189" s="18">
        <v>46176</v>
      </c>
      <c r="S189" s="18">
        <v>46177</v>
      </c>
      <c r="T189" s="18">
        <v>46184</v>
      </c>
      <c r="U189" s="18">
        <v>46185</v>
      </c>
      <c r="V189" s="18">
        <v>46192</v>
      </c>
      <c r="W189" s="18">
        <v>46206</v>
      </c>
      <c r="X189" s="18">
        <v>46238</v>
      </c>
      <c r="Y189" s="18">
        <v>46241</v>
      </c>
      <c r="Z189" s="18"/>
      <c r="AA189" s="18">
        <v>46255</v>
      </c>
      <c r="AB189" s="18">
        <v>46259</v>
      </c>
      <c r="AC189" s="18">
        <v>46266</v>
      </c>
      <c r="AD189" s="206">
        <v>46295</v>
      </c>
      <c r="AE189" s="18">
        <v>46310</v>
      </c>
      <c r="AF189" s="18">
        <v>46370</v>
      </c>
      <c r="AG189" s="18">
        <v>46370</v>
      </c>
      <c r="AH189" s="18">
        <v>46372</v>
      </c>
      <c r="AI189" s="18">
        <v>46434</v>
      </c>
      <c r="AJ189" s="18">
        <v>46449</v>
      </c>
      <c r="AK189" s="18">
        <v>46479</v>
      </c>
      <c r="AL189" s="18">
        <v>46482</v>
      </c>
      <c r="AM189" s="18">
        <v>46509</v>
      </c>
      <c r="AN189" s="57">
        <v>32</v>
      </c>
      <c r="AO189" s="58">
        <v>224</v>
      </c>
      <c r="AP189" s="77">
        <v>46479</v>
      </c>
      <c r="AQ189" s="77">
        <v>46492</v>
      </c>
      <c r="AR189" s="19">
        <f>AQ189-AP190</f>
        <v>107</v>
      </c>
      <c r="AS189" s="142" t="s">
        <v>449</v>
      </c>
      <c r="AT189" s="504" t="s">
        <v>465</v>
      </c>
      <c r="AU189" s="20"/>
      <c r="AV189" s="21"/>
      <c r="AW189" s="21"/>
      <c r="AX189" s="21"/>
      <c r="AY189" s="21"/>
      <c r="AZ189" s="21"/>
      <c r="BA189" s="21"/>
      <c r="BB189" s="21"/>
      <c r="BC189" s="21"/>
      <c r="BD189" s="21"/>
      <c r="BE189" s="402"/>
      <c r="BF189" s="415"/>
      <c r="BG189" s="407"/>
      <c r="BH189" s="407"/>
    </row>
    <row r="190" spans="1:60" s="3" customFormat="1" ht="14.25" thickTop="1" thickBot="1" x14ac:dyDescent="0.45">
      <c r="A190" s="508"/>
      <c r="B190" s="92" t="s">
        <v>235</v>
      </c>
      <c r="C190" s="40" t="s">
        <v>105</v>
      </c>
      <c r="D190" s="23" t="s">
        <v>441</v>
      </c>
      <c r="E190" s="42" t="s">
        <v>109</v>
      </c>
      <c r="F190" s="45" t="s">
        <v>100</v>
      </c>
      <c r="G190" s="22" t="s">
        <v>51</v>
      </c>
      <c r="H190" s="40" t="s">
        <v>0</v>
      </c>
      <c r="I190" s="40" t="s">
        <v>324</v>
      </c>
      <c r="J190" s="208" t="s">
        <v>875</v>
      </c>
      <c r="K190" s="194" t="s">
        <v>664</v>
      </c>
      <c r="L190" s="296" t="s">
        <v>664</v>
      </c>
      <c r="M190" s="296" t="s">
        <v>664</v>
      </c>
      <c r="N190" s="352" t="s">
        <v>759</v>
      </c>
      <c r="O190" s="192"/>
      <c r="P190" s="175" t="s">
        <v>32</v>
      </c>
      <c r="Q190" s="25" t="s">
        <v>34</v>
      </c>
      <c r="R190" s="26"/>
      <c r="S190" s="27"/>
      <c r="T190" s="82"/>
      <c r="U190" s="27"/>
      <c r="V190" s="27"/>
      <c r="W190" s="27"/>
      <c r="X190" s="27"/>
      <c r="Y190" s="27"/>
      <c r="Z190" s="27"/>
      <c r="AA190" s="27"/>
      <c r="AB190" s="27"/>
      <c r="AC190" s="27"/>
      <c r="AD190" s="27">
        <v>46289</v>
      </c>
      <c r="AE190" s="27">
        <f>WORKDAY(AD190, AE7, IF(AE12="China",'China Holidays'!$A$2:$A$84,'Thai Holidays'!$A$2:$A$65))</f>
        <v>46303</v>
      </c>
      <c r="AF190" s="27">
        <f>AE190+60</f>
        <v>46363</v>
      </c>
      <c r="AG190" s="27">
        <f>AF190</f>
        <v>46363</v>
      </c>
      <c r="AH190" s="27">
        <f>AG190+2</f>
        <v>46365</v>
      </c>
      <c r="AI190" s="27">
        <f>AJ190-15</f>
        <v>46434</v>
      </c>
      <c r="AJ190" s="27">
        <f>AK190-30</f>
        <v>46449</v>
      </c>
      <c r="AK190" s="27">
        <f>AP189</f>
        <v>46479</v>
      </c>
      <c r="AL190" s="27">
        <f>AP189+3</f>
        <v>46482</v>
      </c>
      <c r="AM190" s="27">
        <f>AP189+30</f>
        <v>46509</v>
      </c>
      <c r="AN190" s="80"/>
      <c r="AO190" s="78"/>
      <c r="AP190" s="82">
        <f>BG190</f>
        <v>46385</v>
      </c>
      <c r="AQ190" s="82"/>
      <c r="AR190" s="28"/>
      <c r="AS190" s="363" t="s">
        <v>913</v>
      </c>
      <c r="AT190" s="513"/>
      <c r="AU190" s="20"/>
      <c r="AV190" s="21"/>
      <c r="AW190" s="21"/>
      <c r="AX190" s="21"/>
      <c r="AY190" s="21"/>
      <c r="AZ190" s="21"/>
      <c r="BA190" s="21"/>
      <c r="BB190" s="21"/>
      <c r="BC190" s="21"/>
      <c r="BD190" s="21"/>
      <c r="BE190" s="402"/>
      <c r="BF190" s="415" t="s">
        <v>901</v>
      </c>
      <c r="BG190" s="428">
        <v>46385</v>
      </c>
      <c r="BH190" s="428"/>
    </row>
    <row r="191" spans="1:60" s="3" customFormat="1" ht="14.25" thickTop="1" thickBot="1" x14ac:dyDescent="0.45">
      <c r="A191" s="509"/>
      <c r="B191" s="93" t="s">
        <v>235</v>
      </c>
      <c r="C191" s="31" t="s">
        <v>105</v>
      </c>
      <c r="D191" s="47" t="s">
        <v>442</v>
      </c>
      <c r="E191" s="44" t="s">
        <v>109</v>
      </c>
      <c r="F191" s="33" t="s">
        <v>100</v>
      </c>
      <c r="G191" s="31" t="s">
        <v>51</v>
      </c>
      <c r="H191" s="31" t="s">
        <v>0</v>
      </c>
      <c r="I191" s="31" t="s">
        <v>324</v>
      </c>
      <c r="J191" s="44"/>
      <c r="K191" s="195" t="s">
        <v>665</v>
      </c>
      <c r="L191" s="298" t="s">
        <v>665</v>
      </c>
      <c r="M191" s="298" t="s">
        <v>665</v>
      </c>
      <c r="N191" s="353" t="s">
        <v>760</v>
      </c>
      <c r="O191" s="44"/>
      <c r="P191" s="176" t="s">
        <v>32</v>
      </c>
      <c r="Q191" s="34" t="s">
        <v>35</v>
      </c>
      <c r="R191" s="35">
        <v>46164</v>
      </c>
      <c r="S191" s="35">
        <v>46125</v>
      </c>
      <c r="T191" s="35">
        <v>46147</v>
      </c>
      <c r="U191" s="35">
        <v>46170</v>
      </c>
      <c r="V191" s="35">
        <v>46170</v>
      </c>
      <c r="W191" s="35">
        <v>46183</v>
      </c>
      <c r="X191" s="35">
        <v>46227</v>
      </c>
      <c r="Y191" s="35">
        <v>46236</v>
      </c>
      <c r="Z191" s="35">
        <v>46259</v>
      </c>
      <c r="AA191" s="35">
        <v>46266</v>
      </c>
      <c r="AB191" s="35">
        <v>46269</v>
      </c>
      <c r="AC191" s="35">
        <v>46269</v>
      </c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81"/>
      <c r="AO191" s="79"/>
      <c r="AP191" s="36"/>
      <c r="AQ191" s="36"/>
      <c r="AR191" s="37"/>
      <c r="AS191" s="141"/>
      <c r="AT191" s="514"/>
      <c r="AU191" s="38"/>
      <c r="AV191" s="39"/>
      <c r="AW191" s="39"/>
      <c r="AX191" s="39"/>
      <c r="AY191" s="39"/>
      <c r="AZ191" s="39"/>
      <c r="BA191" s="39"/>
      <c r="BB191" s="39"/>
      <c r="BC191" s="39"/>
      <c r="BD191" s="39"/>
      <c r="BE191" s="405"/>
      <c r="BF191" s="415"/>
      <c r="BG191" s="407"/>
      <c r="BH191" s="407"/>
    </row>
    <row r="192" spans="1:60" s="3" customFormat="1" ht="14.25" thickTop="1" thickBot="1" x14ac:dyDescent="0.45">
      <c r="A192" s="507">
        <f t="shared" ref="A192" si="42">A189+1</f>
        <v>52</v>
      </c>
      <c r="B192" s="91" t="s">
        <v>236</v>
      </c>
      <c r="C192" s="13" t="s">
        <v>106</v>
      </c>
      <c r="D192" s="203" t="s">
        <v>809</v>
      </c>
      <c r="E192" s="63" t="s">
        <v>111</v>
      </c>
      <c r="F192" s="15" t="s">
        <v>100</v>
      </c>
      <c r="G192" s="13" t="s">
        <v>51</v>
      </c>
      <c r="H192" s="13" t="s">
        <v>1</v>
      </c>
      <c r="I192" s="13" t="s">
        <v>322</v>
      </c>
      <c r="J192" s="191"/>
      <c r="K192" s="191" t="s">
        <v>525</v>
      </c>
      <c r="L192" s="308" t="s">
        <v>1064</v>
      </c>
      <c r="M192" s="191"/>
      <c r="N192" s="191"/>
      <c r="O192" s="191"/>
      <c r="P192" s="174" t="s">
        <v>32</v>
      </c>
      <c r="Q192" s="17" t="s">
        <v>33</v>
      </c>
      <c r="R192" s="18">
        <v>46240</v>
      </c>
      <c r="S192" s="18">
        <v>46243</v>
      </c>
      <c r="T192" s="18">
        <v>46258</v>
      </c>
      <c r="U192" s="18">
        <v>46258</v>
      </c>
      <c r="V192" s="18">
        <v>46258</v>
      </c>
      <c r="W192" s="18">
        <v>46272</v>
      </c>
      <c r="X192" s="206">
        <v>46289</v>
      </c>
      <c r="Y192" s="18">
        <v>46303</v>
      </c>
      <c r="Z192" s="18"/>
      <c r="AA192" s="18">
        <v>46316</v>
      </c>
      <c r="AB192" s="18">
        <v>46318</v>
      </c>
      <c r="AC192" s="18">
        <v>46325</v>
      </c>
      <c r="AD192" s="18">
        <v>46346</v>
      </c>
      <c r="AE192" s="18">
        <v>46360</v>
      </c>
      <c r="AF192" s="18">
        <v>46380</v>
      </c>
      <c r="AG192" s="18">
        <v>46380</v>
      </c>
      <c r="AH192" s="18">
        <v>46382</v>
      </c>
      <c r="AI192" s="18">
        <v>46440.97</v>
      </c>
      <c r="AJ192" s="18">
        <v>46450.97</v>
      </c>
      <c r="AK192" s="18">
        <v>46460.97</v>
      </c>
      <c r="AL192" s="18">
        <v>46463.97</v>
      </c>
      <c r="AM192" s="18">
        <v>46490.97</v>
      </c>
      <c r="AN192" s="57">
        <v>20.71</v>
      </c>
      <c r="AO192" s="58">
        <v>144.97</v>
      </c>
      <c r="AP192" s="77">
        <v>46460.97</v>
      </c>
      <c r="AQ192" s="77">
        <v>46492</v>
      </c>
      <c r="AR192" s="19">
        <f>AQ192-AP193</f>
        <v>31.029999999998836</v>
      </c>
      <c r="AS192" s="142" t="s">
        <v>449</v>
      </c>
      <c r="AT192" s="501"/>
      <c r="AU192" s="20"/>
      <c r="AV192" s="21"/>
      <c r="AW192" s="21"/>
      <c r="AX192" s="21"/>
      <c r="AY192" s="21"/>
      <c r="AZ192" s="21"/>
      <c r="BA192" s="21"/>
      <c r="BB192" s="21"/>
      <c r="BC192" s="21"/>
      <c r="BD192" s="21"/>
      <c r="BE192" s="402"/>
      <c r="BF192" s="415"/>
      <c r="BG192" s="407"/>
      <c r="BH192" s="407"/>
    </row>
    <row r="193" spans="1:61" s="3" customFormat="1" ht="14.25" thickTop="1" thickBot="1" x14ac:dyDescent="0.45">
      <c r="A193" s="508"/>
      <c r="B193" s="92" t="s">
        <v>236</v>
      </c>
      <c r="C193" s="40" t="s">
        <v>106</v>
      </c>
      <c r="D193" s="23" t="s">
        <v>110</v>
      </c>
      <c r="E193" s="42" t="s">
        <v>111</v>
      </c>
      <c r="F193" s="45" t="s">
        <v>100</v>
      </c>
      <c r="G193" s="22" t="s">
        <v>51</v>
      </c>
      <c r="H193" s="40" t="s">
        <v>1</v>
      </c>
      <c r="I193" s="40" t="s">
        <v>322</v>
      </c>
      <c r="J193" s="192"/>
      <c r="K193" s="192" t="s">
        <v>888</v>
      </c>
      <c r="L193" s="370" t="s">
        <v>1071</v>
      </c>
      <c r="M193" s="192"/>
      <c r="N193" s="192"/>
      <c r="O193" s="192"/>
      <c r="P193" s="175" t="s">
        <v>32</v>
      </c>
      <c r="Q193" s="25" t="s">
        <v>34</v>
      </c>
      <c r="R193" s="26"/>
      <c r="S193" s="27"/>
      <c r="T193" s="27"/>
      <c r="U193" s="27"/>
      <c r="V193" s="27"/>
      <c r="W193" s="27"/>
      <c r="X193" s="27">
        <f>X192</f>
        <v>46289</v>
      </c>
      <c r="Y193" s="27">
        <f>WORKDAY(X193, Y8, IF(Y12="China",'China Holidays'!$A$2:$A$84,'Thai Holidays'!$A$2:$A$65))</f>
        <v>46303</v>
      </c>
      <c r="Z193" s="27"/>
      <c r="AA193" s="27">
        <f>WORKDAY(Y193, AA8, IF(AA12="China",'China Holidays'!$A$2:$A$84,'Thai Holidays'!$A$2:$A$65))</f>
        <v>46316</v>
      </c>
      <c r="AB193" s="27">
        <f>WORKDAY(AA193, AB8, IF(AB12="China",'China Holidays'!$A$2:$A$84,'Thai Holidays'!$A$2:$A$65))</f>
        <v>46318</v>
      </c>
      <c r="AC193" s="27">
        <f>WORKDAY(AB193, AC8, IF(AC12="China",'China Holidays'!$A$2:$A$84,'Thai Holidays'!$A$2:$A$65))</f>
        <v>46325</v>
      </c>
      <c r="AD193" s="27">
        <f>WORKDAY(AC193, AD8, IF(AD12="China",'China Holidays'!$A$2:$A$84,'Thai Holidays'!$A$2:$A$65))</f>
        <v>46346</v>
      </c>
      <c r="AE193" s="27">
        <f>WORKDAY(AD193, AE8, IF(AE12="China",'China Holidays'!$A$2:$A$84,'Thai Holidays'!$A$2:$A$65))</f>
        <v>46360</v>
      </c>
      <c r="AF193" s="27">
        <f>AE193+20</f>
        <v>46380</v>
      </c>
      <c r="AG193" s="27">
        <f>AF193</f>
        <v>46380</v>
      </c>
      <c r="AH193" s="27">
        <f>AG193+2</f>
        <v>46382</v>
      </c>
      <c r="AI193" s="27">
        <f>AJ193-10</f>
        <v>46440.97</v>
      </c>
      <c r="AJ193" s="27">
        <f>AK193-10</f>
        <v>46450.97</v>
      </c>
      <c r="AK193" s="27">
        <f>AP192</f>
        <v>46460.97</v>
      </c>
      <c r="AL193" s="27">
        <f>AP192+3</f>
        <v>46463.97</v>
      </c>
      <c r="AM193" s="27">
        <f>AP192+30</f>
        <v>46490.97</v>
      </c>
      <c r="AN193" s="80"/>
      <c r="AO193" s="78"/>
      <c r="AP193" s="82">
        <f>AA193+AO192</f>
        <v>46460.97</v>
      </c>
      <c r="AQ193" s="82"/>
      <c r="AR193" s="28"/>
      <c r="AS193" s="140"/>
      <c r="AT193" s="502"/>
      <c r="AU193" s="20"/>
      <c r="AV193" s="21"/>
      <c r="AW193" s="21"/>
      <c r="AX193" s="21"/>
      <c r="AY193" s="21"/>
      <c r="AZ193" s="21"/>
      <c r="BA193" s="21"/>
      <c r="BB193" s="21"/>
      <c r="BC193" s="21"/>
      <c r="BD193" s="21"/>
      <c r="BE193" s="402"/>
      <c r="BF193" s="415"/>
      <c r="BG193" s="407"/>
      <c r="BH193" s="407"/>
    </row>
    <row r="194" spans="1:61" s="3" customFormat="1" ht="14.25" thickTop="1" thickBot="1" x14ac:dyDescent="0.45">
      <c r="A194" s="509"/>
      <c r="B194" s="93" t="s">
        <v>236</v>
      </c>
      <c r="C194" s="31" t="s">
        <v>106</v>
      </c>
      <c r="D194" s="47" t="s">
        <v>110</v>
      </c>
      <c r="E194" s="44" t="s">
        <v>111</v>
      </c>
      <c r="F194" s="33" t="s">
        <v>100</v>
      </c>
      <c r="G194" s="31" t="s">
        <v>51</v>
      </c>
      <c r="H194" s="31" t="s">
        <v>1</v>
      </c>
      <c r="I194" s="31" t="s">
        <v>322</v>
      </c>
      <c r="J194" s="44"/>
      <c r="K194" s="195" t="s">
        <v>801</v>
      </c>
      <c r="L194" s="371" t="s">
        <v>1078</v>
      </c>
      <c r="M194" s="44"/>
      <c r="N194" s="44"/>
      <c r="O194" s="44"/>
      <c r="P194" s="176" t="s">
        <v>32</v>
      </c>
      <c r="Q194" s="34" t="s">
        <v>35</v>
      </c>
      <c r="R194" s="35">
        <v>46246</v>
      </c>
      <c r="S194" s="35">
        <v>46153</v>
      </c>
      <c r="T194" s="35">
        <v>46172</v>
      </c>
      <c r="U194" s="35">
        <v>46248</v>
      </c>
      <c r="V194" s="35">
        <v>46248</v>
      </c>
      <c r="W194" s="35">
        <v>46265</v>
      </c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81"/>
      <c r="AO194" s="79"/>
      <c r="AP194" s="36"/>
      <c r="AQ194" s="36"/>
      <c r="AR194" s="37"/>
      <c r="AS194" s="141"/>
      <c r="AT194" s="503"/>
      <c r="AU194" s="38"/>
      <c r="AV194" s="39"/>
      <c r="AW194" s="39"/>
      <c r="AX194" s="39"/>
      <c r="AY194" s="39"/>
      <c r="AZ194" s="39"/>
      <c r="BA194" s="39"/>
      <c r="BB194" s="39"/>
      <c r="BC194" s="39"/>
      <c r="BD194" s="39"/>
      <c r="BE194" s="405"/>
      <c r="BF194" s="415"/>
      <c r="BG194" s="407"/>
      <c r="BH194" s="407"/>
    </row>
    <row r="195" spans="1:61" s="3" customFormat="1" ht="14.25" thickTop="1" thickBot="1" x14ac:dyDescent="0.45">
      <c r="A195" s="507">
        <f t="shared" ref="A195" si="43">A192+1</f>
        <v>53</v>
      </c>
      <c r="B195" s="91" t="s">
        <v>237</v>
      </c>
      <c r="C195" s="13" t="s">
        <v>412</v>
      </c>
      <c r="D195" s="338" t="s">
        <v>336</v>
      </c>
      <c r="E195" s="63" t="s">
        <v>99</v>
      </c>
      <c r="F195" s="15" t="s">
        <v>100</v>
      </c>
      <c r="G195" s="13" t="s">
        <v>31</v>
      </c>
      <c r="H195" s="13" t="s">
        <v>0</v>
      </c>
      <c r="I195" s="13" t="s">
        <v>286</v>
      </c>
      <c r="J195" s="345" t="s">
        <v>715</v>
      </c>
      <c r="K195" s="191" t="s">
        <v>666</v>
      </c>
      <c r="L195" s="191" t="s">
        <v>667</v>
      </c>
      <c r="M195" s="340" t="s">
        <v>710</v>
      </c>
      <c r="N195" s="191" t="s">
        <v>667</v>
      </c>
      <c r="O195" s="191" t="s">
        <v>667</v>
      </c>
      <c r="P195" s="174" t="s">
        <v>32</v>
      </c>
      <c r="Q195" s="17" t="s">
        <v>33</v>
      </c>
      <c r="R195" s="18">
        <v>46135</v>
      </c>
      <c r="S195" s="18">
        <v>46136</v>
      </c>
      <c r="T195" s="18">
        <v>46147</v>
      </c>
      <c r="U195" s="18">
        <v>46148</v>
      </c>
      <c r="V195" s="18">
        <v>46155</v>
      </c>
      <c r="W195" s="18">
        <v>46169</v>
      </c>
      <c r="X195" s="18">
        <v>46199</v>
      </c>
      <c r="Y195" s="18">
        <v>46204</v>
      </c>
      <c r="Z195" s="18"/>
      <c r="AA195" s="18">
        <v>46218</v>
      </c>
      <c r="AB195" s="18">
        <v>46220</v>
      </c>
      <c r="AC195" s="18">
        <v>46227</v>
      </c>
      <c r="AD195" s="18">
        <v>46255</v>
      </c>
      <c r="AE195" s="206">
        <v>46269</v>
      </c>
      <c r="AF195" s="18">
        <v>46309</v>
      </c>
      <c r="AG195" s="18">
        <v>46309</v>
      </c>
      <c r="AH195" s="18">
        <v>46311</v>
      </c>
      <c r="AI195" s="18">
        <v>46440</v>
      </c>
      <c r="AJ195" s="18">
        <v>46460</v>
      </c>
      <c r="AK195" s="18">
        <v>46470</v>
      </c>
      <c r="AL195" s="18">
        <v>46473</v>
      </c>
      <c r="AM195" s="18">
        <v>46500</v>
      </c>
      <c r="AN195" s="57">
        <v>32</v>
      </c>
      <c r="AO195" s="58">
        <v>252</v>
      </c>
      <c r="AP195" s="77">
        <v>46469</v>
      </c>
      <c r="AQ195" s="77">
        <v>46469</v>
      </c>
      <c r="AR195" s="19">
        <f>AQ195-AP196</f>
        <v>1</v>
      </c>
      <c r="AS195" s="142" t="s">
        <v>848</v>
      </c>
      <c r="AT195" s="498" t="s">
        <v>434</v>
      </c>
      <c r="AU195" s="20"/>
      <c r="AV195" s="21"/>
      <c r="AW195" s="21"/>
      <c r="AX195" s="21"/>
      <c r="AY195" s="21"/>
      <c r="AZ195" s="21"/>
      <c r="BA195" s="21"/>
      <c r="BB195" s="21"/>
      <c r="BC195" s="21"/>
      <c r="BD195" s="21"/>
      <c r="BE195" s="402"/>
      <c r="BF195" s="415"/>
      <c r="BG195" s="407"/>
      <c r="BH195" s="407"/>
      <c r="BI195" s="217"/>
    </row>
    <row r="196" spans="1:61" s="3" customFormat="1" ht="15.75" customHeight="1" thickTop="1" thickBot="1" x14ac:dyDescent="0.45">
      <c r="A196" s="508"/>
      <c r="B196" s="92" t="s">
        <v>237</v>
      </c>
      <c r="C196" s="40" t="s">
        <v>108</v>
      </c>
      <c r="D196" s="23" t="s">
        <v>336</v>
      </c>
      <c r="E196" s="42" t="s">
        <v>99</v>
      </c>
      <c r="F196" s="45" t="s">
        <v>100</v>
      </c>
      <c r="G196" s="22" t="s">
        <v>31</v>
      </c>
      <c r="H196" s="40" t="s">
        <v>0</v>
      </c>
      <c r="I196" s="40" t="s">
        <v>286</v>
      </c>
      <c r="J196" s="208" t="s">
        <v>716</v>
      </c>
      <c r="K196" s="192" t="s">
        <v>608</v>
      </c>
      <c r="L196" s="192" t="s">
        <v>629</v>
      </c>
      <c r="M196" s="192" t="s">
        <v>629</v>
      </c>
      <c r="N196" s="192" t="s">
        <v>629</v>
      </c>
      <c r="O196" s="192" t="s">
        <v>715</v>
      </c>
      <c r="P196" s="175" t="s">
        <v>32</v>
      </c>
      <c r="Q196" s="25" t="s">
        <v>34</v>
      </c>
      <c r="R196" s="26"/>
      <c r="S196" s="27"/>
      <c r="T196" s="82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>
        <v>46283</v>
      </c>
      <c r="AF196" s="27">
        <f>AE196+40</f>
        <v>46323</v>
      </c>
      <c r="AG196" s="27">
        <f>AF196</f>
        <v>46323</v>
      </c>
      <c r="AH196" s="27">
        <f>AG196+2</f>
        <v>46325</v>
      </c>
      <c r="AI196" s="27">
        <f>AJ196-20</f>
        <v>46439</v>
      </c>
      <c r="AJ196" s="27">
        <f>AK196-10</f>
        <v>46459</v>
      </c>
      <c r="AK196" s="27">
        <f>AP195</f>
        <v>46469</v>
      </c>
      <c r="AL196" s="27">
        <f>AP195+3</f>
        <v>46472</v>
      </c>
      <c r="AM196" s="27">
        <f>AP195+30</f>
        <v>46499</v>
      </c>
      <c r="AN196" s="80"/>
      <c r="AO196" s="78"/>
      <c r="AP196" s="82">
        <f>BG196+7</f>
        <v>46468</v>
      </c>
      <c r="AQ196" s="82"/>
      <c r="AR196" s="28"/>
      <c r="AS196" s="361" t="s">
        <v>776</v>
      </c>
      <c r="AT196" s="502"/>
      <c r="AU196" s="20"/>
      <c r="AV196" s="21"/>
      <c r="AW196" s="21"/>
      <c r="AX196" s="21"/>
      <c r="AY196" s="21"/>
      <c r="AZ196" s="21"/>
      <c r="BA196" s="21"/>
      <c r="BB196" s="21"/>
      <c r="BC196" s="21"/>
      <c r="BD196" s="21"/>
      <c r="BE196" s="402"/>
      <c r="BF196" s="415" t="s">
        <v>901</v>
      </c>
      <c r="BG196" s="428">
        <v>46461</v>
      </c>
      <c r="BH196" s="428"/>
    </row>
    <row r="197" spans="1:61" s="3" customFormat="1" ht="19.5" customHeight="1" thickTop="1" thickBot="1" x14ac:dyDescent="0.45">
      <c r="A197" s="509"/>
      <c r="B197" s="93" t="s">
        <v>237</v>
      </c>
      <c r="C197" s="31" t="s">
        <v>108</v>
      </c>
      <c r="D197" s="47" t="s">
        <v>336</v>
      </c>
      <c r="E197" s="44" t="s">
        <v>99</v>
      </c>
      <c r="F197" s="33" t="s">
        <v>100</v>
      </c>
      <c r="G197" s="31" t="s">
        <v>31</v>
      </c>
      <c r="H197" s="31" t="s">
        <v>0</v>
      </c>
      <c r="I197" s="31" t="s">
        <v>286</v>
      </c>
      <c r="J197" s="472" t="s">
        <v>1029</v>
      </c>
      <c r="K197" s="201" t="s">
        <v>629</v>
      </c>
      <c r="L197" s="201"/>
      <c r="M197" s="201"/>
      <c r="N197" s="201"/>
      <c r="O197" s="201"/>
      <c r="P197" s="176" t="s">
        <v>32</v>
      </c>
      <c r="Q197" s="34" t="s">
        <v>35</v>
      </c>
      <c r="R197" s="35">
        <v>46133</v>
      </c>
      <c r="S197" s="36">
        <v>46133</v>
      </c>
      <c r="T197" s="35">
        <v>46153</v>
      </c>
      <c r="U197" s="35">
        <v>46153</v>
      </c>
      <c r="V197" s="35">
        <v>46153</v>
      </c>
      <c r="W197" s="35">
        <v>46169</v>
      </c>
      <c r="X197" s="35">
        <v>46217</v>
      </c>
      <c r="Y197" s="35">
        <v>46217</v>
      </c>
      <c r="Z197" s="35">
        <v>46226</v>
      </c>
      <c r="AA197" s="35">
        <v>46234</v>
      </c>
      <c r="AB197" s="35">
        <v>46247</v>
      </c>
      <c r="AC197" s="35">
        <v>46234</v>
      </c>
      <c r="AD197" s="35">
        <v>46241</v>
      </c>
      <c r="AE197" s="35"/>
      <c r="AF197" s="35"/>
      <c r="AG197" s="35"/>
      <c r="AH197" s="35"/>
      <c r="AI197" s="35"/>
      <c r="AJ197" s="35"/>
      <c r="AK197" s="35"/>
      <c r="AL197" s="35"/>
      <c r="AM197" s="35"/>
      <c r="AN197" s="81"/>
      <c r="AO197" s="79"/>
      <c r="AP197" s="36" t="s">
        <v>904</v>
      </c>
      <c r="AQ197" s="36"/>
      <c r="AR197" s="37"/>
      <c r="AS197" s="141"/>
      <c r="AT197" s="503"/>
      <c r="AU197" s="38"/>
      <c r="AV197" s="39"/>
      <c r="AW197" s="39"/>
      <c r="AX197" s="39"/>
      <c r="AY197" s="39"/>
      <c r="AZ197" s="39"/>
      <c r="BA197" s="39"/>
      <c r="BB197" s="39"/>
      <c r="BC197" s="39"/>
      <c r="BD197" s="39"/>
      <c r="BE197" s="405"/>
      <c r="BF197" s="415"/>
      <c r="BG197" s="407"/>
      <c r="BH197" s="407"/>
    </row>
    <row r="198" spans="1:61" s="3" customFormat="1" ht="14.25" thickTop="1" thickBot="1" x14ac:dyDescent="0.45">
      <c r="A198" s="507">
        <f t="shared" ref="A198" si="44">A195+1</f>
        <v>54</v>
      </c>
      <c r="B198" s="91" t="s">
        <v>240</v>
      </c>
      <c r="C198" s="13" t="s">
        <v>337</v>
      </c>
      <c r="D198" s="338" t="s">
        <v>239</v>
      </c>
      <c r="E198" s="63" t="s">
        <v>132</v>
      </c>
      <c r="F198" s="15" t="s">
        <v>100</v>
      </c>
      <c r="G198" s="13" t="s">
        <v>51</v>
      </c>
      <c r="H198" s="13" t="s">
        <v>0</v>
      </c>
      <c r="I198" s="13" t="s">
        <v>324</v>
      </c>
      <c r="J198" s="345" t="s">
        <v>863</v>
      </c>
      <c r="K198" s="193" t="s">
        <v>522</v>
      </c>
      <c r="L198" s="191" t="s">
        <v>522</v>
      </c>
      <c r="M198" s="193" t="s">
        <v>752</v>
      </c>
      <c r="N198" s="191" t="s">
        <v>761</v>
      </c>
      <c r="O198" s="308" t="s">
        <v>761</v>
      </c>
      <c r="P198" s="174" t="s">
        <v>32</v>
      </c>
      <c r="Q198" s="17" t="s">
        <v>33</v>
      </c>
      <c r="R198" s="18">
        <v>46168</v>
      </c>
      <c r="S198" s="56">
        <v>46169</v>
      </c>
      <c r="T198" s="18">
        <v>46178</v>
      </c>
      <c r="U198" s="18">
        <v>46181</v>
      </c>
      <c r="V198" s="18">
        <v>46188</v>
      </c>
      <c r="W198" s="18">
        <v>46203</v>
      </c>
      <c r="X198" s="18">
        <v>46233</v>
      </c>
      <c r="Y198" s="18">
        <v>46238</v>
      </c>
      <c r="Z198" s="18"/>
      <c r="AA198" s="18">
        <v>46252</v>
      </c>
      <c r="AB198" s="206">
        <v>46254</v>
      </c>
      <c r="AC198" s="18">
        <v>46261</v>
      </c>
      <c r="AD198" s="18">
        <v>46289</v>
      </c>
      <c r="AE198" s="18">
        <v>46303</v>
      </c>
      <c r="AF198" s="18">
        <v>46333</v>
      </c>
      <c r="AG198" s="18">
        <v>46333</v>
      </c>
      <c r="AH198" s="18">
        <v>46335</v>
      </c>
      <c r="AI198" s="18">
        <v>46454</v>
      </c>
      <c r="AJ198" s="18">
        <v>46474</v>
      </c>
      <c r="AK198" s="18">
        <v>46504</v>
      </c>
      <c r="AL198" s="18">
        <v>46507</v>
      </c>
      <c r="AM198" s="18">
        <v>46534</v>
      </c>
      <c r="AN198" s="57">
        <v>36</v>
      </c>
      <c r="AO198" s="58">
        <v>252</v>
      </c>
      <c r="AP198" s="77">
        <v>46504</v>
      </c>
      <c r="AQ198" s="77">
        <v>46532</v>
      </c>
      <c r="AR198" s="19">
        <f>AQ198-AP199</f>
        <v>21</v>
      </c>
      <c r="AS198" s="142" t="s">
        <v>364</v>
      </c>
      <c r="AT198" s="501"/>
      <c r="AU198" s="20"/>
      <c r="AV198" s="21"/>
      <c r="AW198" s="21"/>
      <c r="AX198" s="21"/>
      <c r="AY198" s="21"/>
      <c r="AZ198" s="21"/>
      <c r="BA198" s="21"/>
      <c r="BB198" s="21"/>
      <c r="BC198" s="21"/>
      <c r="BD198" s="21"/>
      <c r="BE198" s="402"/>
      <c r="BF198" s="415"/>
      <c r="BG198" s="407"/>
      <c r="BH198" s="407"/>
    </row>
    <row r="199" spans="1:61" s="3" customFormat="1" ht="14.25" thickTop="1" thickBot="1" x14ac:dyDescent="0.45">
      <c r="A199" s="508"/>
      <c r="B199" s="92" t="s">
        <v>240</v>
      </c>
      <c r="C199" s="40" t="s">
        <v>337</v>
      </c>
      <c r="D199" s="23" t="s">
        <v>238</v>
      </c>
      <c r="E199" s="42" t="s">
        <v>132</v>
      </c>
      <c r="F199" s="45" t="s">
        <v>100</v>
      </c>
      <c r="G199" s="22" t="s">
        <v>51</v>
      </c>
      <c r="H199" s="40" t="s">
        <v>0</v>
      </c>
      <c r="I199" s="40" t="s">
        <v>324</v>
      </c>
      <c r="J199" s="208" t="s">
        <v>864</v>
      </c>
      <c r="K199" s="194" t="s">
        <v>771</v>
      </c>
      <c r="L199" s="42"/>
      <c r="M199" s="42"/>
      <c r="N199" s="42"/>
      <c r="O199" s="42"/>
      <c r="P199" s="175" t="s">
        <v>32</v>
      </c>
      <c r="Q199" s="25" t="s">
        <v>34</v>
      </c>
      <c r="R199" s="26"/>
      <c r="S199" s="27"/>
      <c r="T199" s="27"/>
      <c r="U199" s="27"/>
      <c r="V199" s="27"/>
      <c r="W199" s="27"/>
      <c r="X199" s="27"/>
      <c r="Y199" s="27"/>
      <c r="Z199" s="27">
        <v>46288</v>
      </c>
      <c r="AA199" s="27"/>
      <c r="AB199" s="27">
        <v>46293</v>
      </c>
      <c r="AC199" s="27"/>
      <c r="AD199" s="27">
        <f>WORKDAY(AC200, AD7, IF(AD12="China",'China Holidays'!$A$2:$A$84,'Thai Holidays'!$A$2:$A$65))</f>
        <v>46303</v>
      </c>
      <c r="AE199" s="27">
        <f>WORKDAY(AD199, AE7, IF(AE12="China",'China Holidays'!$A$2:$A$84,'Thai Holidays'!$A$2:$A$65))</f>
        <v>46321</v>
      </c>
      <c r="AF199" s="27">
        <f>AE199+30</f>
        <v>46351</v>
      </c>
      <c r="AG199" s="27">
        <f>AF199</f>
        <v>46351</v>
      </c>
      <c r="AH199" s="27">
        <f>AG199+2</f>
        <v>46353</v>
      </c>
      <c r="AI199" s="27">
        <f>AJ199-20</f>
        <v>46454</v>
      </c>
      <c r="AJ199" s="27">
        <f>AK199-30</f>
        <v>46474</v>
      </c>
      <c r="AK199" s="27">
        <f>AP198</f>
        <v>46504</v>
      </c>
      <c r="AL199" s="27">
        <f>AP198+3</f>
        <v>46507</v>
      </c>
      <c r="AM199" s="27">
        <f>AP198+30</f>
        <v>46534</v>
      </c>
      <c r="AN199" s="80"/>
      <c r="AO199" s="78"/>
      <c r="AP199" s="82">
        <f>BG199+7</f>
        <v>46511</v>
      </c>
      <c r="AQ199" s="82"/>
      <c r="AR199" s="28"/>
      <c r="AS199" s="361" t="s">
        <v>776</v>
      </c>
      <c r="AT199" s="502"/>
      <c r="AU199" s="20"/>
      <c r="AV199" s="21"/>
      <c r="AW199" s="21"/>
      <c r="AX199" s="21"/>
      <c r="AY199" s="21"/>
      <c r="AZ199" s="21"/>
      <c r="BA199" s="21"/>
      <c r="BB199" s="21"/>
      <c r="BC199" s="21"/>
      <c r="BD199" s="21"/>
      <c r="BE199" s="402"/>
      <c r="BF199" s="415" t="s">
        <v>901</v>
      </c>
      <c r="BG199" s="428">
        <v>46504</v>
      </c>
      <c r="BH199" s="428"/>
    </row>
    <row r="200" spans="1:61" s="3" customFormat="1" ht="68.25" thickTop="1" thickBot="1" x14ac:dyDescent="0.45">
      <c r="A200" s="509"/>
      <c r="B200" s="93" t="s">
        <v>240</v>
      </c>
      <c r="C200" s="71" t="s">
        <v>337</v>
      </c>
      <c r="D200" s="32" t="s">
        <v>238</v>
      </c>
      <c r="E200" s="44" t="s">
        <v>132</v>
      </c>
      <c r="F200" s="33" t="s">
        <v>100</v>
      </c>
      <c r="G200" s="31" t="s">
        <v>51</v>
      </c>
      <c r="H200" s="31" t="s">
        <v>0</v>
      </c>
      <c r="I200" s="31" t="s">
        <v>324</v>
      </c>
      <c r="J200" s="44"/>
      <c r="K200" s="195"/>
      <c r="L200" s="44"/>
      <c r="M200" s="44"/>
      <c r="N200" s="44"/>
      <c r="O200" s="44"/>
      <c r="P200" s="176" t="s">
        <v>32</v>
      </c>
      <c r="Q200" s="34" t="s">
        <v>35</v>
      </c>
      <c r="R200" s="35">
        <v>46133</v>
      </c>
      <c r="S200" s="35">
        <v>46134</v>
      </c>
      <c r="T200" s="35">
        <v>46155</v>
      </c>
      <c r="U200" s="35">
        <v>46177</v>
      </c>
      <c r="V200" s="35">
        <v>46177</v>
      </c>
      <c r="W200" s="35">
        <v>46188</v>
      </c>
      <c r="X200" s="35">
        <v>46234</v>
      </c>
      <c r="Y200" s="35">
        <v>46237</v>
      </c>
      <c r="Z200" s="35">
        <v>46258</v>
      </c>
      <c r="AA200" s="35">
        <v>46261</v>
      </c>
      <c r="AB200" s="35"/>
      <c r="AC200" s="35">
        <v>46267</v>
      </c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81"/>
      <c r="AO200" s="79"/>
      <c r="AP200" s="36" t="s">
        <v>904</v>
      </c>
      <c r="AQ200" s="36"/>
      <c r="AR200" s="37"/>
      <c r="AS200" s="141"/>
      <c r="AT200" s="503"/>
      <c r="AU200" s="38"/>
      <c r="AV200" s="39"/>
      <c r="AW200" s="39"/>
      <c r="AX200" s="39"/>
      <c r="AY200" s="39"/>
      <c r="AZ200" s="39"/>
      <c r="BA200" s="39"/>
      <c r="BB200" s="39"/>
      <c r="BC200" s="39"/>
      <c r="BD200" s="39"/>
      <c r="BE200" s="405"/>
      <c r="BF200" s="415"/>
      <c r="BG200" s="485" t="s">
        <v>1095</v>
      </c>
      <c r="BH200" s="407"/>
    </row>
    <row r="201" spans="1:61" s="3" customFormat="1" ht="14.25" thickTop="1" thickBot="1" x14ac:dyDescent="0.45">
      <c r="A201" s="507">
        <f t="shared" ref="A201" si="45">A198+1</f>
        <v>55</v>
      </c>
      <c r="B201" s="91" t="s">
        <v>768</v>
      </c>
      <c r="C201" s="13" t="s">
        <v>769</v>
      </c>
      <c r="D201" s="484" t="s">
        <v>766</v>
      </c>
      <c r="E201" s="63" t="s">
        <v>132</v>
      </c>
      <c r="F201" s="15" t="s">
        <v>100</v>
      </c>
      <c r="G201" s="13" t="s">
        <v>51</v>
      </c>
      <c r="H201" s="13" t="s">
        <v>0</v>
      </c>
      <c r="I201" s="13" t="s">
        <v>324</v>
      </c>
      <c r="J201" s="193"/>
      <c r="K201" s="193" t="s">
        <v>522</v>
      </c>
      <c r="L201" s="191"/>
      <c r="M201" s="193"/>
      <c r="N201" s="191"/>
      <c r="O201" s="193"/>
      <c r="P201" s="174" t="s">
        <v>32</v>
      </c>
      <c r="Q201" s="17" t="s">
        <v>33</v>
      </c>
      <c r="R201" s="18">
        <v>46168</v>
      </c>
      <c r="S201" s="56">
        <v>46169</v>
      </c>
      <c r="T201" s="18">
        <v>46178</v>
      </c>
      <c r="U201" s="18">
        <v>46181</v>
      </c>
      <c r="V201" s="18">
        <v>46188</v>
      </c>
      <c r="W201" s="18">
        <v>46203</v>
      </c>
      <c r="X201" s="18">
        <v>46268</v>
      </c>
      <c r="Y201" s="206">
        <v>46278</v>
      </c>
      <c r="Z201" s="18"/>
      <c r="AA201" s="18">
        <f>Y201+5</f>
        <v>46283</v>
      </c>
      <c r="AB201" s="18">
        <f>AA201+2</f>
        <v>46285</v>
      </c>
      <c r="AC201" s="18">
        <f>AA201+1</f>
        <v>46284</v>
      </c>
      <c r="AD201" s="18">
        <v>46321</v>
      </c>
      <c r="AE201" s="18">
        <v>46335</v>
      </c>
      <c r="AF201" s="18">
        <v>46365</v>
      </c>
      <c r="AG201" s="18">
        <v>46365</v>
      </c>
      <c r="AH201" s="18">
        <v>46365</v>
      </c>
      <c r="AI201" s="18">
        <v>46454</v>
      </c>
      <c r="AJ201" s="18">
        <v>46474</v>
      </c>
      <c r="AK201" s="18">
        <v>46504</v>
      </c>
      <c r="AL201" s="18">
        <v>46507</v>
      </c>
      <c r="AM201" s="18">
        <v>46534</v>
      </c>
      <c r="AN201" s="57">
        <v>33</v>
      </c>
      <c r="AO201" s="58">
        <f>AN201*7</f>
        <v>231</v>
      </c>
      <c r="AP201" s="77">
        <v>46504</v>
      </c>
      <c r="AQ201" s="77">
        <v>46532</v>
      </c>
      <c r="AR201" s="19">
        <f>AQ201-AP202</f>
        <v>-4</v>
      </c>
      <c r="AS201" s="142" t="s">
        <v>364</v>
      </c>
      <c r="AT201" s="501"/>
      <c r="AU201" s="20"/>
      <c r="AV201" s="21"/>
      <c r="AW201" s="21"/>
      <c r="AX201" s="21"/>
      <c r="AY201" s="21"/>
      <c r="AZ201" s="21"/>
      <c r="BA201" s="21"/>
      <c r="BB201" s="21"/>
      <c r="BC201" s="21"/>
      <c r="BD201" s="21"/>
      <c r="BE201" s="402"/>
      <c r="BF201" s="415"/>
      <c r="BG201" s="407"/>
      <c r="BH201" s="407"/>
    </row>
    <row r="202" spans="1:61" s="3" customFormat="1" ht="14.25" thickTop="1" thickBot="1" x14ac:dyDescent="0.45">
      <c r="A202" s="508"/>
      <c r="B202" s="92" t="s">
        <v>767</v>
      </c>
      <c r="C202" s="40" t="s">
        <v>769</v>
      </c>
      <c r="D202" s="23" t="s">
        <v>765</v>
      </c>
      <c r="E202" s="42" t="s">
        <v>132</v>
      </c>
      <c r="F202" s="45" t="s">
        <v>100</v>
      </c>
      <c r="G202" s="22" t="s">
        <v>51</v>
      </c>
      <c r="H202" s="40" t="s">
        <v>0</v>
      </c>
      <c r="I202" s="40" t="s">
        <v>324</v>
      </c>
      <c r="J202" s="42"/>
      <c r="K202" s="370" t="s">
        <v>770</v>
      </c>
      <c r="L202" s="42"/>
      <c r="M202" s="42"/>
      <c r="N202" s="42"/>
      <c r="O202" s="42"/>
      <c r="P202" s="175" t="s">
        <v>32</v>
      </c>
      <c r="Q202" s="25" t="s">
        <v>34</v>
      </c>
      <c r="R202" s="26"/>
      <c r="S202" s="27"/>
      <c r="T202" s="27"/>
      <c r="U202" s="27"/>
      <c r="V202" s="27"/>
      <c r="W202" s="27"/>
      <c r="X202" s="27"/>
      <c r="Y202" s="27">
        <f>X203+8</f>
        <v>46290</v>
      </c>
      <c r="Z202" s="27">
        <v>46305</v>
      </c>
      <c r="AA202" s="27">
        <v>46305</v>
      </c>
      <c r="AB202" s="27">
        <f>AA202+3</f>
        <v>46308</v>
      </c>
      <c r="AC202" s="27">
        <f>AB202+3</f>
        <v>46311</v>
      </c>
      <c r="AD202" s="27">
        <f>WORKDAY(Z202, AD7, IF(AD12="China",'China Holidays'!$A$2:$A$84,'Thai Holidays'!$A$2:$A$65))</f>
        <v>46332</v>
      </c>
      <c r="AE202" s="27">
        <f>WORKDAY(AD202, AE7, IF(AE12="China",'China Holidays'!$A$2:$A$84,'Thai Holidays'!$A$2:$A$65))</f>
        <v>46346</v>
      </c>
      <c r="AF202" s="27">
        <f>AE202+30</f>
        <v>46376</v>
      </c>
      <c r="AG202" s="27">
        <f>AF202</f>
        <v>46376</v>
      </c>
      <c r="AH202" s="27">
        <f>AG202</f>
        <v>46376</v>
      </c>
      <c r="AI202" s="27">
        <f>AJ202-20</f>
        <v>46486</v>
      </c>
      <c r="AJ202" s="27">
        <f>AK202-30</f>
        <v>46506</v>
      </c>
      <c r="AK202" s="27">
        <f>AP202</f>
        <v>46536</v>
      </c>
      <c r="AL202" s="27">
        <f>AK202+5</f>
        <v>46541</v>
      </c>
      <c r="AM202" s="27">
        <f>AL202+30</f>
        <v>46571</v>
      </c>
      <c r="AN202" s="80"/>
      <c r="AO202" s="78"/>
      <c r="AP202" s="82">
        <f>AA202+AO201</f>
        <v>46536</v>
      </c>
      <c r="AQ202" s="82"/>
      <c r="AR202" s="28"/>
      <c r="AS202" s="361"/>
      <c r="AT202" s="502"/>
      <c r="AU202" s="20"/>
      <c r="AV202" s="21"/>
      <c r="AW202" s="21"/>
      <c r="AX202" s="21"/>
      <c r="AY202" s="21"/>
      <c r="AZ202" s="21"/>
      <c r="BA202" s="21"/>
      <c r="BB202" s="21"/>
      <c r="BC202" s="21"/>
      <c r="BD202" s="21"/>
      <c r="BE202" s="402"/>
      <c r="BF202" s="415"/>
      <c r="BG202" s="407"/>
      <c r="BH202" s="407"/>
    </row>
    <row r="203" spans="1:61" s="3" customFormat="1" ht="14.25" thickTop="1" thickBot="1" x14ac:dyDescent="0.45">
      <c r="A203" s="509"/>
      <c r="B203" s="93" t="s">
        <v>767</v>
      </c>
      <c r="C203" s="71" t="s">
        <v>769</v>
      </c>
      <c r="D203" s="32" t="s">
        <v>765</v>
      </c>
      <c r="E203" s="44" t="s">
        <v>132</v>
      </c>
      <c r="F203" s="33" t="s">
        <v>100</v>
      </c>
      <c r="G203" s="31" t="s">
        <v>51</v>
      </c>
      <c r="H203" s="31" t="s">
        <v>0</v>
      </c>
      <c r="I203" s="31" t="s">
        <v>324</v>
      </c>
      <c r="J203" s="44"/>
      <c r="K203" s="195"/>
      <c r="L203" s="44"/>
      <c r="M203" s="44"/>
      <c r="N203" s="44"/>
      <c r="O203" s="44"/>
      <c r="P203" s="176" t="s">
        <v>32</v>
      </c>
      <c r="Q203" s="34" t="s">
        <v>35</v>
      </c>
      <c r="R203" s="35">
        <v>46133</v>
      </c>
      <c r="S203" s="35">
        <v>46234</v>
      </c>
      <c r="T203" s="35">
        <v>46239</v>
      </c>
      <c r="U203" s="35">
        <v>46239</v>
      </c>
      <c r="V203" s="35">
        <v>46239</v>
      </c>
      <c r="W203" s="35">
        <v>46253</v>
      </c>
      <c r="X203" s="377">
        <v>46282</v>
      </c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81"/>
      <c r="AO203" s="79"/>
      <c r="AP203" s="36"/>
      <c r="AQ203" s="36"/>
      <c r="AR203" s="37"/>
      <c r="AS203" s="141"/>
      <c r="AT203" s="503"/>
      <c r="AU203" s="38"/>
      <c r="AV203" s="39"/>
      <c r="AW203" s="39"/>
      <c r="AX203" s="39"/>
      <c r="AY203" s="39"/>
      <c r="AZ203" s="39"/>
      <c r="BA203" s="39"/>
      <c r="BB203" s="39"/>
      <c r="BC203" s="39"/>
      <c r="BD203" s="39"/>
      <c r="BE203" s="405"/>
      <c r="BF203" s="415"/>
      <c r="BG203" s="407"/>
      <c r="BH203" s="407"/>
    </row>
    <row r="204" spans="1:61" s="3" customFormat="1" ht="18" customHeight="1" thickTop="1" thickBot="1" x14ac:dyDescent="0.45">
      <c r="A204" s="507">
        <f t="shared" ref="A204:A249" si="46">A201+1</f>
        <v>56</v>
      </c>
      <c r="B204" s="91" t="s">
        <v>241</v>
      </c>
      <c r="C204" s="16" t="s">
        <v>446</v>
      </c>
      <c r="D204" s="338" t="s">
        <v>439</v>
      </c>
      <c r="E204" s="63" t="s">
        <v>104</v>
      </c>
      <c r="F204" s="15" t="s">
        <v>100</v>
      </c>
      <c r="G204" s="13" t="s">
        <v>51</v>
      </c>
      <c r="H204" s="13" t="s">
        <v>0</v>
      </c>
      <c r="I204" s="13" t="s">
        <v>324</v>
      </c>
      <c r="J204" s="345" t="s">
        <v>886</v>
      </c>
      <c r="K204" s="219" t="s">
        <v>631</v>
      </c>
      <c r="L204" s="219" t="s">
        <v>631</v>
      </c>
      <c r="M204" s="219" t="s">
        <v>630</v>
      </c>
      <c r="N204" s="354" t="s">
        <v>762</v>
      </c>
      <c r="O204" s="359" t="s">
        <v>631</v>
      </c>
      <c r="P204" s="174" t="s">
        <v>32</v>
      </c>
      <c r="Q204" s="17" t="s">
        <v>33</v>
      </c>
      <c r="R204" s="18">
        <v>46164</v>
      </c>
      <c r="S204" s="18">
        <v>46167</v>
      </c>
      <c r="T204" s="18">
        <v>46175</v>
      </c>
      <c r="U204" s="18">
        <v>46176</v>
      </c>
      <c r="V204" s="18">
        <v>46183</v>
      </c>
      <c r="W204" s="18">
        <v>46198</v>
      </c>
      <c r="X204" s="18">
        <v>46226</v>
      </c>
      <c r="Y204" s="18">
        <v>46233</v>
      </c>
      <c r="Z204" s="18"/>
      <c r="AA204" s="18">
        <v>46247</v>
      </c>
      <c r="AB204" s="18">
        <v>46251</v>
      </c>
      <c r="AC204" s="18">
        <v>46258</v>
      </c>
      <c r="AD204" s="206">
        <v>46286</v>
      </c>
      <c r="AE204" s="18">
        <v>46300</v>
      </c>
      <c r="AF204" s="18">
        <v>46360</v>
      </c>
      <c r="AG204" s="18">
        <v>46360</v>
      </c>
      <c r="AH204" s="18">
        <v>46362</v>
      </c>
      <c r="AI204" s="18">
        <v>46453</v>
      </c>
      <c r="AJ204" s="18">
        <v>46468</v>
      </c>
      <c r="AK204" s="18">
        <v>46478</v>
      </c>
      <c r="AL204" s="18">
        <v>46481</v>
      </c>
      <c r="AM204" s="18">
        <v>46508</v>
      </c>
      <c r="AN204" s="57">
        <v>33</v>
      </c>
      <c r="AO204" s="58">
        <v>231</v>
      </c>
      <c r="AP204" s="77">
        <v>46478</v>
      </c>
      <c r="AQ204" s="77">
        <v>46492</v>
      </c>
      <c r="AR204" s="19">
        <f>AQ204-AP205</f>
        <v>28</v>
      </c>
      <c r="AS204" s="142" t="s">
        <v>449</v>
      </c>
      <c r="AT204" s="498" t="s">
        <v>1060</v>
      </c>
      <c r="AU204" s="20"/>
      <c r="AV204" s="21"/>
      <c r="AW204" s="21"/>
      <c r="AX204" s="21"/>
      <c r="AY204" s="21"/>
      <c r="AZ204" s="21"/>
      <c r="BA204" s="21"/>
      <c r="BB204" s="21"/>
      <c r="BC204" s="21"/>
      <c r="BD204" s="21"/>
      <c r="BE204" s="402"/>
      <c r="BF204" s="415"/>
      <c r="BG204" s="407"/>
      <c r="BH204" s="407"/>
    </row>
    <row r="205" spans="1:61" s="3" customFormat="1" ht="14.25" thickTop="1" thickBot="1" x14ac:dyDescent="0.45">
      <c r="A205" s="508"/>
      <c r="B205" s="92" t="s">
        <v>241</v>
      </c>
      <c r="C205" s="70" t="s">
        <v>445</v>
      </c>
      <c r="D205" s="23" t="s">
        <v>103</v>
      </c>
      <c r="E205" s="42" t="s">
        <v>104</v>
      </c>
      <c r="F205" s="45" t="s">
        <v>100</v>
      </c>
      <c r="G205" s="22" t="s">
        <v>51</v>
      </c>
      <c r="H205" s="40" t="s">
        <v>0</v>
      </c>
      <c r="I205" s="40" t="s">
        <v>324</v>
      </c>
      <c r="J205" s="208" t="s">
        <v>887</v>
      </c>
      <c r="K205" s="285" t="s">
        <v>484</v>
      </c>
      <c r="L205" s="208" t="s">
        <v>484</v>
      </c>
      <c r="M205" s="208"/>
      <c r="N205" s="296"/>
      <c r="O205" s="192"/>
      <c r="P205" s="175" t="s">
        <v>32</v>
      </c>
      <c r="Q205" s="25" t="s">
        <v>34</v>
      </c>
      <c r="R205" s="26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>
        <f>AD204</f>
        <v>46286</v>
      </c>
      <c r="AE205" s="27">
        <f>WORKDAY(AD205, AE7, IF(AE12="China",'China Holidays'!$A$2:$A$84,'Thai Holidays'!$A$2:$A$65))</f>
        <v>46300</v>
      </c>
      <c r="AF205" s="27">
        <f>AE205+60</f>
        <v>46360</v>
      </c>
      <c r="AG205" s="27">
        <f>AF205</f>
        <v>46360</v>
      </c>
      <c r="AH205" s="27">
        <f>AG205+2</f>
        <v>46362</v>
      </c>
      <c r="AI205" s="27">
        <f>AJ205-15</f>
        <v>46453</v>
      </c>
      <c r="AJ205" s="27">
        <f>AK205-10</f>
        <v>46468</v>
      </c>
      <c r="AK205" s="27">
        <f>AP204</f>
        <v>46478</v>
      </c>
      <c r="AL205" s="27">
        <f>AP204+3</f>
        <v>46481</v>
      </c>
      <c r="AM205" s="27">
        <f>AP204+30</f>
        <v>46508</v>
      </c>
      <c r="AN205" s="80">
        <v>25.5</v>
      </c>
      <c r="AO205" s="78">
        <f>AN205*7</f>
        <v>178.5</v>
      </c>
      <c r="AP205" s="82">
        <f>BG205</f>
        <v>46464</v>
      </c>
      <c r="AQ205" s="82"/>
      <c r="AR205" s="28"/>
      <c r="AS205" s="361" t="s">
        <v>913</v>
      </c>
      <c r="AT205" s="502"/>
      <c r="AU205" s="20"/>
      <c r="AV205" s="21"/>
      <c r="AW205" s="21"/>
      <c r="AX205" s="21"/>
      <c r="AY205" s="21"/>
      <c r="AZ205" s="21"/>
      <c r="BA205" s="21"/>
      <c r="BB205" s="21"/>
      <c r="BC205" s="21"/>
      <c r="BD205" s="21"/>
      <c r="BE205" s="402"/>
      <c r="BF205" s="415" t="s">
        <v>901</v>
      </c>
      <c r="BG205" s="428">
        <v>46464</v>
      </c>
      <c r="BH205" s="428"/>
    </row>
    <row r="206" spans="1:61" s="3" customFormat="1" ht="17.25" customHeight="1" thickTop="1" thickBot="1" x14ac:dyDescent="0.45">
      <c r="A206" s="509"/>
      <c r="B206" s="93" t="s">
        <v>241</v>
      </c>
      <c r="C206" s="71" t="s">
        <v>445</v>
      </c>
      <c r="D206" s="32" t="s">
        <v>439</v>
      </c>
      <c r="E206" s="44" t="s">
        <v>104</v>
      </c>
      <c r="F206" s="33" t="s">
        <v>100</v>
      </c>
      <c r="G206" s="31" t="s">
        <v>51</v>
      </c>
      <c r="H206" s="31" t="s">
        <v>0</v>
      </c>
      <c r="I206" s="31" t="s">
        <v>324</v>
      </c>
      <c r="J206" s="44"/>
      <c r="K206" s="210" t="s">
        <v>633</v>
      </c>
      <c r="L206" s="210" t="s">
        <v>633</v>
      </c>
      <c r="M206" s="210" t="s">
        <v>632</v>
      </c>
      <c r="N206" s="360" t="s">
        <v>763</v>
      </c>
      <c r="O206" s="371" t="s">
        <v>632</v>
      </c>
      <c r="P206" s="176" t="s">
        <v>32</v>
      </c>
      <c r="Q206" s="34" t="s">
        <v>35</v>
      </c>
      <c r="R206" s="35">
        <v>46133</v>
      </c>
      <c r="S206" s="35">
        <v>46134</v>
      </c>
      <c r="T206" s="35">
        <v>46155</v>
      </c>
      <c r="U206" s="35">
        <v>46167</v>
      </c>
      <c r="V206" s="35">
        <v>46167</v>
      </c>
      <c r="W206" s="35">
        <v>46188</v>
      </c>
      <c r="X206" s="35">
        <v>46234</v>
      </c>
      <c r="Y206" s="35">
        <v>46240</v>
      </c>
      <c r="Z206" s="35">
        <v>46262</v>
      </c>
      <c r="AA206" s="35">
        <v>46269</v>
      </c>
      <c r="AB206" s="35">
        <v>46285</v>
      </c>
      <c r="AC206" s="35">
        <v>46273</v>
      </c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81"/>
      <c r="AO206" s="79"/>
      <c r="AP206" s="36"/>
      <c r="AQ206" s="36"/>
      <c r="AR206" s="37"/>
      <c r="AS206" s="141"/>
      <c r="AT206" s="503"/>
      <c r="AU206" s="38"/>
      <c r="AV206" s="39"/>
      <c r="AW206" s="39"/>
      <c r="AX206" s="39"/>
      <c r="AY206" s="39"/>
      <c r="AZ206" s="39"/>
      <c r="BA206" s="39"/>
      <c r="BB206" s="39"/>
      <c r="BC206" s="39"/>
      <c r="BD206" s="39"/>
      <c r="BE206" s="405"/>
      <c r="BF206" s="415"/>
      <c r="BG206" s="407"/>
      <c r="BH206" s="407"/>
    </row>
    <row r="207" spans="1:61" s="3" customFormat="1" ht="17.25" customHeight="1" thickTop="1" thickBot="1" x14ac:dyDescent="0.45">
      <c r="A207" s="507">
        <f t="shared" si="46"/>
        <v>57</v>
      </c>
      <c r="B207" s="91" t="s">
        <v>242</v>
      </c>
      <c r="C207" s="16" t="s">
        <v>448</v>
      </c>
      <c r="D207" s="338" t="s">
        <v>243</v>
      </c>
      <c r="E207" s="63" t="s">
        <v>104</v>
      </c>
      <c r="F207" s="15" t="s">
        <v>100</v>
      </c>
      <c r="G207" s="13" t="s">
        <v>51</v>
      </c>
      <c r="H207" s="13" t="s">
        <v>0</v>
      </c>
      <c r="I207" s="13" t="s">
        <v>324</v>
      </c>
      <c r="J207" s="345" t="s">
        <v>886</v>
      </c>
      <c r="K207" s="219" t="s">
        <v>630</v>
      </c>
      <c r="L207" s="219" t="s">
        <v>630</v>
      </c>
      <c r="M207" s="219" t="s">
        <v>630</v>
      </c>
      <c r="N207" s="354" t="s">
        <v>764</v>
      </c>
      <c r="O207" s="359" t="s">
        <v>631</v>
      </c>
      <c r="P207" s="174" t="s">
        <v>32</v>
      </c>
      <c r="Q207" s="17" t="s">
        <v>33</v>
      </c>
      <c r="R207" s="18">
        <v>46176</v>
      </c>
      <c r="S207" s="18">
        <v>46177</v>
      </c>
      <c r="T207" s="18">
        <v>46184</v>
      </c>
      <c r="U207" s="18">
        <v>46185</v>
      </c>
      <c r="V207" s="18">
        <v>46192</v>
      </c>
      <c r="W207" s="18">
        <v>46206</v>
      </c>
      <c r="X207" s="18">
        <v>46238</v>
      </c>
      <c r="Y207" s="18">
        <v>46241</v>
      </c>
      <c r="Z207" s="18"/>
      <c r="AA207" s="18">
        <v>46255</v>
      </c>
      <c r="AB207" s="18">
        <v>46259</v>
      </c>
      <c r="AC207" s="18">
        <v>46266</v>
      </c>
      <c r="AD207" s="206">
        <v>46295</v>
      </c>
      <c r="AE207" s="18">
        <v>46310</v>
      </c>
      <c r="AF207" s="18">
        <v>46370</v>
      </c>
      <c r="AG207" s="18">
        <v>46370</v>
      </c>
      <c r="AH207" s="18">
        <v>46372</v>
      </c>
      <c r="AI207" s="18">
        <v>46454</v>
      </c>
      <c r="AJ207" s="18">
        <v>46469</v>
      </c>
      <c r="AK207" s="18">
        <v>46479</v>
      </c>
      <c r="AL207" s="18">
        <v>46482</v>
      </c>
      <c r="AM207" s="18">
        <v>46507</v>
      </c>
      <c r="AN207" s="57">
        <v>32</v>
      </c>
      <c r="AO207" s="58">
        <v>224</v>
      </c>
      <c r="AP207" s="77">
        <v>46479</v>
      </c>
      <c r="AQ207" s="77">
        <v>46492</v>
      </c>
      <c r="AR207" s="19">
        <f>AQ207-AP208</f>
        <v>28</v>
      </c>
      <c r="AS207" s="142" t="s">
        <v>449</v>
      </c>
      <c r="AT207" s="498" t="s">
        <v>1060</v>
      </c>
      <c r="AU207" s="20"/>
      <c r="AV207" s="21"/>
      <c r="AW207" s="21"/>
      <c r="AX207" s="21"/>
      <c r="AY207" s="21"/>
      <c r="AZ207" s="21"/>
      <c r="BA207" s="21"/>
      <c r="BB207" s="21"/>
      <c r="BC207" s="21"/>
      <c r="BD207" s="21"/>
      <c r="BE207" s="402"/>
      <c r="BF207" s="415"/>
      <c r="BG207" s="407"/>
      <c r="BH207" s="407"/>
    </row>
    <row r="208" spans="1:61" s="3" customFormat="1" ht="17.649999999999999" customHeight="1" thickTop="1" thickBot="1" x14ac:dyDescent="0.45">
      <c r="A208" s="508"/>
      <c r="B208" s="92" t="s">
        <v>242</v>
      </c>
      <c r="C208" s="70" t="s">
        <v>447</v>
      </c>
      <c r="D208" s="92" t="s">
        <v>243</v>
      </c>
      <c r="E208" s="42" t="s">
        <v>104</v>
      </c>
      <c r="F208" s="45" t="s">
        <v>100</v>
      </c>
      <c r="G208" s="22" t="s">
        <v>51</v>
      </c>
      <c r="H208" s="40" t="s">
        <v>0</v>
      </c>
      <c r="I208" s="40" t="s">
        <v>324</v>
      </c>
      <c r="J208" s="208" t="s">
        <v>887</v>
      </c>
      <c r="K208" s="285" t="s">
        <v>634</v>
      </c>
      <c r="L208" s="285" t="s">
        <v>634</v>
      </c>
      <c r="M208" s="285"/>
      <c r="N208" s="356"/>
      <c r="O208" s="221"/>
      <c r="P208" s="175" t="s">
        <v>32</v>
      </c>
      <c r="Q208" s="25" t="s">
        <v>34</v>
      </c>
      <c r="R208" s="26"/>
      <c r="S208" s="27"/>
      <c r="T208" s="82"/>
      <c r="U208" s="27"/>
      <c r="V208" s="27"/>
      <c r="W208" s="27"/>
      <c r="X208" s="27"/>
      <c r="Y208" s="27"/>
      <c r="Z208" s="27"/>
      <c r="AA208" s="27"/>
      <c r="AB208" s="27"/>
      <c r="AC208" s="27"/>
      <c r="AD208" s="27">
        <f>AD205</f>
        <v>46286</v>
      </c>
      <c r="AE208" s="27">
        <f>WORKDAY(AD208, AE7, IF(AE12="China",'China Holidays'!$A$2:$A$84,'Thai Holidays'!$A$2:$A$65))</f>
        <v>46300</v>
      </c>
      <c r="AF208" s="27">
        <f>AE208+60</f>
        <v>46360</v>
      </c>
      <c r="AG208" s="27">
        <f>AF208</f>
        <v>46360</v>
      </c>
      <c r="AH208" s="27">
        <f>AG208+2</f>
        <v>46362</v>
      </c>
      <c r="AI208" s="27">
        <f>AJ208-15</f>
        <v>46454</v>
      </c>
      <c r="AJ208" s="27">
        <f>AK208-10</f>
        <v>46469</v>
      </c>
      <c r="AK208" s="27">
        <f>AP207</f>
        <v>46479</v>
      </c>
      <c r="AL208" s="27">
        <f>AP207+3</f>
        <v>46482</v>
      </c>
      <c r="AM208" s="27">
        <f>AP207+28</f>
        <v>46507</v>
      </c>
      <c r="AN208" s="80">
        <v>25.5</v>
      </c>
      <c r="AO208" s="78">
        <f>AN208*7</f>
        <v>178.5</v>
      </c>
      <c r="AP208" s="82">
        <f>BG208</f>
        <v>46464</v>
      </c>
      <c r="AQ208" s="82"/>
      <c r="AR208" s="28"/>
      <c r="AS208" s="361" t="s">
        <v>913</v>
      </c>
      <c r="AT208" s="502"/>
      <c r="AU208" s="20"/>
      <c r="AV208" s="21"/>
      <c r="AW208" s="21"/>
      <c r="AX208" s="21"/>
      <c r="AY208" s="21"/>
      <c r="AZ208" s="21"/>
      <c r="BA208" s="21"/>
      <c r="BB208" s="21"/>
      <c r="BC208" s="21"/>
      <c r="BD208" s="21"/>
      <c r="BE208" s="402"/>
      <c r="BF208" s="415" t="s">
        <v>901</v>
      </c>
      <c r="BG208" s="428">
        <v>46464</v>
      </c>
      <c r="BH208" s="428"/>
    </row>
    <row r="209" spans="1:60" s="3" customFormat="1" ht="18.399999999999999" customHeight="1" thickTop="1" thickBot="1" x14ac:dyDescent="0.45">
      <c r="A209" s="509"/>
      <c r="B209" s="93" t="s">
        <v>242</v>
      </c>
      <c r="C209" s="71" t="s">
        <v>447</v>
      </c>
      <c r="D209" s="93" t="s">
        <v>243</v>
      </c>
      <c r="E209" s="44" t="s">
        <v>104</v>
      </c>
      <c r="F209" s="33" t="s">
        <v>100</v>
      </c>
      <c r="G209" s="31" t="s">
        <v>51</v>
      </c>
      <c r="H209" s="31" t="s">
        <v>0</v>
      </c>
      <c r="I209" s="31" t="s">
        <v>324</v>
      </c>
      <c r="J209" s="290" t="s">
        <v>473</v>
      </c>
      <c r="K209" s="210" t="s">
        <v>632</v>
      </c>
      <c r="L209" s="210" t="s">
        <v>632</v>
      </c>
      <c r="M209" s="210" t="s">
        <v>632</v>
      </c>
      <c r="N209" s="360"/>
      <c r="O209" s="44"/>
      <c r="P209" s="176" t="s">
        <v>32</v>
      </c>
      <c r="Q209" s="34" t="s">
        <v>35</v>
      </c>
      <c r="R209" s="35" t="s">
        <v>342</v>
      </c>
      <c r="S209" s="35">
        <v>46133</v>
      </c>
      <c r="T209" s="35">
        <v>46153</v>
      </c>
      <c r="U209" s="35">
        <v>46167</v>
      </c>
      <c r="V209" s="35">
        <v>46167</v>
      </c>
      <c r="W209" s="35">
        <v>46188</v>
      </c>
      <c r="X209" s="35">
        <v>46227</v>
      </c>
      <c r="Y209" s="379" t="s">
        <v>871</v>
      </c>
      <c r="Z209" s="35">
        <v>46262</v>
      </c>
      <c r="AA209" s="35">
        <v>46269</v>
      </c>
      <c r="AB209" s="35">
        <v>46285</v>
      </c>
      <c r="AC209" s="35">
        <v>46273</v>
      </c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81"/>
      <c r="AO209" s="79"/>
      <c r="AP209" s="36"/>
      <c r="AQ209" s="36"/>
      <c r="AR209" s="37"/>
      <c r="AS209" s="141"/>
      <c r="AT209" s="503"/>
      <c r="AU209" s="38"/>
      <c r="AV209" s="39"/>
      <c r="AW209" s="39"/>
      <c r="AX209" s="39"/>
      <c r="AY209" s="39"/>
      <c r="AZ209" s="39"/>
      <c r="BA209" s="39"/>
      <c r="BB209" s="39"/>
      <c r="BC209" s="39"/>
      <c r="BD209" s="39"/>
      <c r="BE209" s="405"/>
      <c r="BF209" s="415"/>
      <c r="BG209" s="407"/>
      <c r="BH209" s="407"/>
    </row>
    <row r="210" spans="1:60" s="3" customFormat="1" ht="14.25" thickTop="1" thickBot="1" x14ac:dyDescent="0.45">
      <c r="A210" s="507">
        <f>A207+1</f>
        <v>58</v>
      </c>
      <c r="B210" s="91" t="s">
        <v>244</v>
      </c>
      <c r="C210" s="13" t="s">
        <v>113</v>
      </c>
      <c r="D210" s="203" t="s">
        <v>758</v>
      </c>
      <c r="E210" s="63" t="s">
        <v>44</v>
      </c>
      <c r="F210" s="15" t="s">
        <v>100</v>
      </c>
      <c r="G210" s="13" t="s">
        <v>51</v>
      </c>
      <c r="H210" s="13" t="s">
        <v>1</v>
      </c>
      <c r="I210" s="13" t="s">
        <v>322</v>
      </c>
      <c r="J210" s="41"/>
      <c r="K210" s="193" t="s">
        <v>795</v>
      </c>
      <c r="L210" s="308" t="s">
        <v>795</v>
      </c>
      <c r="M210" s="41"/>
      <c r="N210" s="41"/>
      <c r="O210" s="41"/>
      <c r="P210" s="174" t="s">
        <v>32</v>
      </c>
      <c r="Q210" s="17" t="s">
        <v>33</v>
      </c>
      <c r="R210" s="18">
        <v>46248</v>
      </c>
      <c r="S210" s="18">
        <v>46253</v>
      </c>
      <c r="T210" s="18">
        <v>46260</v>
      </c>
      <c r="U210" s="18">
        <v>46261</v>
      </c>
      <c r="V210" s="18">
        <v>46268</v>
      </c>
      <c r="W210" s="18">
        <v>46282</v>
      </c>
      <c r="X210" s="206">
        <v>46303</v>
      </c>
      <c r="Y210" s="18">
        <v>46309</v>
      </c>
      <c r="Z210" s="18"/>
      <c r="AA210" s="18">
        <v>46323</v>
      </c>
      <c r="AB210" s="18">
        <v>46325</v>
      </c>
      <c r="AC210" s="18">
        <v>46332</v>
      </c>
      <c r="AD210" s="18">
        <v>46353</v>
      </c>
      <c r="AE210" s="18">
        <v>46370</v>
      </c>
      <c r="AF210" s="18">
        <v>46390</v>
      </c>
      <c r="AG210" s="18">
        <v>46390</v>
      </c>
      <c r="AH210" s="18">
        <v>46392</v>
      </c>
      <c r="AI210" s="18">
        <v>46431</v>
      </c>
      <c r="AJ210" s="18">
        <v>46446</v>
      </c>
      <c r="AK210" s="18">
        <v>46456</v>
      </c>
      <c r="AL210" s="18">
        <v>46459</v>
      </c>
      <c r="AM210" s="18">
        <v>46486</v>
      </c>
      <c r="AN210" s="57">
        <v>19</v>
      </c>
      <c r="AO210" s="58">
        <v>133</v>
      </c>
      <c r="AP210" s="77">
        <v>46456</v>
      </c>
      <c r="AQ210" s="77">
        <v>46492</v>
      </c>
      <c r="AR210" s="19">
        <f>AQ210-AP211</f>
        <v>36</v>
      </c>
      <c r="AS210" s="142" t="s">
        <v>846</v>
      </c>
      <c r="AT210" s="501"/>
      <c r="AU210" s="20"/>
      <c r="AV210" s="21"/>
      <c r="AW210" s="21"/>
      <c r="AX210" s="21"/>
      <c r="AY210" s="21"/>
      <c r="AZ210" s="21"/>
      <c r="BA210" s="21"/>
      <c r="BB210" s="21"/>
      <c r="BC210" s="21"/>
      <c r="BD210" s="21"/>
      <c r="BE210" s="402"/>
      <c r="BF210" s="415"/>
      <c r="BG210" s="407"/>
      <c r="BH210" s="407"/>
    </row>
    <row r="211" spans="1:60" s="3" customFormat="1" ht="14.25" thickTop="1" thickBot="1" x14ac:dyDescent="0.45">
      <c r="A211" s="508"/>
      <c r="B211" s="92" t="s">
        <v>244</v>
      </c>
      <c r="C211" s="40" t="s">
        <v>113</v>
      </c>
      <c r="D211" s="23" t="s">
        <v>758</v>
      </c>
      <c r="E211" s="42" t="s">
        <v>44</v>
      </c>
      <c r="F211" s="45" t="s">
        <v>100</v>
      </c>
      <c r="G211" s="22" t="s">
        <v>51</v>
      </c>
      <c r="H211" s="40" t="s">
        <v>1</v>
      </c>
      <c r="I211" s="40" t="s">
        <v>322</v>
      </c>
      <c r="J211" s="42"/>
      <c r="K211" s="194" t="s">
        <v>796</v>
      </c>
      <c r="L211" s="370" t="s">
        <v>796</v>
      </c>
      <c r="M211" s="42"/>
      <c r="N211" s="42"/>
      <c r="O211" s="42"/>
      <c r="P211" s="175" t="s">
        <v>32</v>
      </c>
      <c r="Q211" s="25" t="s">
        <v>34</v>
      </c>
      <c r="R211" s="26"/>
      <c r="S211" s="27"/>
      <c r="T211" s="27"/>
      <c r="U211" s="27"/>
      <c r="V211" s="27"/>
      <c r="W211" s="27"/>
      <c r="X211" s="27">
        <v>46290</v>
      </c>
      <c r="Y211" s="27">
        <f>WORKDAY(X211, Y8, IF(Y12="China",'China Holidays'!$A$2:$A$84,'Thai Holidays'!$A$2:$A$65))</f>
        <v>46304</v>
      </c>
      <c r="Z211" s="27"/>
      <c r="AA211" s="27">
        <f>AA210</f>
        <v>46323</v>
      </c>
      <c r="AB211" s="27">
        <f>WORKDAY(AA211, AB8, IF(AB12="China",'China Holidays'!$A$2:$A$84,'Thai Holidays'!$A$2:$A$65))</f>
        <v>46325</v>
      </c>
      <c r="AC211" s="27">
        <f>WORKDAY(AB211, AC8, IF(AC12="China",'China Holidays'!$A$2:$A$84,'Thai Holidays'!$A$2:$A$65))</f>
        <v>46332</v>
      </c>
      <c r="AD211" s="27">
        <f>WORKDAY(AC211, AD8, IF(AD12="China",'China Holidays'!$A$2:$A$84,'Thai Holidays'!$A$2:$A$65))</f>
        <v>46353</v>
      </c>
      <c r="AE211" s="27">
        <f>WORKDAY(AD211, AE8, IF(AE12="China",'China Holidays'!$A$2:$A$84,'Thai Holidays'!$A$2:$A$65))</f>
        <v>46370</v>
      </c>
      <c r="AF211" s="27">
        <f>AE211+20</f>
        <v>46390</v>
      </c>
      <c r="AG211" s="27">
        <f>AF211</f>
        <v>46390</v>
      </c>
      <c r="AH211" s="27">
        <f>AG211+2</f>
        <v>46392</v>
      </c>
      <c r="AI211" s="27">
        <f>AJ211-15</f>
        <v>46431</v>
      </c>
      <c r="AJ211" s="27">
        <f>AK211-10</f>
        <v>46446</v>
      </c>
      <c r="AK211" s="27">
        <f>AP210</f>
        <v>46456</v>
      </c>
      <c r="AL211" s="27">
        <f>AP210+3</f>
        <v>46459</v>
      </c>
      <c r="AM211" s="27">
        <f>AP210+30</f>
        <v>46486</v>
      </c>
      <c r="AN211" s="80"/>
      <c r="AO211" s="78"/>
      <c r="AP211" s="82">
        <f>AA211+AO210</f>
        <v>46456</v>
      </c>
      <c r="AQ211" s="82"/>
      <c r="AR211" s="28"/>
      <c r="AS211" s="361"/>
      <c r="AT211" s="502"/>
      <c r="AU211" s="20"/>
      <c r="AV211" s="21"/>
      <c r="AW211" s="21"/>
      <c r="AX211" s="21"/>
      <c r="AY211" s="21"/>
      <c r="AZ211" s="21"/>
      <c r="BA211" s="21"/>
      <c r="BB211" s="21"/>
      <c r="BC211" s="21"/>
      <c r="BD211" s="21"/>
      <c r="BE211" s="402"/>
      <c r="BF211" s="415"/>
      <c r="BG211" s="407"/>
      <c r="BH211" s="407"/>
    </row>
    <row r="212" spans="1:60" s="3" customFormat="1" ht="14.25" thickTop="1" thickBot="1" x14ac:dyDescent="0.45">
      <c r="A212" s="509"/>
      <c r="B212" s="93" t="s">
        <v>244</v>
      </c>
      <c r="C212" s="31" t="s">
        <v>113</v>
      </c>
      <c r="D212" s="47" t="s">
        <v>130</v>
      </c>
      <c r="E212" s="44" t="s">
        <v>44</v>
      </c>
      <c r="F212" s="33" t="s">
        <v>100</v>
      </c>
      <c r="G212" s="31" t="s">
        <v>51</v>
      </c>
      <c r="H212" s="31" t="s">
        <v>1</v>
      </c>
      <c r="I212" s="31" t="s">
        <v>322</v>
      </c>
      <c r="J212" s="44"/>
      <c r="K212" s="195" t="s">
        <v>525</v>
      </c>
      <c r="L212" s="371" t="s">
        <v>525</v>
      </c>
      <c r="M212" s="44"/>
      <c r="N212" s="44"/>
      <c r="O212" s="44"/>
      <c r="P212" s="176" t="s">
        <v>32</v>
      </c>
      <c r="Q212" s="34" t="s">
        <v>35</v>
      </c>
      <c r="R212" s="35">
        <v>46241</v>
      </c>
      <c r="S212" s="35">
        <v>46151</v>
      </c>
      <c r="T212" s="35">
        <v>46166</v>
      </c>
      <c r="U212" s="35">
        <v>46244</v>
      </c>
      <c r="V212" s="35">
        <v>46244</v>
      </c>
      <c r="W212" s="35">
        <v>46254</v>
      </c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81"/>
      <c r="AO212" s="79"/>
      <c r="AP212" s="36"/>
      <c r="AQ212" s="36"/>
      <c r="AR212" s="37"/>
      <c r="AS212" s="141"/>
      <c r="AT212" s="503"/>
      <c r="AU212" s="38"/>
      <c r="AV212" s="39"/>
      <c r="AW212" s="39"/>
      <c r="AX212" s="39"/>
      <c r="AY212" s="39"/>
      <c r="AZ212" s="39"/>
      <c r="BA212" s="39"/>
      <c r="BB212" s="39"/>
      <c r="BC212" s="39"/>
      <c r="BD212" s="39"/>
      <c r="BE212" s="405"/>
      <c r="BF212" s="415"/>
      <c r="BG212" s="407"/>
      <c r="BH212" s="407"/>
    </row>
    <row r="213" spans="1:60" s="3" customFormat="1" ht="14.25" thickTop="1" thickBot="1" x14ac:dyDescent="0.45">
      <c r="A213" s="495">
        <f t="shared" si="46"/>
        <v>59</v>
      </c>
      <c r="B213" s="91" t="s">
        <v>245</v>
      </c>
      <c r="C213" s="13" t="s">
        <v>116</v>
      </c>
      <c r="D213" s="203" t="s">
        <v>914</v>
      </c>
      <c r="E213" s="63" t="s">
        <v>140</v>
      </c>
      <c r="F213" s="15" t="s">
        <v>100</v>
      </c>
      <c r="G213" s="13" t="s">
        <v>51</v>
      </c>
      <c r="H213" s="13" t="s">
        <v>1</v>
      </c>
      <c r="I213" s="13" t="s">
        <v>323</v>
      </c>
      <c r="J213" s="41"/>
      <c r="K213" s="193"/>
      <c r="L213" s="41"/>
      <c r="M213" s="41"/>
      <c r="N213" s="41"/>
      <c r="O213" s="41"/>
      <c r="P213" s="174" t="s">
        <v>69</v>
      </c>
      <c r="Q213" s="17" t="s">
        <v>33</v>
      </c>
      <c r="R213" s="18">
        <v>46322</v>
      </c>
      <c r="S213" s="18">
        <v>46313</v>
      </c>
      <c r="T213" s="18">
        <v>46328</v>
      </c>
      <c r="U213" s="18">
        <v>46328</v>
      </c>
      <c r="V213" s="18">
        <v>46328</v>
      </c>
      <c r="W213" s="18">
        <v>46335</v>
      </c>
      <c r="X213" s="206">
        <v>46344</v>
      </c>
      <c r="Y213" s="18">
        <v>46358</v>
      </c>
      <c r="Z213" s="18"/>
      <c r="AA213" s="18">
        <v>46365</v>
      </c>
      <c r="AB213" s="18">
        <v>46367</v>
      </c>
      <c r="AC213" s="18">
        <v>46374</v>
      </c>
      <c r="AD213" s="18">
        <v>46391</v>
      </c>
      <c r="AE213" s="18">
        <v>46405</v>
      </c>
      <c r="AF213" s="18">
        <v>46420</v>
      </c>
      <c r="AG213" s="18">
        <v>46420</v>
      </c>
      <c r="AH213" s="18">
        <v>46422</v>
      </c>
      <c r="AI213" s="18">
        <v>46452</v>
      </c>
      <c r="AJ213" s="18">
        <v>46467</v>
      </c>
      <c r="AK213" s="18">
        <v>46477</v>
      </c>
      <c r="AL213" s="18">
        <v>46480</v>
      </c>
      <c r="AM213" s="18">
        <v>46507</v>
      </c>
      <c r="AN213" s="57">
        <v>16</v>
      </c>
      <c r="AO213" s="58">
        <v>112</v>
      </c>
      <c r="AP213" s="77">
        <v>46477</v>
      </c>
      <c r="AQ213" s="77">
        <v>46492</v>
      </c>
      <c r="AR213" s="19">
        <f>AQ213-AP214</f>
        <v>15</v>
      </c>
      <c r="AS213" s="142" t="s">
        <v>817</v>
      </c>
      <c r="AT213" s="501"/>
      <c r="AU213" s="20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415"/>
      <c r="BG213" s="407"/>
      <c r="BH213" s="407"/>
    </row>
    <row r="214" spans="1:60" s="3" customFormat="1" ht="14.25" thickTop="1" thickBot="1" x14ac:dyDescent="0.45">
      <c r="A214" s="496"/>
      <c r="B214" s="92" t="s">
        <v>245</v>
      </c>
      <c r="C214" s="40" t="s">
        <v>116</v>
      </c>
      <c r="D214" s="42" t="s">
        <v>144</v>
      </c>
      <c r="E214" s="42" t="s">
        <v>140</v>
      </c>
      <c r="F214" s="45" t="s">
        <v>100</v>
      </c>
      <c r="G214" s="22" t="s">
        <v>51</v>
      </c>
      <c r="H214" s="40" t="s">
        <v>1</v>
      </c>
      <c r="I214" s="40" t="s">
        <v>323</v>
      </c>
      <c r="J214" s="42"/>
      <c r="K214" s="194"/>
      <c r="L214" s="42"/>
      <c r="M214" s="42"/>
      <c r="N214" s="42"/>
      <c r="O214" s="42"/>
      <c r="P214" s="175" t="s">
        <v>69</v>
      </c>
      <c r="Q214" s="25" t="s">
        <v>34</v>
      </c>
      <c r="R214" s="26"/>
      <c r="S214" s="27"/>
      <c r="T214" s="27"/>
      <c r="U214" s="27"/>
      <c r="V214" s="27"/>
      <c r="W214" s="27"/>
      <c r="X214" s="27">
        <f>WORKDAY(W215, X9, IF(X12="China",'China Holidays'!$A$2:$A$84,'Thai Holidays'!$A$2:$A$65))</f>
        <v>46290</v>
      </c>
      <c r="Y214" s="27">
        <f>WORKDAY(X214, Y9, IF(Y12="China",'China Holidays'!$A$2:$A$84,'Thai Holidays'!$A$2:$A$65))</f>
        <v>46304</v>
      </c>
      <c r="Z214" s="27"/>
      <c r="AA214" s="27">
        <f>AA213</f>
        <v>46365</v>
      </c>
      <c r="AB214" s="27">
        <f>WORKDAY(AA214, AB9, IF(AB12="China",'China Holidays'!$A$2:$A$84,'Thai Holidays'!$A$2:$A$65))</f>
        <v>46367</v>
      </c>
      <c r="AC214" s="27">
        <f>WORKDAY(AB214, AC9, IF(AC12="China",'China Holidays'!$A$2:$A$84,'Thai Holidays'!$A$2:$A$65))</f>
        <v>46374</v>
      </c>
      <c r="AD214" s="27">
        <f>WORKDAY(AC214, AD9, IF(AD12="China",'China Holidays'!$A$2:$A$84,'Thai Holidays'!$A$2:$A$65))</f>
        <v>46391</v>
      </c>
      <c r="AE214" s="27">
        <f>WORKDAY(AD214, AE9, IF(AE12="China",'China Holidays'!$A$2:$A$84,'Thai Holidays'!$A$2:$A$65))</f>
        <v>46405</v>
      </c>
      <c r="AF214" s="27">
        <f>AE214+15</f>
        <v>46420</v>
      </c>
      <c r="AG214" s="27">
        <f>AF214</f>
        <v>46420</v>
      </c>
      <c r="AH214" s="27">
        <f>AG214+2</f>
        <v>46422</v>
      </c>
      <c r="AI214" s="27">
        <f>AJ214-15</f>
        <v>46452</v>
      </c>
      <c r="AJ214" s="27">
        <f>AK214-10</f>
        <v>46467</v>
      </c>
      <c r="AK214" s="27">
        <f>AP213</f>
        <v>46477</v>
      </c>
      <c r="AL214" s="27">
        <f>AP213+3</f>
        <v>46480</v>
      </c>
      <c r="AM214" s="27">
        <f>AP213+30</f>
        <v>46507</v>
      </c>
      <c r="AN214" s="80"/>
      <c r="AO214" s="78"/>
      <c r="AP214" s="82">
        <f>AA214+AO213</f>
        <v>46477</v>
      </c>
      <c r="AQ214" s="82"/>
      <c r="AR214" s="28"/>
      <c r="AS214" s="361"/>
      <c r="AT214" s="502"/>
      <c r="AU214" s="20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415"/>
      <c r="BG214" s="407"/>
      <c r="BH214" s="407"/>
    </row>
    <row r="215" spans="1:60" s="3" customFormat="1" ht="14.25" thickTop="1" thickBot="1" x14ac:dyDescent="0.45">
      <c r="A215" s="497"/>
      <c r="B215" s="93" t="s">
        <v>245</v>
      </c>
      <c r="C215" s="31" t="s">
        <v>116</v>
      </c>
      <c r="D215" s="43" t="s">
        <v>144</v>
      </c>
      <c r="E215" s="44" t="s">
        <v>140</v>
      </c>
      <c r="F215" s="33" t="s">
        <v>100</v>
      </c>
      <c r="G215" s="31" t="s">
        <v>51</v>
      </c>
      <c r="H215" s="31" t="s">
        <v>1</v>
      </c>
      <c r="I215" s="31" t="s">
        <v>323</v>
      </c>
      <c r="J215" s="43"/>
      <c r="K215" s="218"/>
      <c r="L215" s="43"/>
      <c r="M215" s="43"/>
      <c r="N215" s="43"/>
      <c r="O215" s="43"/>
      <c r="P215" s="176" t="s">
        <v>69</v>
      </c>
      <c r="Q215" s="34" t="s">
        <v>35</v>
      </c>
      <c r="R215" s="35">
        <v>46261</v>
      </c>
      <c r="S215" s="35">
        <v>46140</v>
      </c>
      <c r="T215" s="35">
        <v>46150</v>
      </c>
      <c r="U215" s="35">
        <v>46262</v>
      </c>
      <c r="V215" s="35">
        <v>46262</v>
      </c>
      <c r="W215" s="35">
        <v>46281</v>
      </c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81"/>
      <c r="AO215" s="79"/>
      <c r="AP215" s="36"/>
      <c r="AQ215" s="36"/>
      <c r="AR215" s="37"/>
      <c r="AS215" s="141"/>
      <c r="AT215" s="503"/>
      <c r="AU215" s="38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415"/>
      <c r="BG215" s="407"/>
      <c r="BH215" s="407"/>
    </row>
    <row r="216" spans="1:60" s="3" customFormat="1" ht="14.25" thickTop="1" thickBot="1" x14ac:dyDescent="0.45">
      <c r="A216" s="507">
        <f t="shared" si="46"/>
        <v>60</v>
      </c>
      <c r="B216" s="91" t="s">
        <v>246</v>
      </c>
      <c r="C216" s="13" t="s">
        <v>119</v>
      </c>
      <c r="D216" s="203" t="s">
        <v>847</v>
      </c>
      <c r="E216" s="63" t="s">
        <v>135</v>
      </c>
      <c r="F216" s="15" t="s">
        <v>100</v>
      </c>
      <c r="G216" s="13" t="s">
        <v>51</v>
      </c>
      <c r="H216" s="13" t="s">
        <v>1</v>
      </c>
      <c r="I216" s="13" t="s">
        <v>322</v>
      </c>
      <c r="J216" s="41"/>
      <c r="K216" s="220" t="s">
        <v>883</v>
      </c>
      <c r="L216" s="293" t="s">
        <v>883</v>
      </c>
      <c r="M216" s="41"/>
      <c r="N216" s="41"/>
      <c r="O216" s="41"/>
      <c r="P216" s="174" t="s">
        <v>32</v>
      </c>
      <c r="Q216" s="17" t="s">
        <v>33</v>
      </c>
      <c r="R216" s="18">
        <v>46247</v>
      </c>
      <c r="S216" s="18">
        <v>46252</v>
      </c>
      <c r="T216" s="18">
        <v>46259</v>
      </c>
      <c r="U216" s="18">
        <v>46260</v>
      </c>
      <c r="V216" s="18">
        <v>46267</v>
      </c>
      <c r="W216" s="18">
        <v>46281</v>
      </c>
      <c r="X216" s="206">
        <v>46302</v>
      </c>
      <c r="Y216" s="18">
        <v>46307</v>
      </c>
      <c r="Z216" s="18"/>
      <c r="AA216" s="18">
        <v>46321</v>
      </c>
      <c r="AB216" s="18">
        <v>46323</v>
      </c>
      <c r="AC216" s="18">
        <v>46330</v>
      </c>
      <c r="AD216" s="18">
        <v>46351</v>
      </c>
      <c r="AE216" s="18">
        <v>46366</v>
      </c>
      <c r="AF216" s="18">
        <v>46381</v>
      </c>
      <c r="AG216" s="18">
        <v>46381</v>
      </c>
      <c r="AH216" s="18">
        <v>46383</v>
      </c>
      <c r="AI216" s="18">
        <v>46422</v>
      </c>
      <c r="AJ216" s="18">
        <v>46437</v>
      </c>
      <c r="AK216" s="18">
        <v>46447</v>
      </c>
      <c r="AL216" s="18">
        <v>46450</v>
      </c>
      <c r="AM216" s="18">
        <v>46477</v>
      </c>
      <c r="AN216" s="57">
        <v>18</v>
      </c>
      <c r="AO216" s="58">
        <v>126</v>
      </c>
      <c r="AP216" s="77">
        <v>46447</v>
      </c>
      <c r="AQ216" s="77">
        <v>46492</v>
      </c>
      <c r="AR216" s="19">
        <f>AQ216-AP217</f>
        <v>45</v>
      </c>
      <c r="AS216" s="142" t="s">
        <v>364</v>
      </c>
      <c r="AT216" s="501"/>
      <c r="AU216" s="20"/>
      <c r="AV216" s="21"/>
      <c r="AW216" s="21"/>
      <c r="AX216" s="21"/>
      <c r="AY216" s="21"/>
      <c r="AZ216" s="21"/>
      <c r="BA216" s="21"/>
      <c r="BB216" s="21"/>
      <c r="BC216" s="21"/>
      <c r="BD216" s="21"/>
      <c r="BE216" s="402"/>
      <c r="BF216" s="415"/>
      <c r="BG216" s="407"/>
      <c r="BH216" s="407"/>
    </row>
    <row r="217" spans="1:60" s="3" customFormat="1" ht="14.25" thickTop="1" thickBot="1" x14ac:dyDescent="0.45">
      <c r="A217" s="508"/>
      <c r="B217" s="92" t="s">
        <v>246</v>
      </c>
      <c r="C217" s="40" t="s">
        <v>119</v>
      </c>
      <c r="D217" s="23" t="s">
        <v>134</v>
      </c>
      <c r="E217" s="42" t="s">
        <v>135</v>
      </c>
      <c r="F217" s="45" t="s">
        <v>100</v>
      </c>
      <c r="G217" s="22" t="s">
        <v>51</v>
      </c>
      <c r="H217" s="40" t="s">
        <v>1</v>
      </c>
      <c r="I217" s="40" t="s">
        <v>322</v>
      </c>
      <c r="J217" s="42"/>
      <c r="K217" s="194"/>
      <c r="L217" s="42"/>
      <c r="M217" s="42"/>
      <c r="N217" s="42"/>
      <c r="O217" s="42"/>
      <c r="P217" s="175" t="s">
        <v>32</v>
      </c>
      <c r="Q217" s="25" t="s">
        <v>34</v>
      </c>
      <c r="R217" s="26"/>
      <c r="S217" s="27"/>
      <c r="T217" s="27"/>
      <c r="U217" s="27"/>
      <c r="V217" s="27"/>
      <c r="W217" s="27"/>
      <c r="X217" s="27">
        <v>46290</v>
      </c>
      <c r="Y217" s="27">
        <f>WORKDAY(X217, Y8, IF(Y12="China",'China Holidays'!$A$2:$A$84,'Thai Holidays'!$A$2:$A$65))</f>
        <v>46304</v>
      </c>
      <c r="Z217" s="27"/>
      <c r="AA217" s="27">
        <f>AA216</f>
        <v>46321</v>
      </c>
      <c r="AB217" s="27">
        <f>WORKDAY(AA217, AB8, IF(AB12="China",'China Holidays'!$A$2:$A$84,'Thai Holidays'!$A$2:$A$65))</f>
        <v>46323</v>
      </c>
      <c r="AC217" s="27">
        <f>WORKDAY(AB217, AC8, IF(AC12="China",'China Holidays'!$A$2:$A$84,'Thai Holidays'!$A$2:$A$65))</f>
        <v>46330</v>
      </c>
      <c r="AD217" s="27">
        <f>WORKDAY(AC217, AD8, IF(AD12="China",'China Holidays'!$A$2:$A$84,'Thai Holidays'!$A$2:$A$65))</f>
        <v>46351</v>
      </c>
      <c r="AE217" s="27">
        <f>WORKDAY(AD217, AE8, IF(AE12="China",'China Holidays'!$A$2:$A$84,'Thai Holidays'!$A$2:$A$65))</f>
        <v>46366</v>
      </c>
      <c r="AF217" s="27">
        <f>AE217+15</f>
        <v>46381</v>
      </c>
      <c r="AG217" s="27">
        <f>AF217</f>
        <v>46381</v>
      </c>
      <c r="AH217" s="27">
        <f>AG217+2</f>
        <v>46383</v>
      </c>
      <c r="AI217" s="27">
        <f>AJ217-15</f>
        <v>46422</v>
      </c>
      <c r="AJ217" s="27">
        <f>AK217-10</f>
        <v>46437</v>
      </c>
      <c r="AK217" s="27">
        <f>AP216</f>
        <v>46447</v>
      </c>
      <c r="AL217" s="27">
        <f>AP216+3</f>
        <v>46450</v>
      </c>
      <c r="AM217" s="27">
        <f>AP216+30</f>
        <v>46477</v>
      </c>
      <c r="AN217" s="80"/>
      <c r="AO217" s="78"/>
      <c r="AP217" s="82">
        <f>AA217+AO216</f>
        <v>46447</v>
      </c>
      <c r="AQ217" s="82"/>
      <c r="AR217" s="28"/>
      <c r="AS217" s="361"/>
      <c r="AT217" s="502"/>
      <c r="AU217" s="20"/>
      <c r="AV217" s="21"/>
      <c r="AW217" s="21"/>
      <c r="AX217" s="21"/>
      <c r="AY217" s="21"/>
      <c r="AZ217" s="21"/>
      <c r="BA217" s="21"/>
      <c r="BB217" s="21"/>
      <c r="BC217" s="21"/>
      <c r="BD217" s="21"/>
      <c r="BE217" s="402"/>
      <c r="BF217" s="415"/>
      <c r="BG217" s="407"/>
      <c r="BH217" s="407"/>
    </row>
    <row r="218" spans="1:60" s="3" customFormat="1" ht="14.25" thickTop="1" thickBot="1" x14ac:dyDescent="0.45">
      <c r="A218" s="509"/>
      <c r="B218" s="93" t="s">
        <v>246</v>
      </c>
      <c r="C218" s="31" t="s">
        <v>119</v>
      </c>
      <c r="D218" s="32" t="s">
        <v>134</v>
      </c>
      <c r="E218" s="43" t="s">
        <v>135</v>
      </c>
      <c r="F218" s="33" t="s">
        <v>100</v>
      </c>
      <c r="G218" s="31" t="s">
        <v>51</v>
      </c>
      <c r="H218" s="31" t="s">
        <v>1</v>
      </c>
      <c r="I218" s="31" t="s">
        <v>322</v>
      </c>
      <c r="J218" s="43"/>
      <c r="K218" s="218"/>
      <c r="L218" s="43"/>
      <c r="M218" s="43"/>
      <c r="N218" s="43"/>
      <c r="O218" s="43"/>
      <c r="P218" s="176" t="s">
        <v>32</v>
      </c>
      <c r="Q218" s="34" t="s">
        <v>35</v>
      </c>
      <c r="R218" s="35">
        <v>46246</v>
      </c>
      <c r="S218" s="35">
        <v>46153</v>
      </c>
      <c r="T218" s="35">
        <v>46166</v>
      </c>
      <c r="U218" s="35">
        <v>46254</v>
      </c>
      <c r="V218" s="35">
        <v>46254</v>
      </c>
      <c r="W218" s="35">
        <v>46262</v>
      </c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81"/>
      <c r="AO218" s="79"/>
      <c r="AP218" s="36"/>
      <c r="AQ218" s="36"/>
      <c r="AR218" s="37"/>
      <c r="AS218" s="141"/>
      <c r="AT218" s="503"/>
      <c r="AU218" s="38"/>
      <c r="AV218" s="39"/>
      <c r="AW218" s="39"/>
      <c r="AX218" s="39"/>
      <c r="AY218" s="39"/>
      <c r="AZ218" s="39"/>
      <c r="BA218" s="39"/>
      <c r="BB218" s="39"/>
      <c r="BC218" s="39"/>
      <c r="BD218" s="39"/>
      <c r="BE218" s="405"/>
      <c r="BF218" s="415"/>
      <c r="BG218" s="407"/>
      <c r="BH218" s="407"/>
    </row>
    <row r="219" spans="1:60" s="3" customFormat="1" ht="15.75" customHeight="1" thickTop="1" thickBot="1" x14ac:dyDescent="0.45">
      <c r="A219" s="507">
        <f t="shared" si="46"/>
        <v>61</v>
      </c>
      <c r="B219" s="91" t="s">
        <v>247</v>
      </c>
      <c r="C219" s="13" t="s">
        <v>121</v>
      </c>
      <c r="D219" s="203" t="s">
        <v>257</v>
      </c>
      <c r="E219" s="63" t="s">
        <v>115</v>
      </c>
      <c r="F219" s="15" t="s">
        <v>100</v>
      </c>
      <c r="G219" s="13" t="s">
        <v>51</v>
      </c>
      <c r="H219" s="13" t="s">
        <v>3</v>
      </c>
      <c r="I219" s="13" t="s">
        <v>290</v>
      </c>
      <c r="J219" s="41"/>
      <c r="K219" s="193" t="s">
        <v>797</v>
      </c>
      <c r="L219" s="308" t="s">
        <v>1061</v>
      </c>
      <c r="M219" s="41"/>
      <c r="N219" s="41"/>
      <c r="O219" s="41"/>
      <c r="P219" s="174" t="s">
        <v>32</v>
      </c>
      <c r="Q219" s="17" t="s">
        <v>33</v>
      </c>
      <c r="R219" s="18">
        <v>46276</v>
      </c>
      <c r="S219" s="18">
        <v>46274</v>
      </c>
      <c r="T219" s="18">
        <v>46288</v>
      </c>
      <c r="U219" s="18">
        <v>46288</v>
      </c>
      <c r="V219" s="18">
        <v>46288</v>
      </c>
      <c r="W219" s="18">
        <v>46310</v>
      </c>
      <c r="X219" s="206">
        <v>46330</v>
      </c>
      <c r="Y219" s="18">
        <v>46344</v>
      </c>
      <c r="Z219" s="18"/>
      <c r="AA219" s="18">
        <v>46357</v>
      </c>
      <c r="AB219" s="18">
        <v>46359</v>
      </c>
      <c r="AC219" s="18">
        <v>46366</v>
      </c>
      <c r="AD219" s="18">
        <v>46387</v>
      </c>
      <c r="AE219" s="18">
        <v>46402</v>
      </c>
      <c r="AF219" s="18">
        <v>46417</v>
      </c>
      <c r="AG219" s="18">
        <v>46417</v>
      </c>
      <c r="AH219" s="18">
        <v>46419</v>
      </c>
      <c r="AI219" s="18">
        <v>46468</v>
      </c>
      <c r="AJ219" s="18">
        <v>46478</v>
      </c>
      <c r="AK219" s="18">
        <v>46483</v>
      </c>
      <c r="AL219" s="18">
        <v>46486</v>
      </c>
      <c r="AM219" s="18">
        <v>46513</v>
      </c>
      <c r="AN219" s="57">
        <v>18</v>
      </c>
      <c r="AO219" s="58">
        <v>126</v>
      </c>
      <c r="AP219" s="77">
        <v>46483</v>
      </c>
      <c r="AQ219" s="77">
        <v>46492</v>
      </c>
      <c r="AR219" s="19">
        <f>AQ219-AP220</f>
        <v>9</v>
      </c>
      <c r="AS219" s="142" t="s">
        <v>846</v>
      </c>
      <c r="AT219" s="501"/>
      <c r="AU219" s="20"/>
      <c r="AV219" s="21"/>
      <c r="AW219" s="21"/>
      <c r="AX219" s="21"/>
      <c r="AY219" s="21"/>
      <c r="AZ219" s="21"/>
      <c r="BA219" s="21"/>
      <c r="BB219" s="21"/>
      <c r="BC219" s="21"/>
      <c r="BD219" s="21"/>
      <c r="BE219" s="402"/>
      <c r="BF219" s="415"/>
      <c r="BG219" s="407"/>
      <c r="BH219" s="407"/>
    </row>
    <row r="220" spans="1:60" s="3" customFormat="1" ht="14.25" thickTop="1" thickBot="1" x14ac:dyDescent="0.45">
      <c r="A220" s="508"/>
      <c r="B220" s="92" t="s">
        <v>247</v>
      </c>
      <c r="C220" s="40" t="s">
        <v>121</v>
      </c>
      <c r="D220" s="23" t="s">
        <v>120</v>
      </c>
      <c r="E220" s="42" t="s">
        <v>115</v>
      </c>
      <c r="F220" s="45" t="s">
        <v>100</v>
      </c>
      <c r="G220" s="22" t="s">
        <v>51</v>
      </c>
      <c r="H220" s="40" t="s">
        <v>3</v>
      </c>
      <c r="I220" s="40" t="s">
        <v>290</v>
      </c>
      <c r="J220" s="42"/>
      <c r="K220" s="194" t="s">
        <v>798</v>
      </c>
      <c r="L220" s="370" t="s">
        <v>1062</v>
      </c>
      <c r="M220" s="42"/>
      <c r="N220" s="42"/>
      <c r="O220" s="42"/>
      <c r="P220" s="175" t="s">
        <v>32</v>
      </c>
      <c r="Q220" s="25" t="s">
        <v>34</v>
      </c>
      <c r="R220" s="26"/>
      <c r="S220" s="27"/>
      <c r="T220" s="27"/>
      <c r="U220" s="27"/>
      <c r="V220" s="27"/>
      <c r="W220" s="27"/>
      <c r="X220" s="27">
        <f>X219</f>
        <v>46330</v>
      </c>
      <c r="Y220" s="27">
        <f>WORKDAY(X220, Y8, IF(Y12="China",'China Holidays'!$A$2:$A$84,'Thai Holidays'!$A$2:$A$65))</f>
        <v>46344</v>
      </c>
      <c r="Z220" s="27"/>
      <c r="AA220" s="27">
        <f>WORKDAY(Y220, AA8, IF(AA12="China",'China Holidays'!$A$2:$A$84,'Thai Holidays'!$A$2:$A$65))</f>
        <v>46357</v>
      </c>
      <c r="AB220" s="27">
        <f>WORKDAY(AA220, AB8, IF(AB12="China",'China Holidays'!$A$2:$A$84,'Thai Holidays'!$A$2:$A$65))</f>
        <v>46359</v>
      </c>
      <c r="AC220" s="27">
        <f>WORKDAY(AB220, AC8, IF(AC12="China",'China Holidays'!$A$2:$A$84,'Thai Holidays'!$A$2:$A$65))</f>
        <v>46366</v>
      </c>
      <c r="AD220" s="27">
        <f>WORKDAY(AC220, AD8, IF(AD12="China",'China Holidays'!$A$2:$A$84,'Thai Holidays'!$A$2:$A$65))</f>
        <v>46387</v>
      </c>
      <c r="AE220" s="27">
        <f>WORKDAY(AD220, AE8, IF(AE12="China",'China Holidays'!$A$2:$A$84,'Thai Holidays'!$A$2:$A$65))</f>
        <v>46402</v>
      </c>
      <c r="AF220" s="27">
        <f>AE220+15</f>
        <v>46417</v>
      </c>
      <c r="AG220" s="27">
        <f>AF220</f>
        <v>46417</v>
      </c>
      <c r="AH220" s="27">
        <f>AG220+2</f>
        <v>46419</v>
      </c>
      <c r="AI220" s="27">
        <f>AJ220-10</f>
        <v>46468</v>
      </c>
      <c r="AJ220" s="27">
        <f>AK220-5</f>
        <v>46478</v>
      </c>
      <c r="AK220" s="27">
        <f>AP219</f>
        <v>46483</v>
      </c>
      <c r="AL220" s="27">
        <f>AP219+3</f>
        <v>46486</v>
      </c>
      <c r="AM220" s="27">
        <f>AP219+30</f>
        <v>46513</v>
      </c>
      <c r="AN220" s="80"/>
      <c r="AO220" s="78"/>
      <c r="AP220" s="82">
        <f>AA220+AO219</f>
        <v>46483</v>
      </c>
      <c r="AQ220" s="82"/>
      <c r="AR220" s="28"/>
      <c r="AS220" s="361"/>
      <c r="AT220" s="502"/>
      <c r="AU220" s="20"/>
      <c r="AV220" s="21"/>
      <c r="AW220" s="21"/>
      <c r="AX220" s="21"/>
      <c r="AY220" s="21"/>
      <c r="AZ220" s="21"/>
      <c r="BA220" s="21"/>
      <c r="BB220" s="21"/>
      <c r="BC220" s="21"/>
      <c r="BD220" s="21"/>
      <c r="BE220" s="402"/>
      <c r="BF220" s="415"/>
      <c r="BG220" s="407"/>
      <c r="BH220" s="407"/>
    </row>
    <row r="221" spans="1:60" s="3" customFormat="1" ht="21" thickTop="1" thickBot="1" x14ac:dyDescent="0.45">
      <c r="A221" s="509"/>
      <c r="B221" s="93" t="s">
        <v>247</v>
      </c>
      <c r="C221" s="31" t="s">
        <v>121</v>
      </c>
      <c r="D221" s="47" t="s">
        <v>120</v>
      </c>
      <c r="E221" s="44" t="s">
        <v>115</v>
      </c>
      <c r="F221" s="33" t="s">
        <v>100</v>
      </c>
      <c r="G221" s="31" t="s">
        <v>51</v>
      </c>
      <c r="H221" s="31" t="s">
        <v>3</v>
      </c>
      <c r="I221" s="31" t="s">
        <v>290</v>
      </c>
      <c r="J221" s="44"/>
      <c r="K221" s="290" t="s">
        <v>878</v>
      </c>
      <c r="L221" s="44"/>
      <c r="M221" s="44"/>
      <c r="N221" s="44"/>
      <c r="O221" s="44"/>
      <c r="P221" s="176" t="s">
        <v>32</v>
      </c>
      <c r="Q221" s="34" t="s">
        <v>35</v>
      </c>
      <c r="R221" s="35">
        <v>46246</v>
      </c>
      <c r="S221" s="35">
        <v>46153</v>
      </c>
      <c r="T221" s="35">
        <v>46166</v>
      </c>
      <c r="U221" s="35">
        <v>46246</v>
      </c>
      <c r="V221" s="35">
        <v>46246</v>
      </c>
      <c r="W221" s="35">
        <v>46258</v>
      </c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81"/>
      <c r="AO221" s="79"/>
      <c r="AP221" s="36"/>
      <c r="AQ221" s="36"/>
      <c r="AR221" s="37"/>
      <c r="AS221" s="141"/>
      <c r="AT221" s="503"/>
      <c r="AU221" s="38"/>
      <c r="AV221" s="39"/>
      <c r="AW221" s="39"/>
      <c r="AX221" s="39"/>
      <c r="AY221" s="39"/>
      <c r="AZ221" s="39"/>
      <c r="BA221" s="39"/>
      <c r="BB221" s="39"/>
      <c r="BC221" s="39"/>
      <c r="BD221" s="39"/>
      <c r="BE221" s="405"/>
      <c r="BF221" s="415"/>
      <c r="BG221" s="407"/>
      <c r="BH221" s="407"/>
    </row>
    <row r="222" spans="1:60" s="3" customFormat="1" ht="14.25" thickTop="1" thickBot="1" x14ac:dyDescent="0.45">
      <c r="A222" s="507">
        <f t="shared" si="46"/>
        <v>62</v>
      </c>
      <c r="B222" s="91" t="s">
        <v>249</v>
      </c>
      <c r="C222" s="13" t="s">
        <v>123</v>
      </c>
      <c r="D222" s="203" t="s">
        <v>259</v>
      </c>
      <c r="E222" s="63" t="s">
        <v>115</v>
      </c>
      <c r="F222" s="15" t="s">
        <v>100</v>
      </c>
      <c r="G222" s="13" t="s">
        <v>51</v>
      </c>
      <c r="H222" s="13" t="s">
        <v>3</v>
      </c>
      <c r="I222" s="13" t="s">
        <v>290</v>
      </c>
      <c r="J222" s="41"/>
      <c r="K222" s="193" t="s">
        <v>799</v>
      </c>
      <c r="L222" s="308" t="s">
        <v>1064</v>
      </c>
      <c r="M222" s="41"/>
      <c r="N222" s="41"/>
      <c r="O222" s="41"/>
      <c r="P222" s="174" t="s">
        <v>32</v>
      </c>
      <c r="Q222" s="17" t="s">
        <v>33</v>
      </c>
      <c r="R222" s="18">
        <v>46276</v>
      </c>
      <c r="S222" s="18">
        <v>46274</v>
      </c>
      <c r="T222" s="18">
        <v>46288</v>
      </c>
      <c r="U222" s="18">
        <v>46288</v>
      </c>
      <c r="V222" s="18">
        <v>46288</v>
      </c>
      <c r="W222" s="18">
        <v>46310</v>
      </c>
      <c r="X222" s="206">
        <v>46330</v>
      </c>
      <c r="Y222" s="18">
        <v>46344</v>
      </c>
      <c r="Z222" s="18"/>
      <c r="AA222" s="18">
        <v>46357</v>
      </c>
      <c r="AB222" s="18">
        <v>46359</v>
      </c>
      <c r="AC222" s="18">
        <v>46366</v>
      </c>
      <c r="AD222" s="18">
        <v>46387</v>
      </c>
      <c r="AE222" s="18">
        <v>46402</v>
      </c>
      <c r="AF222" s="18">
        <v>46417</v>
      </c>
      <c r="AG222" s="18">
        <v>46417</v>
      </c>
      <c r="AH222" s="18">
        <v>46419</v>
      </c>
      <c r="AI222" s="18">
        <v>46468</v>
      </c>
      <c r="AJ222" s="18">
        <v>46478</v>
      </c>
      <c r="AK222" s="18">
        <v>46483</v>
      </c>
      <c r="AL222" s="18">
        <v>46486</v>
      </c>
      <c r="AM222" s="18">
        <v>46513</v>
      </c>
      <c r="AN222" s="57">
        <v>18</v>
      </c>
      <c r="AO222" s="58">
        <v>126</v>
      </c>
      <c r="AP222" s="77">
        <v>46483</v>
      </c>
      <c r="AQ222" s="77">
        <v>46492</v>
      </c>
      <c r="AR222" s="19">
        <f>AQ222-AP223</f>
        <v>9</v>
      </c>
      <c r="AS222" s="142" t="s">
        <v>846</v>
      </c>
      <c r="AT222" s="501"/>
      <c r="AU222" s="20"/>
      <c r="AV222" s="21"/>
      <c r="AW222" s="21"/>
      <c r="AX222" s="21"/>
      <c r="AY222" s="21"/>
      <c r="AZ222" s="21"/>
      <c r="BA222" s="21"/>
      <c r="BB222" s="21"/>
      <c r="BC222" s="21"/>
      <c r="BD222" s="21"/>
      <c r="BE222" s="402"/>
      <c r="BF222" s="415"/>
      <c r="BG222" s="407" t="s">
        <v>1063</v>
      </c>
      <c r="BH222" s="407"/>
    </row>
    <row r="223" spans="1:60" s="3" customFormat="1" ht="14.25" thickTop="1" thickBot="1" x14ac:dyDescent="0.45">
      <c r="A223" s="508"/>
      <c r="B223" s="92" t="s">
        <v>249</v>
      </c>
      <c r="C223" s="40" t="s">
        <v>123</v>
      </c>
      <c r="D223" s="23" t="s">
        <v>258</v>
      </c>
      <c r="E223" s="42" t="s">
        <v>115</v>
      </c>
      <c r="F223" s="45" t="s">
        <v>100</v>
      </c>
      <c r="G223" s="22" t="s">
        <v>51</v>
      </c>
      <c r="H223" s="40" t="s">
        <v>3</v>
      </c>
      <c r="I223" s="40" t="s">
        <v>290</v>
      </c>
      <c r="J223" s="42"/>
      <c r="K223" s="194"/>
      <c r="L223" s="42"/>
      <c r="M223" s="42"/>
      <c r="N223" s="42"/>
      <c r="O223" s="42"/>
      <c r="P223" s="175" t="s">
        <v>32</v>
      </c>
      <c r="Q223" s="25" t="s">
        <v>34</v>
      </c>
      <c r="R223" s="26"/>
      <c r="S223" s="27"/>
      <c r="T223" s="27"/>
      <c r="U223" s="27"/>
      <c r="V223" s="27"/>
      <c r="W223" s="27"/>
      <c r="X223" s="27">
        <f>X222</f>
        <v>46330</v>
      </c>
      <c r="Y223" s="27">
        <f>WORKDAY(X223, Y8, IF(Y12="China",'China Holidays'!$A$2:$A$84,'Thai Holidays'!$A$2:$A$65))</f>
        <v>46344</v>
      </c>
      <c r="Z223" s="27"/>
      <c r="AA223" s="27">
        <f>WORKDAY(Y223, AA8, IF(AA12="China",'China Holidays'!$A$2:$A$84,'Thai Holidays'!$A$2:$A$65))</f>
        <v>46357</v>
      </c>
      <c r="AB223" s="27">
        <f>WORKDAY(AA223, AB8, IF(AB12="China",'China Holidays'!$A$2:$A$84,'Thai Holidays'!$A$2:$A$65))</f>
        <v>46359</v>
      </c>
      <c r="AC223" s="27">
        <f>WORKDAY(AB223, AC8, IF(AC12="China",'China Holidays'!$A$2:$A$84,'Thai Holidays'!$A$2:$A$65))</f>
        <v>46366</v>
      </c>
      <c r="AD223" s="27">
        <f>WORKDAY(AC223, AD8, IF(AD12="China",'China Holidays'!$A$2:$A$84,'Thai Holidays'!$A$2:$A$65))</f>
        <v>46387</v>
      </c>
      <c r="AE223" s="27">
        <f>WORKDAY(AD223, AE8, IF(AE12="China",'China Holidays'!$A$2:$A$84,'Thai Holidays'!$A$2:$A$65))</f>
        <v>46402</v>
      </c>
      <c r="AF223" s="27">
        <f>AE223+15</f>
        <v>46417</v>
      </c>
      <c r="AG223" s="27">
        <f>AF223</f>
        <v>46417</v>
      </c>
      <c r="AH223" s="27">
        <f>AG223+2</f>
        <v>46419</v>
      </c>
      <c r="AI223" s="27">
        <f>AJ223-10</f>
        <v>46468</v>
      </c>
      <c r="AJ223" s="27">
        <f>AK223-5</f>
        <v>46478</v>
      </c>
      <c r="AK223" s="27">
        <f>AP222</f>
        <v>46483</v>
      </c>
      <c r="AL223" s="27">
        <f>AP222+3</f>
        <v>46486</v>
      </c>
      <c r="AM223" s="27">
        <f>AP222+30</f>
        <v>46513</v>
      </c>
      <c r="AN223" s="80"/>
      <c r="AO223" s="78"/>
      <c r="AP223" s="82">
        <f>AA223+AO222</f>
        <v>46483</v>
      </c>
      <c r="AQ223" s="82"/>
      <c r="AR223" s="28"/>
      <c r="AS223" s="361"/>
      <c r="AT223" s="502"/>
      <c r="AU223" s="20"/>
      <c r="AV223" s="21"/>
      <c r="AW223" s="21"/>
      <c r="AX223" s="21"/>
      <c r="AY223" s="21"/>
      <c r="AZ223" s="21"/>
      <c r="BA223" s="21"/>
      <c r="BB223" s="21"/>
      <c r="BC223" s="21"/>
      <c r="BD223" s="21"/>
      <c r="BE223" s="402"/>
      <c r="BF223" s="415"/>
      <c r="BG223" s="407"/>
      <c r="BH223" s="407"/>
    </row>
    <row r="224" spans="1:60" s="3" customFormat="1" ht="14.25" thickTop="1" thickBot="1" x14ac:dyDescent="0.45">
      <c r="A224" s="509"/>
      <c r="B224" s="93" t="s">
        <v>248</v>
      </c>
      <c r="C224" s="31" t="s">
        <v>123</v>
      </c>
      <c r="D224" s="188" t="s">
        <v>258</v>
      </c>
      <c r="E224" s="44" t="s">
        <v>115</v>
      </c>
      <c r="F224" s="33" t="s">
        <v>100</v>
      </c>
      <c r="G224" s="31" t="s">
        <v>51</v>
      </c>
      <c r="H224" s="31" t="s">
        <v>3</v>
      </c>
      <c r="I224" s="31" t="s">
        <v>290</v>
      </c>
      <c r="J224" s="44"/>
      <c r="K224" s="195"/>
      <c r="L224" s="44"/>
      <c r="M224" s="44"/>
      <c r="N224" s="44"/>
      <c r="O224" s="44"/>
      <c r="P224" s="176" t="s">
        <v>32</v>
      </c>
      <c r="Q224" s="34" t="s">
        <v>35</v>
      </c>
      <c r="R224" s="35">
        <v>46246</v>
      </c>
      <c r="S224" s="35">
        <v>46153</v>
      </c>
      <c r="T224" s="35">
        <v>46172</v>
      </c>
      <c r="U224" s="35">
        <v>46262</v>
      </c>
      <c r="V224" s="35">
        <v>46262</v>
      </c>
      <c r="W224" s="377">
        <v>46280</v>
      </c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81"/>
      <c r="AO224" s="79"/>
      <c r="AP224" s="36"/>
      <c r="AQ224" s="36"/>
      <c r="AR224" s="37"/>
      <c r="AS224" s="141"/>
      <c r="AT224" s="503"/>
      <c r="AU224" s="38"/>
      <c r="AV224" s="39"/>
      <c r="AW224" s="39"/>
      <c r="AX224" s="39"/>
      <c r="AY224" s="39"/>
      <c r="AZ224" s="39"/>
      <c r="BA224" s="39"/>
      <c r="BB224" s="39"/>
      <c r="BC224" s="39"/>
      <c r="BD224" s="39"/>
      <c r="BE224" s="405"/>
      <c r="BF224" s="415"/>
      <c r="BG224" s="407"/>
      <c r="BH224" s="407"/>
    </row>
    <row r="225" spans="1:60" s="3" customFormat="1" ht="14.25" thickTop="1" thickBot="1" x14ac:dyDescent="0.45">
      <c r="A225" s="507">
        <f t="shared" si="46"/>
        <v>63</v>
      </c>
      <c r="B225" s="91" t="s">
        <v>250</v>
      </c>
      <c r="C225" s="13" t="s">
        <v>125</v>
      </c>
      <c r="D225" s="203" t="s">
        <v>347</v>
      </c>
      <c r="E225" s="63" t="s">
        <v>115</v>
      </c>
      <c r="F225" s="15" t="s">
        <v>100</v>
      </c>
      <c r="G225" s="13" t="s">
        <v>51</v>
      </c>
      <c r="H225" s="13" t="s">
        <v>1</v>
      </c>
      <c r="I225" s="13" t="s">
        <v>290</v>
      </c>
      <c r="J225" s="41"/>
      <c r="K225" s="193" t="s">
        <v>797</v>
      </c>
      <c r="L225" s="308" t="s">
        <v>1065</v>
      </c>
      <c r="M225" s="41"/>
      <c r="N225" s="41"/>
      <c r="O225" s="41"/>
      <c r="P225" s="174" t="s">
        <v>32</v>
      </c>
      <c r="Q225" s="17" t="s">
        <v>33</v>
      </c>
      <c r="R225" s="18">
        <v>46276</v>
      </c>
      <c r="S225" s="18">
        <v>46274</v>
      </c>
      <c r="T225" s="18">
        <v>46288</v>
      </c>
      <c r="U225" s="18">
        <v>46288</v>
      </c>
      <c r="V225" s="18">
        <v>46288</v>
      </c>
      <c r="W225" s="18">
        <v>46310</v>
      </c>
      <c r="X225" s="206">
        <v>46330</v>
      </c>
      <c r="Y225" s="18">
        <v>46344</v>
      </c>
      <c r="Z225" s="18"/>
      <c r="AA225" s="18">
        <v>46357</v>
      </c>
      <c r="AB225" s="18">
        <v>46359</v>
      </c>
      <c r="AC225" s="18">
        <v>46366</v>
      </c>
      <c r="AD225" s="18">
        <v>46387</v>
      </c>
      <c r="AE225" s="18">
        <v>46402</v>
      </c>
      <c r="AF225" s="18">
        <v>46417</v>
      </c>
      <c r="AG225" s="18">
        <v>46417</v>
      </c>
      <c r="AH225" s="18">
        <v>46419</v>
      </c>
      <c r="AI225" s="18">
        <v>46468</v>
      </c>
      <c r="AJ225" s="18">
        <v>46478</v>
      </c>
      <c r="AK225" s="18">
        <v>46483</v>
      </c>
      <c r="AL225" s="18">
        <v>46486</v>
      </c>
      <c r="AM225" s="18">
        <v>46513</v>
      </c>
      <c r="AN225" s="57">
        <v>18</v>
      </c>
      <c r="AO225" s="58">
        <v>126</v>
      </c>
      <c r="AP225" s="77">
        <v>46483</v>
      </c>
      <c r="AQ225" s="77">
        <v>46492</v>
      </c>
      <c r="AR225" s="19">
        <f>AQ225-AP226</f>
        <v>9</v>
      </c>
      <c r="AS225" s="142" t="s">
        <v>846</v>
      </c>
      <c r="AT225" s="501"/>
      <c r="AU225" s="20"/>
      <c r="AV225" s="21"/>
      <c r="AW225" s="21"/>
      <c r="AX225" s="21"/>
      <c r="AY225" s="21"/>
      <c r="AZ225" s="21"/>
      <c r="BA225" s="21"/>
      <c r="BB225" s="21"/>
      <c r="BC225" s="21"/>
      <c r="BD225" s="21"/>
      <c r="BE225" s="402"/>
      <c r="BF225" s="415"/>
      <c r="BG225" s="407"/>
      <c r="BH225" s="407"/>
    </row>
    <row r="226" spans="1:60" s="3" customFormat="1" ht="14.25" thickTop="1" thickBot="1" x14ac:dyDescent="0.45">
      <c r="A226" s="508"/>
      <c r="B226" s="92" t="s">
        <v>250</v>
      </c>
      <c r="C226" s="40" t="s">
        <v>125</v>
      </c>
      <c r="D226" s="23" t="s">
        <v>124</v>
      </c>
      <c r="E226" s="42" t="s">
        <v>115</v>
      </c>
      <c r="F226" s="45" t="s">
        <v>100</v>
      </c>
      <c r="G226" s="22" t="s">
        <v>51</v>
      </c>
      <c r="H226" s="40" t="s">
        <v>1</v>
      </c>
      <c r="I226" s="40" t="s">
        <v>290</v>
      </c>
      <c r="J226" s="42"/>
      <c r="K226" s="194" t="s">
        <v>798</v>
      </c>
      <c r="L226" s="370" t="s">
        <v>1066</v>
      </c>
      <c r="M226" s="42"/>
      <c r="N226" s="42"/>
      <c r="O226" s="42"/>
      <c r="P226" s="175" t="s">
        <v>32</v>
      </c>
      <c r="Q226" s="25" t="s">
        <v>34</v>
      </c>
      <c r="R226" s="26"/>
      <c r="S226" s="27"/>
      <c r="T226" s="27"/>
      <c r="U226" s="27"/>
      <c r="V226" s="27"/>
      <c r="W226" s="27"/>
      <c r="X226" s="27">
        <f>X225</f>
        <v>46330</v>
      </c>
      <c r="Y226" s="27">
        <f>WORKDAY(X226, Y8, IF(Y12="China",'China Holidays'!$A$2:$A$84,'Thai Holidays'!$A$2:$A$65))</f>
        <v>46344</v>
      </c>
      <c r="Z226" s="27"/>
      <c r="AA226" s="27">
        <f>WORKDAY(Y226, AA8, IF(AA12="China",'China Holidays'!$A$2:$A$84,'Thai Holidays'!$A$2:$A$65))</f>
        <v>46357</v>
      </c>
      <c r="AB226" s="27">
        <f>WORKDAY(AA226, AB8, IF(AB12="China",'China Holidays'!$A$2:$A$84,'Thai Holidays'!$A$2:$A$65))</f>
        <v>46359</v>
      </c>
      <c r="AC226" s="27">
        <f>WORKDAY(AB226, AC8, IF(AC12="China",'China Holidays'!$A$2:$A$84,'Thai Holidays'!$A$2:$A$65))</f>
        <v>46366</v>
      </c>
      <c r="AD226" s="27">
        <f>WORKDAY(AC226, AD8, IF(AD12="China",'China Holidays'!$A$2:$A$84,'Thai Holidays'!$A$2:$A$65))</f>
        <v>46387</v>
      </c>
      <c r="AE226" s="27">
        <f>WORKDAY(AD226, AE8, IF(AE12="China",'China Holidays'!$A$2:$A$84,'Thai Holidays'!$A$2:$A$65))</f>
        <v>46402</v>
      </c>
      <c r="AF226" s="27">
        <f>AE226+15</f>
        <v>46417</v>
      </c>
      <c r="AG226" s="27">
        <f>AF226</f>
        <v>46417</v>
      </c>
      <c r="AH226" s="27">
        <f>AG226+2</f>
        <v>46419</v>
      </c>
      <c r="AI226" s="27">
        <f>AJ226-10</f>
        <v>46468</v>
      </c>
      <c r="AJ226" s="27">
        <f>AK226-5</f>
        <v>46478</v>
      </c>
      <c r="AK226" s="27">
        <f>AP225</f>
        <v>46483</v>
      </c>
      <c r="AL226" s="27">
        <f>AP225+3</f>
        <v>46486</v>
      </c>
      <c r="AM226" s="27">
        <f>AP225+30</f>
        <v>46513</v>
      </c>
      <c r="AN226" s="80"/>
      <c r="AO226" s="78"/>
      <c r="AP226" s="82">
        <f>AA226+AO225</f>
        <v>46483</v>
      </c>
      <c r="AQ226" s="82"/>
      <c r="AR226" s="28"/>
      <c r="AS226" s="361"/>
      <c r="AT226" s="502"/>
      <c r="AU226" s="20"/>
      <c r="AV226" s="21"/>
      <c r="AW226" s="21"/>
      <c r="AX226" s="21"/>
      <c r="AY226" s="21"/>
      <c r="AZ226" s="21"/>
      <c r="BA226" s="21"/>
      <c r="BB226" s="21"/>
      <c r="BC226" s="21"/>
      <c r="BD226" s="21"/>
      <c r="BE226" s="402"/>
      <c r="BF226" s="415"/>
      <c r="BG226" s="407"/>
      <c r="BH226" s="407"/>
    </row>
    <row r="227" spans="1:60" s="3" customFormat="1" ht="21" thickTop="1" thickBot="1" x14ac:dyDescent="0.45">
      <c r="A227" s="509"/>
      <c r="B227" s="93" t="s">
        <v>250</v>
      </c>
      <c r="C227" s="31" t="s">
        <v>125</v>
      </c>
      <c r="D227" s="47" t="s">
        <v>124</v>
      </c>
      <c r="E227" s="44" t="s">
        <v>115</v>
      </c>
      <c r="F227" s="33" t="s">
        <v>100</v>
      </c>
      <c r="G227" s="31" t="s">
        <v>51</v>
      </c>
      <c r="H227" s="31" t="s">
        <v>1</v>
      </c>
      <c r="I227" s="31" t="s">
        <v>290</v>
      </c>
      <c r="J227" s="44"/>
      <c r="K227" s="290" t="s">
        <v>878</v>
      </c>
      <c r="L227" s="44"/>
      <c r="M227" s="44"/>
      <c r="N227" s="44"/>
      <c r="O227" s="44"/>
      <c r="P227" s="176" t="s">
        <v>32</v>
      </c>
      <c r="Q227" s="34" t="s">
        <v>35</v>
      </c>
      <c r="R227" s="35">
        <v>46246</v>
      </c>
      <c r="S227" s="35">
        <v>46153</v>
      </c>
      <c r="T227" s="35">
        <v>46172</v>
      </c>
      <c r="U227" s="35">
        <v>46247</v>
      </c>
      <c r="V227" s="35">
        <v>46247</v>
      </c>
      <c r="W227" s="35">
        <v>46262</v>
      </c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81"/>
      <c r="AO227" s="79"/>
      <c r="AP227" s="36"/>
      <c r="AQ227" s="36"/>
      <c r="AR227" s="37"/>
      <c r="AS227" s="141"/>
      <c r="AT227" s="503"/>
      <c r="AU227" s="38"/>
      <c r="AV227" s="39"/>
      <c r="AW227" s="39"/>
      <c r="AX227" s="39"/>
      <c r="AY227" s="39"/>
      <c r="AZ227" s="39"/>
      <c r="BA227" s="39"/>
      <c r="BB227" s="39"/>
      <c r="BC227" s="39"/>
      <c r="BD227" s="39"/>
      <c r="BE227" s="405"/>
      <c r="BF227" s="415"/>
      <c r="BG227" s="407"/>
      <c r="BH227" s="407"/>
    </row>
    <row r="228" spans="1:60" s="3" customFormat="1" ht="14.25" thickTop="1" thickBot="1" x14ac:dyDescent="0.45">
      <c r="A228" s="507">
        <f t="shared" si="46"/>
        <v>64</v>
      </c>
      <c r="B228" s="91" t="s">
        <v>251</v>
      </c>
      <c r="C228" s="13" t="s">
        <v>126</v>
      </c>
      <c r="D228" s="203" t="s">
        <v>810</v>
      </c>
      <c r="E228" s="63" t="s">
        <v>115</v>
      </c>
      <c r="F228" s="15" t="s">
        <v>100</v>
      </c>
      <c r="G228" s="13" t="s">
        <v>51</v>
      </c>
      <c r="H228" s="13" t="s">
        <v>1</v>
      </c>
      <c r="I228" s="13" t="s">
        <v>290</v>
      </c>
      <c r="J228" s="41"/>
      <c r="K228" s="193" t="s">
        <v>525</v>
      </c>
      <c r="L228" s="308" t="s">
        <v>1064</v>
      </c>
      <c r="M228" s="41"/>
      <c r="N228" s="41"/>
      <c r="O228" s="41"/>
      <c r="P228" s="174" t="s">
        <v>32</v>
      </c>
      <c r="Q228" s="17" t="s">
        <v>33</v>
      </c>
      <c r="R228" s="18">
        <v>46276</v>
      </c>
      <c r="S228" s="18">
        <v>46274</v>
      </c>
      <c r="T228" s="18">
        <v>46288</v>
      </c>
      <c r="U228" s="18">
        <v>46288</v>
      </c>
      <c r="V228" s="18">
        <v>46288</v>
      </c>
      <c r="W228" s="18">
        <v>46310</v>
      </c>
      <c r="X228" s="206">
        <v>46330</v>
      </c>
      <c r="Y228" s="18">
        <v>46344</v>
      </c>
      <c r="Z228" s="18"/>
      <c r="AA228" s="18">
        <v>46357</v>
      </c>
      <c r="AB228" s="18">
        <v>46359</v>
      </c>
      <c r="AC228" s="18">
        <v>46366</v>
      </c>
      <c r="AD228" s="18">
        <v>46387</v>
      </c>
      <c r="AE228" s="18">
        <v>46402</v>
      </c>
      <c r="AF228" s="18">
        <v>46417</v>
      </c>
      <c r="AG228" s="18">
        <v>46417</v>
      </c>
      <c r="AH228" s="18">
        <v>46419</v>
      </c>
      <c r="AI228" s="18">
        <v>46468</v>
      </c>
      <c r="AJ228" s="18">
        <v>46478</v>
      </c>
      <c r="AK228" s="18">
        <v>46483</v>
      </c>
      <c r="AL228" s="18">
        <v>46486</v>
      </c>
      <c r="AM228" s="18">
        <v>46513</v>
      </c>
      <c r="AN228" s="57">
        <v>18</v>
      </c>
      <c r="AO228" s="58">
        <v>126</v>
      </c>
      <c r="AP228" s="77">
        <v>46483</v>
      </c>
      <c r="AQ228" s="77">
        <v>46492</v>
      </c>
      <c r="AR228" s="19">
        <f>AQ228-AP229</f>
        <v>9</v>
      </c>
      <c r="AS228" s="142" t="s">
        <v>846</v>
      </c>
      <c r="AT228" s="501"/>
      <c r="AU228" s="20"/>
      <c r="AV228" s="21"/>
      <c r="AW228" s="21"/>
      <c r="AX228" s="21"/>
      <c r="AY228" s="21"/>
      <c r="AZ228" s="21"/>
      <c r="BA228" s="21"/>
      <c r="BB228" s="21"/>
      <c r="BC228" s="21"/>
      <c r="BD228" s="21"/>
      <c r="BE228" s="402"/>
      <c r="BF228" s="415"/>
      <c r="BG228" s="407"/>
      <c r="BH228" s="407"/>
    </row>
    <row r="229" spans="1:60" s="3" customFormat="1" ht="14.25" thickTop="1" thickBot="1" x14ac:dyDescent="0.45">
      <c r="A229" s="508"/>
      <c r="B229" s="92" t="s">
        <v>251</v>
      </c>
      <c r="C229" s="40" t="s">
        <v>126</v>
      </c>
      <c r="D229" s="92" t="s">
        <v>252</v>
      </c>
      <c r="E229" s="42" t="s">
        <v>115</v>
      </c>
      <c r="F229" s="45" t="s">
        <v>100</v>
      </c>
      <c r="G229" s="22" t="s">
        <v>51</v>
      </c>
      <c r="H229" s="40" t="s">
        <v>1</v>
      </c>
      <c r="I229" s="40" t="s">
        <v>290</v>
      </c>
      <c r="J229" s="42"/>
      <c r="K229" s="194" t="s">
        <v>879</v>
      </c>
      <c r="L229" s="194"/>
      <c r="M229" s="42"/>
      <c r="N229" s="42"/>
      <c r="O229" s="42"/>
      <c r="P229" s="175" t="s">
        <v>32</v>
      </c>
      <c r="Q229" s="25" t="s">
        <v>34</v>
      </c>
      <c r="R229" s="26"/>
      <c r="S229" s="27"/>
      <c r="T229" s="27"/>
      <c r="U229" s="27"/>
      <c r="V229" s="27"/>
      <c r="W229" s="27"/>
      <c r="X229" s="27">
        <f>X228</f>
        <v>46330</v>
      </c>
      <c r="Y229" s="27">
        <f>WORKDAY(X229, Y8, IF(Y12="China",'China Holidays'!$A$2:$A$84,'Thai Holidays'!$A$2:$A$65))</f>
        <v>46344</v>
      </c>
      <c r="Z229" s="27"/>
      <c r="AA229" s="27">
        <f>WORKDAY(Y229, AA8, IF(AA12="China",'China Holidays'!$A$2:$A$84,'Thai Holidays'!$A$2:$A$65))</f>
        <v>46357</v>
      </c>
      <c r="AB229" s="27">
        <f>WORKDAY(AA229, AB8, IF(AB12="China",'China Holidays'!$A$2:$A$84,'Thai Holidays'!$A$2:$A$65))</f>
        <v>46359</v>
      </c>
      <c r="AC229" s="27">
        <f>WORKDAY(AB229, AC8, IF(AC12="China",'China Holidays'!$A$2:$A$84,'Thai Holidays'!$A$2:$A$65))</f>
        <v>46366</v>
      </c>
      <c r="AD229" s="27">
        <f>WORKDAY(AC229, AD8, IF(AD12="China",'China Holidays'!$A$2:$A$84,'Thai Holidays'!$A$2:$A$65))</f>
        <v>46387</v>
      </c>
      <c r="AE229" s="27">
        <f>WORKDAY(AD229, AE8, IF(AE12="China",'China Holidays'!$A$2:$A$84,'Thai Holidays'!$A$2:$A$65))</f>
        <v>46402</v>
      </c>
      <c r="AF229" s="27">
        <f>AE229+15</f>
        <v>46417</v>
      </c>
      <c r="AG229" s="27">
        <f>AF229</f>
        <v>46417</v>
      </c>
      <c r="AH229" s="27">
        <f>AG229+2</f>
        <v>46419</v>
      </c>
      <c r="AI229" s="27">
        <f>AJ229-10</f>
        <v>46468</v>
      </c>
      <c r="AJ229" s="27">
        <f>AK229-5</f>
        <v>46478</v>
      </c>
      <c r="AK229" s="27">
        <f>AP228</f>
        <v>46483</v>
      </c>
      <c r="AL229" s="27">
        <f>AP228+3</f>
        <v>46486</v>
      </c>
      <c r="AM229" s="27">
        <f>AP228+30</f>
        <v>46513</v>
      </c>
      <c r="AN229" s="80"/>
      <c r="AO229" s="78"/>
      <c r="AP229" s="82">
        <f>AA229+AO228</f>
        <v>46483</v>
      </c>
      <c r="AQ229" s="82"/>
      <c r="AR229" s="28"/>
      <c r="AS229" s="140"/>
      <c r="AT229" s="502"/>
      <c r="AU229" s="20"/>
      <c r="AV229" s="21"/>
      <c r="AW229" s="21"/>
      <c r="AX229" s="21"/>
      <c r="AY229" s="21"/>
      <c r="AZ229" s="21"/>
      <c r="BA229" s="21"/>
      <c r="BB229" s="21"/>
      <c r="BC229" s="21"/>
      <c r="BD229" s="21"/>
      <c r="BE229" s="402"/>
      <c r="BF229" s="415"/>
      <c r="BG229" s="407"/>
      <c r="BH229" s="407"/>
    </row>
    <row r="230" spans="1:60" s="3" customFormat="1" ht="24" thickTop="1" thickBot="1" x14ac:dyDescent="0.45">
      <c r="A230" s="509"/>
      <c r="B230" s="93" t="s">
        <v>251</v>
      </c>
      <c r="C230" s="31" t="s">
        <v>126</v>
      </c>
      <c r="D230" s="96" t="s">
        <v>252</v>
      </c>
      <c r="E230" s="44" t="s">
        <v>115</v>
      </c>
      <c r="F230" s="33" t="s">
        <v>100</v>
      </c>
      <c r="G230" s="31" t="s">
        <v>51</v>
      </c>
      <c r="H230" s="31" t="s">
        <v>1</v>
      </c>
      <c r="I230" s="31" t="s">
        <v>290</v>
      </c>
      <c r="J230" s="44"/>
      <c r="K230" s="195" t="s">
        <v>980</v>
      </c>
      <c r="L230" s="449"/>
      <c r="M230" s="44"/>
      <c r="N230" s="44"/>
      <c r="O230" s="44"/>
      <c r="P230" s="176" t="s">
        <v>32</v>
      </c>
      <c r="Q230" s="34" t="s">
        <v>35</v>
      </c>
      <c r="R230" s="35">
        <v>46246</v>
      </c>
      <c r="S230" s="35">
        <v>46153</v>
      </c>
      <c r="T230" s="35">
        <v>46172</v>
      </c>
      <c r="U230" s="35">
        <v>46247</v>
      </c>
      <c r="V230" s="35">
        <v>46247</v>
      </c>
      <c r="W230" s="35">
        <v>46265</v>
      </c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81"/>
      <c r="AO230" s="79"/>
      <c r="AP230" s="36"/>
      <c r="AQ230" s="36"/>
      <c r="AR230" s="37"/>
      <c r="AS230" s="141"/>
      <c r="AT230" s="503"/>
      <c r="AU230" s="38"/>
      <c r="AV230" s="39"/>
      <c r="AW230" s="39"/>
      <c r="AX230" s="39"/>
      <c r="AY230" s="39"/>
      <c r="AZ230" s="39"/>
      <c r="BA230" s="39"/>
      <c r="BB230" s="39"/>
      <c r="BC230" s="39"/>
      <c r="BD230" s="39"/>
      <c r="BE230" s="405"/>
      <c r="BF230" s="415"/>
      <c r="BG230" s="407"/>
      <c r="BH230" s="407"/>
    </row>
    <row r="231" spans="1:60" s="3" customFormat="1" ht="24" thickTop="1" thickBot="1" x14ac:dyDescent="0.45">
      <c r="A231" s="507">
        <f t="shared" si="46"/>
        <v>65</v>
      </c>
      <c r="B231" s="91" t="s">
        <v>253</v>
      </c>
      <c r="C231" s="13" t="s">
        <v>127</v>
      </c>
      <c r="D231" s="203" t="s">
        <v>892</v>
      </c>
      <c r="E231" s="63" t="s">
        <v>115</v>
      </c>
      <c r="F231" s="15" t="s">
        <v>100</v>
      </c>
      <c r="G231" s="13" t="s">
        <v>51</v>
      </c>
      <c r="H231" s="13" t="s">
        <v>1</v>
      </c>
      <c r="I231" s="13" t="s">
        <v>290</v>
      </c>
      <c r="J231" s="41"/>
      <c r="K231" s="193" t="s">
        <v>799</v>
      </c>
      <c r="L231" s="308" t="s">
        <v>1064</v>
      </c>
      <c r="M231" s="41"/>
      <c r="N231" s="41"/>
      <c r="O231" s="41"/>
      <c r="P231" s="174" t="s">
        <v>32</v>
      </c>
      <c r="Q231" s="17" t="s">
        <v>33</v>
      </c>
      <c r="R231" s="18">
        <v>46276</v>
      </c>
      <c r="S231" s="18">
        <v>46274</v>
      </c>
      <c r="T231" s="18">
        <v>46288</v>
      </c>
      <c r="U231" s="18">
        <v>46288</v>
      </c>
      <c r="V231" s="18">
        <v>46288</v>
      </c>
      <c r="W231" s="18">
        <v>46310</v>
      </c>
      <c r="X231" s="206">
        <v>46330</v>
      </c>
      <c r="Y231" s="18">
        <v>46344</v>
      </c>
      <c r="Z231" s="18"/>
      <c r="AA231" s="18">
        <v>46357</v>
      </c>
      <c r="AB231" s="18">
        <v>46359</v>
      </c>
      <c r="AC231" s="18">
        <v>46366</v>
      </c>
      <c r="AD231" s="18">
        <v>46387</v>
      </c>
      <c r="AE231" s="18">
        <v>46402</v>
      </c>
      <c r="AF231" s="18">
        <v>46417</v>
      </c>
      <c r="AG231" s="18">
        <v>46417</v>
      </c>
      <c r="AH231" s="18">
        <v>46419</v>
      </c>
      <c r="AI231" s="18">
        <v>46468</v>
      </c>
      <c r="AJ231" s="18">
        <v>46478</v>
      </c>
      <c r="AK231" s="18">
        <v>46483</v>
      </c>
      <c r="AL231" s="18">
        <v>46486</v>
      </c>
      <c r="AM231" s="18">
        <v>46513</v>
      </c>
      <c r="AN231" s="57">
        <v>18</v>
      </c>
      <c r="AO231" s="58">
        <v>126</v>
      </c>
      <c r="AP231" s="77">
        <v>46483</v>
      </c>
      <c r="AQ231" s="77">
        <v>46492</v>
      </c>
      <c r="AR231" s="19">
        <f>AQ231-AP232</f>
        <v>9</v>
      </c>
      <c r="AS231" s="142"/>
      <c r="AT231" s="501"/>
      <c r="AU231" s="20"/>
      <c r="AV231" s="21"/>
      <c r="AW231" s="21"/>
      <c r="AX231" s="21"/>
      <c r="AY231" s="21"/>
      <c r="AZ231" s="21"/>
      <c r="BA231" s="21"/>
      <c r="BB231" s="21"/>
      <c r="BC231" s="21"/>
      <c r="BD231" s="21"/>
      <c r="BE231" s="402"/>
      <c r="BF231" s="415"/>
      <c r="BG231" s="407"/>
      <c r="BH231" s="407"/>
    </row>
    <row r="232" spans="1:60" s="3" customFormat="1" ht="21" thickTop="1" thickBot="1" x14ac:dyDescent="0.45">
      <c r="A232" s="508"/>
      <c r="B232" s="92" t="s">
        <v>253</v>
      </c>
      <c r="C232" s="40" t="s">
        <v>127</v>
      </c>
      <c r="D232" s="186" t="s">
        <v>254</v>
      </c>
      <c r="E232" s="42" t="s">
        <v>115</v>
      </c>
      <c r="F232" s="45" t="s">
        <v>100</v>
      </c>
      <c r="G232" s="22" t="s">
        <v>51</v>
      </c>
      <c r="H232" s="40" t="s">
        <v>1</v>
      </c>
      <c r="I232" s="40" t="s">
        <v>290</v>
      </c>
      <c r="J232" s="42"/>
      <c r="K232" s="194"/>
      <c r="L232" s="42"/>
      <c r="M232" s="42"/>
      <c r="N232" s="42"/>
      <c r="O232" s="42"/>
      <c r="P232" s="175" t="s">
        <v>32</v>
      </c>
      <c r="Q232" s="25" t="s">
        <v>34</v>
      </c>
      <c r="R232" s="26"/>
      <c r="S232" s="27"/>
      <c r="T232" s="27"/>
      <c r="U232" s="27"/>
      <c r="V232" s="27"/>
      <c r="W232" s="27"/>
      <c r="X232" s="27">
        <f>X231</f>
        <v>46330</v>
      </c>
      <c r="Y232" s="27">
        <f>WORKDAY(X232, Y8, IF(Y12="China",'China Holidays'!$A$2:$A$84,'Thai Holidays'!$A$2:$A$65))</f>
        <v>46344</v>
      </c>
      <c r="Z232" s="27"/>
      <c r="AA232" s="27">
        <f>WORKDAY(Y232, AA8, IF(AA12="China",'China Holidays'!$A$2:$A$84,'Thai Holidays'!$A$2:$A$65))</f>
        <v>46357</v>
      </c>
      <c r="AB232" s="27">
        <f>WORKDAY(AA232, AB8, IF(AB12="China",'China Holidays'!$A$2:$A$84,'Thai Holidays'!$A$2:$A$65))</f>
        <v>46359</v>
      </c>
      <c r="AC232" s="27">
        <f>WORKDAY(AB232, AC8, IF(AC12="China",'China Holidays'!$A$2:$A$84,'Thai Holidays'!$A$2:$A$65))</f>
        <v>46366</v>
      </c>
      <c r="AD232" s="27">
        <f>WORKDAY(AC232, AD8, IF(AD12="China",'China Holidays'!$A$2:$A$84,'Thai Holidays'!$A$2:$A$65))</f>
        <v>46387</v>
      </c>
      <c r="AE232" s="27">
        <f>WORKDAY(AD232, AE8, IF(AE12="China",'China Holidays'!$A$2:$A$84,'Thai Holidays'!$A$2:$A$65))</f>
        <v>46402</v>
      </c>
      <c r="AF232" s="27">
        <f>AE232+15</f>
        <v>46417</v>
      </c>
      <c r="AG232" s="27">
        <f>AF232</f>
        <v>46417</v>
      </c>
      <c r="AH232" s="27">
        <f>AG232+2</f>
        <v>46419</v>
      </c>
      <c r="AI232" s="27">
        <f>AJ232-10</f>
        <v>46468</v>
      </c>
      <c r="AJ232" s="27">
        <f>AK232-5</f>
        <v>46478</v>
      </c>
      <c r="AK232" s="27">
        <f>AP231</f>
        <v>46483</v>
      </c>
      <c r="AL232" s="27">
        <f>AP231+3</f>
        <v>46486</v>
      </c>
      <c r="AM232" s="27">
        <f>AP231+30</f>
        <v>46513</v>
      </c>
      <c r="AN232" s="80"/>
      <c r="AO232" s="78"/>
      <c r="AP232" s="82">
        <f>AA232+AO231</f>
        <v>46483</v>
      </c>
      <c r="AQ232" s="82"/>
      <c r="AR232" s="28"/>
      <c r="AS232" s="140"/>
      <c r="AT232" s="502"/>
      <c r="AU232" s="20"/>
      <c r="AV232" s="21"/>
      <c r="AW232" s="21"/>
      <c r="AX232" s="21"/>
      <c r="AY232" s="21"/>
      <c r="AZ232" s="21"/>
      <c r="BA232" s="21"/>
      <c r="BB232" s="21"/>
      <c r="BC232" s="21"/>
      <c r="BD232" s="21"/>
      <c r="BE232" s="402"/>
      <c r="BF232" s="415"/>
      <c r="BG232" s="407"/>
      <c r="BH232" s="407"/>
    </row>
    <row r="233" spans="1:60" s="3" customFormat="1" ht="21" thickTop="1" thickBot="1" x14ac:dyDescent="0.45">
      <c r="A233" s="509"/>
      <c r="B233" s="93" t="s">
        <v>253</v>
      </c>
      <c r="C233" s="31" t="s">
        <v>127</v>
      </c>
      <c r="D233" s="96" t="s">
        <v>254</v>
      </c>
      <c r="E233" s="44" t="s">
        <v>115</v>
      </c>
      <c r="F233" s="33" t="s">
        <v>100</v>
      </c>
      <c r="G233" s="31" t="s">
        <v>51</v>
      </c>
      <c r="H233" s="31" t="s">
        <v>1</v>
      </c>
      <c r="I233" s="31" t="s">
        <v>290</v>
      </c>
      <c r="J233" s="44"/>
      <c r="K233" s="195"/>
      <c r="L233" s="44"/>
      <c r="M233" s="44"/>
      <c r="N233" s="44"/>
      <c r="O233" s="44"/>
      <c r="P233" s="176" t="s">
        <v>32</v>
      </c>
      <c r="Q233" s="34" t="s">
        <v>35</v>
      </c>
      <c r="R233" s="35">
        <v>46246</v>
      </c>
      <c r="S233" s="35">
        <v>46154</v>
      </c>
      <c r="T233" s="35">
        <v>46182</v>
      </c>
      <c r="U233" s="35">
        <v>46262</v>
      </c>
      <c r="V233" s="35">
        <v>46262</v>
      </c>
      <c r="W233" s="35">
        <v>46276</v>
      </c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81"/>
      <c r="AO233" s="79"/>
      <c r="AP233" s="36"/>
      <c r="AQ233" s="36"/>
      <c r="AR233" s="37"/>
      <c r="AS233" s="141"/>
      <c r="AT233" s="503"/>
      <c r="AU233" s="38"/>
      <c r="AV233" s="39"/>
      <c r="AW233" s="39"/>
      <c r="AX233" s="39"/>
      <c r="AY233" s="39"/>
      <c r="AZ233" s="39"/>
      <c r="BA233" s="39"/>
      <c r="BB233" s="39"/>
      <c r="BC233" s="39"/>
      <c r="BD233" s="39"/>
      <c r="BE233" s="405"/>
      <c r="BF233" s="415"/>
      <c r="BG233" s="407"/>
      <c r="BH233" s="407"/>
    </row>
    <row r="234" spans="1:60" s="3" customFormat="1" ht="14.25" thickTop="1" thickBot="1" x14ac:dyDescent="0.45">
      <c r="A234" s="507">
        <f t="shared" si="46"/>
        <v>66</v>
      </c>
      <c r="B234" s="91" t="s">
        <v>255</v>
      </c>
      <c r="C234" s="13" t="s">
        <v>129</v>
      </c>
      <c r="D234" s="203" t="s">
        <v>781</v>
      </c>
      <c r="E234" s="63" t="s">
        <v>115</v>
      </c>
      <c r="F234" s="15" t="s">
        <v>100</v>
      </c>
      <c r="G234" s="13" t="s">
        <v>51</v>
      </c>
      <c r="H234" s="13" t="s">
        <v>1</v>
      </c>
      <c r="I234" s="13" t="s">
        <v>290</v>
      </c>
      <c r="J234" s="41"/>
      <c r="K234" s="193" t="s">
        <v>525</v>
      </c>
      <c r="L234" s="308" t="s">
        <v>1064</v>
      </c>
      <c r="M234" s="41"/>
      <c r="N234" s="41"/>
      <c r="O234" s="41"/>
      <c r="P234" s="174" t="s">
        <v>32</v>
      </c>
      <c r="Q234" s="17" t="s">
        <v>33</v>
      </c>
      <c r="R234" s="18">
        <v>46276</v>
      </c>
      <c r="S234" s="18">
        <v>46274</v>
      </c>
      <c r="T234" s="18">
        <v>46288</v>
      </c>
      <c r="U234" s="18">
        <v>46288</v>
      </c>
      <c r="V234" s="18">
        <v>46288</v>
      </c>
      <c r="W234" s="18">
        <v>46310</v>
      </c>
      <c r="X234" s="206">
        <v>46330</v>
      </c>
      <c r="Y234" s="18">
        <v>46344</v>
      </c>
      <c r="Z234" s="18"/>
      <c r="AA234" s="18">
        <v>46357</v>
      </c>
      <c r="AB234" s="18">
        <v>46359</v>
      </c>
      <c r="AC234" s="18">
        <v>46366</v>
      </c>
      <c r="AD234" s="18">
        <v>46387</v>
      </c>
      <c r="AE234" s="18">
        <v>46402</v>
      </c>
      <c r="AF234" s="18">
        <v>46417</v>
      </c>
      <c r="AG234" s="18">
        <v>46417</v>
      </c>
      <c r="AH234" s="18">
        <v>46419</v>
      </c>
      <c r="AI234" s="18">
        <v>46468</v>
      </c>
      <c r="AJ234" s="18">
        <v>46478</v>
      </c>
      <c r="AK234" s="18">
        <v>46483</v>
      </c>
      <c r="AL234" s="18">
        <v>46486</v>
      </c>
      <c r="AM234" s="18">
        <v>46513</v>
      </c>
      <c r="AN234" s="57">
        <v>18</v>
      </c>
      <c r="AO234" s="58">
        <v>126</v>
      </c>
      <c r="AP234" s="77">
        <v>46483</v>
      </c>
      <c r="AQ234" s="77">
        <v>46492</v>
      </c>
      <c r="AR234" s="19">
        <f>AQ234-AP235</f>
        <v>9</v>
      </c>
      <c r="AS234" s="142" t="s">
        <v>846</v>
      </c>
      <c r="AT234" s="501"/>
      <c r="AU234" s="20"/>
      <c r="AV234" s="21"/>
      <c r="AW234" s="21"/>
      <c r="AX234" s="21"/>
      <c r="AY234" s="21"/>
      <c r="AZ234" s="21"/>
      <c r="BA234" s="21"/>
      <c r="BB234" s="21"/>
      <c r="BC234" s="21"/>
      <c r="BD234" s="21"/>
      <c r="BE234" s="402"/>
      <c r="BF234" s="415"/>
      <c r="BG234" s="407"/>
      <c r="BH234" s="407"/>
    </row>
    <row r="235" spans="1:60" s="3" customFormat="1" ht="19.899999999999999" customHeight="1" thickTop="1" thickBot="1" x14ac:dyDescent="0.45">
      <c r="A235" s="508"/>
      <c r="B235" s="92" t="s">
        <v>255</v>
      </c>
      <c r="C235" s="40" t="s">
        <v>129</v>
      </c>
      <c r="D235" s="23" t="s">
        <v>122</v>
      </c>
      <c r="E235" s="42" t="s">
        <v>115</v>
      </c>
      <c r="F235" s="45" t="s">
        <v>100</v>
      </c>
      <c r="G235" s="22" t="s">
        <v>51</v>
      </c>
      <c r="H235" s="40" t="s">
        <v>1</v>
      </c>
      <c r="I235" s="40" t="s">
        <v>290</v>
      </c>
      <c r="J235" s="42"/>
      <c r="K235" s="194" t="s">
        <v>800</v>
      </c>
      <c r="L235" s="370" t="s">
        <v>1067</v>
      </c>
      <c r="M235" s="42"/>
      <c r="N235" s="42"/>
      <c r="O235" s="42"/>
      <c r="P235" s="175" t="s">
        <v>32</v>
      </c>
      <c r="Q235" s="25" t="s">
        <v>34</v>
      </c>
      <c r="R235" s="26"/>
      <c r="S235" s="27"/>
      <c r="T235" s="27"/>
      <c r="U235" s="27"/>
      <c r="V235" s="27"/>
      <c r="W235" s="27"/>
      <c r="X235" s="27">
        <f>X234</f>
        <v>46330</v>
      </c>
      <c r="Y235" s="27">
        <f>WORKDAY(X235, Y8, IF(Y12="China",'China Holidays'!$A$2:$A$84,'Thai Holidays'!$A$2:$A$65))</f>
        <v>46344</v>
      </c>
      <c r="Z235" s="27"/>
      <c r="AA235" s="27">
        <f>WORKDAY(Y235, AA8, IF(AA12="China",'China Holidays'!$A$2:$A$84,'Thai Holidays'!$A$2:$A$65))</f>
        <v>46357</v>
      </c>
      <c r="AB235" s="27">
        <f>WORKDAY(AA235, AB8, IF(AB12="China",'China Holidays'!$A$2:$A$84,'Thai Holidays'!$A$2:$A$65))</f>
        <v>46359</v>
      </c>
      <c r="AC235" s="27">
        <f>WORKDAY(AB235, AC8, IF(AC12="China",'China Holidays'!$A$2:$A$84,'Thai Holidays'!$A$2:$A$65))</f>
        <v>46366</v>
      </c>
      <c r="AD235" s="27">
        <f>WORKDAY(AC235, AD8, IF(AD12="China",'China Holidays'!$A$2:$A$84,'Thai Holidays'!$A$2:$A$65))</f>
        <v>46387</v>
      </c>
      <c r="AE235" s="27">
        <f>WORKDAY(AD235, AE8, IF(AE12="China",'China Holidays'!$A$2:$A$84,'Thai Holidays'!$A$2:$A$65))</f>
        <v>46402</v>
      </c>
      <c r="AF235" s="27">
        <f>AE235+15</f>
        <v>46417</v>
      </c>
      <c r="AG235" s="27">
        <f>AF235</f>
        <v>46417</v>
      </c>
      <c r="AH235" s="27">
        <f>AG235+2</f>
        <v>46419</v>
      </c>
      <c r="AI235" s="27">
        <f>AJ235-10</f>
        <v>46468</v>
      </c>
      <c r="AJ235" s="27">
        <f>AK235-5</f>
        <v>46478</v>
      </c>
      <c r="AK235" s="27">
        <f>AP234</f>
        <v>46483</v>
      </c>
      <c r="AL235" s="27">
        <f>AP234+3</f>
        <v>46486</v>
      </c>
      <c r="AM235" s="27">
        <f>AP234+30</f>
        <v>46513</v>
      </c>
      <c r="AN235" s="80"/>
      <c r="AO235" s="78"/>
      <c r="AP235" s="82">
        <f>AA235+AO234</f>
        <v>46483</v>
      </c>
      <c r="AQ235" s="82"/>
      <c r="AR235" s="28"/>
      <c r="AS235" s="140"/>
      <c r="AT235" s="502"/>
      <c r="AU235" s="20"/>
      <c r="AV235" s="21"/>
      <c r="AW235" s="21"/>
      <c r="AX235" s="21"/>
      <c r="AY235" s="21"/>
      <c r="AZ235" s="21"/>
      <c r="BA235" s="21"/>
      <c r="BB235" s="21"/>
      <c r="BC235" s="21"/>
      <c r="BD235" s="21"/>
      <c r="BE235" s="402"/>
      <c r="BF235" s="415"/>
      <c r="BG235" s="407"/>
      <c r="BH235" s="407"/>
    </row>
    <row r="236" spans="1:60" s="3" customFormat="1" ht="18.75" customHeight="1" thickTop="1" thickBot="1" x14ac:dyDescent="0.45">
      <c r="A236" s="509"/>
      <c r="B236" s="93" t="s">
        <v>255</v>
      </c>
      <c r="C236" s="31" t="s">
        <v>129</v>
      </c>
      <c r="D236" s="47" t="s">
        <v>122</v>
      </c>
      <c r="E236" s="44" t="s">
        <v>115</v>
      </c>
      <c r="F236" s="33" t="s">
        <v>100</v>
      </c>
      <c r="G236" s="31" t="s">
        <v>51</v>
      </c>
      <c r="H236" s="31" t="s">
        <v>1</v>
      </c>
      <c r="I236" s="31" t="s">
        <v>290</v>
      </c>
      <c r="J236" s="44"/>
      <c r="K236" s="195" t="s">
        <v>884</v>
      </c>
      <c r="L236" s="195"/>
      <c r="M236" s="44"/>
      <c r="N236" s="44"/>
      <c r="O236" s="44"/>
      <c r="P236" s="176" t="s">
        <v>32</v>
      </c>
      <c r="Q236" s="34" t="s">
        <v>35</v>
      </c>
      <c r="R236" s="35">
        <v>46246</v>
      </c>
      <c r="S236" s="35">
        <v>46153</v>
      </c>
      <c r="T236" s="35">
        <v>46172</v>
      </c>
      <c r="U236" s="35">
        <v>46244</v>
      </c>
      <c r="V236" s="35">
        <v>46244</v>
      </c>
      <c r="W236" s="35">
        <v>46261</v>
      </c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81"/>
      <c r="AO236" s="79"/>
      <c r="AP236" s="36"/>
      <c r="AQ236" s="36"/>
      <c r="AR236" s="37"/>
      <c r="AS236" s="141"/>
      <c r="AT236" s="503"/>
      <c r="AU236" s="38"/>
      <c r="AV236" s="39"/>
      <c r="AW236" s="39"/>
      <c r="AX236" s="39"/>
      <c r="AY236" s="39"/>
      <c r="AZ236" s="39"/>
      <c r="BA236" s="39"/>
      <c r="BB236" s="39"/>
      <c r="BC236" s="39"/>
      <c r="BD236" s="39"/>
      <c r="BE236" s="405"/>
      <c r="BF236" s="415"/>
      <c r="BG236" s="407"/>
      <c r="BH236" s="407"/>
    </row>
    <row r="237" spans="1:60" s="3" customFormat="1" ht="14.25" thickTop="1" thickBot="1" x14ac:dyDescent="0.45">
      <c r="A237" s="507">
        <f t="shared" si="46"/>
        <v>67</v>
      </c>
      <c r="B237" s="91" t="s">
        <v>256</v>
      </c>
      <c r="C237" s="13" t="s">
        <v>131</v>
      </c>
      <c r="D237" s="203" t="s">
        <v>893</v>
      </c>
      <c r="E237" s="63" t="s">
        <v>115</v>
      </c>
      <c r="F237" s="15" t="s">
        <v>100</v>
      </c>
      <c r="G237" s="13" t="s">
        <v>51</v>
      </c>
      <c r="H237" s="13" t="s">
        <v>1</v>
      </c>
      <c r="I237" s="13" t="s">
        <v>290</v>
      </c>
      <c r="J237" s="41"/>
      <c r="K237" s="193" t="s">
        <v>525</v>
      </c>
      <c r="L237" s="308" t="s">
        <v>1068</v>
      </c>
      <c r="M237" s="41"/>
      <c r="N237" s="41"/>
      <c r="O237" s="41"/>
      <c r="P237" s="174" t="s">
        <v>32</v>
      </c>
      <c r="Q237" s="17" t="s">
        <v>33</v>
      </c>
      <c r="R237" s="18">
        <v>46276</v>
      </c>
      <c r="S237" s="18">
        <v>46274</v>
      </c>
      <c r="T237" s="18">
        <v>46288</v>
      </c>
      <c r="U237" s="18">
        <v>46288</v>
      </c>
      <c r="V237" s="18">
        <v>46288</v>
      </c>
      <c r="W237" s="18">
        <v>46310</v>
      </c>
      <c r="X237" s="206">
        <v>46330</v>
      </c>
      <c r="Y237" s="18">
        <v>46344</v>
      </c>
      <c r="Z237" s="18"/>
      <c r="AA237" s="18">
        <v>46357</v>
      </c>
      <c r="AB237" s="18">
        <v>46359</v>
      </c>
      <c r="AC237" s="18">
        <v>46366</v>
      </c>
      <c r="AD237" s="18">
        <v>46387</v>
      </c>
      <c r="AE237" s="18">
        <v>46402</v>
      </c>
      <c r="AF237" s="18">
        <v>46417</v>
      </c>
      <c r="AG237" s="18">
        <v>46417</v>
      </c>
      <c r="AH237" s="18">
        <v>46419</v>
      </c>
      <c r="AI237" s="18">
        <v>46468</v>
      </c>
      <c r="AJ237" s="18">
        <v>46478</v>
      </c>
      <c r="AK237" s="18">
        <v>46483</v>
      </c>
      <c r="AL237" s="18">
        <v>46486</v>
      </c>
      <c r="AM237" s="18">
        <v>46513</v>
      </c>
      <c r="AN237" s="57">
        <v>18</v>
      </c>
      <c r="AO237" s="58">
        <v>126</v>
      </c>
      <c r="AP237" s="77">
        <v>46483</v>
      </c>
      <c r="AQ237" s="77">
        <v>46492</v>
      </c>
      <c r="AR237" s="19">
        <f>AQ237-AP238</f>
        <v>9</v>
      </c>
      <c r="AS237" s="142" t="s">
        <v>846</v>
      </c>
      <c r="AT237" s="501"/>
      <c r="AU237" s="20"/>
      <c r="AV237" s="21"/>
      <c r="AW237" s="21"/>
      <c r="AX237" s="21"/>
      <c r="AY237" s="21"/>
      <c r="AZ237" s="21"/>
      <c r="BA237" s="21"/>
      <c r="BB237" s="21"/>
      <c r="BC237" s="21"/>
      <c r="BD237" s="21"/>
      <c r="BE237" s="402"/>
      <c r="BF237" s="415"/>
      <c r="BG237" s="407"/>
      <c r="BH237" s="407"/>
    </row>
    <row r="238" spans="1:60" s="3" customFormat="1" ht="14.25" thickTop="1" thickBot="1" x14ac:dyDescent="0.45">
      <c r="A238" s="508"/>
      <c r="B238" s="92" t="s">
        <v>256</v>
      </c>
      <c r="C238" s="40" t="s">
        <v>131</v>
      </c>
      <c r="D238" s="23" t="s">
        <v>114</v>
      </c>
      <c r="E238" s="42" t="s">
        <v>115</v>
      </c>
      <c r="F238" s="45" t="s">
        <v>100</v>
      </c>
      <c r="G238" s="22" t="s">
        <v>51</v>
      </c>
      <c r="H238" s="40" t="s">
        <v>1</v>
      </c>
      <c r="I238" s="40" t="s">
        <v>290</v>
      </c>
      <c r="J238" s="42"/>
      <c r="K238" s="194"/>
      <c r="L238" s="42"/>
      <c r="M238" s="42"/>
      <c r="N238" s="42"/>
      <c r="O238" s="42"/>
      <c r="P238" s="175" t="s">
        <v>32</v>
      </c>
      <c r="Q238" s="25" t="s">
        <v>34</v>
      </c>
      <c r="R238" s="26"/>
      <c r="S238" s="27"/>
      <c r="T238" s="27"/>
      <c r="U238" s="27"/>
      <c r="V238" s="27"/>
      <c r="W238" s="27"/>
      <c r="X238" s="27">
        <f>X237</f>
        <v>46330</v>
      </c>
      <c r="Y238" s="27">
        <f>WORKDAY(X238, Y8, IF(Y12="China",'China Holidays'!$A$2:$A$84,'Thai Holidays'!$A$2:$A$65))</f>
        <v>46344</v>
      </c>
      <c r="Z238" s="27"/>
      <c r="AA238" s="27">
        <f>WORKDAY(Y238, AA8, IF(AA12="China",'China Holidays'!$A$2:$A$84,'Thai Holidays'!$A$2:$A$65))</f>
        <v>46357</v>
      </c>
      <c r="AB238" s="27">
        <f>WORKDAY(AA238, AB8, IF(AB12="China",'China Holidays'!$A$2:$A$84,'Thai Holidays'!$A$2:$A$65))</f>
        <v>46359</v>
      </c>
      <c r="AC238" s="27">
        <f>WORKDAY(AB238, AC8, IF(AC12="China",'China Holidays'!$A$2:$A$84,'Thai Holidays'!$A$2:$A$65))</f>
        <v>46366</v>
      </c>
      <c r="AD238" s="27">
        <f>WORKDAY(AC238, AD8, IF(AD12="China",'China Holidays'!$A$2:$A$84,'Thai Holidays'!$A$2:$A$65))</f>
        <v>46387</v>
      </c>
      <c r="AE238" s="27">
        <f>WORKDAY(AD238, AE8, IF(AE12="China",'China Holidays'!$A$2:$A$84,'Thai Holidays'!$A$2:$A$65))</f>
        <v>46402</v>
      </c>
      <c r="AF238" s="27">
        <f>AE238+15</f>
        <v>46417</v>
      </c>
      <c r="AG238" s="27">
        <f>AF238</f>
        <v>46417</v>
      </c>
      <c r="AH238" s="27">
        <f>AG238+2</f>
        <v>46419</v>
      </c>
      <c r="AI238" s="27">
        <f>AJ238-10</f>
        <v>46468</v>
      </c>
      <c r="AJ238" s="27">
        <f>AK238-5</f>
        <v>46478</v>
      </c>
      <c r="AK238" s="27">
        <f>AP237</f>
        <v>46483</v>
      </c>
      <c r="AL238" s="27">
        <f>AP237+3</f>
        <v>46486</v>
      </c>
      <c r="AM238" s="27">
        <f>AP237+30</f>
        <v>46513</v>
      </c>
      <c r="AN238" s="80"/>
      <c r="AO238" s="78"/>
      <c r="AP238" s="82">
        <f>AA238+AO237</f>
        <v>46483</v>
      </c>
      <c r="AQ238" s="82"/>
      <c r="AR238" s="28"/>
      <c r="AS238" s="140"/>
      <c r="AT238" s="502"/>
      <c r="AU238" s="20"/>
      <c r="AV238" s="21"/>
      <c r="AW238" s="21"/>
      <c r="AX238" s="21"/>
      <c r="AY238" s="21"/>
      <c r="AZ238" s="21"/>
      <c r="BA238" s="21"/>
      <c r="BB238" s="21"/>
      <c r="BC238" s="21"/>
      <c r="BD238" s="21"/>
      <c r="BE238" s="402"/>
      <c r="BF238" s="415"/>
      <c r="BG238" s="407"/>
      <c r="BH238" s="407"/>
    </row>
    <row r="239" spans="1:60" s="3" customFormat="1" ht="14.25" thickTop="1" thickBot="1" x14ac:dyDescent="0.45">
      <c r="A239" s="509"/>
      <c r="B239" s="93" t="s">
        <v>256</v>
      </c>
      <c r="C239" s="31" t="s">
        <v>131</v>
      </c>
      <c r="D239" s="188" t="s">
        <v>114</v>
      </c>
      <c r="E239" s="44" t="s">
        <v>115</v>
      </c>
      <c r="F239" s="33" t="s">
        <v>100</v>
      </c>
      <c r="G239" s="31" t="s">
        <v>51</v>
      </c>
      <c r="H239" s="31" t="s">
        <v>1</v>
      </c>
      <c r="I239" s="31" t="s">
        <v>290</v>
      </c>
      <c r="J239" s="44"/>
      <c r="K239" s="195"/>
      <c r="L239" s="44"/>
      <c r="M239" s="44"/>
      <c r="N239" s="44"/>
      <c r="O239" s="44"/>
      <c r="P239" s="176" t="s">
        <v>32</v>
      </c>
      <c r="Q239" s="34" t="s">
        <v>35</v>
      </c>
      <c r="R239" s="35">
        <v>46246</v>
      </c>
      <c r="S239" s="35">
        <v>46153</v>
      </c>
      <c r="T239" s="35">
        <v>46172</v>
      </c>
      <c r="U239" s="35">
        <v>46262</v>
      </c>
      <c r="V239" s="35">
        <v>46262</v>
      </c>
      <c r="W239" s="35">
        <v>46276</v>
      </c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81"/>
      <c r="AO239" s="79"/>
      <c r="AP239" s="36"/>
      <c r="AQ239" s="36"/>
      <c r="AR239" s="37"/>
      <c r="AS239" s="141"/>
      <c r="AT239" s="503"/>
      <c r="AU239" s="38"/>
      <c r="AV239" s="39"/>
      <c r="AW239" s="39"/>
      <c r="AX239" s="39"/>
      <c r="AY239" s="39"/>
      <c r="AZ239" s="39"/>
      <c r="BA239" s="39"/>
      <c r="BB239" s="39"/>
      <c r="BC239" s="39"/>
      <c r="BD239" s="39"/>
      <c r="BE239" s="405"/>
      <c r="BF239" s="415"/>
      <c r="BG239" s="407"/>
      <c r="BH239" s="407"/>
    </row>
    <row r="240" spans="1:60" s="3" customFormat="1" ht="14.25" thickTop="1" thickBot="1" x14ac:dyDescent="0.45">
      <c r="A240" s="507">
        <f t="shared" si="46"/>
        <v>68</v>
      </c>
      <c r="B240" s="91" t="s">
        <v>260</v>
      </c>
      <c r="C240" s="13" t="s">
        <v>133</v>
      </c>
      <c r="D240" s="203" t="s">
        <v>261</v>
      </c>
      <c r="E240" s="63" t="s">
        <v>115</v>
      </c>
      <c r="F240" s="15" t="s">
        <v>100</v>
      </c>
      <c r="G240" s="13" t="s">
        <v>51</v>
      </c>
      <c r="H240" s="13" t="s">
        <v>1</v>
      </c>
      <c r="I240" s="13" t="s">
        <v>290</v>
      </c>
      <c r="J240" s="41"/>
      <c r="K240" s="193" t="s">
        <v>753</v>
      </c>
      <c r="L240" s="308" t="s">
        <v>944</v>
      </c>
      <c r="M240" s="41"/>
      <c r="N240" s="41"/>
      <c r="O240" s="41"/>
      <c r="P240" s="174" t="s">
        <v>32</v>
      </c>
      <c r="Q240" s="17" t="s">
        <v>33</v>
      </c>
      <c r="R240" s="18">
        <v>46276</v>
      </c>
      <c r="S240" s="18">
        <v>46274</v>
      </c>
      <c r="T240" s="18">
        <v>46288</v>
      </c>
      <c r="U240" s="18">
        <v>46288</v>
      </c>
      <c r="V240" s="18">
        <v>46288</v>
      </c>
      <c r="W240" s="18">
        <v>46310</v>
      </c>
      <c r="X240" s="206">
        <v>46330</v>
      </c>
      <c r="Y240" s="18">
        <v>46344</v>
      </c>
      <c r="Z240" s="18"/>
      <c r="AA240" s="18">
        <v>46357</v>
      </c>
      <c r="AB240" s="18">
        <v>46359</v>
      </c>
      <c r="AC240" s="18">
        <v>46366</v>
      </c>
      <c r="AD240" s="18">
        <v>46387</v>
      </c>
      <c r="AE240" s="18">
        <v>46402</v>
      </c>
      <c r="AF240" s="18">
        <v>46417</v>
      </c>
      <c r="AG240" s="18">
        <v>46417</v>
      </c>
      <c r="AH240" s="18">
        <v>46419</v>
      </c>
      <c r="AI240" s="18">
        <v>46468</v>
      </c>
      <c r="AJ240" s="18">
        <v>46478</v>
      </c>
      <c r="AK240" s="18">
        <v>46483</v>
      </c>
      <c r="AL240" s="18">
        <v>46486</v>
      </c>
      <c r="AM240" s="18">
        <v>46513</v>
      </c>
      <c r="AN240" s="57">
        <v>18</v>
      </c>
      <c r="AO240" s="58">
        <v>126</v>
      </c>
      <c r="AP240" s="77">
        <v>46483</v>
      </c>
      <c r="AQ240" s="77">
        <v>46492</v>
      </c>
      <c r="AR240" s="19">
        <f>AQ240-AP241</f>
        <v>9</v>
      </c>
      <c r="AS240" s="142" t="s">
        <v>846</v>
      </c>
      <c r="AT240" s="501"/>
      <c r="AU240" s="20"/>
      <c r="AV240" s="21"/>
      <c r="AW240" s="21"/>
      <c r="AX240" s="21"/>
      <c r="AY240" s="21"/>
      <c r="AZ240" s="21"/>
      <c r="BA240" s="21"/>
      <c r="BB240" s="21"/>
      <c r="BC240" s="21"/>
      <c r="BD240" s="21"/>
      <c r="BE240" s="402"/>
      <c r="BF240" s="415"/>
      <c r="BG240" s="407"/>
      <c r="BH240" s="407"/>
    </row>
    <row r="241" spans="1:60" s="3" customFormat="1" ht="14.25" thickTop="1" thickBot="1" x14ac:dyDescent="0.45">
      <c r="A241" s="508"/>
      <c r="B241" s="92" t="s">
        <v>260</v>
      </c>
      <c r="C241" s="40" t="s">
        <v>133</v>
      </c>
      <c r="D241" s="92" t="s">
        <v>261</v>
      </c>
      <c r="E241" s="42" t="s">
        <v>115</v>
      </c>
      <c r="F241" s="45" t="s">
        <v>100</v>
      </c>
      <c r="G241" s="22" t="s">
        <v>51</v>
      </c>
      <c r="H241" s="40" t="s">
        <v>1</v>
      </c>
      <c r="I241" s="40" t="s">
        <v>290</v>
      </c>
      <c r="J241" s="42"/>
      <c r="K241" s="194" t="s">
        <v>754</v>
      </c>
      <c r="L241" s="370" t="s">
        <v>1069</v>
      </c>
      <c r="M241" s="42"/>
      <c r="N241" s="42"/>
      <c r="O241" s="42"/>
      <c r="P241" s="175" t="s">
        <v>32</v>
      </c>
      <c r="Q241" s="25" t="s">
        <v>34</v>
      </c>
      <c r="R241" s="26"/>
      <c r="S241" s="27"/>
      <c r="T241" s="82"/>
      <c r="U241" s="27"/>
      <c r="V241" s="27"/>
      <c r="W241" s="27"/>
      <c r="X241" s="27">
        <f>X240</f>
        <v>46330</v>
      </c>
      <c r="Y241" s="27">
        <f>WORKDAY(X241, Y8, IF(Y12="China",'China Holidays'!$A$2:$A$84,'Thai Holidays'!$A$2:$A$65))</f>
        <v>46344</v>
      </c>
      <c r="Z241" s="27"/>
      <c r="AA241" s="27">
        <f>WORKDAY(Y241, AA8, IF(AA12="China",'China Holidays'!$A$2:$A$84,'Thai Holidays'!$A$2:$A$65))</f>
        <v>46357</v>
      </c>
      <c r="AB241" s="27">
        <f>WORKDAY(AA241, AB8, IF(AB12="China",'China Holidays'!$A$2:$A$84,'Thai Holidays'!$A$2:$A$65))</f>
        <v>46359</v>
      </c>
      <c r="AC241" s="27">
        <f>WORKDAY(AB241, AC8, IF(AC12="China",'China Holidays'!$A$2:$A$84,'Thai Holidays'!$A$2:$A$65))</f>
        <v>46366</v>
      </c>
      <c r="AD241" s="27">
        <f>WORKDAY(AC241, AD8, IF(AD12="China",'China Holidays'!$A$2:$A$84,'Thai Holidays'!$A$2:$A$65))</f>
        <v>46387</v>
      </c>
      <c r="AE241" s="27">
        <f>WORKDAY(AD241, AE8, IF(AE12="China",'China Holidays'!$A$2:$A$84,'Thai Holidays'!$A$2:$A$65))</f>
        <v>46402</v>
      </c>
      <c r="AF241" s="27">
        <f>AE241+15</f>
        <v>46417</v>
      </c>
      <c r="AG241" s="27">
        <f>AF241</f>
        <v>46417</v>
      </c>
      <c r="AH241" s="27">
        <f>AG241+2</f>
        <v>46419</v>
      </c>
      <c r="AI241" s="27">
        <f>AJ241-10</f>
        <v>46468</v>
      </c>
      <c r="AJ241" s="27">
        <f>AK241-5</f>
        <v>46478</v>
      </c>
      <c r="AK241" s="27">
        <f>AP240</f>
        <v>46483</v>
      </c>
      <c r="AL241" s="27">
        <f>AP240+3</f>
        <v>46486</v>
      </c>
      <c r="AM241" s="27">
        <f>AP240+30</f>
        <v>46513</v>
      </c>
      <c r="AN241" s="80"/>
      <c r="AO241" s="78"/>
      <c r="AP241" s="82">
        <f>AA241+AO240</f>
        <v>46483</v>
      </c>
      <c r="AQ241" s="82"/>
      <c r="AR241" s="28"/>
      <c r="AS241" s="140"/>
      <c r="AT241" s="502"/>
      <c r="AU241" s="20"/>
      <c r="AV241" s="21"/>
      <c r="AW241" s="21"/>
      <c r="AX241" s="21"/>
      <c r="AY241" s="21"/>
      <c r="AZ241" s="21"/>
      <c r="BA241" s="21"/>
      <c r="BB241" s="21"/>
      <c r="BC241" s="21"/>
      <c r="BD241" s="21"/>
      <c r="BE241" s="402"/>
      <c r="BF241" s="415"/>
      <c r="BG241" s="407"/>
      <c r="BH241" s="407"/>
    </row>
    <row r="242" spans="1:60" s="3" customFormat="1" ht="14.25" thickTop="1" thickBot="1" x14ac:dyDescent="0.45">
      <c r="A242" s="509"/>
      <c r="B242" s="93" t="s">
        <v>260</v>
      </c>
      <c r="C242" s="31" t="s">
        <v>133</v>
      </c>
      <c r="D242" s="96" t="s">
        <v>261</v>
      </c>
      <c r="E242" s="44" t="s">
        <v>115</v>
      </c>
      <c r="F242" s="33" t="s">
        <v>100</v>
      </c>
      <c r="G242" s="31" t="s">
        <v>51</v>
      </c>
      <c r="H242" s="31" t="s">
        <v>1</v>
      </c>
      <c r="I242" s="31" t="s">
        <v>290</v>
      </c>
      <c r="J242" s="44"/>
      <c r="K242" s="195" t="s">
        <v>803</v>
      </c>
      <c r="L242" s="449" t="s">
        <v>1070</v>
      </c>
      <c r="M242" s="44"/>
      <c r="N242" s="44"/>
      <c r="O242" s="44"/>
      <c r="P242" s="176" t="s">
        <v>32</v>
      </c>
      <c r="Q242" s="34" t="s">
        <v>35</v>
      </c>
      <c r="R242" s="35">
        <v>46230</v>
      </c>
      <c r="S242" s="35">
        <v>46133</v>
      </c>
      <c r="T242" s="35">
        <v>46153</v>
      </c>
      <c r="U242" s="35">
        <v>46232</v>
      </c>
      <c r="V242" s="35">
        <v>46232</v>
      </c>
      <c r="W242" s="35">
        <v>46248</v>
      </c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81"/>
      <c r="AO242" s="79"/>
      <c r="AP242" s="36"/>
      <c r="AQ242" s="36"/>
      <c r="AR242" s="37"/>
      <c r="AS242" s="141"/>
      <c r="AT242" s="503"/>
      <c r="AU242" s="38"/>
      <c r="AV242" s="39"/>
      <c r="AW242" s="39"/>
      <c r="AX242" s="39"/>
      <c r="AY242" s="39"/>
      <c r="AZ242" s="39"/>
      <c r="BA242" s="39"/>
      <c r="BB242" s="39"/>
      <c r="BC242" s="39"/>
      <c r="BD242" s="39"/>
      <c r="BE242" s="405"/>
      <c r="BF242" s="415"/>
      <c r="BG242" s="407"/>
      <c r="BH242" s="407"/>
    </row>
    <row r="243" spans="1:60" s="3" customFormat="1" ht="14.25" thickTop="1" thickBot="1" x14ac:dyDescent="0.45">
      <c r="A243" s="507">
        <f t="shared" si="46"/>
        <v>69</v>
      </c>
      <c r="B243" s="91" t="s">
        <v>262</v>
      </c>
      <c r="C243" s="13" t="s">
        <v>137</v>
      </c>
      <c r="D243" s="203" t="s">
        <v>782</v>
      </c>
      <c r="E243" s="63" t="s">
        <v>115</v>
      </c>
      <c r="F243" s="15" t="s">
        <v>100</v>
      </c>
      <c r="G243" s="13" t="s">
        <v>51</v>
      </c>
      <c r="H243" s="13" t="s">
        <v>1</v>
      </c>
      <c r="I243" s="13" t="s">
        <v>290</v>
      </c>
      <c r="J243" s="41"/>
      <c r="K243" s="193" t="s">
        <v>800</v>
      </c>
      <c r="L243" s="308" t="s">
        <v>1071</v>
      </c>
      <c r="M243" s="41"/>
      <c r="N243" s="41"/>
      <c r="O243" s="41"/>
      <c r="P243" s="174" t="s">
        <v>32</v>
      </c>
      <c r="Q243" s="17" t="s">
        <v>33</v>
      </c>
      <c r="R243" s="18">
        <v>46276</v>
      </c>
      <c r="S243" s="18">
        <v>46274</v>
      </c>
      <c r="T243" s="18">
        <v>46288</v>
      </c>
      <c r="U243" s="18">
        <v>46288</v>
      </c>
      <c r="V243" s="18">
        <v>46288</v>
      </c>
      <c r="W243" s="18">
        <v>46310</v>
      </c>
      <c r="X243" s="206">
        <v>46330</v>
      </c>
      <c r="Y243" s="18">
        <v>46344</v>
      </c>
      <c r="Z243" s="18"/>
      <c r="AA243" s="18">
        <v>46357</v>
      </c>
      <c r="AB243" s="18">
        <v>46359</v>
      </c>
      <c r="AC243" s="18">
        <v>46366</v>
      </c>
      <c r="AD243" s="18">
        <v>46387</v>
      </c>
      <c r="AE243" s="18">
        <v>46402</v>
      </c>
      <c r="AF243" s="18">
        <v>46417</v>
      </c>
      <c r="AG243" s="18">
        <v>46417</v>
      </c>
      <c r="AH243" s="18">
        <v>46419</v>
      </c>
      <c r="AI243" s="18">
        <v>46468</v>
      </c>
      <c r="AJ243" s="18">
        <v>46478</v>
      </c>
      <c r="AK243" s="18">
        <v>46483</v>
      </c>
      <c r="AL243" s="18">
        <v>46486</v>
      </c>
      <c r="AM243" s="18">
        <v>46513</v>
      </c>
      <c r="AN243" s="57">
        <v>18</v>
      </c>
      <c r="AO243" s="58">
        <v>126</v>
      </c>
      <c r="AP243" s="77">
        <v>46483</v>
      </c>
      <c r="AQ243" s="77">
        <v>46492</v>
      </c>
      <c r="AR243" s="19">
        <f>AQ243-AP244</f>
        <v>9</v>
      </c>
      <c r="AS243" s="142" t="s">
        <v>846</v>
      </c>
      <c r="AT243" s="501"/>
      <c r="AU243" s="20"/>
      <c r="AV243" s="21"/>
      <c r="AW243" s="21"/>
      <c r="AX243" s="21"/>
      <c r="AY243" s="21"/>
      <c r="AZ243" s="21"/>
      <c r="BA243" s="21"/>
      <c r="BB243" s="21"/>
      <c r="BC243" s="21"/>
      <c r="BD243" s="21"/>
      <c r="BE243" s="402"/>
      <c r="BF243" s="415"/>
      <c r="BG243" s="407"/>
      <c r="BH243" s="407"/>
    </row>
    <row r="244" spans="1:60" s="3" customFormat="1" ht="14.25" thickTop="1" thickBot="1" x14ac:dyDescent="0.45">
      <c r="A244" s="508"/>
      <c r="B244" s="92" t="s">
        <v>262</v>
      </c>
      <c r="C244" s="40" t="s">
        <v>137</v>
      </c>
      <c r="D244" s="23" t="s">
        <v>128</v>
      </c>
      <c r="E244" s="42" t="s">
        <v>115</v>
      </c>
      <c r="F244" s="45" t="s">
        <v>100</v>
      </c>
      <c r="G244" s="22" t="s">
        <v>51</v>
      </c>
      <c r="H244" s="40" t="s">
        <v>1</v>
      </c>
      <c r="I244" s="40" t="s">
        <v>290</v>
      </c>
      <c r="J244" s="42"/>
      <c r="K244" s="194" t="s">
        <v>525</v>
      </c>
      <c r="L244" s="370" t="s">
        <v>1068</v>
      </c>
      <c r="M244" s="42"/>
      <c r="N244" s="42"/>
      <c r="O244" s="42"/>
      <c r="P244" s="175" t="s">
        <v>32</v>
      </c>
      <c r="Q244" s="25" t="s">
        <v>34</v>
      </c>
      <c r="R244" s="26"/>
      <c r="S244" s="27"/>
      <c r="T244" s="27"/>
      <c r="U244" s="27"/>
      <c r="V244" s="27"/>
      <c r="W244" s="27"/>
      <c r="X244" s="27">
        <f>X243</f>
        <v>46330</v>
      </c>
      <c r="Y244" s="27">
        <f>WORKDAY(X244, Y8, IF(Y12="China",'China Holidays'!$A$2:$A$84,'Thai Holidays'!$A$2:$A$65))</f>
        <v>46344</v>
      </c>
      <c r="Z244" s="27"/>
      <c r="AA244" s="27">
        <f>WORKDAY(Y244, AA8, IF(AA12="China",'China Holidays'!$A$2:$A$84,'Thai Holidays'!$A$2:$A$65))</f>
        <v>46357</v>
      </c>
      <c r="AB244" s="27">
        <f>WORKDAY(AA244, AB8, IF(AB12="China",'China Holidays'!$A$2:$A$84,'Thai Holidays'!$A$2:$A$65))</f>
        <v>46359</v>
      </c>
      <c r="AC244" s="27">
        <f>WORKDAY(AB244, AC8, IF(AC12="China",'China Holidays'!$A$2:$A$84,'Thai Holidays'!$A$2:$A$65))</f>
        <v>46366</v>
      </c>
      <c r="AD244" s="27">
        <f>WORKDAY(AC244, AD8, IF(AD12="China",'China Holidays'!$A$2:$A$84,'Thai Holidays'!$A$2:$A$65))</f>
        <v>46387</v>
      </c>
      <c r="AE244" s="27">
        <f>WORKDAY(AD244, AE8, IF(AE12="China",'China Holidays'!$A$2:$A$84,'Thai Holidays'!$A$2:$A$65))</f>
        <v>46402</v>
      </c>
      <c r="AF244" s="27">
        <f>AE244+15</f>
        <v>46417</v>
      </c>
      <c r="AG244" s="27">
        <f>AF244</f>
        <v>46417</v>
      </c>
      <c r="AH244" s="27">
        <f>AG244+2</f>
        <v>46419</v>
      </c>
      <c r="AI244" s="27">
        <f>AJ244-10</f>
        <v>46468</v>
      </c>
      <c r="AJ244" s="27">
        <f>AK244-5</f>
        <v>46478</v>
      </c>
      <c r="AK244" s="27">
        <f>AP243</f>
        <v>46483</v>
      </c>
      <c r="AL244" s="27">
        <f>AP243+3</f>
        <v>46486</v>
      </c>
      <c r="AM244" s="27">
        <f>AP243+30</f>
        <v>46513</v>
      </c>
      <c r="AN244" s="80"/>
      <c r="AO244" s="78"/>
      <c r="AP244" s="82">
        <f>AA244+AO243</f>
        <v>46483</v>
      </c>
      <c r="AQ244" s="82"/>
      <c r="AR244" s="28"/>
      <c r="AS244" s="140"/>
      <c r="AT244" s="502"/>
      <c r="AU244" s="20"/>
      <c r="AV244" s="21"/>
      <c r="AW244" s="21"/>
      <c r="AX244" s="21"/>
      <c r="AY244" s="21"/>
      <c r="AZ244" s="21"/>
      <c r="BA244" s="21"/>
      <c r="BB244" s="21"/>
      <c r="BC244" s="21"/>
      <c r="BD244" s="21"/>
      <c r="BE244" s="402"/>
      <c r="BF244" s="415"/>
      <c r="BG244" s="407"/>
      <c r="BH244" s="407"/>
    </row>
    <row r="245" spans="1:60" s="3" customFormat="1" ht="14.25" thickTop="1" thickBot="1" x14ac:dyDescent="0.45">
      <c r="A245" s="509"/>
      <c r="B245" s="93" t="s">
        <v>262</v>
      </c>
      <c r="C245" s="31" t="s">
        <v>137</v>
      </c>
      <c r="D245" s="47" t="s">
        <v>128</v>
      </c>
      <c r="E245" s="44" t="s">
        <v>115</v>
      </c>
      <c r="F245" s="33" t="s">
        <v>100</v>
      </c>
      <c r="G245" s="31" t="s">
        <v>51</v>
      </c>
      <c r="H245" s="31" t="s">
        <v>1</v>
      </c>
      <c r="I245" s="31" t="s">
        <v>290</v>
      </c>
      <c r="J245" s="44"/>
      <c r="K245" s="195" t="s">
        <v>801</v>
      </c>
      <c r="L245" s="195"/>
      <c r="M245" s="44"/>
      <c r="N245" s="44"/>
      <c r="O245" s="44"/>
      <c r="P245" s="176" t="s">
        <v>32</v>
      </c>
      <c r="Q245" s="34" t="s">
        <v>35</v>
      </c>
      <c r="R245" s="35">
        <v>46240</v>
      </c>
      <c r="S245" s="35">
        <v>46151</v>
      </c>
      <c r="T245" s="35">
        <v>46172</v>
      </c>
      <c r="U245" s="35">
        <v>46244</v>
      </c>
      <c r="V245" s="35">
        <v>46244</v>
      </c>
      <c r="W245" s="35">
        <v>46265</v>
      </c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81"/>
      <c r="AO245" s="79"/>
      <c r="AP245" s="36"/>
      <c r="AQ245" s="36"/>
      <c r="AR245" s="37"/>
      <c r="AS245" s="141"/>
      <c r="AT245" s="503"/>
      <c r="AU245" s="38"/>
      <c r="AV245" s="39"/>
      <c r="AW245" s="39"/>
      <c r="AX245" s="39"/>
      <c r="AY245" s="39"/>
      <c r="AZ245" s="39"/>
      <c r="BA245" s="39"/>
      <c r="BB245" s="39"/>
      <c r="BC245" s="39"/>
      <c r="BD245" s="39"/>
      <c r="BE245" s="405"/>
      <c r="BF245" s="415"/>
      <c r="BG245" s="407"/>
      <c r="BH245" s="407"/>
    </row>
    <row r="246" spans="1:60" s="3" customFormat="1" ht="14.25" thickTop="1" thickBot="1" x14ac:dyDescent="0.45">
      <c r="A246" s="507">
        <f t="shared" si="46"/>
        <v>70</v>
      </c>
      <c r="B246" s="91" t="s">
        <v>263</v>
      </c>
      <c r="C246" s="13" t="s">
        <v>138</v>
      </c>
      <c r="D246" s="203" t="s">
        <v>784</v>
      </c>
      <c r="E246" s="63" t="s">
        <v>118</v>
      </c>
      <c r="F246" s="15" t="s">
        <v>100</v>
      </c>
      <c r="G246" s="13" t="s">
        <v>51</v>
      </c>
      <c r="H246" s="13" t="s">
        <v>3</v>
      </c>
      <c r="I246" s="13" t="s">
        <v>290</v>
      </c>
      <c r="J246" s="41"/>
      <c r="K246" s="193" t="s">
        <v>879</v>
      </c>
      <c r="L246" s="41"/>
      <c r="M246" s="41"/>
      <c r="N246" s="41"/>
      <c r="O246" s="41"/>
      <c r="P246" s="174" t="s">
        <v>32</v>
      </c>
      <c r="Q246" s="17" t="s">
        <v>33</v>
      </c>
      <c r="R246" s="18">
        <v>46240</v>
      </c>
      <c r="S246" s="18">
        <v>46242</v>
      </c>
      <c r="T246" s="18">
        <v>46258</v>
      </c>
      <c r="U246" s="18">
        <v>46258</v>
      </c>
      <c r="V246" s="18">
        <v>46258</v>
      </c>
      <c r="W246" s="18">
        <v>46272</v>
      </c>
      <c r="X246" s="206">
        <v>46289</v>
      </c>
      <c r="Y246" s="18">
        <v>46303</v>
      </c>
      <c r="Z246" s="18"/>
      <c r="AA246" s="18">
        <v>46316</v>
      </c>
      <c r="AB246" s="18">
        <v>46318</v>
      </c>
      <c r="AC246" s="18">
        <v>46325</v>
      </c>
      <c r="AD246" s="18">
        <v>46346</v>
      </c>
      <c r="AE246" s="18">
        <v>46360</v>
      </c>
      <c r="AF246" s="18">
        <v>46375</v>
      </c>
      <c r="AG246" s="18">
        <v>46375</v>
      </c>
      <c r="AH246" s="18">
        <v>46377</v>
      </c>
      <c r="AI246" s="18">
        <v>46455</v>
      </c>
      <c r="AJ246" s="18">
        <v>46465</v>
      </c>
      <c r="AK246" s="18">
        <v>46470</v>
      </c>
      <c r="AL246" s="18">
        <v>46473</v>
      </c>
      <c r="AM246" s="18">
        <v>46500</v>
      </c>
      <c r="AN246" s="57">
        <v>22</v>
      </c>
      <c r="AO246" s="58">
        <v>154</v>
      </c>
      <c r="AP246" s="77">
        <v>46470</v>
      </c>
      <c r="AQ246" s="77">
        <v>46492</v>
      </c>
      <c r="AR246" s="19">
        <f>AQ246-AP247</f>
        <v>21</v>
      </c>
      <c r="AS246" s="142" t="s">
        <v>449</v>
      </c>
      <c r="AT246" s="501"/>
      <c r="AU246" s="20"/>
      <c r="AV246" s="21"/>
      <c r="AW246" s="21"/>
      <c r="AX246" s="21"/>
      <c r="AY246" s="21"/>
      <c r="AZ246" s="21"/>
      <c r="BA246" s="21"/>
      <c r="BB246" s="21"/>
      <c r="BC246" s="21"/>
      <c r="BD246" s="21"/>
      <c r="BE246" s="402"/>
      <c r="BF246" s="415"/>
      <c r="BG246" s="407"/>
      <c r="BH246" s="407"/>
    </row>
    <row r="247" spans="1:60" s="3" customFormat="1" ht="14.25" thickTop="1" thickBot="1" x14ac:dyDescent="0.45">
      <c r="A247" s="508"/>
      <c r="B247" s="92" t="s">
        <v>263</v>
      </c>
      <c r="C247" s="40" t="s">
        <v>138</v>
      </c>
      <c r="D247" s="23" t="s">
        <v>117</v>
      </c>
      <c r="E247" s="42" t="s">
        <v>118</v>
      </c>
      <c r="F247" s="45" t="s">
        <v>100</v>
      </c>
      <c r="G247" s="22" t="s">
        <v>51</v>
      </c>
      <c r="H247" s="40" t="s">
        <v>3</v>
      </c>
      <c r="I247" s="40" t="s">
        <v>290</v>
      </c>
      <c r="J247" s="42"/>
      <c r="K247" s="194" t="s">
        <v>804</v>
      </c>
      <c r="L247" s="370" t="s">
        <v>1076</v>
      </c>
      <c r="M247" s="42"/>
      <c r="N247" s="42"/>
      <c r="O247" s="42"/>
      <c r="P247" s="175" t="s">
        <v>32</v>
      </c>
      <c r="Q247" s="25" t="s">
        <v>34</v>
      </c>
      <c r="R247" s="26"/>
      <c r="S247" s="27"/>
      <c r="T247" s="27"/>
      <c r="U247" s="27"/>
      <c r="V247" s="27"/>
      <c r="W247" s="27"/>
      <c r="X247" s="27">
        <v>46290</v>
      </c>
      <c r="Y247" s="27">
        <f>WORKDAY(X247, Y8, IF(Y12="China",'China Holidays'!$A$2:$A$84,'Thai Holidays'!$A$2:$A$65))</f>
        <v>46304</v>
      </c>
      <c r="Z247" s="27"/>
      <c r="AA247" s="27">
        <f>WORKDAY(Y247, AA8, IF(AA12="China",'China Holidays'!$A$2:$A$84,'Thai Holidays'!$A$2:$A$65))</f>
        <v>46317</v>
      </c>
      <c r="AB247" s="27">
        <f>WORKDAY(AA247, AB8, IF(AB12="China",'China Holidays'!$A$2:$A$84,'Thai Holidays'!$A$2:$A$65))</f>
        <v>46321</v>
      </c>
      <c r="AC247" s="27">
        <f>WORKDAY(AB247, AC8, IF(AC12="China",'China Holidays'!$A$2:$A$84,'Thai Holidays'!$A$2:$A$65))</f>
        <v>46328</v>
      </c>
      <c r="AD247" s="27">
        <f>WORKDAY(AC247, AD8, IF(AD12="China",'China Holidays'!$A$2:$A$84,'Thai Holidays'!$A$2:$A$65))</f>
        <v>46349</v>
      </c>
      <c r="AE247" s="27">
        <f>WORKDAY(AD247, AE8, IF(AE12="China",'China Holidays'!$A$2:$A$84,'Thai Holidays'!$A$2:$A$65))</f>
        <v>46364</v>
      </c>
      <c r="AF247" s="27">
        <f>AE247+15</f>
        <v>46379</v>
      </c>
      <c r="AG247" s="27">
        <f>AF247</f>
        <v>46379</v>
      </c>
      <c r="AH247" s="27">
        <f>AG247+2</f>
        <v>46381</v>
      </c>
      <c r="AI247" s="27">
        <f>AJ247-10</f>
        <v>46455</v>
      </c>
      <c r="AJ247" s="27">
        <f>AK247-5</f>
        <v>46465</v>
      </c>
      <c r="AK247" s="27">
        <f>AP246</f>
        <v>46470</v>
      </c>
      <c r="AL247" s="27">
        <f>AP246+3</f>
        <v>46473</v>
      </c>
      <c r="AM247" s="27">
        <f>AP246+30</f>
        <v>46500</v>
      </c>
      <c r="AN247" s="80"/>
      <c r="AO247" s="78"/>
      <c r="AP247" s="82">
        <f>AA247+AO246</f>
        <v>46471</v>
      </c>
      <c r="AQ247" s="82"/>
      <c r="AR247" s="28"/>
      <c r="AS247" s="140"/>
      <c r="AT247" s="502"/>
      <c r="AU247" s="20"/>
      <c r="AV247" s="21"/>
      <c r="AW247" s="21"/>
      <c r="AX247" s="21"/>
      <c r="AY247" s="21"/>
      <c r="AZ247" s="21"/>
      <c r="BA247" s="21"/>
      <c r="BB247" s="21"/>
      <c r="BC247" s="21"/>
      <c r="BD247" s="21"/>
      <c r="BE247" s="402"/>
      <c r="BF247" s="415"/>
      <c r="BG247" s="407"/>
      <c r="BH247" s="407"/>
    </row>
    <row r="248" spans="1:60" s="3" customFormat="1" ht="14.25" thickTop="1" thickBot="1" x14ac:dyDescent="0.45">
      <c r="A248" s="509"/>
      <c r="B248" s="93" t="s">
        <v>263</v>
      </c>
      <c r="C248" s="31" t="s">
        <v>138</v>
      </c>
      <c r="D248" s="47" t="s">
        <v>117</v>
      </c>
      <c r="E248" s="44" t="s">
        <v>118</v>
      </c>
      <c r="F248" s="33" t="s">
        <v>100</v>
      </c>
      <c r="G248" s="31" t="s">
        <v>51</v>
      </c>
      <c r="H248" s="31" t="s">
        <v>3</v>
      </c>
      <c r="I248" s="31" t="s">
        <v>290</v>
      </c>
      <c r="J248" s="44"/>
      <c r="K248" s="195" t="s">
        <v>802</v>
      </c>
      <c r="L248" s="371" t="s">
        <v>1077</v>
      </c>
      <c r="M248" s="44"/>
      <c r="N248" s="44"/>
      <c r="O248" s="44"/>
      <c r="P248" s="176" t="s">
        <v>32</v>
      </c>
      <c r="Q248" s="34" t="s">
        <v>35</v>
      </c>
      <c r="R248" s="35">
        <v>46246</v>
      </c>
      <c r="S248" s="35">
        <v>46151</v>
      </c>
      <c r="T248" s="35">
        <v>46160</v>
      </c>
      <c r="U248" s="35">
        <v>46248</v>
      </c>
      <c r="V248" s="35">
        <v>46248</v>
      </c>
      <c r="W248" s="35">
        <v>46265</v>
      </c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81"/>
      <c r="AO248" s="79"/>
      <c r="AP248" s="36"/>
      <c r="AQ248" s="36"/>
      <c r="AR248" s="37"/>
      <c r="AS248" s="141"/>
      <c r="AT248" s="503"/>
      <c r="AU248" s="38"/>
      <c r="AV248" s="39"/>
      <c r="AW248" s="39"/>
      <c r="AX248" s="39"/>
      <c r="AY248" s="39"/>
      <c r="AZ248" s="39"/>
      <c r="BA248" s="39"/>
      <c r="BB248" s="39"/>
      <c r="BC248" s="39"/>
      <c r="BD248" s="39"/>
      <c r="BE248" s="405"/>
      <c r="BF248" s="415"/>
      <c r="BG248" s="407"/>
      <c r="BH248" s="407"/>
    </row>
    <row r="249" spans="1:60" s="3" customFormat="1" ht="14.25" thickTop="1" thickBot="1" x14ac:dyDescent="0.45">
      <c r="A249" s="507">
        <f t="shared" si="46"/>
        <v>71</v>
      </c>
      <c r="B249" s="91" t="s">
        <v>264</v>
      </c>
      <c r="C249" s="13" t="s">
        <v>141</v>
      </c>
      <c r="D249" s="203" t="s">
        <v>785</v>
      </c>
      <c r="E249" s="63" t="s">
        <v>111</v>
      </c>
      <c r="F249" s="15" t="s">
        <v>100</v>
      </c>
      <c r="G249" s="13" t="s">
        <v>51</v>
      </c>
      <c r="H249" s="13" t="s">
        <v>1</v>
      </c>
      <c r="I249" s="13" t="s">
        <v>290</v>
      </c>
      <c r="J249" s="41"/>
      <c r="K249" s="193" t="s">
        <v>805</v>
      </c>
      <c r="L249" s="308" t="s">
        <v>1079</v>
      </c>
      <c r="M249" s="41"/>
      <c r="N249" s="41"/>
      <c r="O249" s="41"/>
      <c r="P249" s="174" t="s">
        <v>32</v>
      </c>
      <c r="Q249" s="17" t="s">
        <v>33</v>
      </c>
      <c r="R249" s="18">
        <v>46276</v>
      </c>
      <c r="S249" s="18">
        <v>46274</v>
      </c>
      <c r="T249" s="18">
        <v>46288</v>
      </c>
      <c r="U249" s="18">
        <v>46288</v>
      </c>
      <c r="V249" s="18">
        <v>46288</v>
      </c>
      <c r="W249" s="18">
        <v>46310</v>
      </c>
      <c r="X249" s="206">
        <v>46330</v>
      </c>
      <c r="Y249" s="18">
        <v>46344</v>
      </c>
      <c r="Z249" s="18"/>
      <c r="AA249" s="18">
        <v>46357</v>
      </c>
      <c r="AB249" s="18">
        <v>46359</v>
      </c>
      <c r="AC249" s="18">
        <v>46366</v>
      </c>
      <c r="AD249" s="18">
        <v>46387</v>
      </c>
      <c r="AE249" s="18">
        <v>46402</v>
      </c>
      <c r="AF249" s="18">
        <v>46417</v>
      </c>
      <c r="AG249" s="18">
        <v>46417</v>
      </c>
      <c r="AH249" s="18">
        <v>46419</v>
      </c>
      <c r="AI249" s="18">
        <v>46468</v>
      </c>
      <c r="AJ249" s="18">
        <v>46478</v>
      </c>
      <c r="AK249" s="18">
        <v>46483</v>
      </c>
      <c r="AL249" s="18">
        <v>46486</v>
      </c>
      <c r="AM249" s="18">
        <v>46513</v>
      </c>
      <c r="AN249" s="57">
        <v>18</v>
      </c>
      <c r="AO249" s="58">
        <v>126</v>
      </c>
      <c r="AP249" s="77">
        <v>46483</v>
      </c>
      <c r="AQ249" s="77">
        <v>46492</v>
      </c>
      <c r="AR249" s="19">
        <f>AQ249-AP250</f>
        <v>9</v>
      </c>
      <c r="AS249" s="142" t="s">
        <v>449</v>
      </c>
      <c r="AT249" s="501"/>
      <c r="AU249" s="20"/>
      <c r="AV249" s="21"/>
      <c r="AW249" s="21"/>
      <c r="AX249" s="21"/>
      <c r="AY249" s="21"/>
      <c r="AZ249" s="21"/>
      <c r="BA249" s="21"/>
      <c r="BB249" s="21"/>
      <c r="BC249" s="21"/>
      <c r="BD249" s="21"/>
      <c r="BE249" s="402"/>
      <c r="BF249" s="415"/>
      <c r="BG249" s="407"/>
      <c r="BH249" s="407"/>
    </row>
    <row r="250" spans="1:60" s="3" customFormat="1" ht="14.25" thickTop="1" thickBot="1" x14ac:dyDescent="0.45">
      <c r="A250" s="508"/>
      <c r="B250" s="92" t="s">
        <v>264</v>
      </c>
      <c r="C250" s="40" t="s">
        <v>141</v>
      </c>
      <c r="D250" s="23" t="s">
        <v>112</v>
      </c>
      <c r="E250" s="42" t="s">
        <v>111</v>
      </c>
      <c r="F250" s="45" t="s">
        <v>100</v>
      </c>
      <c r="G250" s="22" t="s">
        <v>51</v>
      </c>
      <c r="H250" s="40" t="s">
        <v>1</v>
      </c>
      <c r="I250" s="40" t="s">
        <v>290</v>
      </c>
      <c r="J250" s="42"/>
      <c r="K250" s="194" t="s">
        <v>806</v>
      </c>
      <c r="L250" s="370" t="s">
        <v>1080</v>
      </c>
      <c r="M250" s="42"/>
      <c r="N250" s="42"/>
      <c r="O250" s="42"/>
      <c r="P250" s="175" t="s">
        <v>32</v>
      </c>
      <c r="Q250" s="25" t="s">
        <v>34</v>
      </c>
      <c r="R250" s="26"/>
      <c r="S250" s="27"/>
      <c r="T250" s="27"/>
      <c r="U250" s="27"/>
      <c r="V250" s="27"/>
      <c r="W250" s="27"/>
      <c r="X250" s="27">
        <f>X249</f>
        <v>46330</v>
      </c>
      <c r="Y250" s="27">
        <f>WORKDAY(X250, Y8, IF(Y12="China",'China Holidays'!$A$2:$A$84,'Thai Holidays'!$A$2:$A$65))</f>
        <v>46344</v>
      </c>
      <c r="Z250" s="27"/>
      <c r="AA250" s="27">
        <f>WORKDAY(Y250, AA8, IF(AA12="China",'China Holidays'!$A$2:$A$84,'Thai Holidays'!$A$2:$A$65))</f>
        <v>46357</v>
      </c>
      <c r="AB250" s="27">
        <f>WORKDAY(AA250, AB8, IF(AB12="China",'China Holidays'!$A$2:$A$84,'Thai Holidays'!$A$2:$A$65))</f>
        <v>46359</v>
      </c>
      <c r="AC250" s="27">
        <f>WORKDAY(AB250, AC8, IF(AC12="China",'China Holidays'!$A$2:$A$84,'Thai Holidays'!$A$2:$A$65))</f>
        <v>46366</v>
      </c>
      <c r="AD250" s="27">
        <f>WORKDAY(AC250, AD8, IF(AD12="China",'China Holidays'!$A$2:$A$84,'Thai Holidays'!$A$2:$A$65))</f>
        <v>46387</v>
      </c>
      <c r="AE250" s="27">
        <f>WORKDAY(AD250, AE8, IF(AE12="China",'China Holidays'!$A$2:$A$84,'Thai Holidays'!$A$2:$A$65))</f>
        <v>46402</v>
      </c>
      <c r="AF250" s="27">
        <f>AE250+15</f>
        <v>46417</v>
      </c>
      <c r="AG250" s="27">
        <f>AF250</f>
        <v>46417</v>
      </c>
      <c r="AH250" s="27">
        <f>AG250+2</f>
        <v>46419</v>
      </c>
      <c r="AI250" s="27">
        <f>AJ250-10</f>
        <v>46468</v>
      </c>
      <c r="AJ250" s="27">
        <f>AK250-5</f>
        <v>46478</v>
      </c>
      <c r="AK250" s="27">
        <f>AP249</f>
        <v>46483</v>
      </c>
      <c r="AL250" s="27">
        <f>AP249+3</f>
        <v>46486</v>
      </c>
      <c r="AM250" s="27">
        <f>AP249+30</f>
        <v>46513</v>
      </c>
      <c r="AN250" s="80"/>
      <c r="AO250" s="78"/>
      <c r="AP250" s="82">
        <f>AA250+AO249</f>
        <v>46483</v>
      </c>
      <c r="AQ250" s="82"/>
      <c r="AR250" s="28"/>
      <c r="AS250" s="140"/>
      <c r="AT250" s="502"/>
      <c r="AU250" s="20"/>
      <c r="AV250" s="21"/>
      <c r="AW250" s="21"/>
      <c r="AX250" s="21"/>
      <c r="AY250" s="21"/>
      <c r="AZ250" s="21"/>
      <c r="BA250" s="21"/>
      <c r="BB250" s="21"/>
      <c r="BC250" s="21"/>
      <c r="BD250" s="21"/>
      <c r="BE250" s="402"/>
      <c r="BF250" s="415"/>
      <c r="BG250" s="407"/>
      <c r="BH250" s="407"/>
    </row>
    <row r="251" spans="1:60" s="3" customFormat="1" ht="17.350000000000001" customHeight="1" thickTop="1" thickBot="1" x14ac:dyDescent="0.45">
      <c r="A251" s="509"/>
      <c r="B251" s="93" t="s">
        <v>264</v>
      </c>
      <c r="C251" s="31" t="s">
        <v>141</v>
      </c>
      <c r="D251" s="47" t="s">
        <v>112</v>
      </c>
      <c r="E251" s="44" t="s">
        <v>111</v>
      </c>
      <c r="F251" s="33" t="s">
        <v>100</v>
      </c>
      <c r="G251" s="31" t="s">
        <v>51</v>
      </c>
      <c r="H251" s="31" t="s">
        <v>1</v>
      </c>
      <c r="I251" s="31" t="s">
        <v>290</v>
      </c>
      <c r="J251" s="44"/>
      <c r="K251" s="195" t="s">
        <v>884</v>
      </c>
      <c r="L251" s="370" t="s">
        <v>1081</v>
      </c>
      <c r="M251" s="44"/>
      <c r="N251" s="44"/>
      <c r="O251" s="44"/>
      <c r="P251" s="176" t="s">
        <v>32</v>
      </c>
      <c r="Q251" s="34" t="s">
        <v>35</v>
      </c>
      <c r="R251" s="35">
        <v>46246</v>
      </c>
      <c r="S251" s="35">
        <v>46153</v>
      </c>
      <c r="T251" s="35">
        <v>46173</v>
      </c>
      <c r="U251" s="35">
        <v>46248</v>
      </c>
      <c r="V251" s="35">
        <v>46248</v>
      </c>
      <c r="W251" s="35">
        <v>46262</v>
      </c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81"/>
      <c r="AO251" s="79"/>
      <c r="AP251" s="36"/>
      <c r="AQ251" s="36"/>
      <c r="AR251" s="37"/>
      <c r="AS251" s="141"/>
      <c r="AT251" s="503"/>
      <c r="AU251" s="38"/>
      <c r="AV251" s="39"/>
      <c r="AW251" s="39"/>
      <c r="AX251" s="39"/>
      <c r="AY251" s="39"/>
      <c r="AZ251" s="39"/>
      <c r="BA251" s="39"/>
      <c r="BB251" s="39"/>
      <c r="BC251" s="39"/>
      <c r="BD251" s="39"/>
      <c r="BE251" s="405"/>
      <c r="BF251" s="415"/>
      <c r="BG251" s="407"/>
      <c r="BH251" s="407"/>
    </row>
    <row r="252" spans="1:60" s="3" customFormat="1" ht="20.65" customHeight="1" thickTop="1" thickBot="1" x14ac:dyDescent="0.45">
      <c r="A252" s="507">
        <f t="shared" ref="A252" si="47">A249+1</f>
        <v>72</v>
      </c>
      <c r="B252" s="91" t="s">
        <v>266</v>
      </c>
      <c r="C252" s="13" t="s">
        <v>143</v>
      </c>
      <c r="D252" s="203" t="s">
        <v>568</v>
      </c>
      <c r="E252" s="240" t="s">
        <v>136</v>
      </c>
      <c r="F252" s="15" t="s">
        <v>100</v>
      </c>
      <c r="G252" s="13" t="s">
        <v>51</v>
      </c>
      <c r="H252" s="13" t="s">
        <v>1</v>
      </c>
      <c r="I252" s="13" t="s">
        <v>290</v>
      </c>
      <c r="J252" s="335"/>
      <c r="K252" s="193" t="s">
        <v>807</v>
      </c>
      <c r="L252" s="293" t="s">
        <v>1072</v>
      </c>
      <c r="M252" s="314"/>
      <c r="N252" s="314"/>
      <c r="O252" s="314"/>
      <c r="P252" s="174" t="s">
        <v>32</v>
      </c>
      <c r="Q252" s="263" t="s">
        <v>33</v>
      </c>
      <c r="R252" s="56">
        <v>46195</v>
      </c>
      <c r="S252" s="56">
        <v>46195</v>
      </c>
      <c r="T252" s="18">
        <v>46209</v>
      </c>
      <c r="U252" s="18">
        <v>46209</v>
      </c>
      <c r="V252" s="18">
        <v>46209</v>
      </c>
      <c r="W252" s="18">
        <v>46223</v>
      </c>
      <c r="X252" s="206">
        <v>46244</v>
      </c>
      <c r="Y252" s="18">
        <v>46259</v>
      </c>
      <c r="Z252" s="18"/>
      <c r="AA252" s="18">
        <v>46272</v>
      </c>
      <c r="AB252" s="18">
        <v>46274</v>
      </c>
      <c r="AC252" s="18">
        <v>46281</v>
      </c>
      <c r="AD252" s="18">
        <v>46310</v>
      </c>
      <c r="AE252" s="18">
        <v>46325</v>
      </c>
      <c r="AF252" s="18">
        <v>46355</v>
      </c>
      <c r="AG252" s="18">
        <v>46355</v>
      </c>
      <c r="AH252" s="18">
        <v>46357</v>
      </c>
      <c r="AI252" s="18">
        <v>46432</v>
      </c>
      <c r="AJ252" s="18">
        <v>46452</v>
      </c>
      <c r="AK252" s="18">
        <v>46482</v>
      </c>
      <c r="AL252" s="18">
        <v>46485</v>
      </c>
      <c r="AM252" s="18">
        <v>46512</v>
      </c>
      <c r="AN252" s="57">
        <v>30</v>
      </c>
      <c r="AO252" s="58">
        <v>210</v>
      </c>
      <c r="AP252" s="77">
        <v>46482</v>
      </c>
      <c r="AQ252" s="77">
        <v>46563</v>
      </c>
      <c r="AR252" s="19">
        <f>AQ252-AP253</f>
        <v>38</v>
      </c>
      <c r="AS252" s="142" t="s">
        <v>449</v>
      </c>
      <c r="AT252" s="501"/>
      <c r="AU252" s="20"/>
      <c r="AV252" s="21"/>
      <c r="AW252" s="21"/>
      <c r="AX252" s="21"/>
      <c r="AY252" s="21"/>
      <c r="AZ252" s="21"/>
      <c r="BA252" s="21"/>
      <c r="BB252" s="21"/>
      <c r="BC252" s="21"/>
      <c r="BD252" s="21"/>
      <c r="BE252" s="402"/>
      <c r="BF252" s="415"/>
      <c r="BG252" s="407"/>
      <c r="BH252" s="407"/>
    </row>
    <row r="253" spans="1:60" s="3" customFormat="1" ht="24" thickTop="1" thickBot="1" x14ac:dyDescent="0.45">
      <c r="A253" s="508"/>
      <c r="B253" s="92" t="s">
        <v>266</v>
      </c>
      <c r="C253" s="40" t="s">
        <v>143</v>
      </c>
      <c r="D253" s="187" t="s">
        <v>265</v>
      </c>
      <c r="E253" s="242" t="s">
        <v>136</v>
      </c>
      <c r="F253" s="45" t="s">
        <v>100</v>
      </c>
      <c r="G253" s="22" t="s">
        <v>51</v>
      </c>
      <c r="H253" s="40" t="s">
        <v>1</v>
      </c>
      <c r="I253" s="40" t="s">
        <v>290</v>
      </c>
      <c r="J253" s="334"/>
      <c r="K253" s="320"/>
      <c r="L253" s="286" t="s">
        <v>1073</v>
      </c>
      <c r="M253" s="242"/>
      <c r="N253" s="242"/>
      <c r="O253" s="242"/>
      <c r="P253" s="175" t="s">
        <v>32</v>
      </c>
      <c r="Q253" s="265" t="s">
        <v>34</v>
      </c>
      <c r="R253" s="26"/>
      <c r="S253" s="27"/>
      <c r="T253" s="27"/>
      <c r="U253" s="27"/>
      <c r="V253" s="27"/>
      <c r="W253" s="27"/>
      <c r="X253" s="27">
        <f>WORKDAY(W254,X7, IF(X12="China",'China Holidays'!$A$2:$A$84,'Thai Holidays'!$A$2:$A$65))</f>
        <v>46297</v>
      </c>
      <c r="Y253" s="27">
        <f>WORKDAY(X253, 8, IF(Y12="China",'China Holidays'!$A$2:$A$84,'Thai Holidays'!$A$2:$A$65))</f>
        <v>46310</v>
      </c>
      <c r="Z253" s="27"/>
      <c r="AA253" s="27">
        <f>Y253+5</f>
        <v>46315</v>
      </c>
      <c r="AB253" s="27">
        <f>WORKDAY(AA253, AB8, IF(AB12="China",'China Holidays'!$A$2:$A$84,'Thai Holidays'!$A$2:$A$65))</f>
        <v>46317</v>
      </c>
      <c r="AC253" s="27">
        <f>AB253</f>
        <v>46317</v>
      </c>
      <c r="AD253" s="27">
        <f>WORKDAY(AC253, AD8, IF(AD12="China",'China Holidays'!$A$2:$A$84,'Thai Holidays'!$A$2:$A$65))</f>
        <v>46338</v>
      </c>
      <c r="AE253" s="27">
        <f>WORKDAY(AD253, AE8, IF(AE12="China",'China Holidays'!$A$2:$A$84,'Thai Holidays'!$A$2:$A$65))</f>
        <v>46352</v>
      </c>
      <c r="AF253" s="27">
        <f>AE253+10</f>
        <v>46362</v>
      </c>
      <c r="AG253" s="27">
        <f>AF253</f>
        <v>46362</v>
      </c>
      <c r="AH253" s="27">
        <f>AG253+2</f>
        <v>46364</v>
      </c>
      <c r="AI253" s="27">
        <f>AJ253-20</f>
        <v>46432</v>
      </c>
      <c r="AJ253" s="27">
        <f>AK253-30</f>
        <v>46452</v>
      </c>
      <c r="AK253" s="27">
        <f>AP252</f>
        <v>46482</v>
      </c>
      <c r="AL253" s="27">
        <f>AP252+3</f>
        <v>46485</v>
      </c>
      <c r="AM253" s="27">
        <f>AP252+30</f>
        <v>46512</v>
      </c>
      <c r="AN253" s="80"/>
      <c r="AO253" s="78"/>
      <c r="AP253" s="82">
        <f>AA253+AO252</f>
        <v>46525</v>
      </c>
      <c r="AQ253" s="272"/>
      <c r="AR253" s="324"/>
      <c r="AS253" s="325"/>
      <c r="AT253" s="502"/>
      <c r="AU253" s="20"/>
      <c r="AV253" s="21"/>
      <c r="AW253" s="21"/>
      <c r="AX253" s="21"/>
      <c r="AY253" s="21"/>
      <c r="AZ253" s="21"/>
      <c r="BA253" s="21"/>
      <c r="BB253" s="21"/>
      <c r="BC253" s="21"/>
      <c r="BD253" s="21"/>
      <c r="BE253" s="402"/>
      <c r="BF253" s="415"/>
      <c r="BG253" s="407"/>
      <c r="BH253" s="407"/>
    </row>
    <row r="254" spans="1:60" s="3" customFormat="1" ht="24" thickTop="1" thickBot="1" x14ac:dyDescent="0.45">
      <c r="A254" s="509"/>
      <c r="B254" s="93" t="s">
        <v>266</v>
      </c>
      <c r="C254" s="31" t="s">
        <v>143</v>
      </c>
      <c r="D254" s="32" t="s">
        <v>265</v>
      </c>
      <c r="E254" s="315" t="s">
        <v>136</v>
      </c>
      <c r="F254" s="33" t="s">
        <v>100</v>
      </c>
      <c r="G254" s="31" t="s">
        <v>51</v>
      </c>
      <c r="H254" s="31" t="s">
        <v>1</v>
      </c>
      <c r="I254" s="31" t="s">
        <v>290</v>
      </c>
      <c r="J254" s="315"/>
      <c r="K254" s="326"/>
      <c r="L254" s="315"/>
      <c r="M254" s="315"/>
      <c r="N254" s="315"/>
      <c r="O254" s="315"/>
      <c r="P254" s="176" t="s">
        <v>32</v>
      </c>
      <c r="Q254" s="328" t="s">
        <v>35</v>
      </c>
      <c r="R254" s="35">
        <v>46251</v>
      </c>
      <c r="S254" s="35">
        <v>46150</v>
      </c>
      <c r="T254" s="35">
        <v>46173</v>
      </c>
      <c r="U254" s="35">
        <v>46251</v>
      </c>
      <c r="V254" s="35">
        <v>46251</v>
      </c>
      <c r="W254" s="35">
        <v>46274</v>
      </c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81"/>
      <c r="AO254" s="79"/>
      <c r="AP254" s="36"/>
      <c r="AQ254" s="331"/>
      <c r="AR254" s="332"/>
      <c r="AS254" s="333"/>
      <c r="AT254" s="503"/>
      <c r="AU254" s="38"/>
      <c r="AV254" s="39"/>
      <c r="AW254" s="39"/>
      <c r="AX254" s="39"/>
      <c r="AY254" s="39"/>
      <c r="AZ254" s="39"/>
      <c r="BA254" s="39"/>
      <c r="BB254" s="39"/>
      <c r="BC254" s="39"/>
      <c r="BD254" s="39"/>
      <c r="BE254" s="405"/>
      <c r="BF254" s="415"/>
      <c r="BG254" s="407"/>
      <c r="BH254" s="407"/>
    </row>
    <row r="255" spans="1:60" s="3" customFormat="1" ht="24" thickTop="1" thickBot="1" x14ac:dyDescent="0.45">
      <c r="A255" s="507"/>
      <c r="B255" s="222" t="s">
        <v>268</v>
      </c>
      <c r="C255" s="234" t="s">
        <v>145</v>
      </c>
      <c r="D255" s="224" t="s">
        <v>569</v>
      </c>
      <c r="E255" s="240" t="s">
        <v>136</v>
      </c>
      <c r="F255" s="241" t="s">
        <v>100</v>
      </c>
      <c r="G255" s="234" t="s">
        <v>51</v>
      </c>
      <c r="H255" s="234" t="s">
        <v>1</v>
      </c>
      <c r="I255" s="234" t="s">
        <v>290</v>
      </c>
      <c r="J255" s="335" t="s">
        <v>694</v>
      </c>
      <c r="K255" s="316"/>
      <c r="L255" s="314"/>
      <c r="M255" s="314"/>
      <c r="N255" s="314"/>
      <c r="O255" s="314"/>
      <c r="P255" s="317" t="s">
        <v>32</v>
      </c>
      <c r="Q255" s="263" t="s">
        <v>33</v>
      </c>
      <c r="R255" s="287">
        <v>46195</v>
      </c>
      <c r="S255" s="287">
        <v>46195</v>
      </c>
      <c r="T255" s="264">
        <v>46209</v>
      </c>
      <c r="U255" s="264">
        <v>46209</v>
      </c>
      <c r="V255" s="264">
        <v>46209</v>
      </c>
      <c r="W255" s="264">
        <v>46223</v>
      </c>
      <c r="X255" s="264">
        <v>46244</v>
      </c>
      <c r="Y255" s="264">
        <v>46259</v>
      </c>
      <c r="Z255" s="264"/>
      <c r="AA255" s="264">
        <v>46272</v>
      </c>
      <c r="AB255" s="264">
        <v>46274</v>
      </c>
      <c r="AC255" s="264">
        <v>46281</v>
      </c>
      <c r="AD255" s="264">
        <v>46310</v>
      </c>
      <c r="AE255" s="264">
        <v>46325</v>
      </c>
      <c r="AF255" s="264">
        <v>46355</v>
      </c>
      <c r="AG255" s="264">
        <v>46355</v>
      </c>
      <c r="AH255" s="264">
        <v>46357</v>
      </c>
      <c r="AI255" s="264">
        <v>46432</v>
      </c>
      <c r="AJ255" s="264">
        <v>46452</v>
      </c>
      <c r="AK255" s="264">
        <v>46482</v>
      </c>
      <c r="AL255" s="264">
        <v>46485</v>
      </c>
      <c r="AM255" s="264">
        <v>46512</v>
      </c>
      <c r="AN255" s="268">
        <v>30</v>
      </c>
      <c r="AO255" s="269">
        <v>210</v>
      </c>
      <c r="AP255" s="270">
        <v>46482</v>
      </c>
      <c r="AQ255" s="270"/>
      <c r="AR255" s="318"/>
      <c r="AS255" s="319"/>
      <c r="AT255" s="501"/>
      <c r="AU255" s="20"/>
      <c r="AV255" s="21"/>
      <c r="AW255" s="21"/>
      <c r="AX255" s="21"/>
      <c r="AY255" s="21"/>
      <c r="AZ255" s="21"/>
      <c r="BA255" s="21"/>
      <c r="BB255" s="21"/>
      <c r="BC255" s="21"/>
      <c r="BD255" s="21"/>
      <c r="BE255" s="402"/>
      <c r="BF255" s="415"/>
      <c r="BG255" s="407"/>
      <c r="BH255" s="407"/>
    </row>
    <row r="256" spans="1:60" s="3" customFormat="1" ht="24" thickTop="1" thickBot="1" x14ac:dyDescent="0.45">
      <c r="A256" s="508"/>
      <c r="B256" s="225" t="s">
        <v>268</v>
      </c>
      <c r="C256" s="235" t="s">
        <v>145</v>
      </c>
      <c r="D256" s="249" t="s">
        <v>267</v>
      </c>
      <c r="E256" s="242" t="s">
        <v>136</v>
      </c>
      <c r="F256" s="243" t="s">
        <v>100</v>
      </c>
      <c r="G256" s="244" t="s">
        <v>51</v>
      </c>
      <c r="H256" s="235" t="s">
        <v>1</v>
      </c>
      <c r="I256" s="235" t="s">
        <v>290</v>
      </c>
      <c r="J256" s="242"/>
      <c r="K256" s="320"/>
      <c r="L256" s="242"/>
      <c r="M256" s="242"/>
      <c r="N256" s="242"/>
      <c r="O256" s="242"/>
      <c r="P256" s="321" t="s">
        <v>32</v>
      </c>
      <c r="Q256" s="265" t="s">
        <v>34</v>
      </c>
      <c r="R256" s="266">
        <v>46216</v>
      </c>
      <c r="S256" s="267"/>
      <c r="T256" s="267"/>
      <c r="U256" s="267">
        <v>46216</v>
      </c>
      <c r="V256" s="267">
        <f>U256</f>
        <v>46216</v>
      </c>
      <c r="W256" s="267">
        <f>WORKDAY(V256, W8, IF(W12="China",'China Holidays'!$A$2:$A$84,'Thai Holidays'!$A$2:$A$65))</f>
        <v>46230</v>
      </c>
      <c r="X256" s="267">
        <f>X255</f>
        <v>46244</v>
      </c>
      <c r="Y256" s="267">
        <f>WORKDAY(X256, Y8, IF(Y12="China",'China Holidays'!$A$2:$A$84,'Thai Holidays'!$A$2:$A$65))</f>
        <v>46259</v>
      </c>
      <c r="Z256" s="267"/>
      <c r="AA256" s="267">
        <f>WORKDAY(Y256, AA8, IF(AA12="China",'China Holidays'!$A$2:$A$84,'Thai Holidays'!$A$2:$A$65))</f>
        <v>46272</v>
      </c>
      <c r="AB256" s="267">
        <f>WORKDAY(AA256, AB8, IF(AB12="China",'China Holidays'!$A$2:$A$84,'Thai Holidays'!$A$2:$A$65))</f>
        <v>46274</v>
      </c>
      <c r="AC256" s="267">
        <f>WORKDAY(AB256, AC8, IF(AC12="China",'China Holidays'!$A$2:$A$84,'Thai Holidays'!$A$2:$A$65))</f>
        <v>46281</v>
      </c>
      <c r="AD256" s="267">
        <f>WORKDAY(AC256, AD8, IF(AD12="China",'China Holidays'!$A$2:$A$84,'Thai Holidays'!$A$2:$A$65))</f>
        <v>46310</v>
      </c>
      <c r="AE256" s="267">
        <f>WORKDAY(AD256, AE8, IF(AE12="China",'China Holidays'!$A$2:$A$84,'Thai Holidays'!$A$2:$A$65))</f>
        <v>46325</v>
      </c>
      <c r="AF256" s="267">
        <f>AE256+30</f>
        <v>46355</v>
      </c>
      <c r="AG256" s="267">
        <f>AF256</f>
        <v>46355</v>
      </c>
      <c r="AH256" s="267">
        <f>AG256+2</f>
        <v>46357</v>
      </c>
      <c r="AI256" s="267">
        <f>AJ256-20</f>
        <v>46432</v>
      </c>
      <c r="AJ256" s="267">
        <f>AK256-30</f>
        <v>46452</v>
      </c>
      <c r="AK256" s="267">
        <f>AP256</f>
        <v>46482</v>
      </c>
      <c r="AL256" s="267">
        <f>AP255+3</f>
        <v>46485</v>
      </c>
      <c r="AM256" s="267">
        <f>AP255+30</f>
        <v>46512</v>
      </c>
      <c r="AN256" s="322"/>
      <c r="AO256" s="323"/>
      <c r="AP256" s="272">
        <f>AA256+AO255</f>
        <v>46482</v>
      </c>
      <c r="AQ256" s="272"/>
      <c r="AR256" s="324"/>
      <c r="AS256" s="325"/>
      <c r="AT256" s="502"/>
      <c r="AU256" s="20"/>
      <c r="AV256" s="21"/>
      <c r="AW256" s="21"/>
      <c r="AX256" s="21"/>
      <c r="AY256" s="21"/>
      <c r="AZ256" s="21"/>
      <c r="BA256" s="21"/>
      <c r="BB256" s="21"/>
      <c r="BC256" s="21"/>
      <c r="BD256" s="21"/>
      <c r="BE256" s="402"/>
      <c r="BF256" s="415"/>
      <c r="BG256" s="407"/>
      <c r="BH256" s="407"/>
    </row>
    <row r="257" spans="1:60" s="3" customFormat="1" ht="24" thickTop="1" thickBot="1" x14ac:dyDescent="0.45">
      <c r="A257" s="509"/>
      <c r="B257" s="228" t="s">
        <v>268</v>
      </c>
      <c r="C257" s="236" t="s">
        <v>145</v>
      </c>
      <c r="D257" s="230" t="s">
        <v>267</v>
      </c>
      <c r="E257" s="315" t="s">
        <v>136</v>
      </c>
      <c r="F257" s="246" t="s">
        <v>100</v>
      </c>
      <c r="G257" s="236" t="s">
        <v>51</v>
      </c>
      <c r="H257" s="236" t="s">
        <v>1</v>
      </c>
      <c r="I257" s="236" t="s">
        <v>290</v>
      </c>
      <c r="J257" s="315"/>
      <c r="K257" s="326"/>
      <c r="L257" s="315"/>
      <c r="M257" s="315"/>
      <c r="N257" s="315"/>
      <c r="O257" s="315"/>
      <c r="P257" s="327" t="s">
        <v>32</v>
      </c>
      <c r="Q257" s="328" t="s">
        <v>35</v>
      </c>
      <c r="R257" s="273"/>
      <c r="S257" s="331">
        <v>46150</v>
      </c>
      <c r="T257" s="273">
        <v>46173</v>
      </c>
      <c r="U257" s="273"/>
      <c r="V257" s="273"/>
      <c r="W257" s="273"/>
      <c r="X257" s="273"/>
      <c r="Y257" s="273"/>
      <c r="Z257" s="273"/>
      <c r="AA257" s="273"/>
      <c r="AB257" s="273"/>
      <c r="AC257" s="273"/>
      <c r="AD257" s="273"/>
      <c r="AE257" s="273"/>
      <c r="AF257" s="273"/>
      <c r="AG257" s="273"/>
      <c r="AH257" s="273"/>
      <c r="AI257" s="273"/>
      <c r="AJ257" s="273"/>
      <c r="AK257" s="273"/>
      <c r="AL257" s="273"/>
      <c r="AM257" s="273"/>
      <c r="AN257" s="329"/>
      <c r="AO257" s="330"/>
      <c r="AP257" s="331"/>
      <c r="AQ257" s="331"/>
      <c r="AR257" s="332"/>
      <c r="AS257" s="333"/>
      <c r="AT257" s="503"/>
      <c r="AU257" s="38"/>
      <c r="AV257" s="39"/>
      <c r="AW257" s="39"/>
      <c r="AX257" s="39"/>
      <c r="AY257" s="39"/>
      <c r="AZ257" s="39"/>
      <c r="BA257" s="39"/>
      <c r="BB257" s="39"/>
      <c r="BC257" s="39"/>
      <c r="BD257" s="39"/>
      <c r="BE257" s="405"/>
      <c r="BF257" s="415"/>
      <c r="BG257" s="407"/>
      <c r="BH257" s="407"/>
    </row>
    <row r="258" spans="1:60" s="3" customFormat="1" ht="14.25" thickTop="1" thickBot="1" x14ac:dyDescent="0.45">
      <c r="A258" s="495">
        <f>A252+1</f>
        <v>73</v>
      </c>
      <c r="B258" s="91" t="s">
        <v>269</v>
      </c>
      <c r="C258" s="13" t="s">
        <v>147</v>
      </c>
      <c r="D258" s="203" t="s">
        <v>948</v>
      </c>
      <c r="E258" s="240" t="s">
        <v>140</v>
      </c>
      <c r="F258" s="241" t="s">
        <v>100</v>
      </c>
      <c r="G258" s="234" t="s">
        <v>51</v>
      </c>
      <c r="H258" s="234" t="s">
        <v>3</v>
      </c>
      <c r="I258" s="13" t="s">
        <v>292</v>
      </c>
      <c r="J258" s="149"/>
      <c r="K258" s="232"/>
      <c r="L258" s="41"/>
      <c r="M258" s="41"/>
      <c r="N258" s="41"/>
      <c r="O258" s="41"/>
      <c r="P258" s="174" t="s">
        <v>69</v>
      </c>
      <c r="Q258" s="17" t="s">
        <v>33</v>
      </c>
      <c r="R258" s="18">
        <v>46262</v>
      </c>
      <c r="S258" s="18">
        <v>46251</v>
      </c>
      <c r="T258" s="18">
        <v>46265</v>
      </c>
      <c r="U258" s="18">
        <v>46265</v>
      </c>
      <c r="V258" s="18">
        <v>46265</v>
      </c>
      <c r="W258" s="18">
        <v>46272</v>
      </c>
      <c r="X258" s="18">
        <v>46281</v>
      </c>
      <c r="Y258" s="18">
        <v>46295</v>
      </c>
      <c r="Z258" s="18"/>
      <c r="AA258" s="18">
        <v>46309</v>
      </c>
      <c r="AB258" s="18">
        <v>46311</v>
      </c>
      <c r="AC258" s="18">
        <v>46318</v>
      </c>
      <c r="AD258" s="18">
        <v>46332</v>
      </c>
      <c r="AE258" s="18">
        <v>46346</v>
      </c>
      <c r="AF258" s="18">
        <v>46356</v>
      </c>
      <c r="AG258" s="18">
        <v>46356</v>
      </c>
      <c r="AH258" s="18">
        <v>46358</v>
      </c>
      <c r="AI258" s="18">
        <v>46391</v>
      </c>
      <c r="AJ258" s="18">
        <v>46398</v>
      </c>
      <c r="AK258" s="18">
        <v>46403</v>
      </c>
      <c r="AL258" s="18">
        <v>46406</v>
      </c>
      <c r="AM258" s="18">
        <v>46433</v>
      </c>
      <c r="AN258" s="57">
        <v>13.428571428571429</v>
      </c>
      <c r="AO258" s="58">
        <v>94</v>
      </c>
      <c r="AP258" s="77">
        <v>46403</v>
      </c>
      <c r="AQ258" s="77">
        <v>46524</v>
      </c>
      <c r="AR258" s="19">
        <f>AQ258-AP259</f>
        <v>106</v>
      </c>
      <c r="AS258" s="142"/>
      <c r="AT258" s="501" t="s">
        <v>1045</v>
      </c>
      <c r="AU258" s="20">
        <f>IF(ISERROR(LOOKUP(AU$10,$R258:$AT258,#REF!)),0,(LOOKUP(AU$10,$R258:$AT258,#REF!)))</f>
        <v>0</v>
      </c>
      <c r="AV258" s="21">
        <f>IF(ISERROR(LOOKUP(AV$10,$R258:$AT258,#REF!)),0,(LOOKUP(AV$10,$R258:$AT258,#REF!)))</f>
        <v>0</v>
      </c>
      <c r="AW258" s="21">
        <f>IF(ISERROR(LOOKUP(AW$10,$R258:$AT258,#REF!)),0,(LOOKUP(AW$10,$R258:$AT258,#REF!)))</f>
        <v>0</v>
      </c>
      <c r="AX258" s="21">
        <f>IF(ISERROR(LOOKUP(AX$10,$R258:$AT258,#REF!)),0,(LOOKUP(AX$10,$R258:$AT258,#REF!)))</f>
        <v>0</v>
      </c>
      <c r="AY258" s="21">
        <f>IF(ISERROR(LOOKUP(AY$10,$R258:$AT258,#REF!)),0,(LOOKUP(AY$10,$R258:$AT258,#REF!)))</f>
        <v>0</v>
      </c>
      <c r="AZ258" s="21">
        <f>IF(ISERROR(LOOKUP(AZ$10,$R258:$AT258,#REF!)),0,(LOOKUP(AZ$10,$R258:$AT258,#REF!)))</f>
        <v>0</v>
      </c>
      <c r="BA258" s="21">
        <f>IF(ISERROR(LOOKUP(BA$10,$R258:$AT258,#REF!)),0,(LOOKUP(BA$10,$R258:$AT258,#REF!)))</f>
        <v>0</v>
      </c>
      <c r="BB258" s="21">
        <f>IF(ISERROR(LOOKUP(BB$10,$R258:$AT258,#REF!)),0,(LOOKUP(BB$10,$R258:$AT258,#REF!)))</f>
        <v>0</v>
      </c>
      <c r="BC258" s="21">
        <f>IF(ISERROR(LOOKUP(BC$10,$R258:$AT258,#REF!)),0,(LOOKUP(BC$10,$R258:$AT258,#REF!)))</f>
        <v>0</v>
      </c>
      <c r="BD258" s="21">
        <f>IF(ISERROR(LOOKUP(BD$10,$R258:$AT258,#REF!)),0,(LOOKUP(BD$10,$R258:$AT258,#REF!)))</f>
        <v>0</v>
      </c>
      <c r="BE258" s="21">
        <f ca="1">IF(ISERROR(LOOKUP(BE$10,$R258:$AT258,#REF!)),0,(LOOKUP(BE$10,$R258:$AT258,#REF!)))</f>
        <v>0</v>
      </c>
      <c r="BF258" s="415"/>
      <c r="BG258" s="407"/>
      <c r="BH258" s="407"/>
    </row>
    <row r="259" spans="1:60" s="3" customFormat="1" ht="14.25" thickTop="1" thickBot="1" x14ac:dyDescent="0.45">
      <c r="A259" s="496"/>
      <c r="B259" s="92" t="s">
        <v>269</v>
      </c>
      <c r="C259" s="40" t="s">
        <v>147</v>
      </c>
      <c r="D259" s="23" t="s">
        <v>139</v>
      </c>
      <c r="E259" s="242" t="s">
        <v>140</v>
      </c>
      <c r="F259" s="243" t="s">
        <v>100</v>
      </c>
      <c r="G259" s="244" t="s">
        <v>51</v>
      </c>
      <c r="H259" s="235" t="s">
        <v>3</v>
      </c>
      <c r="I259" s="40" t="s">
        <v>292</v>
      </c>
      <c r="J259" s="42"/>
      <c r="K259" s="194"/>
      <c r="L259" s="42"/>
      <c r="M259" s="42"/>
      <c r="N259" s="42"/>
      <c r="O259" s="42"/>
      <c r="P259" s="175" t="s">
        <v>69</v>
      </c>
      <c r="Q259" s="25" t="s">
        <v>34</v>
      </c>
      <c r="R259" s="26">
        <v>46283</v>
      </c>
      <c r="S259" s="27">
        <f>S258</f>
        <v>46251</v>
      </c>
      <c r="T259" s="27">
        <f>R259</f>
        <v>46283</v>
      </c>
      <c r="U259" s="27">
        <f>WORKDAY(T259, U9, IF(U12="China",'China Holidays'!$A$2:$A$84,'Thai Holidays'!$A$2:$A$65))</f>
        <v>46283</v>
      </c>
      <c r="V259" s="27">
        <f>WORKDAY(U259, V9, IF(V12="China",'China Holidays'!$A$2:$A$84,'Thai Holidays'!$A$2:$A$65))</f>
        <v>46283</v>
      </c>
      <c r="W259" s="27">
        <f>WORKDAY(V259, W9, IF(W12="China",'China Holidays'!$A$2:$A$84,'Thai Holidays'!$A$2:$A$65))</f>
        <v>46293</v>
      </c>
      <c r="X259" s="27">
        <f>WORKDAY(W259, X9, IF(X12="China",'China Holidays'!$A$2:$A$84,'Thai Holidays'!$A$2:$A$65))</f>
        <v>46302</v>
      </c>
      <c r="Y259" s="27">
        <f>WORKDAY(X259, Y9, IF(Y12="China",'China Holidays'!$A$2:$A$84,'Thai Holidays'!$A$2:$A$65))</f>
        <v>46317</v>
      </c>
      <c r="Z259" s="27"/>
      <c r="AA259" s="27">
        <f>WORKDAY(Y259, AA9, IF(AA12="China",'China Holidays'!$A$2:$A$84,'Thai Holidays'!$A$2:$A$65))</f>
        <v>46324</v>
      </c>
      <c r="AB259" s="27">
        <f>WORKDAY(AA259, AB9, IF(AB12="China",'China Holidays'!$A$2:$A$84,'Thai Holidays'!$A$2:$A$65))</f>
        <v>46328</v>
      </c>
      <c r="AC259" s="27">
        <f>WORKDAY(AB259, AC9, IF(AC12="China",'China Holidays'!$A$2:$A$84,'Thai Holidays'!$A$2:$A$65))</f>
        <v>46335</v>
      </c>
      <c r="AD259" s="27">
        <f>WORKDAY(AC259, AD9, IF(AD12="China",'China Holidays'!$A$2:$A$84,'Thai Holidays'!$A$2:$A$65))</f>
        <v>46349</v>
      </c>
      <c r="AE259" s="27">
        <f>WORKDAY(AD259, AE9, IF(AE12="China",'China Holidays'!$A$2:$A$84,'Thai Holidays'!$A$2:$A$65))</f>
        <v>46364</v>
      </c>
      <c r="AF259" s="27">
        <f>AE259+10</f>
        <v>46374</v>
      </c>
      <c r="AG259" s="27">
        <f>AF259</f>
        <v>46374</v>
      </c>
      <c r="AH259" s="27">
        <f>AG259+2</f>
        <v>46376</v>
      </c>
      <c r="AI259" s="27">
        <f>AJ259-7</f>
        <v>46391</v>
      </c>
      <c r="AJ259" s="27">
        <f>AK259-5</f>
        <v>46398</v>
      </c>
      <c r="AK259" s="27">
        <f>AP258</f>
        <v>46403</v>
      </c>
      <c r="AL259" s="27">
        <f>AP258+3</f>
        <v>46406</v>
      </c>
      <c r="AM259" s="27">
        <f>AP258+30</f>
        <v>46433</v>
      </c>
      <c r="AN259" s="80"/>
      <c r="AO259" s="78"/>
      <c r="AP259" s="82">
        <f>AA259+AO258</f>
        <v>46418</v>
      </c>
      <c r="AQ259" s="82"/>
      <c r="AR259" s="28"/>
      <c r="AS259" s="140"/>
      <c r="AT259" s="502"/>
      <c r="AU259" s="20">
        <f>IF(ISERROR(LOOKUP(AU$10,$R259:$AT259,#REF!)),0,(LOOKUP(AU$10,$R259:$AT259,#REF!)))</f>
        <v>0</v>
      </c>
      <c r="AV259" s="21">
        <f>IF(ISERROR(LOOKUP(AV$10,$R259:$AT259,#REF!)),0,(LOOKUP(AV$10,$R259:$AT259,#REF!)))</f>
        <v>0</v>
      </c>
      <c r="AW259" s="21">
        <f>IF(ISERROR(LOOKUP(AW$10,$R259:$AT259,#REF!)),0,(LOOKUP(AW$10,$R259:$AT259,#REF!)))</f>
        <v>0</v>
      </c>
      <c r="AX259" s="21">
        <f>IF(ISERROR(LOOKUP(AX$10,$R259:$AT259,#REF!)),0,(LOOKUP(AX$10,$R259:$AT259,#REF!)))</f>
        <v>0</v>
      </c>
      <c r="AY259" s="21">
        <f>IF(ISERROR(LOOKUP(AY$10,$R259:$AT259,#REF!)),0,(LOOKUP(AY$10,$R259:$AT259,#REF!)))</f>
        <v>0</v>
      </c>
      <c r="AZ259" s="21">
        <f>IF(ISERROR(LOOKUP(AZ$10,$R259:$AT259,#REF!)),0,(LOOKUP(AZ$10,$R259:$AT259,#REF!)))</f>
        <v>0</v>
      </c>
      <c r="BA259" s="21">
        <f>IF(ISERROR(LOOKUP(BA$10,$R259:$AT259,#REF!)),0,(LOOKUP(BA$10,$R259:$AT259,#REF!)))</f>
        <v>0</v>
      </c>
      <c r="BB259" s="21">
        <f>IF(ISERROR(LOOKUP(BB$10,$R259:$AT259,#REF!)),0,(LOOKUP(BB$10,$R259:$AT259,#REF!)))</f>
        <v>0</v>
      </c>
      <c r="BC259" s="21">
        <f>IF(ISERROR(LOOKUP(BC$10,$R259:$AT259,#REF!)),0,(LOOKUP(BC$10,$R259:$AT259,#REF!)))</f>
        <v>0</v>
      </c>
      <c r="BD259" s="21">
        <f>IF(ISERROR(LOOKUP(BD$10,$R259:$AT259,#REF!)),0,(LOOKUP(BD$10,$R259:$AT259,#REF!)))</f>
        <v>0</v>
      </c>
      <c r="BE259" s="21">
        <f ca="1">IF(ISERROR(LOOKUP(BE$10,$R259:$AT259,#REF!)),0,(LOOKUP(BE$10,$R259:$AT259,#REF!)))</f>
        <v>0</v>
      </c>
      <c r="BF259" s="415"/>
      <c r="BG259" s="407"/>
      <c r="BH259" s="407"/>
    </row>
    <row r="260" spans="1:60" s="3" customFormat="1" ht="14.25" thickTop="1" thickBot="1" x14ac:dyDescent="0.45">
      <c r="A260" s="497"/>
      <c r="B260" s="93" t="s">
        <v>269</v>
      </c>
      <c r="C260" s="31" t="s">
        <v>147</v>
      </c>
      <c r="D260" s="44" t="s">
        <v>139</v>
      </c>
      <c r="E260" s="245" t="s">
        <v>140</v>
      </c>
      <c r="F260" s="246" t="s">
        <v>100</v>
      </c>
      <c r="G260" s="236" t="s">
        <v>51</v>
      </c>
      <c r="H260" s="236" t="s">
        <v>3</v>
      </c>
      <c r="I260" s="31" t="s">
        <v>292</v>
      </c>
      <c r="J260" s="44"/>
      <c r="K260" s="195"/>
      <c r="L260" s="44"/>
      <c r="M260" s="44"/>
      <c r="N260" s="44"/>
      <c r="O260" s="44"/>
      <c r="P260" s="176" t="s">
        <v>69</v>
      </c>
      <c r="Q260" s="34" t="s">
        <v>35</v>
      </c>
      <c r="R260" s="35"/>
      <c r="S260" s="35"/>
      <c r="T260" s="35"/>
      <c r="U260" s="35">
        <v>46283</v>
      </c>
      <c r="V260" s="35">
        <v>46283</v>
      </c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81"/>
      <c r="AO260" s="79"/>
      <c r="AP260" s="36"/>
      <c r="AQ260" s="36"/>
      <c r="AR260" s="37"/>
      <c r="AS260" s="141"/>
      <c r="AT260" s="503"/>
      <c r="AU260" s="38">
        <f>IF(ISERROR(LOOKUP(AU$10,$R260:$AT260,#REF!)),0,(LOOKUP(AU$10,$R260:$AT260,#REF!)))</f>
        <v>0</v>
      </c>
      <c r="AV260" s="39">
        <f>IF(ISERROR(LOOKUP(AV$10,$R260:$AT260,#REF!)),0,(LOOKUP(AV$10,$R260:$AT260,#REF!)))</f>
        <v>0</v>
      </c>
      <c r="AW260" s="39">
        <f>IF(ISERROR(LOOKUP(AW$10,$R260:$AT260,#REF!)),0,(LOOKUP(AW$10,$R260:$AT260,#REF!)))</f>
        <v>0</v>
      </c>
      <c r="AX260" s="39">
        <f>IF(ISERROR(LOOKUP(AX$10,$R260:$AT260,#REF!)),0,(LOOKUP(AX$10,$R260:$AT260,#REF!)))</f>
        <v>0</v>
      </c>
      <c r="AY260" s="39">
        <f>IF(ISERROR(LOOKUP(AY$10,$R260:$AT260,#REF!)),0,(LOOKUP(AY$10,$R260:$AT260,#REF!)))</f>
        <v>0</v>
      </c>
      <c r="AZ260" s="39">
        <f>IF(ISERROR(LOOKUP(AZ$10,$R260:$AT260,#REF!)),0,(LOOKUP(AZ$10,$R260:$AT260,#REF!)))</f>
        <v>0</v>
      </c>
      <c r="BA260" s="39">
        <f>IF(ISERROR(LOOKUP(BA$10,$R260:$AT260,#REF!)),0,(LOOKUP(BA$10,$R260:$AT260,#REF!)))</f>
        <v>0</v>
      </c>
      <c r="BB260" s="39">
        <f>IF(ISERROR(LOOKUP(BB$10,$R260:$AT260,#REF!)),0,(LOOKUP(BB$10,$R260:$AT260,#REF!)))</f>
        <v>0</v>
      </c>
      <c r="BC260" s="39">
        <f>IF(ISERROR(LOOKUP(BC$10,$R260:$AT260,#REF!)),0,(LOOKUP(BC$10,$R260:$AT260,#REF!)))</f>
        <v>0</v>
      </c>
      <c r="BD260" s="39">
        <f>IF(ISERROR(LOOKUP(BD$10,$R260:$AT260,#REF!)),0,(LOOKUP(BD$10,$R260:$AT260,#REF!)))</f>
        <v>0</v>
      </c>
      <c r="BE260" s="39">
        <f ca="1">IF(ISERROR(LOOKUP(BE$10,$R260:$AT260,#REF!)),0,(LOOKUP(BE$10,$R260:$AT260,#REF!)))</f>
        <v>0</v>
      </c>
      <c r="BF260" s="415"/>
      <c r="BG260" s="407"/>
      <c r="BH260" s="407"/>
    </row>
    <row r="261" spans="1:60" s="3" customFormat="1" ht="14.25" thickTop="1" thickBot="1" x14ac:dyDescent="0.45">
      <c r="A261" s="495"/>
      <c r="B261" s="91" t="s">
        <v>269</v>
      </c>
      <c r="C261" s="234" t="s">
        <v>148</v>
      </c>
      <c r="D261" s="314" t="s">
        <v>142</v>
      </c>
      <c r="E261" s="240" t="s">
        <v>140</v>
      </c>
      <c r="F261" s="241" t="s">
        <v>100</v>
      </c>
      <c r="G261" s="234" t="s">
        <v>51</v>
      </c>
      <c r="H261" s="234" t="s">
        <v>3</v>
      </c>
      <c r="I261" s="13" t="s">
        <v>292</v>
      </c>
      <c r="J261" s="149" t="s">
        <v>560</v>
      </c>
      <c r="K261" s="232"/>
      <c r="L261" s="41"/>
      <c r="M261" s="41"/>
      <c r="N261" s="41"/>
      <c r="O261" s="41"/>
      <c r="P261" s="317" t="s">
        <v>69</v>
      </c>
      <c r="Q261" s="263" t="s">
        <v>33</v>
      </c>
      <c r="R261" s="264">
        <v>46262</v>
      </c>
      <c r="S261" s="264">
        <v>46251</v>
      </c>
      <c r="T261" s="264">
        <v>46265</v>
      </c>
      <c r="U261" s="264">
        <v>46265</v>
      </c>
      <c r="V261" s="264">
        <v>46265</v>
      </c>
      <c r="W261" s="264">
        <v>46272</v>
      </c>
      <c r="X261" s="264">
        <v>46281</v>
      </c>
      <c r="Y261" s="264">
        <v>46295</v>
      </c>
      <c r="Z261" s="264"/>
      <c r="AA261" s="264">
        <v>46309</v>
      </c>
      <c r="AB261" s="264">
        <v>46311</v>
      </c>
      <c r="AC261" s="264">
        <v>46318</v>
      </c>
      <c r="AD261" s="264">
        <v>46332</v>
      </c>
      <c r="AE261" s="264">
        <v>46346</v>
      </c>
      <c r="AF261" s="264">
        <v>46356</v>
      </c>
      <c r="AG261" s="264">
        <v>46356</v>
      </c>
      <c r="AH261" s="264">
        <v>46358</v>
      </c>
      <c r="AI261" s="264">
        <v>46391</v>
      </c>
      <c r="AJ261" s="264">
        <v>46398</v>
      </c>
      <c r="AK261" s="264">
        <v>46403</v>
      </c>
      <c r="AL261" s="264">
        <v>46406</v>
      </c>
      <c r="AM261" s="264">
        <v>46433</v>
      </c>
      <c r="AN261" s="268">
        <v>13.428571428571429</v>
      </c>
      <c r="AO261" s="269">
        <v>94</v>
      </c>
      <c r="AP261" s="270">
        <v>46403</v>
      </c>
      <c r="AQ261" s="270"/>
      <c r="AR261" s="318"/>
      <c r="AS261" s="142"/>
      <c r="AT261" s="501"/>
      <c r="AU261" s="20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415"/>
      <c r="BG261" s="407"/>
      <c r="BH261" s="407"/>
    </row>
    <row r="262" spans="1:60" s="3" customFormat="1" ht="14.25" thickTop="1" thickBot="1" x14ac:dyDescent="0.45">
      <c r="A262" s="496"/>
      <c r="B262" s="92" t="s">
        <v>269</v>
      </c>
      <c r="C262" s="235" t="s">
        <v>148</v>
      </c>
      <c r="D262" s="242" t="s">
        <v>142</v>
      </c>
      <c r="E262" s="242" t="s">
        <v>140</v>
      </c>
      <c r="F262" s="243" t="s">
        <v>100</v>
      </c>
      <c r="G262" s="244" t="s">
        <v>51</v>
      </c>
      <c r="H262" s="235" t="s">
        <v>3</v>
      </c>
      <c r="I262" s="40" t="s">
        <v>292</v>
      </c>
      <c r="J262" s="42"/>
      <c r="K262" s="194"/>
      <c r="L262" s="42"/>
      <c r="M262" s="42"/>
      <c r="N262" s="42"/>
      <c r="O262" s="42"/>
      <c r="P262" s="321" t="s">
        <v>69</v>
      </c>
      <c r="Q262" s="265" t="s">
        <v>34</v>
      </c>
      <c r="R262" s="266">
        <f>R261</f>
        <v>46262</v>
      </c>
      <c r="S262" s="267">
        <f>S261</f>
        <v>46251</v>
      </c>
      <c r="T262" s="267">
        <f>WORKDAY(S262, T9, IF(T12="China",'China Holidays'!$A$2:$A$84,'Thai Holidays'!$A$2:$A$65))</f>
        <v>46265</v>
      </c>
      <c r="U262" s="267">
        <f>WORKDAY(T262, U9, IF(U12="China",'China Holidays'!$A$2:$A$84,'Thai Holidays'!$A$2:$A$65))</f>
        <v>46265</v>
      </c>
      <c r="V262" s="267">
        <f>WORKDAY(U262, V9, IF(V12="China",'China Holidays'!$A$2:$A$84,'Thai Holidays'!$A$2:$A$65))</f>
        <v>46265</v>
      </c>
      <c r="W262" s="267">
        <f>WORKDAY(V262, W9, IF(W12="China",'China Holidays'!$A$2:$A$84,'Thai Holidays'!$A$2:$A$65))</f>
        <v>46272</v>
      </c>
      <c r="X262" s="267">
        <f>WORKDAY(W262, X9, IF(X12="China",'China Holidays'!$A$2:$A$84,'Thai Holidays'!$A$2:$A$65))</f>
        <v>46281</v>
      </c>
      <c r="Y262" s="267">
        <f>WORKDAY(X262, Y9, IF(Y12="China",'China Holidays'!$A$2:$A$84,'Thai Holidays'!$A$2:$A$65))</f>
        <v>46295</v>
      </c>
      <c r="Z262" s="267"/>
      <c r="AA262" s="267">
        <f>WORKDAY(Y262, AA9, IF(AA12="China",'China Holidays'!$A$2:$A$84,'Thai Holidays'!$A$2:$A$65))</f>
        <v>46309</v>
      </c>
      <c r="AB262" s="267">
        <f>WORKDAY(AA262, AB9, IF(AB12="China",'China Holidays'!$A$2:$A$84,'Thai Holidays'!$A$2:$A$65))</f>
        <v>46311</v>
      </c>
      <c r="AC262" s="267">
        <f>WORKDAY(AB262, AC9, IF(AC12="China",'China Holidays'!$A$2:$A$84,'Thai Holidays'!$A$2:$A$65))</f>
        <v>46318</v>
      </c>
      <c r="AD262" s="267">
        <f>WORKDAY(AC262, AD9, IF(AD12="China",'China Holidays'!$A$2:$A$84,'Thai Holidays'!$A$2:$A$65))</f>
        <v>46332</v>
      </c>
      <c r="AE262" s="267">
        <f>WORKDAY(AD262, AE9, IF(AE12="China",'China Holidays'!$A$2:$A$84,'Thai Holidays'!$A$2:$A$65))</f>
        <v>46346</v>
      </c>
      <c r="AF262" s="267">
        <f>AE262+10</f>
        <v>46356</v>
      </c>
      <c r="AG262" s="267">
        <f>AF262</f>
        <v>46356</v>
      </c>
      <c r="AH262" s="267">
        <f>AG262+2</f>
        <v>46358</v>
      </c>
      <c r="AI262" s="267">
        <f>AJ262-7</f>
        <v>46391</v>
      </c>
      <c r="AJ262" s="267">
        <f>AK262-5</f>
        <v>46398</v>
      </c>
      <c r="AK262" s="267">
        <f>AP261</f>
        <v>46403</v>
      </c>
      <c r="AL262" s="267">
        <f>AP261+3</f>
        <v>46406</v>
      </c>
      <c r="AM262" s="267">
        <f>AP261+30</f>
        <v>46433</v>
      </c>
      <c r="AN262" s="322"/>
      <c r="AO262" s="323"/>
      <c r="AP262" s="272">
        <f>AA262+AO261</f>
        <v>46403</v>
      </c>
      <c r="AQ262" s="272"/>
      <c r="AR262" s="324"/>
      <c r="AS262" s="140"/>
      <c r="AT262" s="502"/>
      <c r="AU262" s="20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415"/>
      <c r="BG262" s="407"/>
      <c r="BH262" s="407"/>
    </row>
    <row r="263" spans="1:60" s="3" customFormat="1" ht="14.25" thickTop="1" thickBot="1" x14ac:dyDescent="0.45">
      <c r="A263" s="497"/>
      <c r="B263" s="93" t="s">
        <v>269</v>
      </c>
      <c r="C263" s="236" t="s">
        <v>148</v>
      </c>
      <c r="D263" s="315" t="s">
        <v>142</v>
      </c>
      <c r="E263" s="245" t="s">
        <v>140</v>
      </c>
      <c r="F263" s="246" t="s">
        <v>100</v>
      </c>
      <c r="G263" s="236" t="s">
        <v>51</v>
      </c>
      <c r="H263" s="236" t="s">
        <v>3</v>
      </c>
      <c r="I263" s="31" t="s">
        <v>292</v>
      </c>
      <c r="J263" s="43"/>
      <c r="K263" s="218"/>
      <c r="L263" s="43"/>
      <c r="M263" s="43"/>
      <c r="N263" s="43"/>
      <c r="O263" s="43"/>
      <c r="P263" s="327" t="s">
        <v>69</v>
      </c>
      <c r="Q263" s="328" t="s">
        <v>35</v>
      </c>
      <c r="R263" s="273"/>
      <c r="S263" s="273"/>
      <c r="T263" s="273"/>
      <c r="U263" s="273"/>
      <c r="V263" s="273"/>
      <c r="W263" s="273"/>
      <c r="X263" s="273"/>
      <c r="Y263" s="273"/>
      <c r="Z263" s="273"/>
      <c r="AA263" s="273"/>
      <c r="AB263" s="273"/>
      <c r="AC263" s="273"/>
      <c r="AD263" s="273"/>
      <c r="AE263" s="273"/>
      <c r="AF263" s="273"/>
      <c r="AG263" s="273"/>
      <c r="AH263" s="273"/>
      <c r="AI263" s="273"/>
      <c r="AJ263" s="273"/>
      <c r="AK263" s="273"/>
      <c r="AL263" s="273"/>
      <c r="AM263" s="273"/>
      <c r="AN263" s="329"/>
      <c r="AO263" s="330"/>
      <c r="AP263" s="331"/>
      <c r="AQ263" s="331"/>
      <c r="AR263" s="332"/>
      <c r="AS263" s="141"/>
      <c r="AT263" s="503"/>
      <c r="AU263" s="38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415"/>
      <c r="BG263" s="407"/>
      <c r="BH263" s="407"/>
    </row>
    <row r="264" spans="1:60" s="3" customFormat="1" ht="14.25" thickTop="1" thickBot="1" x14ac:dyDescent="0.45">
      <c r="A264" s="495"/>
      <c r="B264" s="91" t="s">
        <v>269</v>
      </c>
      <c r="C264" s="234" t="s">
        <v>274</v>
      </c>
      <c r="D264" s="314" t="s">
        <v>146</v>
      </c>
      <c r="E264" s="63" t="s">
        <v>140</v>
      </c>
      <c r="F264" s="15" t="s">
        <v>100</v>
      </c>
      <c r="G264" s="13" t="s">
        <v>51</v>
      </c>
      <c r="H264" s="13" t="s">
        <v>3</v>
      </c>
      <c r="I264" s="13" t="s">
        <v>292</v>
      </c>
      <c r="J264" s="149" t="s">
        <v>565</v>
      </c>
      <c r="K264" s="232"/>
      <c r="L264" s="41"/>
      <c r="M264" s="41"/>
      <c r="N264" s="41"/>
      <c r="O264" s="41"/>
      <c r="P264" s="317" t="s">
        <v>69</v>
      </c>
      <c r="Q264" s="263" t="s">
        <v>33</v>
      </c>
      <c r="R264" s="264">
        <v>46262</v>
      </c>
      <c r="S264" s="264">
        <v>46251</v>
      </c>
      <c r="T264" s="264">
        <v>46265</v>
      </c>
      <c r="U264" s="264">
        <v>46265</v>
      </c>
      <c r="V264" s="264">
        <v>46265</v>
      </c>
      <c r="W264" s="264">
        <v>46272</v>
      </c>
      <c r="X264" s="264">
        <v>46281</v>
      </c>
      <c r="Y264" s="264">
        <v>46295</v>
      </c>
      <c r="Z264" s="264"/>
      <c r="AA264" s="264">
        <v>46309</v>
      </c>
      <c r="AB264" s="264">
        <v>46311</v>
      </c>
      <c r="AC264" s="264">
        <v>46318</v>
      </c>
      <c r="AD264" s="264">
        <v>46332</v>
      </c>
      <c r="AE264" s="264">
        <v>46346</v>
      </c>
      <c r="AF264" s="264">
        <v>46356</v>
      </c>
      <c r="AG264" s="264">
        <v>46356</v>
      </c>
      <c r="AH264" s="264">
        <v>46358</v>
      </c>
      <c r="AI264" s="264">
        <v>46391</v>
      </c>
      <c r="AJ264" s="264">
        <v>46398</v>
      </c>
      <c r="AK264" s="264">
        <v>46403</v>
      </c>
      <c r="AL264" s="264">
        <v>46406</v>
      </c>
      <c r="AM264" s="264">
        <v>46433</v>
      </c>
      <c r="AN264" s="268">
        <v>13.428571428571429</v>
      </c>
      <c r="AO264" s="269">
        <v>94</v>
      </c>
      <c r="AP264" s="270">
        <v>46403</v>
      </c>
      <c r="AQ264" s="270"/>
      <c r="AR264" s="318"/>
      <c r="AS264" s="142"/>
      <c r="AT264" s="501"/>
      <c r="AU264" s="20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415"/>
      <c r="BG264" s="407"/>
      <c r="BH264" s="407"/>
    </row>
    <row r="265" spans="1:60" s="3" customFormat="1" ht="14.25" thickTop="1" thickBot="1" x14ac:dyDescent="0.45">
      <c r="A265" s="496"/>
      <c r="B265" s="92" t="s">
        <v>269</v>
      </c>
      <c r="C265" s="235" t="s">
        <v>274</v>
      </c>
      <c r="D265" s="242" t="s">
        <v>146</v>
      </c>
      <c r="E265" s="42" t="s">
        <v>140</v>
      </c>
      <c r="F265" s="45" t="s">
        <v>100</v>
      </c>
      <c r="G265" s="22" t="s">
        <v>51</v>
      </c>
      <c r="H265" s="40" t="s">
        <v>3</v>
      </c>
      <c r="I265" s="40" t="s">
        <v>292</v>
      </c>
      <c r="J265" s="42"/>
      <c r="K265" s="194"/>
      <c r="L265" s="42"/>
      <c r="M265" s="42"/>
      <c r="N265" s="42"/>
      <c r="O265" s="42"/>
      <c r="P265" s="321" t="s">
        <v>69</v>
      </c>
      <c r="Q265" s="265" t="s">
        <v>34</v>
      </c>
      <c r="R265" s="266">
        <f>R264</f>
        <v>46262</v>
      </c>
      <c r="S265" s="267">
        <f>S264</f>
        <v>46251</v>
      </c>
      <c r="T265" s="267">
        <f>WORKDAY(S265, T9, IF(T12="China",'China Holidays'!$A$2:$A$84,'Thai Holidays'!$A$2:$A$65))</f>
        <v>46265</v>
      </c>
      <c r="U265" s="267">
        <f>WORKDAY(T265, U9, IF(U12="China",'China Holidays'!$A$2:$A$84,'Thai Holidays'!$A$2:$A$65))</f>
        <v>46265</v>
      </c>
      <c r="V265" s="267">
        <f>WORKDAY(U265, V9, IF(V12="China",'China Holidays'!$A$2:$A$84,'Thai Holidays'!$A$2:$A$65))</f>
        <v>46265</v>
      </c>
      <c r="W265" s="267">
        <f>WORKDAY(V265, W9, IF(W12="China",'China Holidays'!$A$2:$A$84,'Thai Holidays'!$A$2:$A$65))</f>
        <v>46272</v>
      </c>
      <c r="X265" s="267">
        <f>WORKDAY(W265, X9, IF(X12="China",'China Holidays'!$A$2:$A$84,'Thai Holidays'!$A$2:$A$65))</f>
        <v>46281</v>
      </c>
      <c r="Y265" s="267">
        <f>WORKDAY(X265, Y9, IF(Y12="China",'China Holidays'!$A$2:$A$84,'Thai Holidays'!$A$2:$A$65))</f>
        <v>46295</v>
      </c>
      <c r="Z265" s="267"/>
      <c r="AA265" s="267">
        <f>WORKDAY(Y265, AA9, IF(AA12="China",'China Holidays'!$A$2:$A$84,'Thai Holidays'!$A$2:$A$65))</f>
        <v>46309</v>
      </c>
      <c r="AB265" s="267">
        <f>WORKDAY(AA265, AB9, IF(AB12="China",'China Holidays'!$A$2:$A$84,'Thai Holidays'!$A$2:$A$65))</f>
        <v>46311</v>
      </c>
      <c r="AC265" s="267">
        <f>WORKDAY(AB265, AC9, IF(AC12="China",'China Holidays'!$A$2:$A$84,'Thai Holidays'!$A$2:$A$65))</f>
        <v>46318</v>
      </c>
      <c r="AD265" s="267">
        <f>WORKDAY(AC265, AD9, IF(AD12="China",'China Holidays'!$A$2:$A$84,'Thai Holidays'!$A$2:$A$65))</f>
        <v>46332</v>
      </c>
      <c r="AE265" s="267">
        <f>WORKDAY(AD265, AE9, IF(AE12="China",'China Holidays'!$A$2:$A$84,'Thai Holidays'!$A$2:$A$65))</f>
        <v>46346</v>
      </c>
      <c r="AF265" s="267">
        <f>AE265+10</f>
        <v>46356</v>
      </c>
      <c r="AG265" s="267">
        <f>AF265</f>
        <v>46356</v>
      </c>
      <c r="AH265" s="267">
        <f>AG265+2</f>
        <v>46358</v>
      </c>
      <c r="AI265" s="267">
        <f>AJ265-7</f>
        <v>46391</v>
      </c>
      <c r="AJ265" s="267">
        <f>AK265-5</f>
        <v>46398</v>
      </c>
      <c r="AK265" s="267">
        <f>AP264</f>
        <v>46403</v>
      </c>
      <c r="AL265" s="267">
        <f>AP264+3</f>
        <v>46406</v>
      </c>
      <c r="AM265" s="267">
        <f>AP264+30</f>
        <v>46433</v>
      </c>
      <c r="AN265" s="322"/>
      <c r="AO265" s="323"/>
      <c r="AP265" s="272">
        <f>AA265+AO264</f>
        <v>46403</v>
      </c>
      <c r="AQ265" s="272"/>
      <c r="AR265" s="324"/>
      <c r="AS265" s="140"/>
      <c r="AT265" s="502"/>
      <c r="AU265" s="20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415"/>
      <c r="BG265" s="407"/>
      <c r="BH265" s="407"/>
    </row>
    <row r="266" spans="1:60" s="3" customFormat="1" ht="14.25" thickTop="1" thickBot="1" x14ac:dyDescent="0.45">
      <c r="A266" s="497"/>
      <c r="B266" s="93" t="s">
        <v>269</v>
      </c>
      <c r="C266" s="236" t="s">
        <v>274</v>
      </c>
      <c r="D266" s="315" t="s">
        <v>146</v>
      </c>
      <c r="E266" s="44" t="s">
        <v>140</v>
      </c>
      <c r="F266" s="33" t="s">
        <v>100</v>
      </c>
      <c r="G266" s="31" t="s">
        <v>51</v>
      </c>
      <c r="H266" s="31" t="s">
        <v>3</v>
      </c>
      <c r="I266" s="31" t="s">
        <v>292</v>
      </c>
      <c r="J266" s="43"/>
      <c r="K266" s="218"/>
      <c r="L266" s="43"/>
      <c r="M266" s="43"/>
      <c r="N266" s="43"/>
      <c r="O266" s="43"/>
      <c r="P266" s="327" t="s">
        <v>69</v>
      </c>
      <c r="Q266" s="328" t="s">
        <v>35</v>
      </c>
      <c r="R266" s="273"/>
      <c r="S266" s="273"/>
      <c r="T266" s="273"/>
      <c r="U266" s="273"/>
      <c r="V266" s="273"/>
      <c r="W266" s="273"/>
      <c r="X266" s="273"/>
      <c r="Y266" s="273"/>
      <c r="Z266" s="273"/>
      <c r="AA266" s="273"/>
      <c r="AB266" s="273"/>
      <c r="AC266" s="273"/>
      <c r="AD266" s="273"/>
      <c r="AE266" s="273"/>
      <c r="AF266" s="273"/>
      <c r="AG266" s="273"/>
      <c r="AH266" s="273"/>
      <c r="AI266" s="273"/>
      <c r="AJ266" s="273"/>
      <c r="AK266" s="273"/>
      <c r="AL266" s="273"/>
      <c r="AM266" s="273"/>
      <c r="AN266" s="329"/>
      <c r="AO266" s="330"/>
      <c r="AP266" s="331"/>
      <c r="AQ266" s="331"/>
      <c r="AR266" s="332"/>
      <c r="AS266" s="141"/>
      <c r="AT266" s="503"/>
      <c r="AU266" s="38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415"/>
      <c r="BG266" s="407"/>
      <c r="BH266" s="407"/>
    </row>
    <row r="267" spans="1:60" s="3" customFormat="1" ht="35.65" thickTop="1" thickBot="1" x14ac:dyDescent="0.45">
      <c r="A267" s="507">
        <f>A258+1</f>
        <v>74</v>
      </c>
      <c r="B267" s="91" t="s">
        <v>269</v>
      </c>
      <c r="C267" s="13" t="s">
        <v>894</v>
      </c>
      <c r="D267" s="205" t="s">
        <v>561</v>
      </c>
      <c r="E267" s="63" t="s">
        <v>140</v>
      </c>
      <c r="F267" s="15" t="s">
        <v>100</v>
      </c>
      <c r="G267" s="13" t="s">
        <v>51</v>
      </c>
      <c r="H267" s="13" t="s">
        <v>1</v>
      </c>
      <c r="I267" s="13" t="s">
        <v>292</v>
      </c>
      <c r="J267" s="41"/>
      <c r="K267" s="193"/>
      <c r="L267" s="41"/>
      <c r="M267" s="41"/>
      <c r="N267" s="41"/>
      <c r="O267" s="41"/>
      <c r="P267" s="174" t="s">
        <v>69</v>
      </c>
      <c r="Q267" s="17" t="s">
        <v>33</v>
      </c>
      <c r="R267" s="18">
        <v>46272</v>
      </c>
      <c r="S267" s="18">
        <v>46270</v>
      </c>
      <c r="T267" s="18">
        <v>46283</v>
      </c>
      <c r="U267" s="206">
        <v>46283</v>
      </c>
      <c r="V267" s="18">
        <v>46283</v>
      </c>
      <c r="W267" s="18">
        <v>46293</v>
      </c>
      <c r="X267" s="18">
        <v>46302</v>
      </c>
      <c r="Y267" s="18">
        <v>46317</v>
      </c>
      <c r="Z267" s="18"/>
      <c r="AA267" s="18">
        <v>46324</v>
      </c>
      <c r="AB267" s="18">
        <v>46328</v>
      </c>
      <c r="AC267" s="18">
        <v>46335</v>
      </c>
      <c r="AD267" s="18">
        <v>46349</v>
      </c>
      <c r="AE267" s="18">
        <v>46364</v>
      </c>
      <c r="AF267" s="18">
        <v>46374</v>
      </c>
      <c r="AG267" s="18">
        <v>46374</v>
      </c>
      <c r="AH267" s="18">
        <v>46376</v>
      </c>
      <c r="AI267" s="18">
        <v>46452</v>
      </c>
      <c r="AJ267" s="18">
        <v>46459</v>
      </c>
      <c r="AK267" s="18">
        <v>46464</v>
      </c>
      <c r="AL267" s="18">
        <v>46467</v>
      </c>
      <c r="AM267" s="18">
        <v>46494</v>
      </c>
      <c r="AN267" s="57">
        <v>20</v>
      </c>
      <c r="AO267" s="58">
        <v>140</v>
      </c>
      <c r="AP267" s="77">
        <v>46464</v>
      </c>
      <c r="AQ267" s="77">
        <v>46542</v>
      </c>
      <c r="AR267" s="19">
        <f>AQ267-AP268</f>
        <v>64</v>
      </c>
      <c r="AS267" s="142"/>
      <c r="AT267" s="501" t="s">
        <v>1004</v>
      </c>
      <c r="AU267" s="20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415"/>
      <c r="BG267" s="407"/>
      <c r="BH267" s="407"/>
    </row>
    <row r="268" spans="1:60" s="3" customFormat="1" ht="35.65" thickTop="1" thickBot="1" x14ac:dyDescent="0.45">
      <c r="A268" s="508"/>
      <c r="B268" s="92" t="s">
        <v>269</v>
      </c>
      <c r="C268" s="40" t="s">
        <v>275</v>
      </c>
      <c r="D268" s="87" t="s">
        <v>561</v>
      </c>
      <c r="E268" s="42" t="s">
        <v>140</v>
      </c>
      <c r="F268" s="45" t="s">
        <v>100</v>
      </c>
      <c r="G268" s="22" t="s">
        <v>51</v>
      </c>
      <c r="H268" s="40" t="s">
        <v>1</v>
      </c>
      <c r="I268" s="40" t="s">
        <v>292</v>
      </c>
      <c r="J268" s="42"/>
      <c r="K268" s="194"/>
      <c r="L268" s="42"/>
      <c r="M268" s="42"/>
      <c r="N268" s="42"/>
      <c r="O268" s="42"/>
      <c r="P268" s="175" t="s">
        <v>69</v>
      </c>
      <c r="Q268" s="25" t="s">
        <v>34</v>
      </c>
      <c r="R268" s="26">
        <v>46289</v>
      </c>
      <c r="S268" s="27"/>
      <c r="T268" s="27"/>
      <c r="U268" s="27">
        <v>46289</v>
      </c>
      <c r="V268" s="27">
        <f>WORKDAY(U268, V9, IF(V12="China",'China Holidays'!$A$2:$A$84,'Thai Holidays'!$A$2:$A$65))</f>
        <v>46289</v>
      </c>
      <c r="W268" s="27">
        <f>WORKDAY(V268, W9, IF(W12="China",'China Holidays'!$A$2:$A$84,'Thai Holidays'!$A$2:$A$65))</f>
        <v>46304</v>
      </c>
      <c r="X268" s="27">
        <f>WORKDAY(W268, X9, IF(X12="China",'China Holidays'!$A$2:$A$84,'Thai Holidays'!$A$2:$A$65))</f>
        <v>46316</v>
      </c>
      <c r="Y268" s="27">
        <f>WORKDAY(X268, Y9, IF(Y12="China",'China Holidays'!$A$2:$A$84,'Thai Holidays'!$A$2:$A$65))</f>
        <v>46331</v>
      </c>
      <c r="Z268" s="27"/>
      <c r="AA268" s="27">
        <f>WORKDAY(Y268, AA9, IF(AA12="China",'China Holidays'!$A$2:$A$84,'Thai Holidays'!$A$2:$A$65))</f>
        <v>46338</v>
      </c>
      <c r="AB268" s="27">
        <f>WORKDAY(AA268, AB9, IF(AB12="China",'China Holidays'!$A$2:$A$84,'Thai Holidays'!$A$2:$A$65))</f>
        <v>46342</v>
      </c>
      <c r="AC268" s="27">
        <f>WORKDAY(AB268, AC9, IF(AC12="China",'China Holidays'!$A$2:$A$84,'Thai Holidays'!$A$2:$A$65))</f>
        <v>46349</v>
      </c>
      <c r="AD268" s="27">
        <f>WORKDAY(AC268, AD9, IF(AD12="China",'China Holidays'!$A$2:$A$84,'Thai Holidays'!$A$2:$A$65))</f>
        <v>46363</v>
      </c>
      <c r="AE268" s="27">
        <f>WORKDAY(AD268, AE9, IF(AE12="China",'China Holidays'!$A$2:$A$84,'Thai Holidays'!$A$2:$A$65))</f>
        <v>46377</v>
      </c>
      <c r="AF268" s="27">
        <f>AE268+10</f>
        <v>46387</v>
      </c>
      <c r="AG268" s="27">
        <f>AF268</f>
        <v>46387</v>
      </c>
      <c r="AH268" s="27">
        <f>AG268+2</f>
        <v>46389</v>
      </c>
      <c r="AI268" s="27">
        <f>AJ268-7</f>
        <v>46452</v>
      </c>
      <c r="AJ268" s="27">
        <f>AK268-5</f>
        <v>46459</v>
      </c>
      <c r="AK268" s="27">
        <f>AP267</f>
        <v>46464</v>
      </c>
      <c r="AL268" s="27">
        <f>AP267+3</f>
        <v>46467</v>
      </c>
      <c r="AM268" s="27">
        <f>AP267+30</f>
        <v>46494</v>
      </c>
      <c r="AN268" s="80"/>
      <c r="AO268" s="78"/>
      <c r="AP268" s="82">
        <f>AA268+AO267</f>
        <v>46478</v>
      </c>
      <c r="AQ268" s="82"/>
      <c r="AR268" s="28"/>
      <c r="AS268" s="140"/>
      <c r="AT268" s="502"/>
      <c r="AU268" s="20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415"/>
      <c r="BG268" s="407"/>
      <c r="BH268" s="407"/>
    </row>
    <row r="269" spans="1:60" s="3" customFormat="1" ht="35.65" thickTop="1" thickBot="1" x14ac:dyDescent="0.45">
      <c r="A269" s="509"/>
      <c r="B269" s="93" t="s">
        <v>269</v>
      </c>
      <c r="C269" s="31" t="s">
        <v>275</v>
      </c>
      <c r="D269" s="43" t="s">
        <v>561</v>
      </c>
      <c r="E269" s="44" t="s">
        <v>140</v>
      </c>
      <c r="F269" s="33" t="s">
        <v>100</v>
      </c>
      <c r="G269" s="31" t="s">
        <v>51</v>
      </c>
      <c r="H269" s="31" t="s">
        <v>1</v>
      </c>
      <c r="I269" s="31" t="s">
        <v>292</v>
      </c>
      <c r="J269" s="43"/>
      <c r="K269" s="218"/>
      <c r="L269" s="43"/>
      <c r="M269" s="43"/>
      <c r="N269" s="43"/>
      <c r="O269" s="43"/>
      <c r="P269" s="176" t="s">
        <v>69</v>
      </c>
      <c r="Q269" s="34" t="s">
        <v>35</v>
      </c>
      <c r="R269" s="35"/>
      <c r="S269" s="35">
        <v>46270</v>
      </c>
      <c r="T269" s="35">
        <v>46272</v>
      </c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81"/>
      <c r="AO269" s="79"/>
      <c r="AP269" s="36"/>
      <c r="AQ269" s="36"/>
      <c r="AR269" s="37"/>
      <c r="AS269" s="141"/>
      <c r="AT269" s="503"/>
      <c r="AU269" s="38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415"/>
      <c r="BG269" s="407"/>
      <c r="BH269" s="407"/>
    </row>
    <row r="270" spans="1:60" s="3" customFormat="1" ht="25.9" customHeight="1" thickTop="1" thickBot="1" x14ac:dyDescent="0.45">
      <c r="A270" s="507">
        <f>A267+1</f>
        <v>75</v>
      </c>
      <c r="B270" s="91" t="s">
        <v>351</v>
      </c>
      <c r="C270" s="16" t="s">
        <v>333</v>
      </c>
      <c r="D270" s="231" t="s">
        <v>344</v>
      </c>
      <c r="E270" s="63" t="s">
        <v>335</v>
      </c>
      <c r="F270" s="85" t="s">
        <v>149</v>
      </c>
      <c r="G270" s="16" t="s">
        <v>51</v>
      </c>
      <c r="H270" s="16" t="s">
        <v>1</v>
      </c>
      <c r="I270" s="16" t="s">
        <v>290</v>
      </c>
      <c r="J270" s="41"/>
      <c r="K270" s="193" t="s">
        <v>915</v>
      </c>
      <c r="L270" s="308" t="s">
        <v>1075</v>
      </c>
      <c r="M270" s="41"/>
      <c r="N270" s="41"/>
      <c r="O270" s="41"/>
      <c r="P270" s="174" t="s">
        <v>339</v>
      </c>
      <c r="Q270" s="17" t="s">
        <v>33</v>
      </c>
      <c r="R270" s="56">
        <v>46218</v>
      </c>
      <c r="S270" s="56">
        <v>46217</v>
      </c>
      <c r="T270" s="56">
        <v>46233</v>
      </c>
      <c r="U270" s="56">
        <v>46233</v>
      </c>
      <c r="V270" s="56">
        <v>46233</v>
      </c>
      <c r="W270" s="56">
        <v>46247</v>
      </c>
      <c r="X270" s="206">
        <v>46266</v>
      </c>
      <c r="Y270" s="56">
        <v>46280</v>
      </c>
      <c r="Z270" s="56"/>
      <c r="AA270" s="56">
        <v>46294</v>
      </c>
      <c r="AB270" s="56">
        <v>46303</v>
      </c>
      <c r="AC270" s="56">
        <v>46310</v>
      </c>
      <c r="AD270" s="56">
        <v>46331</v>
      </c>
      <c r="AE270" s="56">
        <v>46345</v>
      </c>
      <c r="AF270" s="56">
        <v>46375</v>
      </c>
      <c r="AG270" s="56">
        <v>46375</v>
      </c>
      <c r="AH270" s="56">
        <v>46377</v>
      </c>
      <c r="AI270" s="56">
        <v>46436</v>
      </c>
      <c r="AJ270" s="56">
        <v>46446</v>
      </c>
      <c r="AK270" s="56">
        <v>46476</v>
      </c>
      <c r="AL270" s="56">
        <v>46479</v>
      </c>
      <c r="AM270" s="56">
        <v>46506</v>
      </c>
      <c r="AN270" s="57">
        <v>26</v>
      </c>
      <c r="AO270" s="58">
        <v>182</v>
      </c>
      <c r="AP270" s="77">
        <v>46476</v>
      </c>
      <c r="AQ270" s="77">
        <v>46561</v>
      </c>
      <c r="AR270" s="76">
        <f>AQ270-AP271</f>
        <v>75</v>
      </c>
      <c r="AS270" s="139" t="s">
        <v>846</v>
      </c>
      <c r="AT270" s="501"/>
      <c r="AU270" s="20"/>
      <c r="AV270" s="21"/>
      <c r="AW270" s="21"/>
      <c r="AX270" s="21"/>
      <c r="AY270" s="21"/>
      <c r="AZ270" s="21"/>
      <c r="BA270" s="21"/>
      <c r="BB270" s="21"/>
      <c r="BC270" s="21"/>
      <c r="BD270" s="21"/>
      <c r="BE270" s="402"/>
      <c r="BF270" s="415"/>
      <c r="BG270" s="407"/>
      <c r="BH270" s="407"/>
    </row>
    <row r="271" spans="1:60" s="3" customFormat="1" ht="21.75" customHeight="1" thickTop="1" thickBot="1" x14ac:dyDescent="0.45">
      <c r="A271" s="508"/>
      <c r="B271" s="97" t="s">
        <v>350</v>
      </c>
      <c r="C271" s="70" t="s">
        <v>333</v>
      </c>
      <c r="D271" s="186" t="s">
        <v>343</v>
      </c>
      <c r="E271" s="42" t="s">
        <v>335</v>
      </c>
      <c r="F271" s="83" t="s">
        <v>149</v>
      </c>
      <c r="G271" s="70" t="s">
        <v>51</v>
      </c>
      <c r="H271" s="70" t="s">
        <v>1</v>
      </c>
      <c r="I271" s="70" t="s">
        <v>290</v>
      </c>
      <c r="J271" s="42"/>
      <c r="K271" s="194" t="s">
        <v>945</v>
      </c>
      <c r="L271" s="370" t="s">
        <v>1074</v>
      </c>
      <c r="M271" s="42"/>
      <c r="N271" s="42"/>
      <c r="O271" s="42"/>
      <c r="P271" s="175" t="s">
        <v>339</v>
      </c>
      <c r="Q271" s="25" t="s">
        <v>34</v>
      </c>
      <c r="R271" s="130"/>
      <c r="S271" s="82"/>
      <c r="T271" s="82"/>
      <c r="U271" s="82"/>
      <c r="V271" s="82"/>
      <c r="W271" s="82"/>
      <c r="X271" s="82">
        <f>WORKDAY(W272, X8, IF(X12="China",'China Holidays'!$A$2:$A$84,'Thai Holidays'!$A$2:$A$65))</f>
        <v>46290</v>
      </c>
      <c r="Y271" s="82">
        <f>WORKDAY(X271, Y8, IF(Y12="China",'China Holidays'!$A$2:$A$84,'Thai Holidays'!$A$2:$A$65))</f>
        <v>46304</v>
      </c>
      <c r="Z271" s="82"/>
      <c r="AA271" s="82">
        <f>Y271</f>
        <v>46304</v>
      </c>
      <c r="AB271" s="82">
        <f>WORKDAY(AA271, AB8, IF(AB12="China",'China Holidays'!$A$2:$A$84,'Thai Holidays'!$A$2:$A$65))</f>
        <v>46308</v>
      </c>
      <c r="AC271" s="82">
        <f>WORKDAY(AB271, AC8, IF(AC12="China",'China Holidays'!$A$2:$A$84,'Thai Holidays'!$A$2:$A$65))</f>
        <v>46315</v>
      </c>
      <c r="AD271" s="82">
        <f>WORKDAY(AC271, AD8, IF(AD12="China",'China Holidays'!$A$2:$A$84,'Thai Holidays'!$A$2:$A$65))</f>
        <v>46336</v>
      </c>
      <c r="AE271" s="82">
        <f>WORKDAY(AD271, AE8, IF(AE12="China",'China Holidays'!$A$2:$A$84,'Thai Holidays'!$A$2:$A$65))</f>
        <v>46350</v>
      </c>
      <c r="AF271" s="27">
        <f>AE271+30</f>
        <v>46380</v>
      </c>
      <c r="AG271" s="27">
        <f>AF271</f>
        <v>46380</v>
      </c>
      <c r="AH271" s="27">
        <f>AG271+2</f>
        <v>46382</v>
      </c>
      <c r="AI271" s="27">
        <f>AJ271-10</f>
        <v>46436</v>
      </c>
      <c r="AJ271" s="27">
        <f>AK271-30</f>
        <v>46446</v>
      </c>
      <c r="AK271" s="27">
        <f>AP270</f>
        <v>46476</v>
      </c>
      <c r="AL271" s="27">
        <f>AP270+3</f>
        <v>46479</v>
      </c>
      <c r="AM271" s="27">
        <f>AP270+30</f>
        <v>46506</v>
      </c>
      <c r="AN271" s="80"/>
      <c r="AO271" s="78"/>
      <c r="AP271" s="82">
        <f>AA271+AO270</f>
        <v>46486</v>
      </c>
      <c r="AQ271" s="82"/>
      <c r="AR271" s="78"/>
      <c r="AS271" s="124"/>
      <c r="AT271" s="502"/>
      <c r="AU271" s="20"/>
      <c r="AV271" s="21"/>
      <c r="AW271" s="21"/>
      <c r="AX271" s="21"/>
      <c r="AY271" s="21"/>
      <c r="AZ271" s="21"/>
      <c r="BA271" s="21"/>
      <c r="BB271" s="21"/>
      <c r="BC271" s="21"/>
      <c r="BD271" s="21"/>
      <c r="BE271" s="402"/>
      <c r="BF271" s="415"/>
      <c r="BG271" s="407"/>
      <c r="BH271" s="407"/>
    </row>
    <row r="272" spans="1:60" s="3" customFormat="1" ht="23.25" customHeight="1" thickTop="1" thickBot="1" x14ac:dyDescent="0.45">
      <c r="A272" s="509"/>
      <c r="B272" s="93" t="s">
        <v>350</v>
      </c>
      <c r="C272" s="71" t="s">
        <v>334</v>
      </c>
      <c r="D272" s="93" t="s">
        <v>343</v>
      </c>
      <c r="E272" s="43" t="s">
        <v>335</v>
      </c>
      <c r="F272" s="84" t="s">
        <v>149</v>
      </c>
      <c r="G272" s="71" t="s">
        <v>51</v>
      </c>
      <c r="H272" s="71" t="s">
        <v>1</v>
      </c>
      <c r="I272" s="71" t="s">
        <v>290</v>
      </c>
      <c r="J272" s="43"/>
      <c r="K272" s="218"/>
      <c r="L272" s="43"/>
      <c r="M272" s="43"/>
      <c r="N272" s="43"/>
      <c r="O272" s="43"/>
      <c r="P272" s="176" t="s">
        <v>339</v>
      </c>
      <c r="Q272" s="34" t="s">
        <v>35</v>
      </c>
      <c r="R272" s="35">
        <v>46211</v>
      </c>
      <c r="S272" s="35">
        <v>46160</v>
      </c>
      <c r="T272" s="35">
        <v>46186</v>
      </c>
      <c r="U272" s="35">
        <v>46262</v>
      </c>
      <c r="V272" s="35">
        <v>46262</v>
      </c>
      <c r="W272" s="35">
        <v>46273</v>
      </c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81"/>
      <c r="AO272" s="79"/>
      <c r="AP272" s="36"/>
      <c r="AQ272" s="36"/>
      <c r="AR272" s="37"/>
      <c r="AS272" s="141"/>
      <c r="AT272" s="503"/>
      <c r="AU272" s="38"/>
      <c r="AV272" s="39"/>
      <c r="AW272" s="39"/>
      <c r="AX272" s="39"/>
      <c r="AY272" s="39"/>
      <c r="AZ272" s="39"/>
      <c r="BA272" s="39"/>
      <c r="BB272" s="39"/>
      <c r="BC272" s="39"/>
      <c r="BD272" s="39"/>
      <c r="BE272" s="405"/>
      <c r="BF272" s="415"/>
      <c r="BG272" s="407"/>
      <c r="BH272" s="407"/>
    </row>
    <row r="273" spans="1:61" s="3" customFormat="1" ht="18" customHeight="1" thickTop="1" thickBot="1" x14ac:dyDescent="0.45">
      <c r="A273" s="495">
        <f t="shared" ref="A273" si="48">A270+1</f>
        <v>76</v>
      </c>
      <c r="B273" s="91" t="s">
        <v>460</v>
      </c>
      <c r="C273" s="16" t="s">
        <v>150</v>
      </c>
      <c r="D273" s="338" t="s">
        <v>471</v>
      </c>
      <c r="E273" s="63" t="s">
        <v>152</v>
      </c>
      <c r="F273" s="85" t="s">
        <v>153</v>
      </c>
      <c r="G273" s="16" t="s">
        <v>31</v>
      </c>
      <c r="H273" s="16" t="s">
        <v>0</v>
      </c>
      <c r="I273" s="16" t="s">
        <v>286</v>
      </c>
      <c r="J273" s="220" t="s">
        <v>552</v>
      </c>
      <c r="K273" s="220"/>
      <c r="L273" s="41"/>
      <c r="M273" s="41"/>
      <c r="N273" s="41"/>
      <c r="O273" s="41"/>
      <c r="P273" s="177" t="s">
        <v>69</v>
      </c>
      <c r="Q273" s="131" t="s">
        <v>33</v>
      </c>
      <c r="R273" s="56">
        <v>46146</v>
      </c>
      <c r="S273" s="56">
        <v>46178</v>
      </c>
      <c r="T273" s="56">
        <v>46193</v>
      </c>
      <c r="U273" s="56">
        <v>46196</v>
      </c>
      <c r="V273" s="56">
        <v>46199</v>
      </c>
      <c r="W273" s="56">
        <v>46202</v>
      </c>
      <c r="X273" s="56">
        <v>46205</v>
      </c>
      <c r="Y273" s="56">
        <v>46208</v>
      </c>
      <c r="Z273" s="56"/>
      <c r="AA273" s="56">
        <v>46216</v>
      </c>
      <c r="AB273" s="56">
        <v>46218</v>
      </c>
      <c r="AC273" s="56">
        <v>46132</v>
      </c>
      <c r="AD273" s="56">
        <v>46135</v>
      </c>
      <c r="AE273" s="56">
        <v>46153</v>
      </c>
      <c r="AF273" s="56">
        <v>46231</v>
      </c>
      <c r="AG273" s="56">
        <v>46246</v>
      </c>
      <c r="AH273" s="56">
        <v>46248</v>
      </c>
      <c r="AI273" s="206">
        <v>46261.5</v>
      </c>
      <c r="AJ273" s="56">
        <v>46268.5</v>
      </c>
      <c r="AK273" s="56">
        <v>46273</v>
      </c>
      <c r="AL273" s="56">
        <v>46276</v>
      </c>
      <c r="AM273" s="56">
        <v>46305.5</v>
      </c>
      <c r="AN273" s="57">
        <v>8.5</v>
      </c>
      <c r="AO273" s="58">
        <v>59.5</v>
      </c>
      <c r="AP273" s="77">
        <f>AK273</f>
        <v>46273</v>
      </c>
      <c r="AQ273" s="77">
        <v>46274</v>
      </c>
      <c r="AR273" s="76">
        <f>AQ273-AP274</f>
        <v>15</v>
      </c>
      <c r="AS273" s="139" t="s">
        <v>498</v>
      </c>
      <c r="AT273" s="515"/>
      <c r="AU273" s="132"/>
      <c r="AV273" s="133"/>
      <c r="AW273" s="133"/>
      <c r="AX273" s="133"/>
      <c r="AY273" s="133"/>
      <c r="AZ273" s="133"/>
      <c r="BA273" s="133"/>
      <c r="BB273" s="133"/>
      <c r="BC273" s="133"/>
      <c r="BD273" s="133"/>
      <c r="BE273" s="133"/>
      <c r="BF273" s="415" t="s">
        <v>1007</v>
      </c>
      <c r="BG273" s="407" t="s">
        <v>1008</v>
      </c>
      <c r="BH273" s="407"/>
    </row>
    <row r="274" spans="1:61" s="3" customFormat="1" ht="18" customHeight="1" thickTop="1" thickBot="1" x14ac:dyDescent="0.45">
      <c r="A274" s="496"/>
      <c r="B274" s="92" t="s">
        <v>276</v>
      </c>
      <c r="C274" s="70" t="s">
        <v>150</v>
      </c>
      <c r="D274" s="42" t="s">
        <v>151</v>
      </c>
      <c r="E274" s="42" t="s">
        <v>152</v>
      </c>
      <c r="F274" s="83" t="s">
        <v>153</v>
      </c>
      <c r="G274" s="70" t="s">
        <v>31</v>
      </c>
      <c r="H274" s="70" t="s">
        <v>0</v>
      </c>
      <c r="I274" s="70" t="s">
        <v>286</v>
      </c>
      <c r="J274" s="213" t="s">
        <v>819</v>
      </c>
      <c r="K274" s="213"/>
      <c r="L274" s="42"/>
      <c r="M274" s="42"/>
      <c r="N274" s="42"/>
      <c r="O274" s="42"/>
      <c r="P274" s="178" t="s">
        <v>69</v>
      </c>
      <c r="Q274" s="134" t="s">
        <v>34</v>
      </c>
      <c r="R274" s="130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>
        <f>AJ274-2</f>
        <v>46255</v>
      </c>
      <c r="AJ274" s="82">
        <f>AK274-2</f>
        <v>46257</v>
      </c>
      <c r="AK274" s="82">
        <f>AP274</f>
        <v>46259</v>
      </c>
      <c r="AL274" s="82">
        <v>46276</v>
      </c>
      <c r="AM274" s="82">
        <v>46305.5</v>
      </c>
      <c r="AN274" s="80"/>
      <c r="AO274" s="78"/>
      <c r="AP274" s="82">
        <v>46259</v>
      </c>
      <c r="AQ274" s="82"/>
      <c r="AR274" s="78"/>
      <c r="AS274" s="124"/>
      <c r="AT274" s="516"/>
      <c r="AU274" s="132"/>
      <c r="AV274" s="133"/>
      <c r="AW274" s="133"/>
      <c r="AX274" s="133"/>
      <c r="AY274" s="133"/>
      <c r="AZ274" s="133"/>
      <c r="BA274" s="133"/>
      <c r="BB274" s="133"/>
      <c r="BC274" s="133"/>
      <c r="BD274" s="133"/>
      <c r="BE274" s="133"/>
      <c r="BF274" s="415"/>
      <c r="BG274" s="407"/>
      <c r="BH274" s="407"/>
    </row>
    <row r="275" spans="1:61" s="3" customFormat="1" ht="18" customHeight="1" thickTop="1" thickBot="1" x14ac:dyDescent="0.45">
      <c r="A275" s="497"/>
      <c r="B275" s="93" t="s">
        <v>276</v>
      </c>
      <c r="C275" s="71" t="s">
        <v>150</v>
      </c>
      <c r="D275" s="43" t="s">
        <v>151</v>
      </c>
      <c r="E275" s="43" t="s">
        <v>152</v>
      </c>
      <c r="F275" s="84" t="s">
        <v>153</v>
      </c>
      <c r="G275" s="71" t="s">
        <v>31</v>
      </c>
      <c r="H275" s="71" t="s">
        <v>0</v>
      </c>
      <c r="I275" s="71" t="s">
        <v>286</v>
      </c>
      <c r="J275" s="43"/>
      <c r="K275" s="218"/>
      <c r="L275" s="43"/>
      <c r="M275" s="43"/>
      <c r="N275" s="43"/>
      <c r="O275" s="43"/>
      <c r="P275" s="179" t="s">
        <v>69</v>
      </c>
      <c r="Q275" s="135" t="s">
        <v>35</v>
      </c>
      <c r="R275" s="36">
        <v>46120</v>
      </c>
      <c r="S275" s="36">
        <v>46162</v>
      </c>
      <c r="T275" s="36">
        <v>46164</v>
      </c>
      <c r="U275" s="36">
        <v>46188</v>
      </c>
      <c r="V275" s="36">
        <v>46188</v>
      </c>
      <c r="W275" s="36">
        <v>46189</v>
      </c>
      <c r="X275" s="36">
        <v>46206</v>
      </c>
      <c r="Y275" s="36">
        <v>46210</v>
      </c>
      <c r="Z275" s="36"/>
      <c r="AA275" s="36">
        <f>Y275</f>
        <v>46210</v>
      </c>
      <c r="AB275" s="36">
        <v>46210</v>
      </c>
      <c r="AC275" s="36">
        <v>46132</v>
      </c>
      <c r="AD275" s="36">
        <v>46193</v>
      </c>
      <c r="AE275" s="36">
        <v>46193</v>
      </c>
      <c r="AF275" s="36">
        <v>46233</v>
      </c>
      <c r="AG275" s="36">
        <v>46233</v>
      </c>
      <c r="AH275" s="36">
        <v>46236</v>
      </c>
      <c r="AI275" s="36"/>
      <c r="AJ275" s="36"/>
      <c r="AK275" s="36"/>
      <c r="AL275" s="36"/>
      <c r="AM275" s="36"/>
      <c r="AN275" s="81"/>
      <c r="AO275" s="79"/>
      <c r="AP275" s="36"/>
      <c r="AQ275" s="36"/>
      <c r="AR275" s="79"/>
      <c r="AS275" s="143"/>
      <c r="AT275" s="517"/>
      <c r="AU275" s="136"/>
      <c r="AV275" s="137"/>
      <c r="AW275" s="137"/>
      <c r="AX275" s="137"/>
      <c r="AY275" s="137"/>
      <c r="AZ275" s="137"/>
      <c r="BA275" s="137"/>
      <c r="BB275" s="137"/>
      <c r="BC275" s="137"/>
      <c r="BD275" s="137"/>
      <c r="BE275" s="137"/>
      <c r="BF275" s="415"/>
      <c r="BG275" s="407"/>
      <c r="BH275" s="407"/>
    </row>
    <row r="276" spans="1:61" s="3" customFormat="1" ht="18" customHeight="1" thickTop="1" thickBot="1" x14ac:dyDescent="0.45">
      <c r="A276" s="495">
        <f t="shared" ref="A276:A290" si="49">A273+1</f>
        <v>77</v>
      </c>
      <c r="B276" s="91" t="s">
        <v>455</v>
      </c>
      <c r="C276" s="13" t="s">
        <v>340</v>
      </c>
      <c r="D276" s="338" t="s">
        <v>495</v>
      </c>
      <c r="E276" s="69" t="s">
        <v>152</v>
      </c>
      <c r="F276" s="15" t="s">
        <v>153</v>
      </c>
      <c r="G276" s="16" t="s">
        <v>31</v>
      </c>
      <c r="H276" s="13" t="s">
        <v>0</v>
      </c>
      <c r="I276" s="13" t="s">
        <v>286</v>
      </c>
      <c r="J276" s="345" t="s">
        <v>514</v>
      </c>
      <c r="K276" s="193"/>
      <c r="L276" s="41"/>
      <c r="M276" s="41"/>
      <c r="N276" s="41"/>
      <c r="O276" s="41"/>
      <c r="P276" s="174" t="s">
        <v>69</v>
      </c>
      <c r="Q276" s="17" t="s">
        <v>33</v>
      </c>
      <c r="R276" s="18">
        <v>46134</v>
      </c>
      <c r="S276" s="56">
        <v>46171</v>
      </c>
      <c r="T276" s="18">
        <v>46193</v>
      </c>
      <c r="U276" s="18">
        <v>46196</v>
      </c>
      <c r="V276" s="18">
        <v>46199</v>
      </c>
      <c r="W276" s="18">
        <v>46202</v>
      </c>
      <c r="X276" s="18">
        <v>46205</v>
      </c>
      <c r="Y276" s="18">
        <v>46208</v>
      </c>
      <c r="Z276" s="18"/>
      <c r="AA276" s="18">
        <v>46216</v>
      </c>
      <c r="AB276" s="18">
        <v>46218</v>
      </c>
      <c r="AC276" s="18">
        <v>46227</v>
      </c>
      <c r="AD276" s="18">
        <v>46255</v>
      </c>
      <c r="AE276" s="18">
        <v>46269</v>
      </c>
      <c r="AF276" s="18"/>
      <c r="AG276" s="18">
        <v>46274</v>
      </c>
      <c r="AH276" s="18">
        <v>46276</v>
      </c>
      <c r="AI276" s="206">
        <v>46304.1</v>
      </c>
      <c r="AJ276" s="18">
        <v>46311.1</v>
      </c>
      <c r="AK276" s="18">
        <v>46316.1</v>
      </c>
      <c r="AL276" s="18">
        <v>46319</v>
      </c>
      <c r="AM276" s="18">
        <v>46336.1</v>
      </c>
      <c r="AN276" s="57">
        <v>14.3</v>
      </c>
      <c r="AO276" s="58">
        <v>100.10000000000001</v>
      </c>
      <c r="AP276" s="77">
        <v>46316</v>
      </c>
      <c r="AQ276" s="77">
        <v>46321</v>
      </c>
      <c r="AR276" s="19">
        <f>AQ276-AP277</f>
        <v>5</v>
      </c>
      <c r="AS276" s="142" t="s">
        <v>497</v>
      </c>
      <c r="AT276" s="498" t="s">
        <v>457</v>
      </c>
      <c r="AU276" s="20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415" t="s">
        <v>986</v>
      </c>
      <c r="BG276" s="407"/>
      <c r="BH276" s="407"/>
    </row>
    <row r="277" spans="1:61" s="3" customFormat="1" ht="18" customHeight="1" thickTop="1" thickBot="1" x14ac:dyDescent="0.45">
      <c r="A277" s="496"/>
      <c r="B277" s="97" t="s">
        <v>455</v>
      </c>
      <c r="C277" s="40" t="s">
        <v>154</v>
      </c>
      <c r="D277" s="42" t="s">
        <v>155</v>
      </c>
      <c r="E277" s="54" t="s">
        <v>152</v>
      </c>
      <c r="F277" s="45" t="s">
        <v>153</v>
      </c>
      <c r="G277" s="70" t="s">
        <v>31</v>
      </c>
      <c r="H277" s="40" t="s">
        <v>0</v>
      </c>
      <c r="I277" s="40" t="s">
        <v>286</v>
      </c>
      <c r="J277" s="194" t="s">
        <v>1012</v>
      </c>
      <c r="K277" s="194"/>
      <c r="L277" s="42"/>
      <c r="M277" s="42"/>
      <c r="N277" s="42"/>
      <c r="O277" s="42"/>
      <c r="P277" s="175" t="s">
        <v>69</v>
      </c>
      <c r="Q277" s="25" t="s">
        <v>34</v>
      </c>
      <c r="R277" s="26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>
        <f>AJ277-7</f>
        <v>46304</v>
      </c>
      <c r="AJ277" s="27">
        <f>AK277-5</f>
        <v>46311</v>
      </c>
      <c r="AK277" s="27">
        <f>AP277</f>
        <v>46316</v>
      </c>
      <c r="AL277" s="27">
        <f>AP276+3</f>
        <v>46319</v>
      </c>
      <c r="AM277" s="27">
        <f>AK277+20</f>
        <v>46336</v>
      </c>
      <c r="AN277" s="80"/>
      <c r="AO277" s="78"/>
      <c r="AP277" s="82">
        <f>AP276</f>
        <v>46316</v>
      </c>
      <c r="AQ277" s="82"/>
      <c r="AR277" s="28"/>
      <c r="AS277" s="140"/>
      <c r="AT277" s="502"/>
      <c r="AU277" s="20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415"/>
      <c r="BG277" s="407"/>
      <c r="BH277" s="407"/>
    </row>
    <row r="278" spans="1:61" s="3" customFormat="1" ht="18" customHeight="1" thickTop="1" thickBot="1" x14ac:dyDescent="0.45">
      <c r="A278" s="497"/>
      <c r="B278" s="93" t="s">
        <v>455</v>
      </c>
      <c r="C278" s="31" t="s">
        <v>154</v>
      </c>
      <c r="D278" s="43" t="s">
        <v>495</v>
      </c>
      <c r="E278" s="55" t="s">
        <v>152</v>
      </c>
      <c r="F278" s="33" t="s">
        <v>153</v>
      </c>
      <c r="G278" s="71" t="s">
        <v>31</v>
      </c>
      <c r="H278" s="31" t="s">
        <v>0</v>
      </c>
      <c r="I278" s="31" t="s">
        <v>286</v>
      </c>
      <c r="J278" s="44"/>
      <c r="K278" s="195"/>
      <c r="L278" s="44"/>
      <c r="M278" s="44"/>
      <c r="N278" s="44"/>
      <c r="O278" s="44"/>
      <c r="P278" s="176" t="s">
        <v>69</v>
      </c>
      <c r="Q278" s="34" t="s">
        <v>35</v>
      </c>
      <c r="R278" s="35">
        <v>46136</v>
      </c>
      <c r="S278" s="35">
        <v>46165</v>
      </c>
      <c r="T278" s="35">
        <v>46167</v>
      </c>
      <c r="U278" s="35">
        <v>46195</v>
      </c>
      <c r="V278" s="35">
        <v>46195</v>
      </c>
      <c r="W278" s="35">
        <v>46197</v>
      </c>
      <c r="X278" s="35">
        <v>46213</v>
      </c>
      <c r="Y278" s="35">
        <v>46216</v>
      </c>
      <c r="Z278" s="35"/>
      <c r="AA278" s="35">
        <v>46217</v>
      </c>
      <c r="AB278" s="35">
        <v>46218</v>
      </c>
      <c r="AC278" s="35">
        <v>46202</v>
      </c>
      <c r="AD278" s="35">
        <v>46274</v>
      </c>
      <c r="AE278" s="35">
        <v>46274</v>
      </c>
      <c r="AF278" s="35">
        <v>46274</v>
      </c>
      <c r="AG278" s="35">
        <v>46274</v>
      </c>
      <c r="AH278" s="35">
        <v>46274</v>
      </c>
      <c r="AI278" s="35"/>
      <c r="AJ278" s="35"/>
      <c r="AK278" s="35"/>
      <c r="AL278" s="35"/>
      <c r="AM278" s="35"/>
      <c r="AN278" s="81"/>
      <c r="AO278" s="79"/>
      <c r="AP278" s="36"/>
      <c r="AQ278" s="36"/>
      <c r="AR278" s="37"/>
      <c r="AS278" s="141"/>
      <c r="AT278" s="503"/>
      <c r="AU278" s="38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415"/>
      <c r="BG278" s="407"/>
      <c r="BH278" s="407"/>
    </row>
    <row r="279" spans="1:61" s="3" customFormat="1" ht="18" customHeight="1" thickTop="1" thickBot="1" x14ac:dyDescent="0.45">
      <c r="A279" s="495">
        <f t="shared" si="49"/>
        <v>78</v>
      </c>
      <c r="B279" s="91" t="s">
        <v>467</v>
      </c>
      <c r="C279" s="13" t="s">
        <v>341</v>
      </c>
      <c r="D279" s="338" t="s">
        <v>462</v>
      </c>
      <c r="E279" s="69" t="s">
        <v>152</v>
      </c>
      <c r="F279" s="15" t="s">
        <v>153</v>
      </c>
      <c r="G279" s="16" t="s">
        <v>31</v>
      </c>
      <c r="H279" s="13" t="s">
        <v>0</v>
      </c>
      <c r="I279" s="13" t="s">
        <v>286</v>
      </c>
      <c r="J279" s="345" t="s">
        <v>1013</v>
      </c>
      <c r="K279" s="193"/>
      <c r="L279" s="41"/>
      <c r="M279" s="41"/>
      <c r="N279" s="41"/>
      <c r="O279" s="41"/>
      <c r="P279" s="174" t="s">
        <v>69</v>
      </c>
      <c r="Q279" s="17" t="s">
        <v>33</v>
      </c>
      <c r="R279" s="18">
        <v>46134</v>
      </c>
      <c r="S279" s="56">
        <v>46171</v>
      </c>
      <c r="T279" s="18">
        <v>46193</v>
      </c>
      <c r="U279" s="18">
        <v>46196</v>
      </c>
      <c r="V279" s="18">
        <v>46199</v>
      </c>
      <c r="W279" s="18">
        <v>46202</v>
      </c>
      <c r="X279" s="18">
        <v>46205</v>
      </c>
      <c r="Y279" s="18">
        <v>46208</v>
      </c>
      <c r="Z279" s="18"/>
      <c r="AA279" s="18">
        <v>46216</v>
      </c>
      <c r="AB279" s="18">
        <v>46218</v>
      </c>
      <c r="AC279" s="18">
        <v>46227</v>
      </c>
      <c r="AD279" s="206">
        <v>46255</v>
      </c>
      <c r="AE279" s="18">
        <v>46269</v>
      </c>
      <c r="AF279" s="18"/>
      <c r="AG279" s="18">
        <v>46274</v>
      </c>
      <c r="AH279" s="18">
        <v>46276</v>
      </c>
      <c r="AI279" s="18">
        <v>46304.1</v>
      </c>
      <c r="AJ279" s="18">
        <v>46311.1</v>
      </c>
      <c r="AK279" s="18">
        <v>46316.1</v>
      </c>
      <c r="AL279" s="18">
        <v>46319</v>
      </c>
      <c r="AM279" s="18">
        <v>46336.1</v>
      </c>
      <c r="AN279" s="57">
        <v>14.3</v>
      </c>
      <c r="AO279" s="58">
        <v>100.10000000000001</v>
      </c>
      <c r="AP279" s="77">
        <v>46316</v>
      </c>
      <c r="AQ279" s="77">
        <v>46338</v>
      </c>
      <c r="AR279" s="19">
        <f>AQ279-AP280</f>
        <v>33</v>
      </c>
      <c r="AS279" s="142" t="s">
        <v>497</v>
      </c>
      <c r="AT279" s="498" t="s">
        <v>456</v>
      </c>
      <c r="AU279" s="20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415" t="s">
        <v>751</v>
      </c>
      <c r="BG279" s="407" t="s">
        <v>1009</v>
      </c>
      <c r="BH279" s="407"/>
    </row>
    <row r="280" spans="1:61" s="3" customFormat="1" ht="18" customHeight="1" thickTop="1" thickBot="1" x14ac:dyDescent="0.45">
      <c r="A280" s="496"/>
      <c r="B280" s="92" t="s">
        <v>467</v>
      </c>
      <c r="C280" s="40" t="s">
        <v>156</v>
      </c>
      <c r="D280" s="42" t="s">
        <v>157</v>
      </c>
      <c r="E280" s="54" t="s">
        <v>152</v>
      </c>
      <c r="F280" s="45" t="s">
        <v>153</v>
      </c>
      <c r="G280" s="70" t="s">
        <v>31</v>
      </c>
      <c r="H280" s="40" t="s">
        <v>0</v>
      </c>
      <c r="I280" s="40" t="s">
        <v>286</v>
      </c>
      <c r="J280" s="42"/>
      <c r="K280" s="194"/>
      <c r="L280" s="42"/>
      <c r="M280" s="42"/>
      <c r="N280" s="42"/>
      <c r="O280" s="42"/>
      <c r="P280" s="175" t="s">
        <v>69</v>
      </c>
      <c r="Q280" s="25" t="s">
        <v>34</v>
      </c>
      <c r="R280" s="26"/>
      <c r="S280" s="27"/>
      <c r="T280" s="27"/>
      <c r="U280" s="27"/>
      <c r="V280" s="27"/>
      <c r="W280" s="27"/>
      <c r="X280" s="27"/>
      <c r="Y280" s="82"/>
      <c r="Z280" s="82"/>
      <c r="AA280" s="27"/>
      <c r="AB280" s="27"/>
      <c r="AC280" s="27"/>
      <c r="AD280" s="27">
        <v>46279</v>
      </c>
      <c r="AE280" s="27">
        <v>46282</v>
      </c>
      <c r="AF280" s="27"/>
      <c r="AG280" s="27">
        <v>46282</v>
      </c>
      <c r="AH280" s="27">
        <v>46282</v>
      </c>
      <c r="AI280" s="27">
        <v>46304.1</v>
      </c>
      <c r="AJ280" s="27">
        <v>46311.1</v>
      </c>
      <c r="AK280" s="27">
        <v>46316.1</v>
      </c>
      <c r="AL280" s="27">
        <v>46319</v>
      </c>
      <c r="AM280" s="27">
        <v>46336.1</v>
      </c>
      <c r="AN280" s="80"/>
      <c r="AO280" s="78"/>
      <c r="AP280" s="82">
        <v>46305</v>
      </c>
      <c r="AQ280" s="82"/>
      <c r="AR280" s="28"/>
      <c r="AS280" s="140"/>
      <c r="AT280" s="502"/>
      <c r="AU280" s="20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415"/>
      <c r="BG280" s="407"/>
      <c r="BH280" s="407"/>
    </row>
    <row r="281" spans="1:61" s="3" customFormat="1" ht="18" customHeight="1" thickTop="1" thickBot="1" x14ac:dyDescent="0.45">
      <c r="A281" s="496"/>
      <c r="B281" s="385" t="s">
        <v>467</v>
      </c>
      <c r="C281" s="116" t="s">
        <v>156</v>
      </c>
      <c r="D281" s="117" t="s">
        <v>157</v>
      </c>
      <c r="E281" s="489"/>
      <c r="F281" s="118" t="s">
        <v>153</v>
      </c>
      <c r="G281" s="238" t="s">
        <v>31</v>
      </c>
      <c r="H281" s="116" t="s">
        <v>0</v>
      </c>
      <c r="I281" s="116" t="s">
        <v>286</v>
      </c>
      <c r="J281" s="117"/>
      <c r="K281" s="304"/>
      <c r="L281" s="117"/>
      <c r="M281" s="117"/>
      <c r="N281" s="117"/>
      <c r="O281" s="117"/>
      <c r="P281" s="175" t="s">
        <v>69</v>
      </c>
      <c r="Q281" s="25" t="s">
        <v>34</v>
      </c>
      <c r="R281" s="390"/>
      <c r="S281" s="391"/>
      <c r="T281" s="391"/>
      <c r="U281" s="391"/>
      <c r="V281" s="391"/>
      <c r="W281" s="391"/>
      <c r="X281" s="391"/>
      <c r="Y281" s="393"/>
      <c r="Z281" s="393"/>
      <c r="AA281" s="391"/>
      <c r="AB281" s="391"/>
      <c r="AC281" s="391"/>
      <c r="AD281" s="391"/>
      <c r="AE281" s="391"/>
      <c r="AF281" s="391"/>
      <c r="AG281" s="391"/>
      <c r="AH281" s="391"/>
      <c r="AI281" s="391"/>
      <c r="AJ281" s="391"/>
      <c r="AK281" s="391"/>
      <c r="AL281" s="391"/>
      <c r="AM281" s="391"/>
      <c r="AN281" s="392"/>
      <c r="AO281" s="455"/>
      <c r="AP281" s="393">
        <v>46315</v>
      </c>
      <c r="AQ281" s="393"/>
      <c r="AR281" s="459"/>
      <c r="AS281" s="459"/>
      <c r="AT281" s="502"/>
      <c r="AU281" s="38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415"/>
      <c r="BG281" s="407"/>
      <c r="BH281" s="407"/>
    </row>
    <row r="282" spans="1:61" s="3" customFormat="1" ht="18" customHeight="1" thickBot="1" x14ac:dyDescent="0.45">
      <c r="A282" s="496"/>
      <c r="B282" s="385" t="s">
        <v>467</v>
      </c>
      <c r="C282" s="116" t="s">
        <v>156</v>
      </c>
      <c r="D282" s="117" t="s">
        <v>157</v>
      </c>
      <c r="E282" s="489"/>
      <c r="F282" s="118" t="s">
        <v>153</v>
      </c>
      <c r="G282" s="238" t="s">
        <v>31</v>
      </c>
      <c r="H282" s="116" t="s">
        <v>0</v>
      </c>
      <c r="I282" s="116" t="s">
        <v>286</v>
      </c>
      <c r="J282" s="117"/>
      <c r="K282" s="304"/>
      <c r="L282" s="117"/>
      <c r="M282" s="117"/>
      <c r="N282" s="117"/>
      <c r="O282" s="117"/>
      <c r="P282" s="175" t="s">
        <v>69</v>
      </c>
      <c r="Q282" s="25" t="s">
        <v>34</v>
      </c>
      <c r="R282" s="390"/>
      <c r="S282" s="391"/>
      <c r="T282" s="391"/>
      <c r="U282" s="391"/>
      <c r="V282" s="391"/>
      <c r="W282" s="391"/>
      <c r="X282" s="391"/>
      <c r="Y282" s="393"/>
      <c r="Z282" s="393"/>
      <c r="AA282" s="391"/>
      <c r="AB282" s="391"/>
      <c r="AC282" s="391"/>
      <c r="AD282" s="391"/>
      <c r="AE282" s="391"/>
      <c r="AF282" s="391"/>
      <c r="AG282" s="391"/>
      <c r="AH282" s="391"/>
      <c r="AI282" s="391"/>
      <c r="AJ282" s="391"/>
      <c r="AK282" s="391"/>
      <c r="AL282" s="391"/>
      <c r="AM282" s="391"/>
      <c r="AN282" s="392"/>
      <c r="AO282" s="455"/>
      <c r="AP282" s="393">
        <v>46346</v>
      </c>
      <c r="AQ282" s="393"/>
      <c r="AR282" s="459"/>
      <c r="AS282" s="28"/>
      <c r="AT282" s="502"/>
      <c r="AU282" s="38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415"/>
      <c r="BG282" s="407"/>
      <c r="BH282" s="407"/>
    </row>
    <row r="283" spans="1:61" s="3" customFormat="1" ht="18" customHeight="1" thickBot="1" x14ac:dyDescent="0.45">
      <c r="A283" s="497"/>
      <c r="B283" s="93" t="s">
        <v>467</v>
      </c>
      <c r="C283" s="31" t="s">
        <v>156</v>
      </c>
      <c r="D283" s="43" t="s">
        <v>462</v>
      </c>
      <c r="E283" s="55" t="s">
        <v>152</v>
      </c>
      <c r="F283" s="33" t="s">
        <v>153</v>
      </c>
      <c r="G283" s="71" t="s">
        <v>31</v>
      </c>
      <c r="H283" s="31" t="s">
        <v>0</v>
      </c>
      <c r="I283" s="31" t="s">
        <v>286</v>
      </c>
      <c r="J283" s="44"/>
      <c r="K283" s="195"/>
      <c r="L283" s="44"/>
      <c r="M283" s="44"/>
      <c r="N283" s="44"/>
      <c r="O283" s="44"/>
      <c r="P283" s="176" t="s">
        <v>69</v>
      </c>
      <c r="Q283" s="34" t="s">
        <v>35</v>
      </c>
      <c r="R283" s="35">
        <v>46136</v>
      </c>
      <c r="S283" s="35">
        <v>46146</v>
      </c>
      <c r="T283" s="35">
        <v>46157</v>
      </c>
      <c r="U283" s="35">
        <v>46195</v>
      </c>
      <c r="V283" s="35">
        <v>46195</v>
      </c>
      <c r="W283" s="35">
        <v>46197</v>
      </c>
      <c r="X283" s="35">
        <v>46206</v>
      </c>
      <c r="Y283" s="35">
        <v>46213</v>
      </c>
      <c r="Z283" s="35"/>
      <c r="AA283" s="35">
        <v>46213</v>
      </c>
      <c r="AB283" s="35">
        <v>46213</v>
      </c>
      <c r="AC283" s="35">
        <v>46219</v>
      </c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81"/>
      <c r="AO283" s="79"/>
      <c r="AP283" s="36">
        <v>46359</v>
      </c>
      <c r="AQ283" s="36"/>
      <c r="AR283" s="37"/>
      <c r="AS283" s="141"/>
      <c r="AT283" s="503"/>
      <c r="AU283" s="38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415"/>
      <c r="BG283" s="407"/>
      <c r="BH283" s="407"/>
    </row>
    <row r="284" spans="1:61" s="3" customFormat="1" ht="18" customHeight="1" thickTop="1" thickBot="1" x14ac:dyDescent="0.45">
      <c r="A284" s="495">
        <f>A279+1</f>
        <v>79</v>
      </c>
      <c r="B284" s="91" t="s">
        <v>459</v>
      </c>
      <c r="C284" s="13" t="s">
        <v>425</v>
      </c>
      <c r="D284" s="338" t="s">
        <v>423</v>
      </c>
      <c r="E284" s="69" t="s">
        <v>152</v>
      </c>
      <c r="F284" s="15" t="s">
        <v>153</v>
      </c>
      <c r="G284" s="16" t="s">
        <v>31</v>
      </c>
      <c r="H284" s="13" t="s">
        <v>0</v>
      </c>
      <c r="I284" s="13" t="s">
        <v>286</v>
      </c>
      <c r="J284" s="41"/>
      <c r="K284" s="193"/>
      <c r="L284" s="41"/>
      <c r="M284" s="41"/>
      <c r="N284" s="41"/>
      <c r="O284" s="41"/>
      <c r="P284" s="174" t="s">
        <v>69</v>
      </c>
      <c r="Q284" s="17" t="s">
        <v>33</v>
      </c>
      <c r="R284" s="18">
        <v>46134</v>
      </c>
      <c r="S284" s="56">
        <v>46218</v>
      </c>
      <c r="T284" s="18">
        <v>46232</v>
      </c>
      <c r="U284" s="18">
        <v>46232</v>
      </c>
      <c r="V284" s="18">
        <v>46232</v>
      </c>
      <c r="W284" s="18">
        <v>46239</v>
      </c>
      <c r="X284" s="18">
        <v>46248</v>
      </c>
      <c r="Y284" s="18">
        <v>46264</v>
      </c>
      <c r="Z284" s="18"/>
      <c r="AA284" s="18">
        <v>46273</v>
      </c>
      <c r="AB284" s="18">
        <v>46275</v>
      </c>
      <c r="AC284" s="18">
        <v>46279</v>
      </c>
      <c r="AD284" s="18">
        <v>46282</v>
      </c>
      <c r="AE284" s="18">
        <v>46305</v>
      </c>
      <c r="AF284" s="206">
        <v>46284</v>
      </c>
      <c r="AG284" s="18">
        <v>46285</v>
      </c>
      <c r="AH284" s="18">
        <v>46289</v>
      </c>
      <c r="AI284" s="18">
        <v>46316</v>
      </c>
      <c r="AJ284" s="18">
        <v>46323</v>
      </c>
      <c r="AK284" s="18">
        <v>46328</v>
      </c>
      <c r="AL284" s="18">
        <v>46331</v>
      </c>
      <c r="AM284" s="18">
        <v>46358</v>
      </c>
      <c r="AN284" s="57">
        <f>AO284/7</f>
        <v>7.8571428571428568</v>
      </c>
      <c r="AO284" s="58">
        <v>55</v>
      </c>
      <c r="AP284" s="77">
        <f>AK284</f>
        <v>46328</v>
      </c>
      <c r="AQ284" s="77">
        <v>46312</v>
      </c>
      <c r="AR284" s="19">
        <f>AQ284-AP285</f>
        <v>46257</v>
      </c>
      <c r="AS284" s="139" t="s">
        <v>825</v>
      </c>
      <c r="AT284" s="501"/>
      <c r="AU284" s="20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415"/>
      <c r="BG284" s="407"/>
      <c r="BH284" s="407"/>
    </row>
    <row r="285" spans="1:61" s="3" customFormat="1" ht="18" customHeight="1" thickTop="1" thickBot="1" x14ac:dyDescent="0.45">
      <c r="A285" s="496"/>
      <c r="B285" s="92" t="s">
        <v>459</v>
      </c>
      <c r="C285" s="40" t="s">
        <v>424</v>
      </c>
      <c r="D285" s="42" t="s">
        <v>422</v>
      </c>
      <c r="E285" s="54" t="s">
        <v>152</v>
      </c>
      <c r="F285" s="45" t="s">
        <v>153</v>
      </c>
      <c r="G285" s="70" t="s">
        <v>31</v>
      </c>
      <c r="H285" s="40" t="s">
        <v>0</v>
      </c>
      <c r="I285" s="40" t="s">
        <v>286</v>
      </c>
      <c r="J285" s="42"/>
      <c r="K285" s="194"/>
      <c r="L285" s="42"/>
      <c r="M285" s="42"/>
      <c r="N285" s="42"/>
      <c r="O285" s="42"/>
      <c r="P285" s="175" t="s">
        <v>69</v>
      </c>
      <c r="Q285" s="25" t="s">
        <v>34</v>
      </c>
      <c r="R285" s="26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>
        <v>46284</v>
      </c>
      <c r="AG285" s="27">
        <v>46285</v>
      </c>
      <c r="AH285" s="27">
        <v>46289</v>
      </c>
      <c r="AI285" s="27">
        <v>46316</v>
      </c>
      <c r="AJ285" s="27">
        <v>46323</v>
      </c>
      <c r="AK285" s="27">
        <v>46328</v>
      </c>
      <c r="AL285" s="27">
        <v>46331</v>
      </c>
      <c r="AM285" s="27">
        <v>46358</v>
      </c>
      <c r="AN285" s="80"/>
      <c r="AO285" s="78"/>
      <c r="AP285" s="82">
        <f>AA285+AO284</f>
        <v>55</v>
      </c>
      <c r="AQ285" s="82"/>
      <c r="AR285" s="28"/>
      <c r="AS285" s="140"/>
      <c r="AT285" s="502"/>
      <c r="AU285" s="20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415"/>
      <c r="BG285" s="407"/>
      <c r="BH285" s="407"/>
    </row>
    <row r="286" spans="1:61" s="3" customFormat="1" ht="18" customHeight="1" thickTop="1" thickBot="1" x14ac:dyDescent="0.45">
      <c r="A286" s="497"/>
      <c r="B286" s="93" t="s">
        <v>459</v>
      </c>
      <c r="C286" s="31" t="s">
        <v>424</v>
      </c>
      <c r="D286" s="43" t="s">
        <v>422</v>
      </c>
      <c r="E286" s="55" t="s">
        <v>152</v>
      </c>
      <c r="F286" s="33" t="s">
        <v>153</v>
      </c>
      <c r="G286" s="71" t="s">
        <v>31</v>
      </c>
      <c r="H286" s="31" t="s">
        <v>0</v>
      </c>
      <c r="I286" s="31" t="s">
        <v>286</v>
      </c>
      <c r="J286" s="44"/>
      <c r="K286" s="195"/>
      <c r="L286" s="44"/>
      <c r="M286" s="44"/>
      <c r="N286" s="44"/>
      <c r="O286" s="44"/>
      <c r="P286" s="176" t="s">
        <v>69</v>
      </c>
      <c r="Q286" s="34" t="s">
        <v>35</v>
      </c>
      <c r="R286" s="35">
        <v>46136</v>
      </c>
      <c r="S286" s="35">
        <v>46146</v>
      </c>
      <c r="T286" s="35">
        <v>46157</v>
      </c>
      <c r="U286" s="35">
        <v>46183</v>
      </c>
      <c r="V286" s="35">
        <v>46183</v>
      </c>
      <c r="W286" s="35">
        <v>46185</v>
      </c>
      <c r="X286" s="35">
        <v>46227</v>
      </c>
      <c r="Y286" s="377">
        <v>46283</v>
      </c>
      <c r="Z286" s="35"/>
      <c r="AA286" s="377">
        <v>46283</v>
      </c>
      <c r="AB286" s="377">
        <v>46283</v>
      </c>
      <c r="AC286" s="377">
        <v>46283</v>
      </c>
      <c r="AD286" s="377">
        <v>46283</v>
      </c>
      <c r="AE286" s="377">
        <v>46283</v>
      </c>
      <c r="AF286" s="35"/>
      <c r="AG286" s="35"/>
      <c r="AH286" s="35"/>
      <c r="AI286" s="35"/>
      <c r="AJ286" s="35"/>
      <c r="AK286" s="35"/>
      <c r="AL286" s="35"/>
      <c r="AM286" s="35"/>
      <c r="AN286" s="81"/>
      <c r="AO286" s="79"/>
      <c r="AP286" s="36"/>
      <c r="AQ286" s="36"/>
      <c r="AR286" s="37"/>
      <c r="AS286" s="141"/>
      <c r="AT286" s="503"/>
      <c r="AU286" s="38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415"/>
      <c r="BG286" s="407"/>
      <c r="BH286" s="407"/>
    </row>
    <row r="287" spans="1:61" s="3" customFormat="1" ht="18" customHeight="1" thickTop="1" thickBot="1" x14ac:dyDescent="0.45">
      <c r="A287" s="495">
        <f t="shared" si="49"/>
        <v>80</v>
      </c>
      <c r="B287" s="91" t="s">
        <v>1014</v>
      </c>
      <c r="C287" s="13" t="s">
        <v>472</v>
      </c>
      <c r="D287" s="338" t="s">
        <v>511</v>
      </c>
      <c r="E287" s="63" t="s">
        <v>159</v>
      </c>
      <c r="F287" s="15" t="s">
        <v>153</v>
      </c>
      <c r="G287" s="13" t="s">
        <v>51</v>
      </c>
      <c r="H287" s="13" t="s">
        <v>1</v>
      </c>
      <c r="I287" s="13" t="s">
        <v>286</v>
      </c>
      <c r="J287" s="345" t="s">
        <v>514</v>
      </c>
      <c r="K287" s="193"/>
      <c r="L287" s="41"/>
      <c r="M287" s="41"/>
      <c r="N287" s="41"/>
      <c r="O287" s="41"/>
      <c r="P287" s="174" t="s">
        <v>69</v>
      </c>
      <c r="Q287" s="17" t="s">
        <v>33</v>
      </c>
      <c r="R287" s="18">
        <v>46140</v>
      </c>
      <c r="S287" s="18">
        <v>46141</v>
      </c>
      <c r="T287" s="18">
        <v>46150</v>
      </c>
      <c r="U287" s="18">
        <v>46153</v>
      </c>
      <c r="V287" s="18">
        <v>46160</v>
      </c>
      <c r="W287" s="18">
        <v>46174</v>
      </c>
      <c r="X287" s="18">
        <v>46231</v>
      </c>
      <c r="Y287" s="18">
        <v>46245</v>
      </c>
      <c r="Z287" s="18"/>
      <c r="AA287" s="18">
        <v>46241</v>
      </c>
      <c r="AB287" s="18">
        <v>46245</v>
      </c>
      <c r="AC287" s="18">
        <v>46252</v>
      </c>
      <c r="AD287" s="18">
        <v>46280</v>
      </c>
      <c r="AE287" s="18">
        <v>46294</v>
      </c>
      <c r="AF287" s="18"/>
      <c r="AG287" s="18">
        <v>46299</v>
      </c>
      <c r="AH287" s="18">
        <v>46301</v>
      </c>
      <c r="AI287" s="206">
        <v>46329.1</v>
      </c>
      <c r="AJ287" s="18">
        <v>46336.1</v>
      </c>
      <c r="AK287" s="18">
        <v>46341.1</v>
      </c>
      <c r="AL287" s="18">
        <v>46344.1</v>
      </c>
      <c r="AM287" s="18">
        <v>46371.1</v>
      </c>
      <c r="AN287" s="57">
        <v>14.3</v>
      </c>
      <c r="AO287" s="58">
        <v>100.10000000000001</v>
      </c>
      <c r="AP287" s="77">
        <v>46341.1</v>
      </c>
      <c r="AQ287" s="77">
        <v>46353</v>
      </c>
      <c r="AR287" s="19">
        <f>AQ287-AP288</f>
        <v>28</v>
      </c>
      <c r="AS287" s="142" t="s">
        <v>826</v>
      </c>
      <c r="AT287" s="501"/>
      <c r="AU287" s="20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415" t="s">
        <v>987</v>
      </c>
      <c r="BG287" s="407">
        <v>46325</v>
      </c>
      <c r="BH287" s="468">
        <v>250</v>
      </c>
      <c r="BI287" s="3" t="s">
        <v>1018</v>
      </c>
    </row>
    <row r="288" spans="1:61" s="3" customFormat="1" ht="18" customHeight="1" thickTop="1" thickBot="1" x14ac:dyDescent="0.45">
      <c r="A288" s="496"/>
      <c r="B288" s="92" t="s">
        <v>1014</v>
      </c>
      <c r="C288" s="40" t="s">
        <v>158</v>
      </c>
      <c r="D288" s="42" t="s">
        <v>510</v>
      </c>
      <c r="E288" s="42" t="s">
        <v>159</v>
      </c>
      <c r="F288" s="45" t="s">
        <v>153</v>
      </c>
      <c r="G288" s="22" t="s">
        <v>51</v>
      </c>
      <c r="H288" s="40" t="s">
        <v>1</v>
      </c>
      <c r="I288" s="40" t="s">
        <v>286</v>
      </c>
      <c r="J288" s="194" t="s">
        <v>1012</v>
      </c>
      <c r="K288" s="194"/>
      <c r="L288" s="42"/>
      <c r="M288" s="42"/>
      <c r="N288" s="42"/>
      <c r="O288" s="42"/>
      <c r="P288" s="175" t="s">
        <v>69</v>
      </c>
      <c r="Q288" s="25" t="s">
        <v>34</v>
      </c>
      <c r="R288" s="26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>
        <v>46329.1</v>
      </c>
      <c r="AJ288" s="27">
        <v>46336.1</v>
      </c>
      <c r="AK288" s="27">
        <v>46341.1</v>
      </c>
      <c r="AL288" s="27">
        <v>46344.1</v>
      </c>
      <c r="AM288" s="27">
        <v>46371.1</v>
      </c>
      <c r="AN288" s="80"/>
      <c r="AO288" s="78"/>
      <c r="AP288" s="82">
        <v>46325</v>
      </c>
      <c r="AQ288" s="82"/>
      <c r="AR288" s="28"/>
      <c r="AS288" s="140"/>
      <c r="AT288" s="502"/>
      <c r="AU288" s="20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415"/>
      <c r="BG288" s="407"/>
      <c r="BH288" s="407"/>
    </row>
    <row r="289" spans="1:60" s="3" customFormat="1" ht="18" customHeight="1" thickTop="1" thickBot="1" x14ac:dyDescent="0.45">
      <c r="A289" s="497"/>
      <c r="B289" s="93" t="s">
        <v>1014</v>
      </c>
      <c r="C289" s="31" t="s">
        <v>158</v>
      </c>
      <c r="D289" s="43" t="s">
        <v>511</v>
      </c>
      <c r="E289" s="44" t="s">
        <v>159</v>
      </c>
      <c r="F289" s="33" t="s">
        <v>153</v>
      </c>
      <c r="G289" s="31" t="s">
        <v>51</v>
      </c>
      <c r="H289" s="31" t="s">
        <v>1</v>
      </c>
      <c r="I289" s="31" t="s">
        <v>286</v>
      </c>
      <c r="J289" s="44"/>
      <c r="K289" s="195"/>
      <c r="L289" s="44"/>
      <c r="M289" s="44"/>
      <c r="N289" s="44"/>
      <c r="O289" s="44"/>
      <c r="P289" s="176" t="s">
        <v>69</v>
      </c>
      <c r="Q289" s="34" t="s">
        <v>35</v>
      </c>
      <c r="R289" s="35">
        <v>46136</v>
      </c>
      <c r="S289" s="35">
        <v>46165</v>
      </c>
      <c r="T289" s="35">
        <v>46167</v>
      </c>
      <c r="U289" s="35">
        <v>46181</v>
      </c>
      <c r="V289" s="35">
        <v>46181</v>
      </c>
      <c r="W289" s="35">
        <v>46185</v>
      </c>
      <c r="X289" s="35">
        <v>46213</v>
      </c>
      <c r="Y289" s="35">
        <v>46217</v>
      </c>
      <c r="Z289" s="35"/>
      <c r="AA289" s="35">
        <v>46217</v>
      </c>
      <c r="AB289" s="35">
        <v>46217</v>
      </c>
      <c r="AC289" s="35">
        <v>46202</v>
      </c>
      <c r="AD289" s="35">
        <v>46274</v>
      </c>
      <c r="AE289" s="35"/>
      <c r="AF289" s="35"/>
      <c r="AG289" s="35">
        <v>46274</v>
      </c>
      <c r="AH289" s="35">
        <v>46274</v>
      </c>
      <c r="AI289" s="35"/>
      <c r="AJ289" s="35"/>
      <c r="AK289" s="35"/>
      <c r="AL289" s="35"/>
      <c r="AM289" s="35"/>
      <c r="AN289" s="81"/>
      <c r="AO289" s="79"/>
      <c r="AP289" s="36"/>
      <c r="AQ289" s="36"/>
      <c r="AR289" s="37"/>
      <c r="AS289" s="141"/>
      <c r="AT289" s="503"/>
      <c r="AU289" s="38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415"/>
      <c r="BG289" s="407"/>
      <c r="BH289" s="407"/>
    </row>
    <row r="290" spans="1:60" s="3" customFormat="1" ht="18" customHeight="1" thickTop="1" thickBot="1" x14ac:dyDescent="0.45">
      <c r="A290" s="495">
        <f t="shared" si="49"/>
        <v>81</v>
      </c>
      <c r="B290" s="91" t="s">
        <v>461</v>
      </c>
      <c r="C290" s="13" t="s">
        <v>472</v>
      </c>
      <c r="D290" s="203" t="s">
        <v>513</v>
      </c>
      <c r="E290" s="63" t="s">
        <v>159</v>
      </c>
      <c r="F290" s="15" t="s">
        <v>153</v>
      </c>
      <c r="G290" s="13" t="s">
        <v>51</v>
      </c>
      <c r="H290" s="13" t="s">
        <v>1</v>
      </c>
      <c r="I290" s="13" t="s">
        <v>286</v>
      </c>
      <c r="J290" s="41"/>
      <c r="K290" s="193"/>
      <c r="L290" s="41"/>
      <c r="M290" s="41"/>
      <c r="N290" s="41"/>
      <c r="O290" s="41"/>
      <c r="P290" s="174" t="s">
        <v>69</v>
      </c>
      <c r="Q290" s="17" t="s">
        <v>33</v>
      </c>
      <c r="R290" s="18">
        <v>46140</v>
      </c>
      <c r="S290" s="18">
        <v>46141</v>
      </c>
      <c r="T290" s="18">
        <v>46150</v>
      </c>
      <c r="U290" s="18">
        <v>46222</v>
      </c>
      <c r="V290" s="18">
        <v>46222</v>
      </c>
      <c r="W290" s="18">
        <v>46228</v>
      </c>
      <c r="X290" s="206">
        <v>46236</v>
      </c>
      <c r="Y290" s="18">
        <v>46250</v>
      </c>
      <c r="Z290" s="18"/>
      <c r="AA290" s="18">
        <v>46250</v>
      </c>
      <c r="AB290" s="18">
        <v>46251</v>
      </c>
      <c r="AC290" s="18">
        <v>46262</v>
      </c>
      <c r="AD290" s="18">
        <v>46259</v>
      </c>
      <c r="AE290" s="18">
        <v>46287</v>
      </c>
      <c r="AF290" s="18">
        <v>46301</v>
      </c>
      <c r="AG290" s="18">
        <v>46306</v>
      </c>
      <c r="AH290" s="18">
        <v>46308</v>
      </c>
      <c r="AI290" s="18">
        <v>46338.1</v>
      </c>
      <c r="AJ290" s="18">
        <v>46345.1</v>
      </c>
      <c r="AK290" s="18">
        <v>46350.1</v>
      </c>
      <c r="AL290" s="18">
        <v>46348.1</v>
      </c>
      <c r="AM290" s="18">
        <v>46380.1</v>
      </c>
      <c r="AN290" s="57">
        <v>14.3</v>
      </c>
      <c r="AO290" s="58">
        <v>100.10000000000001</v>
      </c>
      <c r="AP290" s="77">
        <v>46350.1</v>
      </c>
      <c r="AQ290" s="77">
        <v>46368</v>
      </c>
      <c r="AR290" s="19">
        <f>AQ290-AP291</f>
        <v>-27.099999999998545</v>
      </c>
      <c r="AS290" s="142" t="s">
        <v>826</v>
      </c>
      <c r="AT290" s="501"/>
      <c r="AU290" s="20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415"/>
      <c r="BG290" s="407"/>
      <c r="BH290" s="407"/>
    </row>
    <row r="291" spans="1:60" s="3" customFormat="1" ht="18" customHeight="1" thickTop="1" thickBot="1" x14ac:dyDescent="0.45">
      <c r="A291" s="496"/>
      <c r="B291" s="92" t="s">
        <v>461</v>
      </c>
      <c r="C291" s="40" t="s">
        <v>158</v>
      </c>
      <c r="D291" s="42" t="s">
        <v>512</v>
      </c>
      <c r="E291" s="42" t="s">
        <v>159</v>
      </c>
      <c r="F291" s="45" t="s">
        <v>153</v>
      </c>
      <c r="G291" s="22" t="s">
        <v>51</v>
      </c>
      <c r="H291" s="40" t="s">
        <v>1</v>
      </c>
      <c r="I291" s="40" t="s">
        <v>286</v>
      </c>
      <c r="J291" s="42"/>
      <c r="K291" s="194"/>
      <c r="L291" s="42"/>
      <c r="M291" s="42"/>
      <c r="N291" s="42"/>
      <c r="O291" s="42"/>
      <c r="P291" s="175" t="s">
        <v>69</v>
      </c>
      <c r="Q291" s="25" t="s">
        <v>34</v>
      </c>
      <c r="R291" s="130">
        <v>46218</v>
      </c>
      <c r="S291" s="27"/>
      <c r="T291" s="27"/>
      <c r="U291" s="27"/>
      <c r="V291" s="27"/>
      <c r="W291" s="27"/>
      <c r="X291" s="144">
        <v>46290</v>
      </c>
      <c r="Y291" s="27">
        <f>X291+5</f>
        <v>46295</v>
      </c>
      <c r="Z291" s="27"/>
      <c r="AA291" s="144">
        <f>Y291</f>
        <v>46295</v>
      </c>
      <c r="AB291" s="27">
        <f>AA291+1</f>
        <v>46296</v>
      </c>
      <c r="AC291" s="27">
        <f>WORKDAY(AB291, AC9, IF(AC12="China",'China Holidays'!$A$2:$A$84,'Thai Holidays'!$A$2:$A$65))</f>
        <v>46309</v>
      </c>
      <c r="AD291" s="27">
        <f>WORKDAY(AC291, AD9, IF(AD12="China",'China Holidays'!$A$2:$A$84,'Thai Holidays'!$A$2:$A$65))</f>
        <v>46323</v>
      </c>
      <c r="AE291" s="27">
        <f>WORKDAY(AD291, AE9, IF(AE12="China",'China Holidays'!$A$2:$A$84,'Thai Holidays'!$A$2:$A$65))</f>
        <v>46337</v>
      </c>
      <c r="AF291" s="27">
        <v>46301</v>
      </c>
      <c r="AG291" s="27">
        <v>46306</v>
      </c>
      <c r="AH291" s="27">
        <v>46308</v>
      </c>
      <c r="AI291" s="27">
        <v>46338.1</v>
      </c>
      <c r="AJ291" s="27">
        <v>46345.1</v>
      </c>
      <c r="AK291" s="27">
        <v>46350.1</v>
      </c>
      <c r="AL291" s="27">
        <v>46348.1</v>
      </c>
      <c r="AM291" s="27">
        <v>46380.1</v>
      </c>
      <c r="AN291" s="80"/>
      <c r="AO291" s="78"/>
      <c r="AP291" s="82">
        <f>AA291+AO290</f>
        <v>46395.1</v>
      </c>
      <c r="AQ291" s="82"/>
      <c r="AR291" s="28"/>
      <c r="AS291" s="140"/>
      <c r="AT291" s="502"/>
      <c r="AU291" s="20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415"/>
      <c r="BG291" s="407"/>
      <c r="BH291" s="407"/>
    </row>
    <row r="292" spans="1:60" s="3" customFormat="1" ht="14.25" thickTop="1" thickBot="1" x14ac:dyDescent="0.45">
      <c r="A292" s="497"/>
      <c r="B292" s="93" t="s">
        <v>461</v>
      </c>
      <c r="C292" s="31" t="s">
        <v>158</v>
      </c>
      <c r="D292" s="43" t="s">
        <v>513</v>
      </c>
      <c r="E292" s="44" t="s">
        <v>159</v>
      </c>
      <c r="F292" s="33" t="s">
        <v>153</v>
      </c>
      <c r="G292" s="31" t="s">
        <v>51</v>
      </c>
      <c r="H292" s="31" t="s">
        <v>1</v>
      </c>
      <c r="I292" s="31" t="s">
        <v>286</v>
      </c>
      <c r="J292" s="44"/>
      <c r="K292" s="195"/>
      <c r="L292" s="44"/>
      <c r="M292" s="44"/>
      <c r="N292" s="44"/>
      <c r="O292" s="44"/>
      <c r="P292" s="176" t="s">
        <v>69</v>
      </c>
      <c r="Q292" s="34" t="s">
        <v>35</v>
      </c>
      <c r="R292" s="305"/>
      <c r="S292" s="35">
        <v>46165</v>
      </c>
      <c r="T292" s="35">
        <v>46167</v>
      </c>
      <c r="U292" s="35">
        <v>46206</v>
      </c>
      <c r="V292" s="35">
        <v>46206</v>
      </c>
      <c r="W292" s="35">
        <v>46227</v>
      </c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81"/>
      <c r="AO292" s="79"/>
      <c r="AP292" s="36"/>
      <c r="AQ292" s="36"/>
      <c r="AR292" s="37"/>
      <c r="AS292" s="141"/>
      <c r="AT292" s="503"/>
      <c r="AU292" s="38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415"/>
      <c r="BG292" s="407"/>
      <c r="BH292" s="407"/>
    </row>
    <row r="293" spans="1:60" s="3" customFormat="1" ht="14.25" thickTop="1" thickBot="1" x14ac:dyDescent="0.45">
      <c r="A293" s="495">
        <f>A290+1</f>
        <v>82</v>
      </c>
      <c r="B293" s="91" t="s">
        <v>458</v>
      </c>
      <c r="C293" s="13" t="s">
        <v>160</v>
      </c>
      <c r="D293" s="203" t="s">
        <v>463</v>
      </c>
      <c r="E293" s="63" t="s">
        <v>159</v>
      </c>
      <c r="F293" s="15" t="s">
        <v>153</v>
      </c>
      <c r="G293" s="13" t="s">
        <v>51</v>
      </c>
      <c r="H293" s="13" t="s">
        <v>3</v>
      </c>
      <c r="I293" s="13" t="s">
        <v>286</v>
      </c>
      <c r="J293" s="41"/>
      <c r="K293" s="193"/>
      <c r="L293" s="41"/>
      <c r="M293" s="41"/>
      <c r="N293" s="41"/>
      <c r="O293" s="41"/>
      <c r="P293" s="174" t="s">
        <v>69</v>
      </c>
      <c r="Q293" s="17" t="s">
        <v>33</v>
      </c>
      <c r="R293" s="206">
        <v>46168</v>
      </c>
      <c r="S293" s="18">
        <v>46169</v>
      </c>
      <c r="T293" s="18">
        <v>46178</v>
      </c>
      <c r="U293" s="18">
        <v>46227</v>
      </c>
      <c r="V293" s="18">
        <v>46227</v>
      </c>
      <c r="W293" s="18">
        <v>46233</v>
      </c>
      <c r="X293" s="206">
        <v>46256</v>
      </c>
      <c r="Y293" s="18">
        <v>46274</v>
      </c>
      <c r="Z293" s="18"/>
      <c r="AA293" s="18">
        <v>46282</v>
      </c>
      <c r="AB293" s="18">
        <v>46284</v>
      </c>
      <c r="AC293" s="18">
        <v>46291</v>
      </c>
      <c r="AD293" s="18">
        <v>46319</v>
      </c>
      <c r="AE293" s="18">
        <v>46333</v>
      </c>
      <c r="AF293" s="18"/>
      <c r="AG293" s="18">
        <v>30</v>
      </c>
      <c r="AH293" s="18">
        <v>46335</v>
      </c>
      <c r="AI293" s="18">
        <v>46362.02</v>
      </c>
      <c r="AJ293" s="18">
        <v>46367.02</v>
      </c>
      <c r="AK293" s="18">
        <v>46372.02</v>
      </c>
      <c r="AL293" s="18">
        <v>46375.02</v>
      </c>
      <c r="AM293" s="18">
        <v>46402.02</v>
      </c>
      <c r="AN293" s="57">
        <v>12.86</v>
      </c>
      <c r="AO293" s="58">
        <v>90.02</v>
      </c>
      <c r="AP293" s="77">
        <v>46372.02</v>
      </c>
      <c r="AQ293" s="77">
        <v>46368</v>
      </c>
      <c r="AR293" s="19"/>
      <c r="AS293" s="142" t="s">
        <v>826</v>
      </c>
      <c r="AT293" s="501"/>
      <c r="AU293" s="20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415"/>
      <c r="BG293" s="407"/>
      <c r="BH293" s="407"/>
    </row>
    <row r="294" spans="1:60" s="3" customFormat="1" ht="14.25" thickTop="1" thickBot="1" x14ac:dyDescent="0.45">
      <c r="A294" s="496"/>
      <c r="B294" s="92" t="s">
        <v>458</v>
      </c>
      <c r="C294" s="40" t="s">
        <v>160</v>
      </c>
      <c r="D294" s="42" t="s">
        <v>191</v>
      </c>
      <c r="E294" s="42" t="s">
        <v>159</v>
      </c>
      <c r="F294" s="45" t="s">
        <v>153</v>
      </c>
      <c r="G294" s="22" t="s">
        <v>51</v>
      </c>
      <c r="H294" s="40" t="s">
        <v>3</v>
      </c>
      <c r="I294" s="40" t="s">
        <v>286</v>
      </c>
      <c r="J294" s="42"/>
      <c r="K294" s="194"/>
      <c r="L294" s="42"/>
      <c r="M294" s="42"/>
      <c r="N294" s="42"/>
      <c r="O294" s="42"/>
      <c r="P294" s="175" t="s">
        <v>69</v>
      </c>
      <c r="Q294" s="25" t="s">
        <v>34</v>
      </c>
      <c r="R294" s="130">
        <v>46223</v>
      </c>
      <c r="S294" s="27"/>
      <c r="T294" s="27"/>
      <c r="U294" s="27"/>
      <c r="V294" s="27"/>
      <c r="W294" s="27"/>
      <c r="X294" s="144">
        <v>46290</v>
      </c>
      <c r="Y294" s="27">
        <f>X294+5</f>
        <v>46295</v>
      </c>
      <c r="Z294" s="27"/>
      <c r="AA294" s="144">
        <f>Y294</f>
        <v>46295</v>
      </c>
      <c r="AB294" s="27">
        <v>46284</v>
      </c>
      <c r="AC294" s="27">
        <v>46291</v>
      </c>
      <c r="AD294" s="27">
        <v>46319</v>
      </c>
      <c r="AE294" s="27">
        <v>46333</v>
      </c>
      <c r="AF294" s="27"/>
      <c r="AG294" s="27">
        <v>30</v>
      </c>
      <c r="AH294" s="27">
        <v>46335</v>
      </c>
      <c r="AI294" s="27">
        <v>46362.02</v>
      </c>
      <c r="AJ294" s="27">
        <v>46367.02</v>
      </c>
      <c r="AK294" s="27">
        <v>46372.02</v>
      </c>
      <c r="AL294" s="27">
        <v>46375.02</v>
      </c>
      <c r="AM294" s="27">
        <v>46402.02</v>
      </c>
      <c r="AN294" s="80"/>
      <c r="AO294" s="78"/>
      <c r="AP294" s="82">
        <f>AA294+AO293</f>
        <v>46385.02</v>
      </c>
      <c r="AQ294" s="82"/>
      <c r="AR294" s="28"/>
      <c r="AS294" s="140"/>
      <c r="AT294" s="502"/>
      <c r="AU294" s="20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415"/>
      <c r="BG294" s="407"/>
      <c r="BH294" s="407"/>
    </row>
    <row r="295" spans="1:60" s="3" customFormat="1" ht="14.25" thickTop="1" thickBot="1" x14ac:dyDescent="0.45">
      <c r="A295" s="497"/>
      <c r="B295" s="93" t="s">
        <v>458</v>
      </c>
      <c r="C295" s="31" t="s">
        <v>160</v>
      </c>
      <c r="D295" s="43" t="s">
        <v>463</v>
      </c>
      <c r="E295" s="44" t="s">
        <v>159</v>
      </c>
      <c r="F295" s="33" t="s">
        <v>153</v>
      </c>
      <c r="G295" s="31" t="s">
        <v>51</v>
      </c>
      <c r="H295" s="31" t="s">
        <v>3</v>
      </c>
      <c r="I295" s="31" t="s">
        <v>286</v>
      </c>
      <c r="J295" s="44"/>
      <c r="K295" s="195"/>
      <c r="L295" s="44"/>
      <c r="M295" s="44"/>
      <c r="N295" s="44"/>
      <c r="O295" s="44"/>
      <c r="P295" s="176" t="s">
        <v>69</v>
      </c>
      <c r="Q295" s="34" t="s">
        <v>35</v>
      </c>
      <c r="R295" s="35"/>
      <c r="S295" s="35">
        <v>46171</v>
      </c>
      <c r="T295" s="35">
        <v>46174</v>
      </c>
      <c r="U295" s="35">
        <v>46206</v>
      </c>
      <c r="V295" s="35">
        <v>46206</v>
      </c>
      <c r="W295" s="35">
        <v>46227</v>
      </c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81"/>
      <c r="AO295" s="79"/>
      <c r="AP295" s="36"/>
      <c r="AQ295" s="36"/>
      <c r="AR295" s="37"/>
      <c r="AS295" s="141"/>
      <c r="AT295" s="503"/>
      <c r="AU295" s="38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415"/>
      <c r="BG295" s="407"/>
      <c r="BH295" s="407"/>
    </row>
    <row r="296" spans="1:60" s="3" customFormat="1" ht="20.65" customHeight="1" thickTop="1" thickBot="1" x14ac:dyDescent="0.45">
      <c r="A296" s="495">
        <f>A293+1</f>
        <v>83</v>
      </c>
      <c r="B296" s="91" t="s">
        <v>547</v>
      </c>
      <c r="C296" s="16" t="s">
        <v>413</v>
      </c>
      <c r="D296" s="338" t="s">
        <v>591</v>
      </c>
      <c r="E296" s="63" t="s">
        <v>159</v>
      </c>
      <c r="F296" s="15" t="s">
        <v>153</v>
      </c>
      <c r="G296" s="13" t="s">
        <v>180</v>
      </c>
      <c r="H296" s="13" t="s">
        <v>0</v>
      </c>
      <c r="I296" s="13" t="s">
        <v>323</v>
      </c>
      <c r="J296" s="492" t="s">
        <v>1088</v>
      </c>
      <c r="K296" s="220"/>
      <c r="L296" s="41"/>
      <c r="M296" s="41"/>
      <c r="N296" s="41"/>
      <c r="O296" s="41"/>
      <c r="P296" s="174" t="s">
        <v>69</v>
      </c>
      <c r="Q296" s="17" t="s">
        <v>33</v>
      </c>
      <c r="R296" s="18">
        <v>46135</v>
      </c>
      <c r="S296" s="18">
        <v>46150</v>
      </c>
      <c r="T296" s="18">
        <v>46165</v>
      </c>
      <c r="U296" s="18">
        <v>46167</v>
      </c>
      <c r="V296" s="18">
        <v>46167</v>
      </c>
      <c r="W296" s="18">
        <v>46172</v>
      </c>
      <c r="X296" s="18">
        <v>46175</v>
      </c>
      <c r="Y296" s="18">
        <v>46180</v>
      </c>
      <c r="Z296" s="18"/>
      <c r="AA296" s="18">
        <v>46183</v>
      </c>
      <c r="AB296" s="18">
        <v>46185</v>
      </c>
      <c r="AC296" s="56">
        <v>46132</v>
      </c>
      <c r="AD296" s="56">
        <v>46135</v>
      </c>
      <c r="AE296" s="56">
        <v>46162</v>
      </c>
      <c r="AF296" s="18">
        <v>46198</v>
      </c>
      <c r="AG296" s="18">
        <v>46200</v>
      </c>
      <c r="AH296" s="18">
        <v>46202</v>
      </c>
      <c r="AI296" s="18">
        <v>46232</v>
      </c>
      <c r="AJ296" s="18">
        <v>46239</v>
      </c>
      <c r="AK296" s="18">
        <v>46244</v>
      </c>
      <c r="AL296" s="18">
        <v>46247</v>
      </c>
      <c r="AM296" s="206">
        <v>46274</v>
      </c>
      <c r="AN296" s="57">
        <v>8.5</v>
      </c>
      <c r="AO296" s="58">
        <v>59.5</v>
      </c>
      <c r="AP296" s="77">
        <v>46244</v>
      </c>
      <c r="AQ296" s="77">
        <v>46249</v>
      </c>
      <c r="AR296" s="76">
        <f>AQ296-AP297</f>
        <v>5</v>
      </c>
      <c r="AS296" s="139" t="s">
        <v>499</v>
      </c>
      <c r="AT296" s="498" t="s">
        <v>528</v>
      </c>
      <c r="AU296" s="20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415" t="s">
        <v>968</v>
      </c>
      <c r="BG296" s="407"/>
      <c r="BH296" s="407"/>
    </row>
    <row r="297" spans="1:60" s="3" customFormat="1" ht="20.75" customHeight="1" thickTop="1" thickBot="1" x14ac:dyDescent="0.45">
      <c r="A297" s="496"/>
      <c r="B297" s="97" t="s">
        <v>547</v>
      </c>
      <c r="C297" s="238" t="s">
        <v>413</v>
      </c>
      <c r="D297" s="239" t="s">
        <v>591</v>
      </c>
      <c r="E297" s="117" t="s">
        <v>159</v>
      </c>
      <c r="F297" s="118" t="s">
        <v>153</v>
      </c>
      <c r="G297" s="119" t="s">
        <v>31</v>
      </c>
      <c r="H297" s="116" t="s">
        <v>0</v>
      </c>
      <c r="I297" s="116" t="s">
        <v>323</v>
      </c>
      <c r="J297" s="482" t="s">
        <v>968</v>
      </c>
      <c r="K297" s="304"/>
      <c r="L297" s="117"/>
      <c r="M297" s="117"/>
      <c r="N297" s="117"/>
      <c r="O297" s="117"/>
      <c r="P297" s="180" t="s">
        <v>69</v>
      </c>
      <c r="Q297" s="120" t="s">
        <v>329</v>
      </c>
      <c r="R297" s="121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8"/>
      <c r="AG297" s="82"/>
      <c r="AH297" s="82"/>
      <c r="AI297" s="82"/>
      <c r="AJ297" s="82"/>
      <c r="AK297" s="82"/>
      <c r="AL297" s="27"/>
      <c r="AM297" s="27">
        <f>AM296</f>
        <v>46274</v>
      </c>
      <c r="AN297" s="123"/>
      <c r="AO297" s="124"/>
      <c r="AP297" s="82">
        <v>46244</v>
      </c>
      <c r="AQ297" s="125"/>
      <c r="AR297" s="124"/>
      <c r="AS297" s="124"/>
      <c r="AT297" s="499"/>
      <c r="AU297" s="38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415"/>
      <c r="BG297" s="407"/>
      <c r="BH297" s="407"/>
    </row>
    <row r="298" spans="1:60" s="3" customFormat="1" ht="20.75" customHeight="1" thickBot="1" x14ac:dyDescent="0.45">
      <c r="A298" s="497"/>
      <c r="B298" s="93" t="s">
        <v>547</v>
      </c>
      <c r="C298" s="71" t="s">
        <v>413</v>
      </c>
      <c r="D298" s="32" t="s">
        <v>671</v>
      </c>
      <c r="E298" s="44" t="s">
        <v>159</v>
      </c>
      <c r="F298" s="33" t="s">
        <v>153</v>
      </c>
      <c r="G298" s="31" t="s">
        <v>180</v>
      </c>
      <c r="H298" s="31" t="s">
        <v>0</v>
      </c>
      <c r="I298" s="31" t="s">
        <v>323</v>
      </c>
      <c r="J298" s="44"/>
      <c r="K298" s="195"/>
      <c r="L298" s="44"/>
      <c r="M298" s="44"/>
      <c r="N298" s="44"/>
      <c r="O298" s="44"/>
      <c r="P298" s="176" t="s">
        <v>69</v>
      </c>
      <c r="Q298" s="34" t="s">
        <v>330</v>
      </c>
      <c r="R298" s="35">
        <v>46120</v>
      </c>
      <c r="S298" s="35">
        <v>46148</v>
      </c>
      <c r="T298" s="35">
        <v>46157</v>
      </c>
      <c r="U298" s="36">
        <v>46167</v>
      </c>
      <c r="V298" s="35">
        <v>46167</v>
      </c>
      <c r="W298" s="35">
        <v>46172</v>
      </c>
      <c r="X298" s="35">
        <v>46185</v>
      </c>
      <c r="Y298" s="35">
        <v>46192</v>
      </c>
      <c r="Z298" s="35"/>
      <c r="AA298" s="129">
        <v>46195</v>
      </c>
      <c r="AB298" s="129">
        <v>46195</v>
      </c>
      <c r="AC298" s="35">
        <v>46132</v>
      </c>
      <c r="AD298" s="35">
        <v>46193</v>
      </c>
      <c r="AE298" s="35">
        <v>46193</v>
      </c>
      <c r="AF298" s="35">
        <v>46199</v>
      </c>
      <c r="AG298" s="35">
        <v>46199</v>
      </c>
      <c r="AH298" s="35">
        <v>46199</v>
      </c>
      <c r="AI298" s="35">
        <v>46241</v>
      </c>
      <c r="AJ298" s="35">
        <v>46241</v>
      </c>
      <c r="AK298" s="35">
        <v>46244</v>
      </c>
      <c r="AL298" s="35">
        <v>46244</v>
      </c>
      <c r="AM298" s="35"/>
      <c r="AN298" s="81"/>
      <c r="AO298" s="79"/>
      <c r="AP298" s="36"/>
      <c r="AQ298" s="36"/>
      <c r="AR298" s="79"/>
      <c r="AS298" s="143"/>
      <c r="AT298" s="500"/>
      <c r="AU298" s="38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415"/>
      <c r="BG298" s="407"/>
      <c r="BH298" s="407"/>
    </row>
    <row r="299" spans="1:60" s="3" customFormat="1" ht="20.65" customHeight="1" thickTop="1" thickBot="1" x14ac:dyDescent="0.45">
      <c r="A299" s="495">
        <f>A296+1</f>
        <v>84</v>
      </c>
      <c r="B299" s="91" t="s">
        <v>547</v>
      </c>
      <c r="C299" s="16" t="s">
        <v>588</v>
      </c>
      <c r="D299" s="338" t="s">
        <v>536</v>
      </c>
      <c r="E299" s="63" t="s">
        <v>159</v>
      </c>
      <c r="F299" s="15" t="s">
        <v>153</v>
      </c>
      <c r="G299" s="13" t="s">
        <v>180</v>
      </c>
      <c r="H299" s="13" t="s">
        <v>0</v>
      </c>
      <c r="I299" s="13" t="s">
        <v>323</v>
      </c>
      <c r="J299" s="492" t="s">
        <v>1088</v>
      </c>
      <c r="K299" s="220"/>
      <c r="L299" s="41"/>
      <c r="M299" s="41"/>
      <c r="N299" s="41"/>
      <c r="O299" s="41"/>
      <c r="P299" s="174" t="s">
        <v>69</v>
      </c>
      <c r="Q299" s="17" t="s">
        <v>33</v>
      </c>
      <c r="R299" s="18">
        <v>46135</v>
      </c>
      <c r="S299" s="18">
        <v>46150</v>
      </c>
      <c r="T299" s="18">
        <v>46165</v>
      </c>
      <c r="U299" s="18">
        <v>46167</v>
      </c>
      <c r="V299" s="18">
        <v>46167</v>
      </c>
      <c r="W299" s="18">
        <v>46172</v>
      </c>
      <c r="X299" s="18">
        <v>46175</v>
      </c>
      <c r="Y299" s="18">
        <v>46180</v>
      </c>
      <c r="Z299" s="18"/>
      <c r="AA299" s="18">
        <v>46183</v>
      </c>
      <c r="AB299" s="18">
        <v>46185</v>
      </c>
      <c r="AC299" s="56">
        <v>46132</v>
      </c>
      <c r="AD299" s="56">
        <v>46135</v>
      </c>
      <c r="AE299" s="56">
        <v>46162</v>
      </c>
      <c r="AF299" s="18">
        <v>46198</v>
      </c>
      <c r="AG299" s="18">
        <v>46221</v>
      </c>
      <c r="AH299" s="18">
        <v>46214</v>
      </c>
      <c r="AI299" s="18">
        <v>46244</v>
      </c>
      <c r="AJ299" s="18">
        <v>46251</v>
      </c>
      <c r="AK299" s="18">
        <v>46256</v>
      </c>
      <c r="AL299" s="206">
        <v>46259</v>
      </c>
      <c r="AM299" s="18">
        <v>46286</v>
      </c>
      <c r="AN299" s="57">
        <v>8.5</v>
      </c>
      <c r="AO299" s="58">
        <v>59.5</v>
      </c>
      <c r="AP299" s="77">
        <v>46256</v>
      </c>
      <c r="AQ299" s="77">
        <v>46280</v>
      </c>
      <c r="AR299" s="76">
        <f>AQ299-AP300</f>
        <v>24</v>
      </c>
      <c r="AS299" s="139" t="s">
        <v>499</v>
      </c>
      <c r="AT299" s="498" t="s">
        <v>528</v>
      </c>
      <c r="AU299" s="20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415" t="s">
        <v>968</v>
      </c>
      <c r="BG299" s="407"/>
      <c r="BH299" s="407"/>
    </row>
    <row r="300" spans="1:60" s="3" customFormat="1" ht="20.75" customHeight="1" thickTop="1" thickBot="1" x14ac:dyDescent="0.45">
      <c r="A300" s="496"/>
      <c r="B300" s="97" t="s">
        <v>547</v>
      </c>
      <c r="C300" s="238" t="s">
        <v>588</v>
      </c>
      <c r="D300" s="239" t="s">
        <v>536</v>
      </c>
      <c r="E300" s="117" t="s">
        <v>159</v>
      </c>
      <c r="F300" s="118" t="s">
        <v>153</v>
      </c>
      <c r="G300" s="119" t="s">
        <v>31</v>
      </c>
      <c r="H300" s="116" t="s">
        <v>0</v>
      </c>
      <c r="I300" s="116" t="s">
        <v>323</v>
      </c>
      <c r="J300" s="482" t="s">
        <v>968</v>
      </c>
      <c r="K300" s="304"/>
      <c r="L300" s="117"/>
      <c r="M300" s="117"/>
      <c r="N300" s="117"/>
      <c r="O300" s="117"/>
      <c r="P300" s="180" t="s">
        <v>69</v>
      </c>
      <c r="Q300" s="120" t="s">
        <v>329</v>
      </c>
      <c r="R300" s="121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  <c r="AF300" s="128"/>
      <c r="AG300" s="82"/>
      <c r="AH300" s="82"/>
      <c r="AI300" s="82"/>
      <c r="AJ300" s="82"/>
      <c r="AK300" s="82"/>
      <c r="AL300" s="27">
        <v>46259</v>
      </c>
      <c r="AM300" s="27">
        <v>46286</v>
      </c>
      <c r="AN300" s="123"/>
      <c r="AO300" s="124"/>
      <c r="AP300" s="82">
        <v>46256</v>
      </c>
      <c r="AQ300" s="125"/>
      <c r="AR300" s="124"/>
      <c r="AS300" s="124"/>
      <c r="AT300" s="499"/>
      <c r="AU300" s="38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415"/>
      <c r="BG300" s="407"/>
      <c r="BH300" s="407"/>
    </row>
    <row r="301" spans="1:60" s="3" customFormat="1" ht="20.75" customHeight="1" thickBot="1" x14ac:dyDescent="0.45">
      <c r="A301" s="497"/>
      <c r="B301" s="93" t="s">
        <v>547</v>
      </c>
      <c r="C301" s="71" t="s">
        <v>588</v>
      </c>
      <c r="D301" s="32" t="s">
        <v>536</v>
      </c>
      <c r="E301" s="44" t="s">
        <v>159</v>
      </c>
      <c r="F301" s="33" t="s">
        <v>153</v>
      </c>
      <c r="G301" s="31" t="s">
        <v>180</v>
      </c>
      <c r="H301" s="31" t="s">
        <v>0</v>
      </c>
      <c r="I301" s="31" t="s">
        <v>323</v>
      </c>
      <c r="J301" s="44"/>
      <c r="K301" s="195"/>
      <c r="L301" s="44"/>
      <c r="M301" s="44"/>
      <c r="N301" s="44"/>
      <c r="O301" s="44"/>
      <c r="P301" s="176" t="s">
        <v>69</v>
      </c>
      <c r="Q301" s="34" t="s">
        <v>330</v>
      </c>
      <c r="R301" s="35">
        <v>46120</v>
      </c>
      <c r="S301" s="35">
        <v>46148</v>
      </c>
      <c r="T301" s="35">
        <v>46157</v>
      </c>
      <c r="U301" s="36">
        <v>46167</v>
      </c>
      <c r="V301" s="35">
        <v>46167</v>
      </c>
      <c r="W301" s="35">
        <v>46172</v>
      </c>
      <c r="X301" s="35">
        <v>46185</v>
      </c>
      <c r="Y301" s="35">
        <v>46192</v>
      </c>
      <c r="Z301" s="35"/>
      <c r="AA301" s="129">
        <v>46195</v>
      </c>
      <c r="AB301" s="129">
        <v>46195</v>
      </c>
      <c r="AC301" s="35">
        <v>46132</v>
      </c>
      <c r="AD301" s="35">
        <v>46193</v>
      </c>
      <c r="AE301" s="35">
        <v>46193</v>
      </c>
      <c r="AF301" s="35">
        <v>46199</v>
      </c>
      <c r="AG301" s="35">
        <v>46199</v>
      </c>
      <c r="AH301" s="35">
        <v>46199</v>
      </c>
      <c r="AI301" s="35">
        <v>46244</v>
      </c>
      <c r="AJ301" s="35">
        <v>46244</v>
      </c>
      <c r="AK301" s="35">
        <v>46244</v>
      </c>
      <c r="AL301" s="35"/>
      <c r="AM301" s="35"/>
      <c r="AN301" s="81"/>
      <c r="AO301" s="79"/>
      <c r="AP301" s="36"/>
      <c r="AQ301" s="36"/>
      <c r="AR301" s="79"/>
      <c r="AS301" s="143"/>
      <c r="AT301" s="500"/>
      <c r="AU301" s="38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415"/>
      <c r="BG301" s="407"/>
      <c r="BH301" s="407"/>
    </row>
    <row r="302" spans="1:60" s="3" customFormat="1" ht="20.65" customHeight="1" thickTop="1" thickBot="1" x14ac:dyDescent="0.45">
      <c r="A302" s="495">
        <f>A299+1</f>
        <v>85</v>
      </c>
      <c r="B302" s="91" t="s">
        <v>547</v>
      </c>
      <c r="C302" s="16" t="s">
        <v>589</v>
      </c>
      <c r="D302" s="338" t="s">
        <v>592</v>
      </c>
      <c r="E302" s="63" t="s">
        <v>159</v>
      </c>
      <c r="F302" s="15" t="s">
        <v>153</v>
      </c>
      <c r="G302" s="13" t="s">
        <v>180</v>
      </c>
      <c r="H302" s="13" t="s">
        <v>0</v>
      </c>
      <c r="I302" s="13" t="s">
        <v>323</v>
      </c>
      <c r="J302" s="492" t="s">
        <v>1088</v>
      </c>
      <c r="K302" s="220"/>
      <c r="L302" s="41"/>
      <c r="M302" s="41"/>
      <c r="N302" s="41"/>
      <c r="O302" s="41"/>
      <c r="P302" s="174" t="s">
        <v>69</v>
      </c>
      <c r="Q302" s="17" t="s">
        <v>33</v>
      </c>
      <c r="R302" s="18">
        <v>46135</v>
      </c>
      <c r="S302" s="18">
        <v>46150</v>
      </c>
      <c r="T302" s="18">
        <v>46165</v>
      </c>
      <c r="U302" s="18">
        <v>46167</v>
      </c>
      <c r="V302" s="18">
        <v>46167</v>
      </c>
      <c r="W302" s="18">
        <v>46172</v>
      </c>
      <c r="X302" s="18">
        <v>46175</v>
      </c>
      <c r="Y302" s="18">
        <v>46180</v>
      </c>
      <c r="Z302" s="18"/>
      <c r="AA302" s="18">
        <v>46183</v>
      </c>
      <c r="AB302" s="18">
        <v>46185</v>
      </c>
      <c r="AC302" s="56">
        <v>46132</v>
      </c>
      <c r="AD302" s="56">
        <v>46135</v>
      </c>
      <c r="AE302" s="56">
        <v>46162</v>
      </c>
      <c r="AF302" s="18">
        <v>46198</v>
      </c>
      <c r="AG302" s="18">
        <v>46242</v>
      </c>
      <c r="AH302" s="18">
        <v>46226</v>
      </c>
      <c r="AI302" s="18">
        <v>46256</v>
      </c>
      <c r="AJ302" s="18">
        <v>46263</v>
      </c>
      <c r="AK302" s="18">
        <v>46268</v>
      </c>
      <c r="AL302" s="206">
        <v>46271</v>
      </c>
      <c r="AM302" s="18">
        <v>46298</v>
      </c>
      <c r="AN302" s="57">
        <v>8.5</v>
      </c>
      <c r="AO302" s="58">
        <v>59.5</v>
      </c>
      <c r="AP302" s="77">
        <v>46268</v>
      </c>
      <c r="AQ302" s="77">
        <v>46292</v>
      </c>
      <c r="AR302" s="76">
        <f>AQ302-AP303</f>
        <v>24</v>
      </c>
      <c r="AS302" s="139" t="s">
        <v>499</v>
      </c>
      <c r="AT302" s="498" t="s">
        <v>528</v>
      </c>
      <c r="AU302" s="20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415" t="s">
        <v>968</v>
      </c>
      <c r="BG302" s="407"/>
      <c r="BH302" s="407"/>
    </row>
    <row r="303" spans="1:60" s="3" customFormat="1" ht="20.75" customHeight="1" thickTop="1" thickBot="1" x14ac:dyDescent="0.45">
      <c r="A303" s="496"/>
      <c r="B303" s="97" t="s">
        <v>547</v>
      </c>
      <c r="C303" s="238" t="s">
        <v>589</v>
      </c>
      <c r="D303" s="239" t="s">
        <v>592</v>
      </c>
      <c r="E303" s="117" t="s">
        <v>159</v>
      </c>
      <c r="F303" s="118" t="s">
        <v>153</v>
      </c>
      <c r="G303" s="119" t="s">
        <v>31</v>
      </c>
      <c r="H303" s="116" t="s">
        <v>0</v>
      </c>
      <c r="I303" s="116" t="s">
        <v>323</v>
      </c>
      <c r="J303" s="482" t="s">
        <v>968</v>
      </c>
      <c r="K303" s="304"/>
      <c r="L303" s="117"/>
      <c r="M303" s="117"/>
      <c r="N303" s="117"/>
      <c r="O303" s="117"/>
      <c r="P303" s="180" t="s">
        <v>69</v>
      </c>
      <c r="Q303" s="120" t="s">
        <v>329</v>
      </c>
      <c r="R303" s="121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8"/>
      <c r="AG303" s="82"/>
      <c r="AH303" s="82"/>
      <c r="AI303" s="82"/>
      <c r="AJ303" s="82"/>
      <c r="AK303" s="82"/>
      <c r="AL303" s="27">
        <v>46271</v>
      </c>
      <c r="AM303" s="27">
        <v>46298</v>
      </c>
      <c r="AN303" s="123"/>
      <c r="AO303" s="124"/>
      <c r="AP303" s="82">
        <v>46268</v>
      </c>
      <c r="AQ303" s="125"/>
      <c r="AR303" s="124"/>
      <c r="AS303" s="124"/>
      <c r="AT303" s="499"/>
      <c r="AU303" s="38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415"/>
      <c r="BG303" s="407"/>
      <c r="BH303" s="407"/>
    </row>
    <row r="304" spans="1:60" s="3" customFormat="1" ht="20.75" customHeight="1" thickBot="1" x14ac:dyDescent="0.45">
      <c r="A304" s="497"/>
      <c r="B304" s="93" t="s">
        <v>547</v>
      </c>
      <c r="C304" s="71" t="s">
        <v>589</v>
      </c>
      <c r="D304" s="32" t="s">
        <v>592</v>
      </c>
      <c r="E304" s="44" t="s">
        <v>159</v>
      </c>
      <c r="F304" s="33" t="s">
        <v>153</v>
      </c>
      <c r="G304" s="31" t="s">
        <v>180</v>
      </c>
      <c r="H304" s="31" t="s">
        <v>0</v>
      </c>
      <c r="I304" s="31" t="s">
        <v>323</v>
      </c>
      <c r="J304" s="44"/>
      <c r="K304" s="195"/>
      <c r="L304" s="44"/>
      <c r="M304" s="44"/>
      <c r="N304" s="44"/>
      <c r="O304" s="44"/>
      <c r="P304" s="176" t="s">
        <v>69</v>
      </c>
      <c r="Q304" s="34" t="s">
        <v>330</v>
      </c>
      <c r="R304" s="35">
        <v>46120</v>
      </c>
      <c r="S304" s="35">
        <v>46148</v>
      </c>
      <c r="T304" s="35">
        <v>46157</v>
      </c>
      <c r="U304" s="36">
        <v>46167</v>
      </c>
      <c r="V304" s="35">
        <v>46167</v>
      </c>
      <c r="W304" s="35">
        <v>46172</v>
      </c>
      <c r="X304" s="35">
        <v>46185</v>
      </c>
      <c r="Y304" s="35">
        <v>46192</v>
      </c>
      <c r="Z304" s="35"/>
      <c r="AA304" s="129">
        <v>46195</v>
      </c>
      <c r="AB304" s="129">
        <v>46195</v>
      </c>
      <c r="AC304" s="35">
        <v>46132</v>
      </c>
      <c r="AD304" s="35">
        <v>46193</v>
      </c>
      <c r="AE304" s="35">
        <v>46193</v>
      </c>
      <c r="AF304" s="35">
        <v>46199</v>
      </c>
      <c r="AG304" s="35">
        <v>46199</v>
      </c>
      <c r="AH304" s="35">
        <v>46199</v>
      </c>
      <c r="AI304" s="35">
        <v>46244</v>
      </c>
      <c r="AJ304" s="35">
        <v>46244</v>
      </c>
      <c r="AK304" s="35">
        <v>46244</v>
      </c>
      <c r="AL304" s="35"/>
      <c r="AM304" s="35"/>
      <c r="AN304" s="81"/>
      <c r="AO304" s="79"/>
      <c r="AP304" s="36"/>
      <c r="AQ304" s="36"/>
      <c r="AR304" s="79"/>
      <c r="AS304" s="143"/>
      <c r="AT304" s="500"/>
      <c r="AU304" s="38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415"/>
      <c r="BG304" s="407"/>
      <c r="BH304" s="407"/>
    </row>
    <row r="305" spans="1:61" s="3" customFormat="1" ht="20.65" customHeight="1" thickTop="1" thickBot="1" x14ac:dyDescent="0.45">
      <c r="A305" s="495">
        <f>A302+1</f>
        <v>86</v>
      </c>
      <c r="B305" s="91" t="s">
        <v>547</v>
      </c>
      <c r="C305" s="16" t="s">
        <v>414</v>
      </c>
      <c r="D305" s="338" t="s">
        <v>593</v>
      </c>
      <c r="E305" s="63" t="s">
        <v>159</v>
      </c>
      <c r="F305" s="15" t="s">
        <v>153</v>
      </c>
      <c r="G305" s="13" t="s">
        <v>180</v>
      </c>
      <c r="H305" s="13" t="s">
        <v>0</v>
      </c>
      <c r="I305" s="13" t="s">
        <v>323</v>
      </c>
      <c r="J305" s="492" t="s">
        <v>1088</v>
      </c>
      <c r="K305" s="220"/>
      <c r="L305" s="41"/>
      <c r="M305" s="41"/>
      <c r="N305" s="41"/>
      <c r="O305" s="41"/>
      <c r="P305" s="174" t="s">
        <v>69</v>
      </c>
      <c r="Q305" s="17" t="s">
        <v>33</v>
      </c>
      <c r="R305" s="18">
        <v>46135</v>
      </c>
      <c r="S305" s="18">
        <v>46150</v>
      </c>
      <c r="T305" s="18">
        <v>46165</v>
      </c>
      <c r="U305" s="18">
        <v>46167</v>
      </c>
      <c r="V305" s="18">
        <v>46167</v>
      </c>
      <c r="W305" s="18">
        <v>46172</v>
      </c>
      <c r="X305" s="18">
        <v>46175</v>
      </c>
      <c r="Y305" s="18">
        <v>46180</v>
      </c>
      <c r="Z305" s="18"/>
      <c r="AA305" s="18">
        <v>46183</v>
      </c>
      <c r="AB305" s="18">
        <v>46185</v>
      </c>
      <c r="AC305" s="56">
        <v>46132</v>
      </c>
      <c r="AD305" s="56">
        <v>46135</v>
      </c>
      <c r="AE305" s="56">
        <v>46162</v>
      </c>
      <c r="AF305" s="18">
        <v>46198</v>
      </c>
      <c r="AG305" s="18">
        <v>46263</v>
      </c>
      <c r="AH305" s="18">
        <v>46238</v>
      </c>
      <c r="AI305" s="206">
        <v>46268</v>
      </c>
      <c r="AJ305" s="18">
        <v>46275</v>
      </c>
      <c r="AK305" s="18">
        <v>46280</v>
      </c>
      <c r="AL305" s="18">
        <v>46283</v>
      </c>
      <c r="AM305" s="18">
        <v>46310</v>
      </c>
      <c r="AN305" s="57">
        <v>8.5</v>
      </c>
      <c r="AO305" s="58">
        <v>59.5</v>
      </c>
      <c r="AP305" s="77">
        <v>46280</v>
      </c>
      <c r="AQ305" s="77">
        <v>46272</v>
      </c>
      <c r="AR305" s="76">
        <f>AQ305-AP306</f>
        <v>-8</v>
      </c>
      <c r="AS305" s="139" t="s">
        <v>499</v>
      </c>
      <c r="AT305" s="498" t="s">
        <v>528</v>
      </c>
      <c r="AU305" s="20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415" t="s">
        <v>968</v>
      </c>
      <c r="BG305" s="407"/>
      <c r="BH305" s="407"/>
    </row>
    <row r="306" spans="1:61" s="3" customFormat="1" ht="20.75" customHeight="1" thickTop="1" thickBot="1" x14ac:dyDescent="0.45">
      <c r="A306" s="496"/>
      <c r="B306" s="97" t="s">
        <v>547</v>
      </c>
      <c r="C306" s="238" t="s">
        <v>414</v>
      </c>
      <c r="D306" s="239" t="s">
        <v>593</v>
      </c>
      <c r="E306" s="117" t="s">
        <v>159</v>
      </c>
      <c r="F306" s="118" t="s">
        <v>153</v>
      </c>
      <c r="G306" s="119" t="s">
        <v>31</v>
      </c>
      <c r="H306" s="116" t="s">
        <v>0</v>
      </c>
      <c r="I306" s="116" t="s">
        <v>323</v>
      </c>
      <c r="J306" s="482" t="s">
        <v>968</v>
      </c>
      <c r="K306" s="304"/>
      <c r="L306" s="117"/>
      <c r="M306" s="117"/>
      <c r="N306" s="117"/>
      <c r="O306" s="117"/>
      <c r="P306" s="180" t="s">
        <v>69</v>
      </c>
      <c r="Q306" s="120" t="s">
        <v>329</v>
      </c>
      <c r="R306" s="121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  <c r="AF306" s="128"/>
      <c r="AG306" s="82"/>
      <c r="AH306" s="82"/>
      <c r="AI306" s="82">
        <v>46268</v>
      </c>
      <c r="AJ306" s="82">
        <f>AJ305</f>
        <v>46275</v>
      </c>
      <c r="AK306" s="82">
        <v>46280</v>
      </c>
      <c r="AL306" s="27">
        <v>46283</v>
      </c>
      <c r="AM306" s="27">
        <v>46310</v>
      </c>
      <c r="AN306" s="123"/>
      <c r="AO306" s="124"/>
      <c r="AP306" s="82">
        <v>46280</v>
      </c>
      <c r="AQ306" s="125"/>
      <c r="AR306" s="124"/>
      <c r="AS306" s="124"/>
      <c r="AT306" s="499"/>
      <c r="AU306" s="38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415"/>
      <c r="BG306" s="407"/>
      <c r="BH306" s="407"/>
    </row>
    <row r="307" spans="1:61" s="3" customFormat="1" ht="20.75" customHeight="1" thickBot="1" x14ac:dyDescent="0.45">
      <c r="A307" s="497"/>
      <c r="B307" s="93" t="s">
        <v>547</v>
      </c>
      <c r="C307" s="71" t="s">
        <v>414</v>
      </c>
      <c r="D307" s="32" t="s">
        <v>593</v>
      </c>
      <c r="E307" s="44" t="s">
        <v>159</v>
      </c>
      <c r="F307" s="33" t="s">
        <v>153</v>
      </c>
      <c r="G307" s="31" t="s">
        <v>180</v>
      </c>
      <c r="H307" s="31" t="s">
        <v>0</v>
      </c>
      <c r="I307" s="31" t="s">
        <v>323</v>
      </c>
      <c r="J307" s="44"/>
      <c r="K307" s="195"/>
      <c r="L307" s="44"/>
      <c r="M307" s="44"/>
      <c r="N307" s="44"/>
      <c r="O307" s="44"/>
      <c r="P307" s="176" t="s">
        <v>69</v>
      </c>
      <c r="Q307" s="34" t="s">
        <v>330</v>
      </c>
      <c r="R307" s="35">
        <v>46120</v>
      </c>
      <c r="S307" s="35">
        <v>46148</v>
      </c>
      <c r="T307" s="35">
        <v>46157</v>
      </c>
      <c r="U307" s="36">
        <v>46167</v>
      </c>
      <c r="V307" s="35">
        <v>46167</v>
      </c>
      <c r="W307" s="35">
        <v>46172</v>
      </c>
      <c r="X307" s="35">
        <v>46185</v>
      </c>
      <c r="Y307" s="35">
        <v>46192</v>
      </c>
      <c r="Z307" s="35"/>
      <c r="AA307" s="129">
        <v>46195</v>
      </c>
      <c r="AB307" s="129">
        <v>46195</v>
      </c>
      <c r="AC307" s="35">
        <v>46132</v>
      </c>
      <c r="AD307" s="35">
        <v>46193</v>
      </c>
      <c r="AE307" s="35">
        <v>46193</v>
      </c>
      <c r="AF307" s="35">
        <v>46199</v>
      </c>
      <c r="AG307" s="35">
        <v>46199</v>
      </c>
      <c r="AH307" s="35">
        <v>46199</v>
      </c>
      <c r="AI307" s="35"/>
      <c r="AJ307" s="35"/>
      <c r="AK307" s="35"/>
      <c r="AL307" s="35"/>
      <c r="AM307" s="35"/>
      <c r="AN307" s="81"/>
      <c r="AO307" s="79"/>
      <c r="AP307" s="36"/>
      <c r="AQ307" s="36"/>
      <c r="AR307" s="79"/>
      <c r="AS307" s="143"/>
      <c r="AT307" s="500"/>
      <c r="AU307" s="38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415"/>
      <c r="BG307" s="407"/>
      <c r="BH307" s="407"/>
    </row>
    <row r="308" spans="1:61" s="3" customFormat="1" ht="20.65" customHeight="1" thickTop="1" thickBot="1" x14ac:dyDescent="0.45">
      <c r="A308" s="495">
        <f>A305+1</f>
        <v>87</v>
      </c>
      <c r="B308" s="91" t="s">
        <v>547</v>
      </c>
      <c r="C308" s="16" t="s">
        <v>415</v>
      </c>
      <c r="D308" s="338" t="s">
        <v>594</v>
      </c>
      <c r="E308" s="63" t="s">
        <v>159</v>
      </c>
      <c r="F308" s="15" t="s">
        <v>153</v>
      </c>
      <c r="G308" s="13" t="s">
        <v>180</v>
      </c>
      <c r="H308" s="13" t="s">
        <v>0</v>
      </c>
      <c r="I308" s="13" t="s">
        <v>323</v>
      </c>
      <c r="J308" s="492" t="s">
        <v>1088</v>
      </c>
      <c r="K308" s="220"/>
      <c r="L308" s="41"/>
      <c r="M308" s="41"/>
      <c r="N308" s="41"/>
      <c r="O308" s="41"/>
      <c r="P308" s="174" t="s">
        <v>69</v>
      </c>
      <c r="Q308" s="17" t="s">
        <v>33</v>
      </c>
      <c r="R308" s="18">
        <v>46135</v>
      </c>
      <c r="S308" s="18">
        <v>46150</v>
      </c>
      <c r="T308" s="18">
        <v>46165</v>
      </c>
      <c r="U308" s="18">
        <v>46167</v>
      </c>
      <c r="V308" s="18">
        <v>46167</v>
      </c>
      <c r="W308" s="18">
        <v>46172</v>
      </c>
      <c r="X308" s="18">
        <v>46175</v>
      </c>
      <c r="Y308" s="18">
        <v>46180</v>
      </c>
      <c r="Z308" s="18"/>
      <c r="AA308" s="18">
        <v>46183</v>
      </c>
      <c r="AB308" s="18">
        <v>46185</v>
      </c>
      <c r="AC308" s="56">
        <v>46132</v>
      </c>
      <c r="AD308" s="56">
        <v>46135</v>
      </c>
      <c r="AE308" s="56">
        <v>46162</v>
      </c>
      <c r="AF308" s="56">
        <v>46198</v>
      </c>
      <c r="AG308" s="56">
        <v>46207</v>
      </c>
      <c r="AH308" s="56">
        <v>46250</v>
      </c>
      <c r="AI308" s="206">
        <v>46280</v>
      </c>
      <c r="AJ308" s="18">
        <v>46287</v>
      </c>
      <c r="AK308" s="18">
        <v>46292</v>
      </c>
      <c r="AL308" s="18">
        <v>46295</v>
      </c>
      <c r="AM308" s="18">
        <v>46322</v>
      </c>
      <c r="AN308" s="57">
        <v>8.5</v>
      </c>
      <c r="AO308" s="58">
        <v>59.5</v>
      </c>
      <c r="AP308" s="77">
        <v>46292</v>
      </c>
      <c r="AQ308" s="77">
        <v>46300</v>
      </c>
      <c r="AR308" s="76">
        <f>AQ308-AP309</f>
        <v>8</v>
      </c>
      <c r="AS308" s="139" t="s">
        <v>499</v>
      </c>
      <c r="AT308" s="498" t="s">
        <v>528</v>
      </c>
      <c r="AU308" s="20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415" t="s">
        <v>1019</v>
      </c>
      <c r="BG308" s="407">
        <v>46293</v>
      </c>
      <c r="BH308" s="466">
        <v>160.44999999999999</v>
      </c>
      <c r="BI308" s="3" t="s">
        <v>1017</v>
      </c>
    </row>
    <row r="309" spans="1:61" s="3" customFormat="1" ht="20.75" customHeight="1" thickTop="1" thickBot="1" x14ac:dyDescent="0.45">
      <c r="A309" s="496"/>
      <c r="B309" s="97" t="s">
        <v>547</v>
      </c>
      <c r="C309" s="238" t="s">
        <v>415</v>
      </c>
      <c r="D309" s="239" t="s">
        <v>594</v>
      </c>
      <c r="E309" s="117" t="s">
        <v>159</v>
      </c>
      <c r="F309" s="118" t="s">
        <v>153</v>
      </c>
      <c r="G309" s="119" t="s">
        <v>31</v>
      </c>
      <c r="H309" s="116" t="s">
        <v>0</v>
      </c>
      <c r="I309" s="116" t="s">
        <v>323</v>
      </c>
      <c r="J309" s="482" t="s">
        <v>968</v>
      </c>
      <c r="K309" s="304"/>
      <c r="L309" s="117"/>
      <c r="M309" s="117"/>
      <c r="N309" s="117"/>
      <c r="O309" s="117"/>
      <c r="P309" s="180" t="s">
        <v>69</v>
      </c>
      <c r="Q309" s="120" t="s">
        <v>329</v>
      </c>
      <c r="R309" s="121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8"/>
      <c r="AG309" s="128"/>
      <c r="AH309" s="128"/>
      <c r="AI309" s="82">
        <f>AI308</f>
        <v>46280</v>
      </c>
      <c r="AJ309" s="82">
        <f>AJ308</f>
        <v>46287</v>
      </c>
      <c r="AK309" s="82">
        <v>46292</v>
      </c>
      <c r="AL309" s="27">
        <v>46295</v>
      </c>
      <c r="AM309" s="27">
        <v>46322</v>
      </c>
      <c r="AN309" s="123"/>
      <c r="AO309" s="124"/>
      <c r="AP309" s="82">
        <v>46292</v>
      </c>
      <c r="AQ309" s="125"/>
      <c r="AR309" s="124"/>
      <c r="AS309" s="124"/>
      <c r="AT309" s="499"/>
      <c r="AU309" s="38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415"/>
      <c r="BG309" s="407"/>
      <c r="BH309" s="407"/>
    </row>
    <row r="310" spans="1:61" s="3" customFormat="1" ht="20.75" customHeight="1" thickBot="1" x14ac:dyDescent="0.45">
      <c r="A310" s="497"/>
      <c r="B310" s="93" t="s">
        <v>547</v>
      </c>
      <c r="C310" s="71" t="s">
        <v>415</v>
      </c>
      <c r="D310" s="32" t="s">
        <v>594</v>
      </c>
      <c r="E310" s="44" t="s">
        <v>159</v>
      </c>
      <c r="F310" s="33" t="s">
        <v>153</v>
      </c>
      <c r="G310" s="31" t="s">
        <v>180</v>
      </c>
      <c r="H310" s="31" t="s">
        <v>0</v>
      </c>
      <c r="I310" s="31" t="s">
        <v>323</v>
      </c>
      <c r="J310" s="44"/>
      <c r="K310" s="195"/>
      <c r="L310" s="44"/>
      <c r="M310" s="44"/>
      <c r="N310" s="44"/>
      <c r="O310" s="44"/>
      <c r="P310" s="176" t="s">
        <v>69</v>
      </c>
      <c r="Q310" s="34" t="s">
        <v>330</v>
      </c>
      <c r="R310" s="35">
        <v>46120</v>
      </c>
      <c r="S310" s="35">
        <v>46148</v>
      </c>
      <c r="T310" s="35">
        <v>46157</v>
      </c>
      <c r="U310" s="36">
        <v>46167</v>
      </c>
      <c r="V310" s="35">
        <v>46167</v>
      </c>
      <c r="W310" s="35">
        <v>46172</v>
      </c>
      <c r="X310" s="35">
        <v>46185</v>
      </c>
      <c r="Y310" s="35">
        <v>46192</v>
      </c>
      <c r="Z310" s="35"/>
      <c r="AA310" s="129">
        <v>46206</v>
      </c>
      <c r="AB310" s="129">
        <v>46206</v>
      </c>
      <c r="AC310" s="35">
        <v>46132</v>
      </c>
      <c r="AD310" s="35">
        <v>46193</v>
      </c>
      <c r="AE310" s="35">
        <v>46193</v>
      </c>
      <c r="AF310" s="35">
        <v>46207</v>
      </c>
      <c r="AG310" s="35">
        <v>46207</v>
      </c>
      <c r="AH310" s="35">
        <v>46220</v>
      </c>
      <c r="AI310" s="35"/>
      <c r="AJ310" s="35"/>
      <c r="AK310" s="35"/>
      <c r="AL310" s="35"/>
      <c r="AM310" s="35"/>
      <c r="AN310" s="81"/>
      <c r="AO310" s="79"/>
      <c r="AP310" s="36"/>
      <c r="AQ310" s="36"/>
      <c r="AR310" s="79"/>
      <c r="AS310" s="143"/>
      <c r="AT310" s="500"/>
      <c r="AU310" s="38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415"/>
      <c r="BG310" s="407"/>
      <c r="BH310" s="407"/>
    </row>
    <row r="311" spans="1:61" s="3" customFormat="1" ht="20.65" customHeight="1" thickTop="1" thickBot="1" x14ac:dyDescent="0.45">
      <c r="A311" s="495">
        <f t="shared" ref="A311" si="50">A308+1</f>
        <v>88</v>
      </c>
      <c r="B311" s="91" t="s">
        <v>547</v>
      </c>
      <c r="C311" s="16" t="s">
        <v>530</v>
      </c>
      <c r="D311" s="338" t="s">
        <v>596</v>
      </c>
      <c r="E311" s="63" t="s">
        <v>159</v>
      </c>
      <c r="F311" s="15" t="s">
        <v>153</v>
      </c>
      <c r="G311" s="13" t="s">
        <v>180</v>
      </c>
      <c r="H311" s="13" t="s">
        <v>0</v>
      </c>
      <c r="I311" s="13" t="s">
        <v>323</v>
      </c>
      <c r="J311" s="492" t="s">
        <v>1088</v>
      </c>
      <c r="K311" s="220"/>
      <c r="L311" s="41"/>
      <c r="M311" s="41"/>
      <c r="N311" s="41"/>
      <c r="O311" s="41"/>
      <c r="P311" s="174" t="s">
        <v>69</v>
      </c>
      <c r="Q311" s="17" t="s">
        <v>33</v>
      </c>
      <c r="R311" s="18">
        <v>46135</v>
      </c>
      <c r="S311" s="18">
        <v>46150</v>
      </c>
      <c r="T311" s="18">
        <v>46165</v>
      </c>
      <c r="U311" s="18">
        <v>46167</v>
      </c>
      <c r="V311" s="18">
        <v>46167</v>
      </c>
      <c r="W311" s="18">
        <v>46172</v>
      </c>
      <c r="X311" s="18">
        <v>46175</v>
      </c>
      <c r="Y311" s="18">
        <v>46180</v>
      </c>
      <c r="Z311" s="18"/>
      <c r="AA311" s="18">
        <v>46183</v>
      </c>
      <c r="AB311" s="18">
        <v>46185</v>
      </c>
      <c r="AC311" s="56">
        <v>46132</v>
      </c>
      <c r="AD311" s="56">
        <v>46135</v>
      </c>
      <c r="AE311" s="56">
        <v>46162</v>
      </c>
      <c r="AF311" s="18">
        <v>46198</v>
      </c>
      <c r="AG311" s="18">
        <v>46305</v>
      </c>
      <c r="AH311" s="18">
        <v>46262</v>
      </c>
      <c r="AI311" s="18">
        <v>46292</v>
      </c>
      <c r="AJ311" s="18">
        <v>46299</v>
      </c>
      <c r="AK311" s="206">
        <v>46304</v>
      </c>
      <c r="AL311" s="18">
        <v>46307</v>
      </c>
      <c r="AM311" s="18">
        <v>46334</v>
      </c>
      <c r="AN311" s="57">
        <v>8.5</v>
      </c>
      <c r="AO311" s="58">
        <v>59.5</v>
      </c>
      <c r="AP311" s="77">
        <v>46304</v>
      </c>
      <c r="AQ311" s="77">
        <v>46278</v>
      </c>
      <c r="AR311" s="76">
        <f>AQ311-AP312</f>
        <v>-26</v>
      </c>
      <c r="AS311" s="139" t="s">
        <v>499</v>
      </c>
      <c r="AT311" s="498" t="s">
        <v>528</v>
      </c>
      <c r="AU311" s="20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415" t="s">
        <v>968</v>
      </c>
      <c r="BG311" s="407"/>
      <c r="BH311" s="407"/>
    </row>
    <row r="312" spans="1:61" s="3" customFormat="1" ht="20.75" customHeight="1" thickTop="1" thickBot="1" x14ac:dyDescent="0.45">
      <c r="A312" s="496"/>
      <c r="B312" s="97" t="s">
        <v>547</v>
      </c>
      <c r="C312" s="238" t="s">
        <v>530</v>
      </c>
      <c r="D312" s="239" t="s">
        <v>595</v>
      </c>
      <c r="E312" s="117" t="s">
        <v>159</v>
      </c>
      <c r="F312" s="118" t="s">
        <v>153</v>
      </c>
      <c r="G312" s="119" t="s">
        <v>31</v>
      </c>
      <c r="H312" s="116" t="s">
        <v>0</v>
      </c>
      <c r="I312" s="116" t="s">
        <v>323</v>
      </c>
      <c r="J312" s="482" t="s">
        <v>968</v>
      </c>
      <c r="K312" s="304"/>
      <c r="L312" s="117"/>
      <c r="M312" s="117"/>
      <c r="N312" s="117"/>
      <c r="O312" s="117"/>
      <c r="P312" s="180" t="s">
        <v>69</v>
      </c>
      <c r="Q312" s="120" t="s">
        <v>329</v>
      </c>
      <c r="R312" s="121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  <c r="AF312" s="128"/>
      <c r="AG312" s="82"/>
      <c r="AH312" s="82"/>
      <c r="AI312" s="82"/>
      <c r="AJ312" s="82"/>
      <c r="AK312" s="82">
        <v>46304</v>
      </c>
      <c r="AL312" s="27">
        <v>46307</v>
      </c>
      <c r="AM312" s="27">
        <v>46334</v>
      </c>
      <c r="AN312" s="123"/>
      <c r="AO312" s="124"/>
      <c r="AP312" s="82">
        <v>46304</v>
      </c>
      <c r="AQ312" s="125"/>
      <c r="AR312" s="124"/>
      <c r="AS312" s="124"/>
      <c r="AT312" s="499"/>
      <c r="AU312" s="38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415"/>
      <c r="BG312" s="407"/>
      <c r="BH312" s="407"/>
    </row>
    <row r="313" spans="1:61" s="3" customFormat="1" ht="20.75" customHeight="1" thickBot="1" x14ac:dyDescent="0.45">
      <c r="A313" s="497"/>
      <c r="B313" s="93" t="s">
        <v>547</v>
      </c>
      <c r="C313" s="71" t="s">
        <v>530</v>
      </c>
      <c r="D313" s="32" t="s">
        <v>595</v>
      </c>
      <c r="E313" s="44" t="s">
        <v>159</v>
      </c>
      <c r="F313" s="33" t="s">
        <v>153</v>
      </c>
      <c r="G313" s="31" t="s">
        <v>180</v>
      </c>
      <c r="H313" s="31" t="s">
        <v>0</v>
      </c>
      <c r="I313" s="31" t="s">
        <v>323</v>
      </c>
      <c r="J313" s="44"/>
      <c r="K313" s="195"/>
      <c r="L313" s="44"/>
      <c r="M313" s="44"/>
      <c r="N313" s="44"/>
      <c r="O313" s="44"/>
      <c r="P313" s="176" t="s">
        <v>69</v>
      </c>
      <c r="Q313" s="34" t="s">
        <v>330</v>
      </c>
      <c r="R313" s="35">
        <v>46120</v>
      </c>
      <c r="S313" s="35">
        <v>46148</v>
      </c>
      <c r="T313" s="35">
        <v>46157</v>
      </c>
      <c r="U313" s="36">
        <v>46167</v>
      </c>
      <c r="V313" s="35">
        <v>46167</v>
      </c>
      <c r="W313" s="35">
        <v>46172</v>
      </c>
      <c r="X313" s="35">
        <v>46185</v>
      </c>
      <c r="Y313" s="35">
        <v>46192</v>
      </c>
      <c r="Z313" s="35"/>
      <c r="AA313" s="129">
        <v>46195</v>
      </c>
      <c r="AB313" s="129">
        <v>46195</v>
      </c>
      <c r="AC313" s="35">
        <v>46132</v>
      </c>
      <c r="AD313" s="35">
        <v>46193</v>
      </c>
      <c r="AE313" s="35">
        <v>46193</v>
      </c>
      <c r="AF313" s="35">
        <v>46199</v>
      </c>
      <c r="AG313" s="35">
        <v>46199</v>
      </c>
      <c r="AH313" s="35">
        <v>46199</v>
      </c>
      <c r="AI313" s="35">
        <v>46241</v>
      </c>
      <c r="AJ313" s="35">
        <v>46241</v>
      </c>
      <c r="AK313" s="35"/>
      <c r="AL313" s="35"/>
      <c r="AM313" s="35"/>
      <c r="AN313" s="81"/>
      <c r="AO313" s="79"/>
      <c r="AP313" s="36"/>
      <c r="AQ313" s="36"/>
      <c r="AR313" s="79"/>
      <c r="AS313" s="143"/>
      <c r="AT313" s="500"/>
      <c r="AU313" s="38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415"/>
      <c r="BG313" s="407"/>
      <c r="BH313" s="407"/>
    </row>
    <row r="314" spans="1:61" s="3" customFormat="1" ht="20.65" customHeight="1" thickTop="1" thickBot="1" x14ac:dyDescent="0.45">
      <c r="A314" s="495">
        <f t="shared" ref="A314" si="51">A311+1</f>
        <v>89</v>
      </c>
      <c r="B314" s="91" t="s">
        <v>547</v>
      </c>
      <c r="C314" s="16" t="s">
        <v>590</v>
      </c>
      <c r="D314" s="338" t="s">
        <v>643</v>
      </c>
      <c r="E314" s="63" t="s">
        <v>159</v>
      </c>
      <c r="F314" s="15" t="s">
        <v>153</v>
      </c>
      <c r="G314" s="13" t="s">
        <v>180</v>
      </c>
      <c r="H314" s="13" t="s">
        <v>0</v>
      </c>
      <c r="I314" s="13" t="s">
        <v>323</v>
      </c>
      <c r="J314" s="492" t="s">
        <v>1088</v>
      </c>
      <c r="K314" s="220"/>
      <c r="L314" s="41"/>
      <c r="M314" s="41"/>
      <c r="N314" s="41"/>
      <c r="O314" s="41"/>
      <c r="P314" s="174" t="s">
        <v>69</v>
      </c>
      <c r="Q314" s="17" t="s">
        <v>33</v>
      </c>
      <c r="R314" s="18">
        <v>46135</v>
      </c>
      <c r="S314" s="18">
        <v>46150</v>
      </c>
      <c r="T314" s="18">
        <v>46165</v>
      </c>
      <c r="U314" s="18">
        <v>46167</v>
      </c>
      <c r="V314" s="18">
        <v>46167</v>
      </c>
      <c r="W314" s="18">
        <v>46172</v>
      </c>
      <c r="X314" s="18">
        <v>46175</v>
      </c>
      <c r="Y314" s="18">
        <v>46180</v>
      </c>
      <c r="Z314" s="18"/>
      <c r="AA314" s="18">
        <v>46183</v>
      </c>
      <c r="AB314" s="18">
        <v>46185</v>
      </c>
      <c r="AC314" s="56">
        <v>46132</v>
      </c>
      <c r="AD314" s="56">
        <v>46135</v>
      </c>
      <c r="AE314" s="56">
        <v>46162</v>
      </c>
      <c r="AF314" s="18">
        <v>46198</v>
      </c>
      <c r="AG314" s="18">
        <v>46326</v>
      </c>
      <c r="AH314" s="18">
        <v>46274</v>
      </c>
      <c r="AI314" s="18">
        <v>46304</v>
      </c>
      <c r="AJ314" s="18">
        <v>46311</v>
      </c>
      <c r="AK314" s="206">
        <v>46316</v>
      </c>
      <c r="AL314" s="18">
        <v>46319</v>
      </c>
      <c r="AM314" s="18">
        <v>46346</v>
      </c>
      <c r="AN314" s="57">
        <v>8.5</v>
      </c>
      <c r="AO314" s="58">
        <v>59.5</v>
      </c>
      <c r="AP314" s="77">
        <f>AK314</f>
        <v>46316</v>
      </c>
      <c r="AQ314" s="77">
        <v>46321</v>
      </c>
      <c r="AR314" s="76">
        <f>AQ314-AP315</f>
        <v>5</v>
      </c>
      <c r="AS314" s="139" t="s">
        <v>499</v>
      </c>
      <c r="AT314" s="498" t="s">
        <v>528</v>
      </c>
      <c r="AU314" s="20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415" t="s">
        <v>968</v>
      </c>
      <c r="BG314" s="407"/>
      <c r="BH314" s="407"/>
    </row>
    <row r="315" spans="1:61" s="3" customFormat="1" ht="20.75" customHeight="1" thickTop="1" thickBot="1" x14ac:dyDescent="0.45">
      <c r="A315" s="496"/>
      <c r="B315" s="97" t="s">
        <v>547</v>
      </c>
      <c r="C315" s="238" t="s">
        <v>531</v>
      </c>
      <c r="D315" s="239" t="s">
        <v>529</v>
      </c>
      <c r="E315" s="117" t="s">
        <v>159</v>
      </c>
      <c r="F315" s="118" t="s">
        <v>153</v>
      </c>
      <c r="G315" s="119" t="s">
        <v>31</v>
      </c>
      <c r="H315" s="116" t="s">
        <v>0</v>
      </c>
      <c r="I315" s="116" t="s">
        <v>323</v>
      </c>
      <c r="J315" s="482" t="s">
        <v>968</v>
      </c>
      <c r="K315" s="304"/>
      <c r="L315" s="117"/>
      <c r="M315" s="117"/>
      <c r="N315" s="117"/>
      <c r="O315" s="117"/>
      <c r="P315" s="180" t="s">
        <v>69</v>
      </c>
      <c r="Q315" s="120" t="s">
        <v>329</v>
      </c>
      <c r="R315" s="121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  <c r="AF315" s="128"/>
      <c r="AG315" s="82"/>
      <c r="AH315" s="82"/>
      <c r="AI315" s="82"/>
      <c r="AJ315" s="82"/>
      <c r="AK315" s="82">
        <v>46316</v>
      </c>
      <c r="AL315" s="27">
        <v>46319</v>
      </c>
      <c r="AM315" s="27">
        <v>46346</v>
      </c>
      <c r="AN315" s="123"/>
      <c r="AO315" s="124"/>
      <c r="AP315" s="82">
        <v>46316</v>
      </c>
      <c r="AQ315" s="125"/>
      <c r="AR315" s="124"/>
      <c r="AS315" s="124"/>
      <c r="AT315" s="499"/>
      <c r="AU315" s="38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415"/>
      <c r="BG315" s="407"/>
      <c r="BH315" s="407"/>
    </row>
    <row r="316" spans="1:61" s="3" customFormat="1" ht="20.75" customHeight="1" thickBot="1" x14ac:dyDescent="0.45">
      <c r="A316" s="497"/>
      <c r="B316" s="93" t="s">
        <v>547</v>
      </c>
      <c r="C316" s="71" t="s">
        <v>531</v>
      </c>
      <c r="D316" s="32" t="s">
        <v>529</v>
      </c>
      <c r="E316" s="44" t="s">
        <v>159</v>
      </c>
      <c r="F316" s="33" t="s">
        <v>153</v>
      </c>
      <c r="G316" s="31" t="s">
        <v>180</v>
      </c>
      <c r="H316" s="31" t="s">
        <v>0</v>
      </c>
      <c r="I316" s="31" t="s">
        <v>323</v>
      </c>
      <c r="J316" s="44"/>
      <c r="K316" s="195"/>
      <c r="L316" s="44"/>
      <c r="M316" s="44"/>
      <c r="N316" s="44"/>
      <c r="O316" s="44"/>
      <c r="P316" s="176" t="s">
        <v>69</v>
      </c>
      <c r="Q316" s="34" t="s">
        <v>330</v>
      </c>
      <c r="R316" s="35">
        <v>46120</v>
      </c>
      <c r="S316" s="35">
        <v>46148</v>
      </c>
      <c r="T316" s="35">
        <v>46157</v>
      </c>
      <c r="U316" s="36">
        <v>46167</v>
      </c>
      <c r="V316" s="35">
        <v>46167</v>
      </c>
      <c r="W316" s="35">
        <v>46172</v>
      </c>
      <c r="X316" s="35">
        <v>46185</v>
      </c>
      <c r="Y316" s="35">
        <v>46192</v>
      </c>
      <c r="Z316" s="35"/>
      <c r="AA316" s="129">
        <v>46195</v>
      </c>
      <c r="AB316" s="129">
        <v>46195</v>
      </c>
      <c r="AC316" s="35">
        <v>46132</v>
      </c>
      <c r="AD316" s="35">
        <v>46193</v>
      </c>
      <c r="AE316" s="35">
        <v>46193</v>
      </c>
      <c r="AF316" s="35">
        <v>46199</v>
      </c>
      <c r="AG316" s="35">
        <v>46199</v>
      </c>
      <c r="AH316" s="35">
        <v>46199</v>
      </c>
      <c r="AI316" s="35">
        <v>46244</v>
      </c>
      <c r="AJ316" s="35">
        <v>46244</v>
      </c>
      <c r="AK316" s="35"/>
      <c r="AL316" s="35"/>
      <c r="AM316" s="35"/>
      <c r="AN316" s="81"/>
      <c r="AO316" s="79"/>
      <c r="AP316" s="36"/>
      <c r="AQ316" s="36"/>
      <c r="AR316" s="79"/>
      <c r="AS316" s="143"/>
      <c r="AT316" s="500"/>
      <c r="AU316" s="38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415"/>
      <c r="BG316" s="407"/>
      <c r="BH316" s="407"/>
    </row>
    <row r="317" spans="1:61" s="3" customFormat="1" ht="20.65" customHeight="1" thickTop="1" thickBot="1" x14ac:dyDescent="0.45">
      <c r="A317" s="495">
        <f t="shared" ref="A317" si="52">A314+1</f>
        <v>90</v>
      </c>
      <c r="B317" s="91" t="s">
        <v>470</v>
      </c>
      <c r="C317" s="16" t="s">
        <v>413</v>
      </c>
      <c r="D317" s="338" t="s">
        <v>542</v>
      </c>
      <c r="E317" s="63" t="s">
        <v>159</v>
      </c>
      <c r="F317" s="15" t="s">
        <v>153</v>
      </c>
      <c r="G317" s="13" t="s">
        <v>180</v>
      </c>
      <c r="H317" s="13" t="s">
        <v>0</v>
      </c>
      <c r="I317" s="13" t="s">
        <v>323</v>
      </c>
      <c r="J317" s="492" t="s">
        <v>1088</v>
      </c>
      <c r="K317" s="220"/>
      <c r="L317" s="41"/>
      <c r="M317" s="41"/>
      <c r="N317" s="41"/>
      <c r="O317" s="41"/>
      <c r="P317" s="174" t="s">
        <v>69</v>
      </c>
      <c r="Q317" s="17" t="s">
        <v>33</v>
      </c>
      <c r="R317" s="18">
        <v>46135</v>
      </c>
      <c r="S317" s="18">
        <v>46170</v>
      </c>
      <c r="T317" s="18">
        <v>46185</v>
      </c>
      <c r="U317" s="18">
        <v>46187</v>
      </c>
      <c r="V317" s="18">
        <v>46187</v>
      </c>
      <c r="W317" s="18">
        <v>46192</v>
      </c>
      <c r="X317" s="18">
        <v>46203</v>
      </c>
      <c r="Y317" s="18">
        <v>46213</v>
      </c>
      <c r="Z317" s="18"/>
      <c r="AA317" s="18">
        <v>46213</v>
      </c>
      <c r="AB317" s="18">
        <v>46213</v>
      </c>
      <c r="AC317" s="56">
        <v>46132</v>
      </c>
      <c r="AD317" s="56">
        <v>46217</v>
      </c>
      <c r="AE317" s="56">
        <v>46192</v>
      </c>
      <c r="AF317" s="56">
        <v>46233</v>
      </c>
      <c r="AG317" s="18">
        <v>46233</v>
      </c>
      <c r="AH317" s="18">
        <v>46233</v>
      </c>
      <c r="AI317" s="206">
        <v>46256</v>
      </c>
      <c r="AJ317" s="18">
        <v>46262</v>
      </c>
      <c r="AK317" s="18">
        <v>46264</v>
      </c>
      <c r="AL317" s="18">
        <v>46264</v>
      </c>
      <c r="AM317" s="18">
        <v>46294</v>
      </c>
      <c r="AN317" s="57">
        <v>8.5</v>
      </c>
      <c r="AO317" s="58">
        <v>59.5</v>
      </c>
      <c r="AP317" s="77">
        <f>AK317</f>
        <v>46264</v>
      </c>
      <c r="AQ317" s="77">
        <v>46267</v>
      </c>
      <c r="AR317" s="76">
        <f>AQ317-AP318</f>
        <v>23</v>
      </c>
      <c r="AS317" s="139" t="s">
        <v>499</v>
      </c>
      <c r="AT317" s="498" t="s">
        <v>528</v>
      </c>
      <c r="AU317" s="20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415" t="s">
        <v>968</v>
      </c>
      <c r="BG317" s="407"/>
      <c r="BH317" s="407"/>
    </row>
    <row r="318" spans="1:61" s="3" customFormat="1" ht="20.75" customHeight="1" thickTop="1" thickBot="1" x14ac:dyDescent="0.45">
      <c r="A318" s="496"/>
      <c r="B318" s="97" t="s">
        <v>470</v>
      </c>
      <c r="C318" s="238" t="s">
        <v>413</v>
      </c>
      <c r="D318" s="239" t="s">
        <v>542</v>
      </c>
      <c r="E318" s="117" t="s">
        <v>159</v>
      </c>
      <c r="F318" s="118" t="s">
        <v>153</v>
      </c>
      <c r="G318" s="119" t="s">
        <v>31</v>
      </c>
      <c r="H318" s="116" t="s">
        <v>0</v>
      </c>
      <c r="I318" s="116" t="s">
        <v>323</v>
      </c>
      <c r="J318" s="482" t="s">
        <v>968</v>
      </c>
      <c r="K318" s="304"/>
      <c r="L318" s="117"/>
      <c r="M318" s="117"/>
      <c r="N318" s="117"/>
      <c r="O318" s="117"/>
      <c r="P318" s="180" t="s">
        <v>69</v>
      </c>
      <c r="Q318" s="120" t="s">
        <v>329</v>
      </c>
      <c r="R318" s="121"/>
      <c r="S318" s="122"/>
      <c r="T318" s="122"/>
      <c r="U318" s="122"/>
      <c r="V318" s="122"/>
      <c r="W318" s="122"/>
      <c r="X318" s="122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82">
        <v>46256</v>
      </c>
      <c r="AJ318" s="82">
        <v>46262</v>
      </c>
      <c r="AK318" s="82">
        <v>46264</v>
      </c>
      <c r="AL318" s="27">
        <v>46264</v>
      </c>
      <c r="AM318" s="27">
        <v>46294</v>
      </c>
      <c r="AN318" s="123"/>
      <c r="AO318" s="124"/>
      <c r="AP318" s="82">
        <v>46244</v>
      </c>
      <c r="AQ318" s="125"/>
      <c r="AR318" s="124"/>
      <c r="AS318" s="124"/>
      <c r="AT318" s="499"/>
      <c r="AU318" s="38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415"/>
      <c r="BG318" s="407"/>
      <c r="BH318" s="407"/>
    </row>
    <row r="319" spans="1:61" s="3" customFormat="1" ht="20.75" customHeight="1" thickBot="1" x14ac:dyDescent="0.45">
      <c r="A319" s="497"/>
      <c r="B319" s="93" t="s">
        <v>470</v>
      </c>
      <c r="C319" s="71" t="s">
        <v>413</v>
      </c>
      <c r="D319" s="32" t="s">
        <v>542</v>
      </c>
      <c r="E319" s="44" t="s">
        <v>159</v>
      </c>
      <c r="F319" s="33" t="s">
        <v>153</v>
      </c>
      <c r="G319" s="31" t="s">
        <v>180</v>
      </c>
      <c r="H319" s="31" t="s">
        <v>0</v>
      </c>
      <c r="I319" s="31" t="s">
        <v>323</v>
      </c>
      <c r="J319" s="44"/>
      <c r="K319" s="195"/>
      <c r="L319" s="44"/>
      <c r="M319" s="44"/>
      <c r="N319" s="44"/>
      <c r="O319" s="44"/>
      <c r="P319" s="176" t="s">
        <v>69</v>
      </c>
      <c r="Q319" s="34" t="s">
        <v>330</v>
      </c>
      <c r="R319" s="35">
        <v>46120</v>
      </c>
      <c r="S319" s="35">
        <v>46148</v>
      </c>
      <c r="T319" s="35">
        <v>46157</v>
      </c>
      <c r="U319" s="36">
        <v>46167</v>
      </c>
      <c r="V319" s="35">
        <v>46167</v>
      </c>
      <c r="W319" s="35">
        <v>46172</v>
      </c>
      <c r="X319" s="35">
        <v>46205</v>
      </c>
      <c r="Y319" s="35">
        <v>46210</v>
      </c>
      <c r="Z319" s="35"/>
      <c r="AA319" s="129">
        <v>46212</v>
      </c>
      <c r="AB319" s="129">
        <v>46212</v>
      </c>
      <c r="AC319" s="35">
        <v>46132</v>
      </c>
      <c r="AD319" s="35">
        <v>46193</v>
      </c>
      <c r="AE319" s="35">
        <v>46193</v>
      </c>
      <c r="AF319" s="35">
        <v>46227</v>
      </c>
      <c r="AG319" s="35">
        <v>46227</v>
      </c>
      <c r="AH319" s="35">
        <v>46227</v>
      </c>
      <c r="AI319" s="35"/>
      <c r="AJ319" s="35"/>
      <c r="AK319" s="35"/>
      <c r="AL319" s="35"/>
      <c r="AM319" s="35"/>
      <c r="AN319" s="81"/>
      <c r="AO319" s="79"/>
      <c r="AP319" s="36"/>
      <c r="AQ319" s="36"/>
      <c r="AR319" s="79"/>
      <c r="AS319" s="143"/>
      <c r="AT319" s="500"/>
      <c r="AU319" s="38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415"/>
      <c r="BG319" s="407"/>
      <c r="BH319" s="407"/>
    </row>
    <row r="320" spans="1:61" s="3" customFormat="1" ht="20.65" customHeight="1" thickTop="1" thickBot="1" x14ac:dyDescent="0.45">
      <c r="A320" s="495">
        <f t="shared" ref="A320" si="53">A317+1</f>
        <v>91</v>
      </c>
      <c r="B320" s="91" t="s">
        <v>470</v>
      </c>
      <c r="C320" s="16" t="s">
        <v>588</v>
      </c>
      <c r="D320" s="338" t="s">
        <v>540</v>
      </c>
      <c r="E320" s="63" t="s">
        <v>159</v>
      </c>
      <c r="F320" s="15" t="s">
        <v>153</v>
      </c>
      <c r="G320" s="13" t="s">
        <v>180</v>
      </c>
      <c r="H320" s="13" t="s">
        <v>0</v>
      </c>
      <c r="I320" s="13" t="s">
        <v>323</v>
      </c>
      <c r="J320" s="492" t="s">
        <v>1088</v>
      </c>
      <c r="K320" s="220"/>
      <c r="L320" s="41"/>
      <c r="M320" s="41"/>
      <c r="N320" s="41"/>
      <c r="O320" s="41"/>
      <c r="P320" s="174" t="s">
        <v>69</v>
      </c>
      <c r="Q320" s="17" t="s">
        <v>33</v>
      </c>
      <c r="R320" s="18">
        <v>46135</v>
      </c>
      <c r="S320" s="18">
        <v>46170</v>
      </c>
      <c r="T320" s="18">
        <v>46185</v>
      </c>
      <c r="U320" s="18">
        <v>46187</v>
      </c>
      <c r="V320" s="18">
        <v>46187</v>
      </c>
      <c r="W320" s="18">
        <v>46192</v>
      </c>
      <c r="X320" s="18">
        <v>46203</v>
      </c>
      <c r="Y320" s="18">
        <v>46213</v>
      </c>
      <c r="Z320" s="18"/>
      <c r="AA320" s="18">
        <v>46213</v>
      </c>
      <c r="AB320" s="18">
        <v>46213</v>
      </c>
      <c r="AC320" s="56">
        <v>46132</v>
      </c>
      <c r="AD320" s="56">
        <v>46217</v>
      </c>
      <c r="AE320" s="56">
        <v>46192</v>
      </c>
      <c r="AF320" s="56">
        <v>46233</v>
      </c>
      <c r="AG320" s="206">
        <v>46254</v>
      </c>
      <c r="AH320" s="18">
        <v>46254</v>
      </c>
      <c r="AI320" s="18">
        <v>46277</v>
      </c>
      <c r="AJ320" s="18">
        <v>46283</v>
      </c>
      <c r="AK320" s="18">
        <v>46285</v>
      </c>
      <c r="AL320" s="18">
        <v>46285</v>
      </c>
      <c r="AM320" s="18">
        <v>46315</v>
      </c>
      <c r="AN320" s="57">
        <v>8.5</v>
      </c>
      <c r="AO320" s="58">
        <v>59.5</v>
      </c>
      <c r="AP320" s="77">
        <f>AK320</f>
        <v>46285</v>
      </c>
      <c r="AQ320" s="77">
        <v>46290</v>
      </c>
      <c r="AR320" s="76">
        <f>AQ320-AP321</f>
        <v>34</v>
      </c>
      <c r="AS320" s="139" t="s">
        <v>499</v>
      </c>
      <c r="AT320" s="498" t="s">
        <v>528</v>
      </c>
      <c r="AU320" s="20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415" t="s">
        <v>968</v>
      </c>
      <c r="BG320" s="407"/>
      <c r="BH320" s="407"/>
    </row>
    <row r="321" spans="1:61" s="3" customFormat="1" ht="20.75" customHeight="1" thickTop="1" thickBot="1" x14ac:dyDescent="0.45">
      <c r="A321" s="496"/>
      <c r="B321" s="97" t="s">
        <v>470</v>
      </c>
      <c r="C321" s="238" t="s">
        <v>588</v>
      </c>
      <c r="D321" s="239" t="s">
        <v>540</v>
      </c>
      <c r="E321" s="117" t="s">
        <v>159</v>
      </c>
      <c r="F321" s="118" t="s">
        <v>153</v>
      </c>
      <c r="G321" s="119" t="s">
        <v>31</v>
      </c>
      <c r="H321" s="116" t="s">
        <v>0</v>
      </c>
      <c r="I321" s="116" t="s">
        <v>323</v>
      </c>
      <c r="J321" s="482" t="s">
        <v>968</v>
      </c>
      <c r="K321" s="304"/>
      <c r="L321" s="117"/>
      <c r="M321" s="117"/>
      <c r="N321" s="117"/>
      <c r="O321" s="117"/>
      <c r="P321" s="180" t="s">
        <v>69</v>
      </c>
      <c r="Q321" s="120" t="s">
        <v>329</v>
      </c>
      <c r="R321" s="121"/>
      <c r="S321" s="122"/>
      <c r="T321" s="122"/>
      <c r="U321" s="122"/>
      <c r="V321" s="122"/>
      <c r="W321" s="122"/>
      <c r="X321" s="122"/>
      <c r="Y321" s="27"/>
      <c r="Z321" s="27"/>
      <c r="AA321" s="27"/>
      <c r="AB321" s="27"/>
      <c r="AC321" s="27"/>
      <c r="AD321" s="27"/>
      <c r="AE321" s="27"/>
      <c r="AF321" s="27"/>
      <c r="AG321" s="82">
        <v>46254</v>
      </c>
      <c r="AH321" s="82">
        <v>46254</v>
      </c>
      <c r="AI321" s="82">
        <v>46277</v>
      </c>
      <c r="AJ321" s="82">
        <v>46283</v>
      </c>
      <c r="AK321" s="82">
        <v>46285</v>
      </c>
      <c r="AL321" s="27">
        <v>46285</v>
      </c>
      <c r="AM321" s="27">
        <v>46315</v>
      </c>
      <c r="AN321" s="123"/>
      <c r="AO321" s="124"/>
      <c r="AP321" s="82">
        <v>46256</v>
      </c>
      <c r="AQ321" s="125"/>
      <c r="AR321" s="124"/>
      <c r="AS321" s="124"/>
      <c r="AT321" s="499"/>
      <c r="AU321" s="38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415"/>
      <c r="BG321" s="407"/>
      <c r="BH321" s="407"/>
    </row>
    <row r="322" spans="1:61" s="3" customFormat="1" ht="20.75" customHeight="1" thickBot="1" x14ac:dyDescent="0.45">
      <c r="A322" s="497"/>
      <c r="B322" s="93" t="s">
        <v>470</v>
      </c>
      <c r="C322" s="71" t="s">
        <v>588</v>
      </c>
      <c r="D322" s="32" t="s">
        <v>540</v>
      </c>
      <c r="E322" s="44" t="s">
        <v>159</v>
      </c>
      <c r="F322" s="33" t="s">
        <v>153</v>
      </c>
      <c r="G322" s="31" t="s">
        <v>180</v>
      </c>
      <c r="H322" s="31" t="s">
        <v>0</v>
      </c>
      <c r="I322" s="31" t="s">
        <v>323</v>
      </c>
      <c r="J322" s="44"/>
      <c r="K322" s="195"/>
      <c r="L322" s="44"/>
      <c r="M322" s="44"/>
      <c r="N322" s="44"/>
      <c r="O322" s="44"/>
      <c r="P322" s="176" t="s">
        <v>69</v>
      </c>
      <c r="Q322" s="34" t="s">
        <v>330</v>
      </c>
      <c r="R322" s="35">
        <v>46120</v>
      </c>
      <c r="S322" s="35">
        <v>46148</v>
      </c>
      <c r="T322" s="35">
        <v>46157</v>
      </c>
      <c r="U322" s="36">
        <v>46167</v>
      </c>
      <c r="V322" s="35">
        <v>46167</v>
      </c>
      <c r="W322" s="35">
        <v>46172</v>
      </c>
      <c r="X322" s="35">
        <v>46205</v>
      </c>
      <c r="Y322" s="35">
        <v>46210</v>
      </c>
      <c r="Z322" s="35"/>
      <c r="AA322" s="129">
        <v>46233</v>
      </c>
      <c r="AB322" s="129">
        <v>46233</v>
      </c>
      <c r="AC322" s="35">
        <v>46132</v>
      </c>
      <c r="AD322" s="35">
        <v>46193</v>
      </c>
      <c r="AE322" s="35">
        <v>46193</v>
      </c>
      <c r="AF322" s="35">
        <v>46233</v>
      </c>
      <c r="AG322" s="35"/>
      <c r="AH322" s="35"/>
      <c r="AI322" s="35"/>
      <c r="AJ322" s="35"/>
      <c r="AK322" s="35"/>
      <c r="AL322" s="35"/>
      <c r="AM322" s="35"/>
      <c r="AN322" s="81"/>
      <c r="AO322" s="79"/>
      <c r="AP322" s="36"/>
      <c r="AQ322" s="36"/>
      <c r="AR322" s="79"/>
      <c r="AS322" s="143"/>
      <c r="AT322" s="500"/>
      <c r="AU322" s="38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415"/>
      <c r="BG322" s="407"/>
      <c r="BH322" s="407"/>
    </row>
    <row r="323" spans="1:61" s="3" customFormat="1" ht="20.65" customHeight="1" thickTop="1" thickBot="1" x14ac:dyDescent="0.45">
      <c r="A323" s="495">
        <f t="shared" ref="A323" si="54">A320+1</f>
        <v>92</v>
      </c>
      <c r="B323" s="91" t="s">
        <v>470</v>
      </c>
      <c r="C323" s="16" t="s">
        <v>589</v>
      </c>
      <c r="D323" s="338" t="s">
        <v>635</v>
      </c>
      <c r="E323" s="63" t="s">
        <v>159</v>
      </c>
      <c r="F323" s="15" t="s">
        <v>153</v>
      </c>
      <c r="G323" s="13" t="s">
        <v>180</v>
      </c>
      <c r="H323" s="13" t="s">
        <v>0</v>
      </c>
      <c r="I323" s="13" t="s">
        <v>323</v>
      </c>
      <c r="J323" s="492" t="s">
        <v>1088</v>
      </c>
      <c r="K323" s="220"/>
      <c r="L323" s="41"/>
      <c r="M323" s="41"/>
      <c r="N323" s="41"/>
      <c r="O323" s="41"/>
      <c r="P323" s="174" t="s">
        <v>69</v>
      </c>
      <c r="Q323" s="17" t="s">
        <v>33</v>
      </c>
      <c r="R323" s="18">
        <v>46135</v>
      </c>
      <c r="S323" s="18">
        <v>46170</v>
      </c>
      <c r="T323" s="18">
        <v>46185</v>
      </c>
      <c r="U323" s="18">
        <v>46187</v>
      </c>
      <c r="V323" s="18">
        <v>46187</v>
      </c>
      <c r="W323" s="18">
        <v>46192</v>
      </c>
      <c r="X323" s="18">
        <v>46203</v>
      </c>
      <c r="Y323" s="18">
        <v>46213</v>
      </c>
      <c r="Z323" s="18"/>
      <c r="AA323" s="18">
        <v>46213</v>
      </c>
      <c r="AB323" s="18">
        <v>46213</v>
      </c>
      <c r="AC323" s="56">
        <v>46132</v>
      </c>
      <c r="AD323" s="56">
        <v>46217</v>
      </c>
      <c r="AE323" s="56">
        <v>46192</v>
      </c>
      <c r="AF323" s="56">
        <v>46233</v>
      </c>
      <c r="AG323" s="56">
        <v>46275</v>
      </c>
      <c r="AH323" s="18">
        <v>46275</v>
      </c>
      <c r="AI323" s="206">
        <v>46298</v>
      </c>
      <c r="AJ323" s="18">
        <v>46304</v>
      </c>
      <c r="AK323" s="18">
        <v>46306</v>
      </c>
      <c r="AL323" s="18">
        <v>46306</v>
      </c>
      <c r="AM323" s="18">
        <v>46336</v>
      </c>
      <c r="AN323" s="57">
        <v>8.5</v>
      </c>
      <c r="AO323" s="58">
        <v>59.5</v>
      </c>
      <c r="AP323" s="77">
        <f>AK323</f>
        <v>46306</v>
      </c>
      <c r="AQ323" s="77">
        <v>46301</v>
      </c>
      <c r="AR323" s="76">
        <f>AQ323-AP324</f>
        <v>33</v>
      </c>
      <c r="AS323" s="139" t="s">
        <v>499</v>
      </c>
      <c r="AT323" s="498" t="s">
        <v>528</v>
      </c>
      <c r="AU323" s="20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415" t="s">
        <v>968</v>
      </c>
      <c r="BG323" s="407"/>
      <c r="BH323" s="407"/>
    </row>
    <row r="324" spans="1:61" s="3" customFormat="1" ht="20.75" customHeight="1" thickTop="1" thickBot="1" x14ac:dyDescent="0.45">
      <c r="A324" s="496"/>
      <c r="B324" s="97" t="s">
        <v>470</v>
      </c>
      <c r="C324" s="238" t="s">
        <v>589</v>
      </c>
      <c r="D324" s="239" t="s">
        <v>635</v>
      </c>
      <c r="E324" s="117" t="s">
        <v>159</v>
      </c>
      <c r="F324" s="118" t="s">
        <v>153</v>
      </c>
      <c r="G324" s="119" t="s">
        <v>31</v>
      </c>
      <c r="H324" s="116" t="s">
        <v>0</v>
      </c>
      <c r="I324" s="116" t="s">
        <v>323</v>
      </c>
      <c r="J324" s="482" t="s">
        <v>968</v>
      </c>
      <c r="K324" s="304"/>
      <c r="L324" s="117"/>
      <c r="M324" s="117"/>
      <c r="N324" s="117"/>
      <c r="O324" s="117"/>
      <c r="P324" s="180" t="s">
        <v>69</v>
      </c>
      <c r="Q324" s="120" t="s">
        <v>329</v>
      </c>
      <c r="R324" s="121"/>
      <c r="S324" s="122"/>
      <c r="T324" s="122"/>
      <c r="U324" s="122"/>
      <c r="V324" s="122"/>
      <c r="W324" s="122"/>
      <c r="X324" s="122"/>
      <c r="Y324" s="27"/>
      <c r="Z324" s="27"/>
      <c r="AA324" s="27"/>
      <c r="AB324" s="27"/>
      <c r="AC324" s="27"/>
      <c r="AD324" s="27"/>
      <c r="AE324" s="27"/>
      <c r="AF324" s="27"/>
      <c r="AG324" s="82"/>
      <c r="AH324" s="82"/>
      <c r="AI324" s="82">
        <v>46298</v>
      </c>
      <c r="AJ324" s="82">
        <v>46304</v>
      </c>
      <c r="AK324" s="82">
        <v>46306</v>
      </c>
      <c r="AL324" s="27">
        <v>46306</v>
      </c>
      <c r="AM324" s="27">
        <v>46336</v>
      </c>
      <c r="AN324" s="123"/>
      <c r="AO324" s="124"/>
      <c r="AP324" s="82">
        <v>46268</v>
      </c>
      <c r="AQ324" s="125"/>
      <c r="AR324" s="124"/>
      <c r="AS324" s="124"/>
      <c r="AT324" s="499"/>
      <c r="AU324" s="38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415"/>
      <c r="BG324" s="407"/>
      <c r="BH324" s="407"/>
    </row>
    <row r="325" spans="1:61" s="3" customFormat="1" ht="20.75" customHeight="1" thickBot="1" x14ac:dyDescent="0.45">
      <c r="A325" s="497"/>
      <c r="B325" s="93" t="s">
        <v>470</v>
      </c>
      <c r="C325" s="71" t="s">
        <v>589</v>
      </c>
      <c r="D325" s="32" t="s">
        <v>635</v>
      </c>
      <c r="E325" s="44" t="s">
        <v>159</v>
      </c>
      <c r="F325" s="33" t="s">
        <v>153</v>
      </c>
      <c r="G325" s="31" t="s">
        <v>180</v>
      </c>
      <c r="H325" s="31" t="s">
        <v>0</v>
      </c>
      <c r="I325" s="31" t="s">
        <v>323</v>
      </c>
      <c r="J325" s="44"/>
      <c r="K325" s="195"/>
      <c r="L325" s="44"/>
      <c r="M325" s="44"/>
      <c r="N325" s="44"/>
      <c r="O325" s="44"/>
      <c r="P325" s="176" t="s">
        <v>69</v>
      </c>
      <c r="Q325" s="34" t="s">
        <v>330</v>
      </c>
      <c r="R325" s="35">
        <v>46120</v>
      </c>
      <c r="S325" s="35">
        <v>46148</v>
      </c>
      <c r="T325" s="35">
        <v>46157</v>
      </c>
      <c r="U325" s="36">
        <v>46167</v>
      </c>
      <c r="V325" s="35">
        <v>46167</v>
      </c>
      <c r="W325" s="35">
        <v>46172</v>
      </c>
      <c r="X325" s="35">
        <v>46205</v>
      </c>
      <c r="Y325" s="35">
        <v>46210</v>
      </c>
      <c r="Z325" s="35"/>
      <c r="AA325" s="129">
        <v>46212</v>
      </c>
      <c r="AB325" s="129">
        <v>46212</v>
      </c>
      <c r="AC325" s="35">
        <v>46132</v>
      </c>
      <c r="AD325" s="35">
        <v>46193</v>
      </c>
      <c r="AE325" s="35">
        <v>46193</v>
      </c>
      <c r="AF325" s="35">
        <v>46227</v>
      </c>
      <c r="AG325" s="35">
        <v>46227</v>
      </c>
      <c r="AH325" s="35">
        <v>46227</v>
      </c>
      <c r="AI325" s="35"/>
      <c r="AJ325" s="35"/>
      <c r="AK325" s="35"/>
      <c r="AL325" s="35"/>
      <c r="AM325" s="35"/>
      <c r="AN325" s="81"/>
      <c r="AO325" s="79"/>
      <c r="AP325" s="36"/>
      <c r="AQ325" s="36"/>
      <c r="AR325" s="79"/>
      <c r="AS325" s="143"/>
      <c r="AT325" s="500"/>
      <c r="AU325" s="38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415"/>
      <c r="BG325" s="407"/>
      <c r="BH325" s="407"/>
    </row>
    <row r="326" spans="1:61" s="3" customFormat="1" ht="20.65" customHeight="1" thickTop="1" thickBot="1" x14ac:dyDescent="0.45">
      <c r="A326" s="495">
        <f t="shared" ref="A326" si="55">A323+1</f>
        <v>93</v>
      </c>
      <c r="B326" s="91" t="s">
        <v>470</v>
      </c>
      <c r="C326" s="16" t="s">
        <v>414</v>
      </c>
      <c r="D326" s="338" t="s">
        <v>636</v>
      </c>
      <c r="E326" s="63" t="s">
        <v>159</v>
      </c>
      <c r="F326" s="15" t="s">
        <v>153</v>
      </c>
      <c r="G326" s="13" t="s">
        <v>180</v>
      </c>
      <c r="H326" s="13" t="s">
        <v>0</v>
      </c>
      <c r="I326" s="13" t="s">
        <v>323</v>
      </c>
      <c r="J326" s="492" t="s">
        <v>1088</v>
      </c>
      <c r="K326" s="220"/>
      <c r="L326" s="41"/>
      <c r="M326" s="41"/>
      <c r="N326" s="41"/>
      <c r="O326" s="41"/>
      <c r="P326" s="174" t="s">
        <v>69</v>
      </c>
      <c r="Q326" s="17" t="s">
        <v>33</v>
      </c>
      <c r="R326" s="18">
        <v>46135</v>
      </c>
      <c r="S326" s="18">
        <v>46170</v>
      </c>
      <c r="T326" s="18">
        <v>46185</v>
      </c>
      <c r="U326" s="18">
        <v>46187</v>
      </c>
      <c r="V326" s="18">
        <v>46187</v>
      </c>
      <c r="W326" s="18">
        <v>46192</v>
      </c>
      <c r="X326" s="18">
        <v>46203</v>
      </c>
      <c r="Y326" s="18">
        <v>46213</v>
      </c>
      <c r="Z326" s="18"/>
      <c r="AA326" s="18">
        <v>46213</v>
      </c>
      <c r="AB326" s="18">
        <v>46213</v>
      </c>
      <c r="AC326" s="56">
        <v>46132</v>
      </c>
      <c r="AD326" s="56">
        <v>46217</v>
      </c>
      <c r="AE326" s="56">
        <v>46192</v>
      </c>
      <c r="AF326" s="56">
        <v>46233</v>
      </c>
      <c r="AG326" s="18">
        <v>46296</v>
      </c>
      <c r="AH326" s="18">
        <v>46296</v>
      </c>
      <c r="AI326" s="206">
        <v>46319</v>
      </c>
      <c r="AJ326" s="18">
        <v>46325</v>
      </c>
      <c r="AK326" s="18">
        <v>46327</v>
      </c>
      <c r="AL326" s="18">
        <v>46327</v>
      </c>
      <c r="AM326" s="18">
        <v>46357</v>
      </c>
      <c r="AN326" s="57">
        <v>8.5</v>
      </c>
      <c r="AO326" s="58">
        <v>59.5</v>
      </c>
      <c r="AP326" s="77">
        <f>AK326</f>
        <v>46327</v>
      </c>
      <c r="AQ326" s="77">
        <v>46301</v>
      </c>
      <c r="AR326" s="76">
        <f>AQ326-AP327</f>
        <v>21</v>
      </c>
      <c r="AS326" s="139" t="s">
        <v>499</v>
      </c>
      <c r="AT326" s="498" t="s">
        <v>528</v>
      </c>
      <c r="AU326" s="20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415" t="s">
        <v>968</v>
      </c>
      <c r="BG326" s="407"/>
      <c r="BH326" s="407"/>
    </row>
    <row r="327" spans="1:61" s="3" customFormat="1" ht="20.75" customHeight="1" thickTop="1" thickBot="1" x14ac:dyDescent="0.45">
      <c r="A327" s="496"/>
      <c r="B327" s="97" t="s">
        <v>470</v>
      </c>
      <c r="C327" s="238" t="s">
        <v>414</v>
      </c>
      <c r="D327" s="239" t="s">
        <v>636</v>
      </c>
      <c r="E327" s="117" t="s">
        <v>159</v>
      </c>
      <c r="F327" s="118" t="s">
        <v>153</v>
      </c>
      <c r="G327" s="119" t="s">
        <v>31</v>
      </c>
      <c r="H327" s="116" t="s">
        <v>0</v>
      </c>
      <c r="I327" s="116" t="s">
        <v>323</v>
      </c>
      <c r="J327" s="482" t="s">
        <v>968</v>
      </c>
      <c r="K327" s="304"/>
      <c r="L327" s="117"/>
      <c r="M327" s="117"/>
      <c r="N327" s="117"/>
      <c r="O327" s="117"/>
      <c r="P327" s="180" t="s">
        <v>69</v>
      </c>
      <c r="Q327" s="120" t="s">
        <v>329</v>
      </c>
      <c r="R327" s="121"/>
      <c r="S327" s="122"/>
      <c r="T327" s="122"/>
      <c r="U327" s="122"/>
      <c r="V327" s="122"/>
      <c r="W327" s="122"/>
      <c r="X327" s="122"/>
      <c r="Y327" s="27"/>
      <c r="Z327" s="27"/>
      <c r="AA327" s="27"/>
      <c r="AB327" s="27"/>
      <c r="AC327" s="27"/>
      <c r="AD327" s="27"/>
      <c r="AE327" s="27"/>
      <c r="AF327" s="27"/>
      <c r="AG327" s="82"/>
      <c r="AH327" s="82"/>
      <c r="AI327" s="82">
        <v>46319</v>
      </c>
      <c r="AJ327" s="82">
        <v>46325</v>
      </c>
      <c r="AK327" s="82">
        <v>46327</v>
      </c>
      <c r="AL327" s="27">
        <v>46327</v>
      </c>
      <c r="AM327" s="27">
        <v>46357</v>
      </c>
      <c r="AN327" s="123"/>
      <c r="AO327" s="124"/>
      <c r="AP327" s="82">
        <v>46280</v>
      </c>
      <c r="AQ327" s="125"/>
      <c r="AR327" s="124"/>
      <c r="AS327" s="124"/>
      <c r="AT327" s="499"/>
      <c r="AU327" s="38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415"/>
      <c r="BG327" s="407"/>
      <c r="BH327" s="407"/>
    </row>
    <row r="328" spans="1:61" s="3" customFormat="1" ht="20.75" customHeight="1" thickBot="1" x14ac:dyDescent="0.45">
      <c r="A328" s="497"/>
      <c r="B328" s="93" t="s">
        <v>470</v>
      </c>
      <c r="C328" s="71" t="s">
        <v>414</v>
      </c>
      <c r="D328" s="32" t="s">
        <v>636</v>
      </c>
      <c r="E328" s="44" t="s">
        <v>159</v>
      </c>
      <c r="F328" s="33" t="s">
        <v>153</v>
      </c>
      <c r="G328" s="31" t="s">
        <v>180</v>
      </c>
      <c r="H328" s="31" t="s">
        <v>0</v>
      </c>
      <c r="I328" s="31" t="s">
        <v>323</v>
      </c>
      <c r="J328" s="44"/>
      <c r="K328" s="195"/>
      <c r="L328" s="44"/>
      <c r="M328" s="44"/>
      <c r="N328" s="44"/>
      <c r="O328" s="44"/>
      <c r="P328" s="176" t="s">
        <v>69</v>
      </c>
      <c r="Q328" s="34" t="s">
        <v>330</v>
      </c>
      <c r="R328" s="35">
        <v>46120</v>
      </c>
      <c r="S328" s="35">
        <v>46148</v>
      </c>
      <c r="T328" s="35">
        <v>46157</v>
      </c>
      <c r="U328" s="36">
        <v>46167</v>
      </c>
      <c r="V328" s="35">
        <v>46167</v>
      </c>
      <c r="W328" s="35">
        <v>46172</v>
      </c>
      <c r="X328" s="35">
        <v>46205</v>
      </c>
      <c r="Y328" s="35">
        <v>46210</v>
      </c>
      <c r="Z328" s="35"/>
      <c r="AA328" s="129">
        <v>46212</v>
      </c>
      <c r="AB328" s="129">
        <v>46212</v>
      </c>
      <c r="AC328" s="35">
        <v>46132</v>
      </c>
      <c r="AD328" s="35">
        <v>46193</v>
      </c>
      <c r="AE328" s="35">
        <v>46193</v>
      </c>
      <c r="AF328" s="35">
        <v>46227</v>
      </c>
      <c r="AG328" s="35">
        <v>46227</v>
      </c>
      <c r="AH328" s="35">
        <v>46227</v>
      </c>
      <c r="AI328" s="35"/>
      <c r="AJ328" s="35"/>
      <c r="AK328" s="35"/>
      <c r="AL328" s="35"/>
      <c r="AM328" s="35"/>
      <c r="AN328" s="81"/>
      <c r="AO328" s="79"/>
      <c r="AP328" s="36"/>
      <c r="AQ328" s="36"/>
      <c r="AR328" s="79"/>
      <c r="AS328" s="143"/>
      <c r="AT328" s="500"/>
      <c r="AU328" s="38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415"/>
      <c r="BG328" s="407"/>
      <c r="BH328" s="407"/>
    </row>
    <row r="329" spans="1:61" s="3" customFormat="1" ht="20.65" customHeight="1" thickTop="1" thickBot="1" x14ac:dyDescent="0.45">
      <c r="A329" s="495">
        <f t="shared" ref="A329" si="56">A326+1</f>
        <v>94</v>
      </c>
      <c r="B329" s="91" t="s">
        <v>470</v>
      </c>
      <c r="C329" s="16" t="s">
        <v>415</v>
      </c>
      <c r="D329" s="338" t="s">
        <v>637</v>
      </c>
      <c r="E329" s="63" t="s">
        <v>159</v>
      </c>
      <c r="F329" s="15" t="s">
        <v>153</v>
      </c>
      <c r="G329" s="13" t="s">
        <v>180</v>
      </c>
      <c r="H329" s="13" t="s">
        <v>0</v>
      </c>
      <c r="I329" s="13" t="s">
        <v>323</v>
      </c>
      <c r="J329" s="492" t="s">
        <v>1088</v>
      </c>
      <c r="K329" s="220"/>
      <c r="L329" s="41"/>
      <c r="M329" s="41"/>
      <c r="N329" s="41"/>
      <c r="O329" s="41"/>
      <c r="P329" s="174" t="s">
        <v>69</v>
      </c>
      <c r="Q329" s="17" t="s">
        <v>33</v>
      </c>
      <c r="R329" s="18">
        <v>46135</v>
      </c>
      <c r="S329" s="18">
        <v>46170</v>
      </c>
      <c r="T329" s="18">
        <v>46185</v>
      </c>
      <c r="U329" s="18">
        <v>46187</v>
      </c>
      <c r="V329" s="18">
        <v>46187</v>
      </c>
      <c r="W329" s="18">
        <v>46192</v>
      </c>
      <c r="X329" s="18">
        <v>46203</v>
      </c>
      <c r="Y329" s="18">
        <v>46213</v>
      </c>
      <c r="Z329" s="18"/>
      <c r="AA329" s="18">
        <v>46213</v>
      </c>
      <c r="AB329" s="18">
        <v>46213</v>
      </c>
      <c r="AC329" s="56">
        <v>46132</v>
      </c>
      <c r="AD329" s="56">
        <v>46217</v>
      </c>
      <c r="AE329" s="56">
        <v>46192</v>
      </c>
      <c r="AF329" s="56">
        <v>46233</v>
      </c>
      <c r="AG329" s="18">
        <v>46317</v>
      </c>
      <c r="AH329" s="18">
        <v>46317</v>
      </c>
      <c r="AI329" s="206">
        <v>46340</v>
      </c>
      <c r="AJ329" s="18">
        <v>46346</v>
      </c>
      <c r="AK329" s="18">
        <v>46348</v>
      </c>
      <c r="AL329" s="18">
        <v>46348</v>
      </c>
      <c r="AM329" s="18">
        <v>46378</v>
      </c>
      <c r="AN329" s="57">
        <v>8.5</v>
      </c>
      <c r="AO329" s="58">
        <v>59.5</v>
      </c>
      <c r="AP329" s="77">
        <f>AK329</f>
        <v>46348</v>
      </c>
      <c r="AQ329" s="77">
        <v>46318</v>
      </c>
      <c r="AR329" s="76">
        <f>AQ329-AP330</f>
        <v>26</v>
      </c>
      <c r="AS329" s="139" t="s">
        <v>499</v>
      </c>
      <c r="AT329" s="498" t="s">
        <v>528</v>
      </c>
      <c r="AU329" s="20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415" t="s">
        <v>968</v>
      </c>
      <c r="BG329" s="407"/>
      <c r="BH329" s="407"/>
    </row>
    <row r="330" spans="1:61" s="3" customFormat="1" ht="20.75" customHeight="1" thickTop="1" thickBot="1" x14ac:dyDescent="0.45">
      <c r="A330" s="496"/>
      <c r="B330" s="97" t="s">
        <v>470</v>
      </c>
      <c r="C330" s="238" t="s">
        <v>415</v>
      </c>
      <c r="D330" s="239" t="s">
        <v>637</v>
      </c>
      <c r="E330" s="117" t="s">
        <v>159</v>
      </c>
      <c r="F330" s="118" t="s">
        <v>153</v>
      </c>
      <c r="G330" s="119" t="s">
        <v>31</v>
      </c>
      <c r="H330" s="116" t="s">
        <v>0</v>
      </c>
      <c r="I330" s="116" t="s">
        <v>323</v>
      </c>
      <c r="J330" s="482" t="s">
        <v>968</v>
      </c>
      <c r="K330" s="304"/>
      <c r="L330" s="117"/>
      <c r="M330" s="117"/>
      <c r="N330" s="117"/>
      <c r="O330" s="117"/>
      <c r="P330" s="180" t="s">
        <v>69</v>
      </c>
      <c r="Q330" s="120" t="s">
        <v>329</v>
      </c>
      <c r="R330" s="121"/>
      <c r="S330" s="122"/>
      <c r="T330" s="122"/>
      <c r="U330" s="122"/>
      <c r="V330" s="122"/>
      <c r="W330" s="122"/>
      <c r="X330" s="122"/>
      <c r="Y330" s="27"/>
      <c r="Z330" s="27"/>
      <c r="AA330" s="27"/>
      <c r="AB330" s="27"/>
      <c r="AC330" s="27"/>
      <c r="AD330" s="27"/>
      <c r="AE330" s="27"/>
      <c r="AF330" s="27"/>
      <c r="AG330" s="128"/>
      <c r="AH330" s="128"/>
      <c r="AI330" s="82">
        <v>46340</v>
      </c>
      <c r="AJ330" s="82">
        <v>46346</v>
      </c>
      <c r="AK330" s="82">
        <v>46348</v>
      </c>
      <c r="AL330" s="27">
        <v>46348</v>
      </c>
      <c r="AM330" s="27">
        <v>46378</v>
      </c>
      <c r="AN330" s="123"/>
      <c r="AO330" s="124"/>
      <c r="AP330" s="82">
        <v>46292</v>
      </c>
      <c r="AQ330" s="125"/>
      <c r="AR330" s="124"/>
      <c r="AS330" s="124"/>
      <c r="AT330" s="499"/>
      <c r="AU330" s="38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415"/>
      <c r="BG330" s="407"/>
      <c r="BH330" s="407"/>
    </row>
    <row r="331" spans="1:61" s="3" customFormat="1" ht="20.75" customHeight="1" thickBot="1" x14ac:dyDescent="0.45">
      <c r="A331" s="497"/>
      <c r="B331" s="93" t="s">
        <v>470</v>
      </c>
      <c r="C331" s="71" t="s">
        <v>415</v>
      </c>
      <c r="D331" s="32" t="s">
        <v>637</v>
      </c>
      <c r="E331" s="44" t="s">
        <v>159</v>
      </c>
      <c r="F331" s="33" t="s">
        <v>153</v>
      </c>
      <c r="G331" s="31" t="s">
        <v>180</v>
      </c>
      <c r="H331" s="31" t="s">
        <v>0</v>
      </c>
      <c r="I331" s="31" t="s">
        <v>323</v>
      </c>
      <c r="J331" s="44"/>
      <c r="K331" s="195"/>
      <c r="L331" s="44"/>
      <c r="M331" s="44"/>
      <c r="N331" s="44"/>
      <c r="O331" s="44"/>
      <c r="P331" s="176" t="s">
        <v>69</v>
      </c>
      <c r="Q331" s="34" t="s">
        <v>330</v>
      </c>
      <c r="R331" s="35">
        <v>46120</v>
      </c>
      <c r="S331" s="35">
        <v>46148</v>
      </c>
      <c r="T331" s="35">
        <v>46157</v>
      </c>
      <c r="U331" s="36">
        <v>46167</v>
      </c>
      <c r="V331" s="35">
        <v>46167</v>
      </c>
      <c r="W331" s="35">
        <v>46172</v>
      </c>
      <c r="X331" s="35">
        <v>46205</v>
      </c>
      <c r="Y331" s="35">
        <v>46210</v>
      </c>
      <c r="Z331" s="35"/>
      <c r="AA331" s="129">
        <v>46212</v>
      </c>
      <c r="AB331" s="129">
        <v>46212</v>
      </c>
      <c r="AC331" s="35">
        <v>46132</v>
      </c>
      <c r="AD331" s="35">
        <v>46193</v>
      </c>
      <c r="AE331" s="35">
        <v>46193</v>
      </c>
      <c r="AF331" s="35">
        <v>46227</v>
      </c>
      <c r="AG331" s="35">
        <v>46227</v>
      </c>
      <c r="AH331" s="35">
        <v>46227</v>
      </c>
      <c r="AI331" s="35"/>
      <c r="AJ331" s="35"/>
      <c r="AK331" s="35"/>
      <c r="AL331" s="35"/>
      <c r="AM331" s="35"/>
      <c r="AN331" s="81"/>
      <c r="AO331" s="79"/>
      <c r="AP331" s="36"/>
      <c r="AQ331" s="36"/>
      <c r="AR331" s="79"/>
      <c r="AS331" s="143"/>
      <c r="AT331" s="500"/>
      <c r="AU331" s="38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415"/>
      <c r="BG331" s="407"/>
      <c r="BH331" s="407"/>
    </row>
    <row r="332" spans="1:61" s="3" customFormat="1" ht="20.65" customHeight="1" thickTop="1" thickBot="1" x14ac:dyDescent="0.45">
      <c r="A332" s="495">
        <f t="shared" ref="A332" si="57">A329+1</f>
        <v>95</v>
      </c>
      <c r="B332" s="91" t="s">
        <v>470</v>
      </c>
      <c r="C332" s="16" t="s">
        <v>530</v>
      </c>
      <c r="D332" s="338" t="s">
        <v>638</v>
      </c>
      <c r="E332" s="63" t="s">
        <v>159</v>
      </c>
      <c r="F332" s="15" t="s">
        <v>153</v>
      </c>
      <c r="G332" s="13" t="s">
        <v>180</v>
      </c>
      <c r="H332" s="13" t="s">
        <v>0</v>
      </c>
      <c r="I332" s="13" t="s">
        <v>323</v>
      </c>
      <c r="J332" s="492" t="s">
        <v>1088</v>
      </c>
      <c r="K332" s="220"/>
      <c r="L332" s="41"/>
      <c r="M332" s="41"/>
      <c r="N332" s="41"/>
      <c r="O332" s="41"/>
      <c r="P332" s="174" t="s">
        <v>69</v>
      </c>
      <c r="Q332" s="17" t="s">
        <v>33</v>
      </c>
      <c r="R332" s="18">
        <v>46135</v>
      </c>
      <c r="S332" s="18">
        <v>46170</v>
      </c>
      <c r="T332" s="18">
        <v>46185</v>
      </c>
      <c r="U332" s="18">
        <v>46187</v>
      </c>
      <c r="V332" s="18">
        <v>46187</v>
      </c>
      <c r="W332" s="18">
        <v>46192</v>
      </c>
      <c r="X332" s="18">
        <v>46203</v>
      </c>
      <c r="Y332" s="18">
        <v>46213</v>
      </c>
      <c r="Z332" s="18"/>
      <c r="AA332" s="18">
        <v>46213</v>
      </c>
      <c r="AB332" s="18">
        <v>46213</v>
      </c>
      <c r="AC332" s="56">
        <v>46132</v>
      </c>
      <c r="AD332" s="56">
        <v>46217</v>
      </c>
      <c r="AE332" s="56">
        <v>46192</v>
      </c>
      <c r="AF332" s="56">
        <v>46233</v>
      </c>
      <c r="AG332" s="56">
        <v>46338</v>
      </c>
      <c r="AH332" s="18">
        <v>46338</v>
      </c>
      <c r="AI332" s="206">
        <v>46361</v>
      </c>
      <c r="AJ332" s="18">
        <v>46367</v>
      </c>
      <c r="AK332" s="18">
        <v>46369</v>
      </c>
      <c r="AL332" s="18">
        <v>46369</v>
      </c>
      <c r="AM332" s="18">
        <v>46399</v>
      </c>
      <c r="AN332" s="57">
        <v>8.5</v>
      </c>
      <c r="AO332" s="58">
        <v>59.5</v>
      </c>
      <c r="AP332" s="77">
        <f>AK332</f>
        <v>46369</v>
      </c>
      <c r="AQ332" s="77">
        <v>46284</v>
      </c>
      <c r="AR332" s="76">
        <f>AQ332-AP333</f>
        <v>-20</v>
      </c>
      <c r="AS332" s="139" t="s">
        <v>499</v>
      </c>
      <c r="AT332" s="498" t="s">
        <v>528</v>
      </c>
      <c r="AU332" s="20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415" t="s">
        <v>968</v>
      </c>
      <c r="BG332" s="407"/>
      <c r="BH332" s="407"/>
    </row>
    <row r="333" spans="1:61" s="3" customFormat="1" ht="20.75" customHeight="1" thickTop="1" thickBot="1" x14ac:dyDescent="0.45">
      <c r="A333" s="496"/>
      <c r="B333" s="97" t="s">
        <v>470</v>
      </c>
      <c r="C333" s="238" t="s">
        <v>530</v>
      </c>
      <c r="D333" s="239" t="s">
        <v>638</v>
      </c>
      <c r="E333" s="117" t="s">
        <v>159</v>
      </c>
      <c r="F333" s="118" t="s">
        <v>153</v>
      </c>
      <c r="G333" s="119" t="s">
        <v>31</v>
      </c>
      <c r="H333" s="116" t="s">
        <v>0</v>
      </c>
      <c r="I333" s="116" t="s">
        <v>323</v>
      </c>
      <c r="J333" s="482" t="s">
        <v>968</v>
      </c>
      <c r="K333" s="304"/>
      <c r="L333" s="117"/>
      <c r="M333" s="117"/>
      <c r="N333" s="117"/>
      <c r="O333" s="117"/>
      <c r="P333" s="180" t="s">
        <v>69</v>
      </c>
      <c r="Q333" s="120" t="s">
        <v>329</v>
      </c>
      <c r="R333" s="121"/>
      <c r="S333" s="122"/>
      <c r="T333" s="122"/>
      <c r="U333" s="122"/>
      <c r="V333" s="122"/>
      <c r="W333" s="122"/>
      <c r="X333" s="122"/>
      <c r="Y333" s="27"/>
      <c r="Z333" s="27"/>
      <c r="AA333" s="27"/>
      <c r="AB333" s="27"/>
      <c r="AC333" s="27"/>
      <c r="AD333" s="27"/>
      <c r="AE333" s="27"/>
      <c r="AF333" s="27"/>
      <c r="AG333" s="82"/>
      <c r="AH333" s="82"/>
      <c r="AI333" s="82">
        <v>46361</v>
      </c>
      <c r="AJ333" s="82">
        <v>46367</v>
      </c>
      <c r="AK333" s="82">
        <v>46369</v>
      </c>
      <c r="AL333" s="27">
        <v>46369</v>
      </c>
      <c r="AM333" s="27">
        <v>46399</v>
      </c>
      <c r="AN333" s="123"/>
      <c r="AO333" s="124"/>
      <c r="AP333" s="82">
        <v>46304</v>
      </c>
      <c r="AQ333" s="125"/>
      <c r="AR333" s="124"/>
      <c r="AS333" s="124"/>
      <c r="AT333" s="499"/>
      <c r="AU333" s="38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415"/>
      <c r="BG333" s="407"/>
      <c r="BH333" s="407"/>
    </row>
    <row r="334" spans="1:61" s="3" customFormat="1" ht="20.75" customHeight="1" thickBot="1" x14ac:dyDescent="0.45">
      <c r="A334" s="497"/>
      <c r="B334" s="93" t="s">
        <v>470</v>
      </c>
      <c r="C334" s="71" t="s">
        <v>530</v>
      </c>
      <c r="D334" s="32" t="s">
        <v>638</v>
      </c>
      <c r="E334" s="44" t="s">
        <v>159</v>
      </c>
      <c r="F334" s="33" t="s">
        <v>153</v>
      </c>
      <c r="G334" s="31" t="s">
        <v>180</v>
      </c>
      <c r="H334" s="31" t="s">
        <v>0</v>
      </c>
      <c r="I334" s="31" t="s">
        <v>323</v>
      </c>
      <c r="J334" s="44"/>
      <c r="K334" s="195"/>
      <c r="L334" s="44"/>
      <c r="M334" s="44"/>
      <c r="N334" s="44"/>
      <c r="O334" s="44"/>
      <c r="P334" s="176" t="s">
        <v>69</v>
      </c>
      <c r="Q334" s="34" t="s">
        <v>330</v>
      </c>
      <c r="R334" s="35">
        <v>46120</v>
      </c>
      <c r="S334" s="35">
        <v>46148</v>
      </c>
      <c r="T334" s="35">
        <v>46157</v>
      </c>
      <c r="U334" s="36">
        <v>46167</v>
      </c>
      <c r="V334" s="35">
        <v>46167</v>
      </c>
      <c r="W334" s="35">
        <v>46172</v>
      </c>
      <c r="X334" s="35">
        <v>46205</v>
      </c>
      <c r="Y334" s="35">
        <v>46210</v>
      </c>
      <c r="Z334" s="35"/>
      <c r="AA334" s="129">
        <v>46212</v>
      </c>
      <c r="AB334" s="129">
        <v>46212</v>
      </c>
      <c r="AC334" s="35">
        <v>46132</v>
      </c>
      <c r="AD334" s="35">
        <v>46193</v>
      </c>
      <c r="AE334" s="35">
        <v>46193</v>
      </c>
      <c r="AF334" s="35">
        <v>46227</v>
      </c>
      <c r="AG334" s="207">
        <v>46227</v>
      </c>
      <c r="AH334" s="35">
        <v>46227</v>
      </c>
      <c r="AI334" s="35"/>
      <c r="AJ334" s="35"/>
      <c r="AK334" s="35"/>
      <c r="AL334" s="35"/>
      <c r="AM334" s="35"/>
      <c r="AN334" s="81"/>
      <c r="AO334" s="79"/>
      <c r="AP334" s="36"/>
      <c r="AQ334" s="36"/>
      <c r="AR334" s="79"/>
      <c r="AS334" s="143"/>
      <c r="AT334" s="500"/>
      <c r="AU334" s="38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415"/>
      <c r="BG334" s="407"/>
      <c r="BH334" s="407"/>
    </row>
    <row r="335" spans="1:61" s="3" customFormat="1" ht="20.65" customHeight="1" thickTop="1" thickBot="1" x14ac:dyDescent="0.45">
      <c r="A335" s="495">
        <f t="shared" ref="A335" si="58">A332+1</f>
        <v>96</v>
      </c>
      <c r="B335" s="91" t="s">
        <v>470</v>
      </c>
      <c r="C335" s="16" t="s">
        <v>590</v>
      </c>
      <c r="D335" s="338" t="s">
        <v>691</v>
      </c>
      <c r="E335" s="63" t="s">
        <v>159</v>
      </c>
      <c r="F335" s="15" t="s">
        <v>153</v>
      </c>
      <c r="G335" s="13" t="s">
        <v>180</v>
      </c>
      <c r="H335" s="13" t="s">
        <v>0</v>
      </c>
      <c r="I335" s="13" t="s">
        <v>323</v>
      </c>
      <c r="J335" s="492" t="s">
        <v>1088</v>
      </c>
      <c r="K335" s="220"/>
      <c r="L335" s="41"/>
      <c r="M335" s="41"/>
      <c r="N335" s="41"/>
      <c r="O335" s="41"/>
      <c r="P335" s="174" t="s">
        <v>69</v>
      </c>
      <c r="Q335" s="17" t="s">
        <v>33</v>
      </c>
      <c r="R335" s="18">
        <v>46135</v>
      </c>
      <c r="S335" s="18">
        <v>46170</v>
      </c>
      <c r="T335" s="18">
        <v>46185</v>
      </c>
      <c r="U335" s="18">
        <v>46187</v>
      </c>
      <c r="V335" s="18">
        <v>46187</v>
      </c>
      <c r="W335" s="18">
        <v>46192</v>
      </c>
      <c r="X335" s="18">
        <v>46203</v>
      </c>
      <c r="Y335" s="18">
        <v>46213</v>
      </c>
      <c r="Z335" s="18"/>
      <c r="AA335" s="18">
        <v>46213</v>
      </c>
      <c r="AB335" s="18">
        <v>46213</v>
      </c>
      <c r="AC335" s="56">
        <v>46132</v>
      </c>
      <c r="AD335" s="56">
        <v>46217</v>
      </c>
      <c r="AE335" s="56">
        <v>46192</v>
      </c>
      <c r="AF335" s="18">
        <v>46359</v>
      </c>
      <c r="AG335" s="18">
        <v>46359</v>
      </c>
      <c r="AH335" s="18">
        <v>46359</v>
      </c>
      <c r="AI335" s="206">
        <v>46382</v>
      </c>
      <c r="AJ335" s="18">
        <v>46388</v>
      </c>
      <c r="AK335" s="18">
        <v>46390</v>
      </c>
      <c r="AL335" s="18">
        <v>46390</v>
      </c>
      <c r="AM335" s="18">
        <v>46420</v>
      </c>
      <c r="AN335" s="57">
        <v>8.5</v>
      </c>
      <c r="AO335" s="58">
        <v>59.5</v>
      </c>
      <c r="AP335" s="77">
        <f>AK335</f>
        <v>46390</v>
      </c>
      <c r="AQ335" s="77">
        <v>46315</v>
      </c>
      <c r="AR335" s="76">
        <f>AQ335-AP336</f>
        <v>-75</v>
      </c>
      <c r="AS335" s="139" t="s">
        <v>499</v>
      </c>
      <c r="AT335" s="498" t="s">
        <v>528</v>
      </c>
      <c r="AU335" s="20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415" t="s">
        <v>1015</v>
      </c>
      <c r="BG335" s="407">
        <v>46280</v>
      </c>
      <c r="BH335" s="466">
        <v>271.85721000000001</v>
      </c>
      <c r="BI335" s="467" t="s">
        <v>1017</v>
      </c>
    </row>
    <row r="336" spans="1:61" s="3" customFormat="1" ht="20.75" customHeight="1" thickTop="1" thickBot="1" x14ac:dyDescent="0.45">
      <c r="A336" s="496"/>
      <c r="B336" s="97" t="s">
        <v>470</v>
      </c>
      <c r="C336" s="238" t="s">
        <v>531</v>
      </c>
      <c r="D336" s="239" t="s">
        <v>541</v>
      </c>
      <c r="E336" s="117" t="s">
        <v>159</v>
      </c>
      <c r="F336" s="118" t="s">
        <v>153</v>
      </c>
      <c r="G336" s="119" t="s">
        <v>31</v>
      </c>
      <c r="H336" s="116" t="s">
        <v>0</v>
      </c>
      <c r="I336" s="116" t="s">
        <v>323</v>
      </c>
      <c r="J336" s="482" t="s">
        <v>968</v>
      </c>
      <c r="K336" s="304"/>
      <c r="L336" s="117"/>
      <c r="M336" s="117"/>
      <c r="N336" s="117"/>
      <c r="O336" s="117"/>
      <c r="P336" s="180" t="s">
        <v>69</v>
      </c>
      <c r="Q336" s="120" t="s">
        <v>329</v>
      </c>
      <c r="R336" s="121"/>
      <c r="S336" s="122"/>
      <c r="T336" s="122"/>
      <c r="U336" s="122"/>
      <c r="V336" s="122"/>
      <c r="W336" s="122"/>
      <c r="X336" s="122"/>
      <c r="Y336" s="27"/>
      <c r="Z336" s="27"/>
      <c r="AA336" s="27"/>
      <c r="AB336" s="27"/>
      <c r="AC336" s="122"/>
      <c r="AD336" s="122"/>
      <c r="AE336" s="122"/>
      <c r="AF336" s="128"/>
      <c r="AG336" s="82"/>
      <c r="AH336" s="82"/>
      <c r="AI336" s="82">
        <v>46382</v>
      </c>
      <c r="AJ336" s="82">
        <v>46388</v>
      </c>
      <c r="AK336" s="82">
        <v>46390</v>
      </c>
      <c r="AL336" s="27">
        <v>46390</v>
      </c>
      <c r="AM336" s="27">
        <v>46420</v>
      </c>
      <c r="AN336" s="123"/>
      <c r="AO336" s="124"/>
      <c r="AP336" s="82">
        <f>AP335</f>
        <v>46390</v>
      </c>
      <c r="AQ336" s="125"/>
      <c r="AR336" s="124"/>
      <c r="AS336" s="124"/>
      <c r="AT336" s="499"/>
      <c r="AU336" s="38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415" t="s">
        <v>1016</v>
      </c>
      <c r="BG336" s="407">
        <v>46286</v>
      </c>
      <c r="BH336" s="466">
        <v>282.37764000000004</v>
      </c>
      <c r="BI336" s="467" t="s">
        <v>1017</v>
      </c>
    </row>
    <row r="337" spans="1:60" s="3" customFormat="1" ht="20.75" customHeight="1" thickBot="1" x14ac:dyDescent="0.45">
      <c r="A337" s="497"/>
      <c r="B337" s="93" t="s">
        <v>470</v>
      </c>
      <c r="C337" s="71" t="s">
        <v>531</v>
      </c>
      <c r="D337" s="32" t="s">
        <v>541</v>
      </c>
      <c r="E337" s="44" t="s">
        <v>159</v>
      </c>
      <c r="F337" s="33" t="s">
        <v>153</v>
      </c>
      <c r="G337" s="31" t="s">
        <v>180</v>
      </c>
      <c r="H337" s="31" t="s">
        <v>0</v>
      </c>
      <c r="I337" s="31" t="s">
        <v>323</v>
      </c>
      <c r="J337" s="44"/>
      <c r="K337" s="195"/>
      <c r="L337" s="44"/>
      <c r="M337" s="44"/>
      <c r="N337" s="44"/>
      <c r="O337" s="44"/>
      <c r="P337" s="176" t="s">
        <v>69</v>
      </c>
      <c r="Q337" s="34" t="s">
        <v>330</v>
      </c>
      <c r="R337" s="35">
        <v>46120</v>
      </c>
      <c r="S337" s="35">
        <v>46148</v>
      </c>
      <c r="T337" s="35">
        <v>46157</v>
      </c>
      <c r="U337" s="36">
        <v>46167</v>
      </c>
      <c r="V337" s="35">
        <v>46167</v>
      </c>
      <c r="W337" s="35">
        <v>46172</v>
      </c>
      <c r="X337" s="35">
        <v>46205</v>
      </c>
      <c r="Y337" s="35">
        <v>46210</v>
      </c>
      <c r="Z337" s="35"/>
      <c r="AA337" s="129">
        <v>46217</v>
      </c>
      <c r="AB337" s="129">
        <v>46217</v>
      </c>
      <c r="AC337" s="35">
        <v>46132</v>
      </c>
      <c r="AD337" s="35">
        <v>46193</v>
      </c>
      <c r="AE337" s="35">
        <v>46193</v>
      </c>
      <c r="AF337" s="35">
        <v>46244</v>
      </c>
      <c r="AG337" s="35">
        <v>46244</v>
      </c>
      <c r="AH337" s="35">
        <v>46244</v>
      </c>
      <c r="AI337" s="35"/>
      <c r="AJ337" s="35"/>
      <c r="AK337" s="35"/>
      <c r="AL337" s="35"/>
      <c r="AM337" s="35"/>
      <c r="AN337" s="81"/>
      <c r="AO337" s="79"/>
      <c r="AP337" s="36"/>
      <c r="AQ337" s="36"/>
      <c r="AR337" s="79"/>
      <c r="AS337" s="143"/>
      <c r="AT337" s="500"/>
      <c r="AU337" s="38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415"/>
      <c r="BG337" s="407"/>
      <c r="BH337" s="407"/>
    </row>
    <row r="338" spans="1:60" s="3" customFormat="1" ht="20.65" customHeight="1" thickTop="1" thickBot="1" x14ac:dyDescent="0.45">
      <c r="A338" s="495">
        <f t="shared" ref="A338" si="59">A335+1</f>
        <v>97</v>
      </c>
      <c r="B338" s="91" t="s">
        <v>469</v>
      </c>
      <c r="C338" s="16" t="s">
        <v>413</v>
      </c>
      <c r="D338" s="203" t="s">
        <v>742</v>
      </c>
      <c r="E338" s="63" t="s">
        <v>159</v>
      </c>
      <c r="F338" s="15" t="s">
        <v>153</v>
      </c>
      <c r="G338" s="13" t="s">
        <v>180</v>
      </c>
      <c r="H338" s="13" t="s">
        <v>0</v>
      </c>
      <c r="I338" s="13" t="s">
        <v>323</v>
      </c>
      <c r="J338" s="492" t="s">
        <v>1088</v>
      </c>
      <c r="K338" s="220"/>
      <c r="L338" s="41"/>
      <c r="M338" s="41"/>
      <c r="N338" s="41"/>
      <c r="O338" s="41"/>
      <c r="P338" s="174" t="s">
        <v>69</v>
      </c>
      <c r="Q338" s="17" t="s">
        <v>33</v>
      </c>
      <c r="R338" s="18">
        <v>46135</v>
      </c>
      <c r="S338" s="18">
        <v>46205</v>
      </c>
      <c r="T338" s="18">
        <v>46220</v>
      </c>
      <c r="U338" s="18">
        <v>46222</v>
      </c>
      <c r="V338" s="18">
        <v>46222</v>
      </c>
      <c r="W338" s="18">
        <v>46227</v>
      </c>
      <c r="X338" s="18">
        <v>46238</v>
      </c>
      <c r="Y338" s="18">
        <v>46248</v>
      </c>
      <c r="Z338" s="18"/>
      <c r="AA338" s="206">
        <v>46248</v>
      </c>
      <c r="AB338" s="18">
        <v>46248</v>
      </c>
      <c r="AC338" s="18">
        <v>46132</v>
      </c>
      <c r="AD338" s="18">
        <v>46252</v>
      </c>
      <c r="AE338" s="18">
        <v>46237</v>
      </c>
      <c r="AF338" s="18">
        <v>46268</v>
      </c>
      <c r="AG338" s="18">
        <v>46268</v>
      </c>
      <c r="AH338" s="18">
        <v>46268</v>
      </c>
      <c r="AI338" s="18">
        <v>46291</v>
      </c>
      <c r="AJ338" s="18">
        <v>46297</v>
      </c>
      <c r="AK338" s="18">
        <v>46299</v>
      </c>
      <c r="AL338" s="18">
        <v>46299</v>
      </c>
      <c r="AM338" s="18">
        <v>46329</v>
      </c>
      <c r="AN338" s="57">
        <v>8.5</v>
      </c>
      <c r="AO338" s="58">
        <v>59.5</v>
      </c>
      <c r="AP338" s="77">
        <v>46299</v>
      </c>
      <c r="AQ338" s="77">
        <v>46306</v>
      </c>
      <c r="AR338" s="76">
        <f>AQ338-AP339</f>
        <v>7</v>
      </c>
      <c r="AS338" s="139" t="s">
        <v>499</v>
      </c>
      <c r="AT338" s="498" t="s">
        <v>528</v>
      </c>
      <c r="AU338" s="20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415" t="s">
        <v>968</v>
      </c>
      <c r="BG338" s="407"/>
      <c r="BH338" s="407"/>
    </row>
    <row r="339" spans="1:60" s="3" customFormat="1" ht="20.75" customHeight="1" thickTop="1" thickBot="1" x14ac:dyDescent="0.45">
      <c r="A339" s="496"/>
      <c r="B339" s="97" t="s">
        <v>469</v>
      </c>
      <c r="C339" s="238" t="s">
        <v>413</v>
      </c>
      <c r="D339" s="351" t="s">
        <v>742</v>
      </c>
      <c r="E339" s="117" t="s">
        <v>159</v>
      </c>
      <c r="F339" s="118" t="s">
        <v>153</v>
      </c>
      <c r="G339" s="119" t="s">
        <v>31</v>
      </c>
      <c r="H339" s="116" t="s">
        <v>0</v>
      </c>
      <c r="I339" s="116" t="s">
        <v>323</v>
      </c>
      <c r="J339" s="482" t="s">
        <v>968</v>
      </c>
      <c r="K339" s="304"/>
      <c r="L339" s="117"/>
      <c r="M339" s="117"/>
      <c r="N339" s="117"/>
      <c r="O339" s="117"/>
      <c r="P339" s="180" t="s">
        <v>69</v>
      </c>
      <c r="Q339" s="120" t="s">
        <v>329</v>
      </c>
      <c r="R339" s="121"/>
      <c r="S339" s="122"/>
      <c r="T339" s="122"/>
      <c r="U339" s="122"/>
      <c r="V339" s="122"/>
      <c r="W339" s="122"/>
      <c r="X339" s="122"/>
      <c r="Y339" s="27"/>
      <c r="Z339" s="27"/>
      <c r="AA339" s="27">
        <v>46248</v>
      </c>
      <c r="AB339" s="27">
        <v>46248</v>
      </c>
      <c r="AC339" s="27"/>
      <c r="AD339" s="27">
        <v>46252</v>
      </c>
      <c r="AE339" s="27">
        <v>46237</v>
      </c>
      <c r="AF339" s="27">
        <v>46268</v>
      </c>
      <c r="AG339" s="27">
        <v>46268</v>
      </c>
      <c r="AH339" s="27">
        <v>46268</v>
      </c>
      <c r="AI339" s="82">
        <v>46291</v>
      </c>
      <c r="AJ339" s="82">
        <v>46297</v>
      </c>
      <c r="AK339" s="82">
        <v>46299</v>
      </c>
      <c r="AL339" s="27">
        <v>46299</v>
      </c>
      <c r="AM339" s="27">
        <v>46329</v>
      </c>
      <c r="AN339" s="123"/>
      <c r="AO339" s="124"/>
      <c r="AP339" s="82">
        <f>AK339</f>
        <v>46299</v>
      </c>
      <c r="AQ339" s="125"/>
      <c r="AR339" s="124"/>
      <c r="AS339" s="124"/>
      <c r="AT339" s="499"/>
      <c r="AU339" s="38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415"/>
      <c r="BG339" s="407"/>
      <c r="BH339" s="407"/>
    </row>
    <row r="340" spans="1:60" s="3" customFormat="1" ht="20.75" customHeight="1" thickBot="1" x14ac:dyDescent="0.45">
      <c r="A340" s="497"/>
      <c r="B340" s="93" t="s">
        <v>469</v>
      </c>
      <c r="C340" s="71" t="s">
        <v>413</v>
      </c>
      <c r="D340" s="32" t="s">
        <v>539</v>
      </c>
      <c r="E340" s="44" t="s">
        <v>159</v>
      </c>
      <c r="F340" s="33" t="s">
        <v>153</v>
      </c>
      <c r="G340" s="31" t="s">
        <v>180</v>
      </c>
      <c r="H340" s="31" t="s">
        <v>0</v>
      </c>
      <c r="I340" s="31" t="s">
        <v>323</v>
      </c>
      <c r="J340" s="44"/>
      <c r="K340" s="195"/>
      <c r="L340" s="44"/>
      <c r="M340" s="44"/>
      <c r="N340" s="44"/>
      <c r="O340" s="44"/>
      <c r="P340" s="176" t="s">
        <v>69</v>
      </c>
      <c r="Q340" s="34" t="s">
        <v>330</v>
      </c>
      <c r="R340" s="35">
        <v>46120</v>
      </c>
      <c r="S340" s="35">
        <v>46148</v>
      </c>
      <c r="T340" s="35">
        <v>46157</v>
      </c>
      <c r="U340" s="36">
        <v>46167</v>
      </c>
      <c r="V340" s="35">
        <v>46167</v>
      </c>
      <c r="W340" s="35">
        <v>46172</v>
      </c>
      <c r="X340" s="35">
        <v>46230</v>
      </c>
      <c r="Y340" s="35">
        <v>46237</v>
      </c>
      <c r="Z340" s="35"/>
      <c r="AA340" s="129"/>
      <c r="AB340" s="129"/>
      <c r="AC340" s="35">
        <v>46132</v>
      </c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81"/>
      <c r="AO340" s="79"/>
      <c r="AP340" s="36"/>
      <c r="AQ340" s="36"/>
      <c r="AR340" s="79"/>
      <c r="AS340" s="143"/>
      <c r="AT340" s="500"/>
      <c r="AU340" s="38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415"/>
      <c r="BG340" s="407"/>
      <c r="BH340" s="407"/>
    </row>
    <row r="341" spans="1:60" s="3" customFormat="1" ht="20.65" customHeight="1" thickTop="1" thickBot="1" x14ac:dyDescent="0.45">
      <c r="A341" s="495">
        <f t="shared" ref="A341" si="60">A338+1</f>
        <v>98</v>
      </c>
      <c r="B341" s="91" t="s">
        <v>469</v>
      </c>
      <c r="C341" s="16" t="s">
        <v>588</v>
      </c>
      <c r="D341" s="203" t="s">
        <v>537</v>
      </c>
      <c r="E341" s="63" t="s">
        <v>159</v>
      </c>
      <c r="F341" s="15" t="s">
        <v>153</v>
      </c>
      <c r="G341" s="13" t="s">
        <v>180</v>
      </c>
      <c r="H341" s="13" t="s">
        <v>0</v>
      </c>
      <c r="I341" s="13" t="s">
        <v>323</v>
      </c>
      <c r="J341" s="492" t="s">
        <v>1088</v>
      </c>
      <c r="K341" s="220"/>
      <c r="L341" s="41"/>
      <c r="M341" s="41"/>
      <c r="N341" s="41"/>
      <c r="O341" s="41"/>
      <c r="P341" s="174" t="s">
        <v>69</v>
      </c>
      <c r="Q341" s="17" t="s">
        <v>33</v>
      </c>
      <c r="R341" s="18">
        <v>46135</v>
      </c>
      <c r="S341" s="18">
        <v>46205</v>
      </c>
      <c r="T341" s="18">
        <v>46220</v>
      </c>
      <c r="U341" s="18">
        <v>46222</v>
      </c>
      <c r="V341" s="18">
        <v>46222</v>
      </c>
      <c r="W341" s="18">
        <v>46227</v>
      </c>
      <c r="X341" s="18">
        <v>46238</v>
      </c>
      <c r="Y341" s="18">
        <v>46248</v>
      </c>
      <c r="Z341" s="18"/>
      <c r="AA341" s="206">
        <v>46248</v>
      </c>
      <c r="AB341" s="18">
        <v>46248</v>
      </c>
      <c r="AC341" s="18">
        <v>46132</v>
      </c>
      <c r="AD341" s="18">
        <v>46252</v>
      </c>
      <c r="AE341" s="18">
        <v>46237</v>
      </c>
      <c r="AF341" s="206">
        <v>46289</v>
      </c>
      <c r="AG341" s="18">
        <v>46289</v>
      </c>
      <c r="AH341" s="18">
        <v>46289</v>
      </c>
      <c r="AI341" s="18">
        <v>46312</v>
      </c>
      <c r="AJ341" s="18">
        <v>46318</v>
      </c>
      <c r="AK341" s="18">
        <v>46320</v>
      </c>
      <c r="AL341" s="18">
        <v>46320</v>
      </c>
      <c r="AM341" s="18">
        <v>46350</v>
      </c>
      <c r="AN341" s="57">
        <v>8.5</v>
      </c>
      <c r="AO341" s="58">
        <v>59.5</v>
      </c>
      <c r="AP341" s="77">
        <f>AK341</f>
        <v>46320</v>
      </c>
      <c r="AQ341" s="77">
        <v>46337</v>
      </c>
      <c r="AR341" s="76">
        <f>AQ341-AP342</f>
        <v>17</v>
      </c>
      <c r="AS341" s="139" t="s">
        <v>499</v>
      </c>
      <c r="AT341" s="498" t="s">
        <v>528</v>
      </c>
      <c r="AU341" s="20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415" t="s">
        <v>968</v>
      </c>
      <c r="BG341" s="407"/>
      <c r="BH341" s="407"/>
    </row>
    <row r="342" spans="1:60" s="3" customFormat="1" ht="20.75" customHeight="1" thickTop="1" thickBot="1" x14ac:dyDescent="0.45">
      <c r="A342" s="496"/>
      <c r="B342" s="97" t="s">
        <v>469</v>
      </c>
      <c r="C342" s="238" t="s">
        <v>588</v>
      </c>
      <c r="D342" s="239" t="s">
        <v>537</v>
      </c>
      <c r="E342" s="117" t="s">
        <v>159</v>
      </c>
      <c r="F342" s="118" t="s">
        <v>153</v>
      </c>
      <c r="G342" s="119" t="s">
        <v>31</v>
      </c>
      <c r="H342" s="116" t="s">
        <v>0</v>
      </c>
      <c r="I342" s="116" t="s">
        <v>323</v>
      </c>
      <c r="J342" s="482" t="s">
        <v>968</v>
      </c>
      <c r="K342" s="304"/>
      <c r="L342" s="117"/>
      <c r="M342" s="117"/>
      <c r="N342" s="117"/>
      <c r="O342" s="117"/>
      <c r="P342" s="180" t="s">
        <v>69</v>
      </c>
      <c r="Q342" s="120" t="s">
        <v>329</v>
      </c>
      <c r="R342" s="121"/>
      <c r="S342" s="122"/>
      <c r="T342" s="122"/>
      <c r="U342" s="122"/>
      <c r="V342" s="122"/>
      <c r="W342" s="122"/>
      <c r="X342" s="122"/>
      <c r="Y342" s="27"/>
      <c r="Z342" s="27"/>
      <c r="AA342" s="27">
        <v>46248</v>
      </c>
      <c r="AB342" s="27">
        <v>46248</v>
      </c>
      <c r="AC342" s="27"/>
      <c r="AD342" s="27"/>
      <c r="AE342" s="27"/>
      <c r="AF342" s="27">
        <v>46289</v>
      </c>
      <c r="AG342" s="27">
        <v>46289</v>
      </c>
      <c r="AH342" s="27">
        <v>46289</v>
      </c>
      <c r="AI342" s="82">
        <v>46312</v>
      </c>
      <c r="AJ342" s="82">
        <v>46318</v>
      </c>
      <c r="AK342" s="82">
        <v>46320</v>
      </c>
      <c r="AL342" s="27">
        <v>46320</v>
      </c>
      <c r="AM342" s="27">
        <v>46350</v>
      </c>
      <c r="AN342" s="123"/>
      <c r="AO342" s="124"/>
      <c r="AP342" s="82">
        <f>AK342</f>
        <v>46320</v>
      </c>
      <c r="AQ342" s="125"/>
      <c r="AR342" s="124"/>
      <c r="AS342" s="124"/>
      <c r="AT342" s="499"/>
      <c r="AU342" s="38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415"/>
      <c r="BG342" s="407"/>
      <c r="BH342" s="407"/>
    </row>
    <row r="343" spans="1:60" s="3" customFormat="1" ht="20.75" customHeight="1" thickBot="1" x14ac:dyDescent="0.45">
      <c r="A343" s="497"/>
      <c r="B343" s="93" t="s">
        <v>469</v>
      </c>
      <c r="C343" s="71" t="s">
        <v>588</v>
      </c>
      <c r="D343" s="32" t="s">
        <v>537</v>
      </c>
      <c r="E343" s="44" t="s">
        <v>159</v>
      </c>
      <c r="F343" s="33" t="s">
        <v>153</v>
      </c>
      <c r="G343" s="31" t="s">
        <v>180</v>
      </c>
      <c r="H343" s="31" t="s">
        <v>0</v>
      </c>
      <c r="I343" s="31" t="s">
        <v>323</v>
      </c>
      <c r="J343" s="44"/>
      <c r="K343" s="195"/>
      <c r="L343" s="44"/>
      <c r="M343" s="44"/>
      <c r="N343" s="44"/>
      <c r="O343" s="44"/>
      <c r="P343" s="176" t="s">
        <v>69</v>
      </c>
      <c r="Q343" s="34" t="s">
        <v>330</v>
      </c>
      <c r="R343" s="35">
        <v>46120</v>
      </c>
      <c r="S343" s="35">
        <v>46148</v>
      </c>
      <c r="T343" s="35">
        <v>46157</v>
      </c>
      <c r="U343" s="36">
        <v>46167</v>
      </c>
      <c r="V343" s="35">
        <v>46167</v>
      </c>
      <c r="W343" s="35">
        <v>46172</v>
      </c>
      <c r="X343" s="35">
        <v>46230</v>
      </c>
      <c r="Y343" s="35">
        <v>46237</v>
      </c>
      <c r="Z343" s="35"/>
      <c r="AA343" s="129"/>
      <c r="AB343" s="129"/>
      <c r="AC343" s="35">
        <v>46132</v>
      </c>
      <c r="AD343" s="35">
        <v>46238</v>
      </c>
      <c r="AE343" s="35">
        <v>46238</v>
      </c>
      <c r="AF343" s="35"/>
      <c r="AG343" s="35"/>
      <c r="AH343" s="35"/>
      <c r="AI343" s="35"/>
      <c r="AJ343" s="35"/>
      <c r="AK343" s="35"/>
      <c r="AL343" s="35"/>
      <c r="AM343" s="35"/>
      <c r="AN343" s="81"/>
      <c r="AO343" s="79"/>
      <c r="AP343" s="36"/>
      <c r="AQ343" s="36"/>
      <c r="AR343" s="79"/>
      <c r="AS343" s="143"/>
      <c r="AT343" s="500"/>
      <c r="AU343" s="38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415"/>
      <c r="BG343" s="407"/>
      <c r="BH343" s="407"/>
    </row>
    <row r="344" spans="1:60" s="3" customFormat="1" ht="20.65" customHeight="1" thickTop="1" thickBot="1" x14ac:dyDescent="0.45">
      <c r="A344" s="495">
        <f t="shared" ref="A344" si="61">A341+1</f>
        <v>99</v>
      </c>
      <c r="B344" s="91" t="s">
        <v>469</v>
      </c>
      <c r="C344" s="16" t="s">
        <v>589</v>
      </c>
      <c r="D344" s="338" t="s">
        <v>738</v>
      </c>
      <c r="E344" s="63" t="s">
        <v>159</v>
      </c>
      <c r="F344" s="15" t="s">
        <v>153</v>
      </c>
      <c r="G344" s="13" t="s">
        <v>180</v>
      </c>
      <c r="H344" s="13" t="s">
        <v>0</v>
      </c>
      <c r="I344" s="13" t="s">
        <v>323</v>
      </c>
      <c r="J344" s="492" t="s">
        <v>1088</v>
      </c>
      <c r="K344" s="220"/>
      <c r="L344" s="41"/>
      <c r="M344" s="41"/>
      <c r="N344" s="41"/>
      <c r="O344" s="41"/>
      <c r="P344" s="174" t="s">
        <v>69</v>
      </c>
      <c r="Q344" s="17" t="s">
        <v>33</v>
      </c>
      <c r="R344" s="18">
        <v>46135</v>
      </c>
      <c r="S344" s="18">
        <v>46205</v>
      </c>
      <c r="T344" s="18">
        <v>46220</v>
      </c>
      <c r="U344" s="18">
        <v>46222</v>
      </c>
      <c r="V344" s="18">
        <v>46222</v>
      </c>
      <c r="W344" s="18">
        <v>46227</v>
      </c>
      <c r="X344" s="18">
        <v>46238</v>
      </c>
      <c r="Y344" s="18">
        <v>46248</v>
      </c>
      <c r="Z344" s="18"/>
      <c r="AA344" s="18">
        <v>46248</v>
      </c>
      <c r="AB344" s="18">
        <v>46248</v>
      </c>
      <c r="AC344" s="18">
        <v>46132</v>
      </c>
      <c r="AD344" s="18">
        <v>46252</v>
      </c>
      <c r="AE344" s="18">
        <v>46237</v>
      </c>
      <c r="AF344" s="206">
        <v>46310</v>
      </c>
      <c r="AG344" s="18">
        <v>46310</v>
      </c>
      <c r="AH344" s="18">
        <v>46310</v>
      </c>
      <c r="AI344" s="18">
        <v>46333</v>
      </c>
      <c r="AJ344" s="18">
        <v>46339</v>
      </c>
      <c r="AK344" s="18">
        <v>46341</v>
      </c>
      <c r="AL344" s="18">
        <v>46341</v>
      </c>
      <c r="AM344" s="18">
        <v>46371</v>
      </c>
      <c r="AN344" s="57">
        <v>8.5</v>
      </c>
      <c r="AO344" s="58">
        <v>59.5</v>
      </c>
      <c r="AP344" s="77">
        <f>AK344</f>
        <v>46341</v>
      </c>
      <c r="AQ344" s="77">
        <v>46332</v>
      </c>
      <c r="AR344" s="76">
        <f>AQ344-AP345</f>
        <v>-9</v>
      </c>
      <c r="AS344" s="139" t="s">
        <v>499</v>
      </c>
      <c r="AT344" s="498" t="s">
        <v>528</v>
      </c>
      <c r="AU344" s="20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415" t="s">
        <v>968</v>
      </c>
      <c r="BG344" s="407"/>
      <c r="BH344" s="407"/>
    </row>
    <row r="345" spans="1:60" s="3" customFormat="1" ht="20.75" customHeight="1" thickTop="1" thickBot="1" x14ac:dyDescent="0.45">
      <c r="A345" s="496"/>
      <c r="B345" s="97" t="s">
        <v>469</v>
      </c>
      <c r="C345" s="238" t="s">
        <v>589</v>
      </c>
      <c r="D345" s="239" t="s">
        <v>738</v>
      </c>
      <c r="E345" s="117" t="s">
        <v>159</v>
      </c>
      <c r="F345" s="118" t="s">
        <v>153</v>
      </c>
      <c r="G345" s="119" t="s">
        <v>31</v>
      </c>
      <c r="H345" s="116" t="s">
        <v>0</v>
      </c>
      <c r="I345" s="116" t="s">
        <v>323</v>
      </c>
      <c r="J345" s="482" t="s">
        <v>968</v>
      </c>
      <c r="K345" s="304"/>
      <c r="L345" s="117"/>
      <c r="M345" s="117"/>
      <c r="N345" s="117"/>
      <c r="O345" s="117"/>
      <c r="P345" s="180" t="s">
        <v>69</v>
      </c>
      <c r="Q345" s="120" t="s">
        <v>329</v>
      </c>
      <c r="R345" s="121"/>
      <c r="S345" s="122"/>
      <c r="T345" s="122"/>
      <c r="U345" s="122"/>
      <c r="V345" s="122"/>
      <c r="W345" s="122"/>
      <c r="X345" s="122"/>
      <c r="Y345" s="27"/>
      <c r="Z345" s="27"/>
      <c r="AA345" s="27"/>
      <c r="AB345" s="27"/>
      <c r="AC345" s="27"/>
      <c r="AD345" s="27"/>
      <c r="AE345" s="27"/>
      <c r="AF345" s="27">
        <v>46310</v>
      </c>
      <c r="AG345" s="27">
        <v>46310</v>
      </c>
      <c r="AH345" s="27">
        <v>46310</v>
      </c>
      <c r="AI345" s="82">
        <v>46333</v>
      </c>
      <c r="AJ345" s="82">
        <v>46339</v>
      </c>
      <c r="AK345" s="82">
        <v>46341</v>
      </c>
      <c r="AL345" s="27">
        <v>46341</v>
      </c>
      <c r="AM345" s="27">
        <v>46371</v>
      </c>
      <c r="AN345" s="123"/>
      <c r="AO345" s="124"/>
      <c r="AP345" s="82">
        <f>AK345</f>
        <v>46341</v>
      </c>
      <c r="AQ345" s="125"/>
      <c r="AR345" s="124"/>
      <c r="AS345" s="124"/>
      <c r="AT345" s="499"/>
      <c r="AU345" s="38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415"/>
      <c r="BG345" s="407"/>
      <c r="BH345" s="407"/>
    </row>
    <row r="346" spans="1:60" s="3" customFormat="1" ht="20.75" customHeight="1" thickBot="1" x14ac:dyDescent="0.45">
      <c r="A346" s="497"/>
      <c r="B346" s="93" t="s">
        <v>469</v>
      </c>
      <c r="C346" s="71" t="s">
        <v>589</v>
      </c>
      <c r="D346" s="32" t="s">
        <v>738</v>
      </c>
      <c r="E346" s="44" t="s">
        <v>159</v>
      </c>
      <c r="F346" s="33" t="s">
        <v>153</v>
      </c>
      <c r="G346" s="31" t="s">
        <v>180</v>
      </c>
      <c r="H346" s="31" t="s">
        <v>0</v>
      </c>
      <c r="I346" s="31" t="s">
        <v>323</v>
      </c>
      <c r="J346" s="44"/>
      <c r="K346" s="195"/>
      <c r="L346" s="44"/>
      <c r="M346" s="44"/>
      <c r="N346" s="44"/>
      <c r="O346" s="44"/>
      <c r="P346" s="176" t="s">
        <v>69</v>
      </c>
      <c r="Q346" s="34" t="s">
        <v>330</v>
      </c>
      <c r="R346" s="35">
        <v>46120</v>
      </c>
      <c r="S346" s="35">
        <v>46148</v>
      </c>
      <c r="T346" s="35">
        <v>46157</v>
      </c>
      <c r="U346" s="36">
        <v>46167</v>
      </c>
      <c r="V346" s="35">
        <v>46167</v>
      </c>
      <c r="W346" s="35">
        <v>46172</v>
      </c>
      <c r="X346" s="35">
        <v>46230</v>
      </c>
      <c r="Y346" s="35">
        <v>46237</v>
      </c>
      <c r="Z346" s="35"/>
      <c r="AA346" s="129">
        <v>46237</v>
      </c>
      <c r="AB346" s="129">
        <v>46237</v>
      </c>
      <c r="AC346" s="35">
        <v>46132</v>
      </c>
      <c r="AD346" s="35">
        <v>46238</v>
      </c>
      <c r="AE346" s="35">
        <v>46238</v>
      </c>
      <c r="AF346" s="35"/>
      <c r="AG346" s="35"/>
      <c r="AH346" s="35"/>
      <c r="AI346" s="35"/>
      <c r="AJ346" s="35"/>
      <c r="AK346" s="35"/>
      <c r="AL346" s="35"/>
      <c r="AM346" s="35"/>
      <c r="AN346" s="81"/>
      <c r="AO346" s="79"/>
      <c r="AP346" s="36"/>
      <c r="AQ346" s="36"/>
      <c r="AR346" s="79"/>
      <c r="AS346" s="143"/>
      <c r="AT346" s="500"/>
      <c r="AU346" s="38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415"/>
      <c r="BG346" s="407"/>
      <c r="BH346" s="407"/>
    </row>
    <row r="347" spans="1:60" s="3" customFormat="1" ht="20.65" customHeight="1" thickTop="1" thickBot="1" x14ac:dyDescent="0.45">
      <c r="A347" s="495">
        <f t="shared" ref="A347" si="62">A344+1</f>
        <v>100</v>
      </c>
      <c r="B347" s="91" t="s">
        <v>469</v>
      </c>
      <c r="C347" s="16" t="s">
        <v>414</v>
      </c>
      <c r="D347" s="338" t="s">
        <v>739</v>
      </c>
      <c r="E347" s="63" t="s">
        <v>159</v>
      </c>
      <c r="F347" s="15" t="s">
        <v>153</v>
      </c>
      <c r="G347" s="13" t="s">
        <v>180</v>
      </c>
      <c r="H347" s="13" t="s">
        <v>0</v>
      </c>
      <c r="I347" s="13" t="s">
        <v>323</v>
      </c>
      <c r="J347" s="492" t="s">
        <v>1088</v>
      </c>
      <c r="K347" s="220"/>
      <c r="L347" s="41"/>
      <c r="M347" s="41"/>
      <c r="N347" s="41"/>
      <c r="O347" s="41"/>
      <c r="P347" s="174" t="s">
        <v>69</v>
      </c>
      <c r="Q347" s="17" t="s">
        <v>33</v>
      </c>
      <c r="R347" s="18">
        <v>46135</v>
      </c>
      <c r="S347" s="18">
        <v>46205</v>
      </c>
      <c r="T347" s="18">
        <v>46220</v>
      </c>
      <c r="U347" s="18">
        <v>46222</v>
      </c>
      <c r="V347" s="18">
        <v>46222</v>
      </c>
      <c r="W347" s="18">
        <v>46227</v>
      </c>
      <c r="X347" s="18">
        <v>46238</v>
      </c>
      <c r="Y347" s="18">
        <v>46248</v>
      </c>
      <c r="Z347" s="18"/>
      <c r="AA347" s="18">
        <v>46248</v>
      </c>
      <c r="AB347" s="18">
        <v>46248</v>
      </c>
      <c r="AC347" s="18">
        <v>46132</v>
      </c>
      <c r="AD347" s="18">
        <v>46252</v>
      </c>
      <c r="AE347" s="18">
        <v>46237</v>
      </c>
      <c r="AF347" s="206">
        <v>46331</v>
      </c>
      <c r="AG347" s="18">
        <v>46331</v>
      </c>
      <c r="AH347" s="18">
        <v>46331</v>
      </c>
      <c r="AI347" s="18">
        <v>46354</v>
      </c>
      <c r="AJ347" s="18">
        <v>46360</v>
      </c>
      <c r="AK347" s="18">
        <v>46362</v>
      </c>
      <c r="AL347" s="18">
        <v>46362</v>
      </c>
      <c r="AM347" s="18">
        <v>46392</v>
      </c>
      <c r="AN347" s="57">
        <v>8.5</v>
      </c>
      <c r="AO347" s="58">
        <v>59.5</v>
      </c>
      <c r="AP347" s="77">
        <f>AK347</f>
        <v>46362</v>
      </c>
      <c r="AQ347" s="77">
        <v>46347</v>
      </c>
      <c r="AR347" s="76">
        <f>AQ347-AP348</f>
        <v>-15</v>
      </c>
      <c r="AS347" s="139" t="s">
        <v>499</v>
      </c>
      <c r="AT347" s="498" t="s">
        <v>528</v>
      </c>
      <c r="AU347" s="20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415" t="s">
        <v>968</v>
      </c>
      <c r="BG347" s="407"/>
      <c r="BH347" s="407"/>
    </row>
    <row r="348" spans="1:60" s="3" customFormat="1" ht="20.75" customHeight="1" thickTop="1" thickBot="1" x14ac:dyDescent="0.45">
      <c r="A348" s="496"/>
      <c r="B348" s="97" t="s">
        <v>469</v>
      </c>
      <c r="C348" s="238" t="s">
        <v>414</v>
      </c>
      <c r="D348" s="239" t="s">
        <v>739</v>
      </c>
      <c r="E348" s="117" t="s">
        <v>159</v>
      </c>
      <c r="F348" s="118" t="s">
        <v>153</v>
      </c>
      <c r="G348" s="119" t="s">
        <v>31</v>
      </c>
      <c r="H348" s="116" t="s">
        <v>0</v>
      </c>
      <c r="I348" s="116" t="s">
        <v>323</v>
      </c>
      <c r="J348" s="482" t="s">
        <v>968</v>
      </c>
      <c r="K348" s="304"/>
      <c r="L348" s="117"/>
      <c r="M348" s="117"/>
      <c r="N348" s="117"/>
      <c r="O348" s="117"/>
      <c r="P348" s="180" t="s">
        <v>69</v>
      </c>
      <c r="Q348" s="120" t="s">
        <v>329</v>
      </c>
      <c r="R348" s="121"/>
      <c r="S348" s="122"/>
      <c r="T348" s="122"/>
      <c r="U348" s="122"/>
      <c r="V348" s="122"/>
      <c r="W348" s="122"/>
      <c r="X348" s="122"/>
      <c r="Y348" s="27"/>
      <c r="Z348" s="27"/>
      <c r="AA348" s="27"/>
      <c r="AB348" s="27"/>
      <c r="AC348" s="27"/>
      <c r="AD348" s="27"/>
      <c r="AE348" s="27"/>
      <c r="AF348" s="27">
        <v>46331</v>
      </c>
      <c r="AG348" s="27">
        <v>46331</v>
      </c>
      <c r="AH348" s="27">
        <v>46331</v>
      </c>
      <c r="AI348" s="82">
        <v>46354</v>
      </c>
      <c r="AJ348" s="82">
        <v>46360</v>
      </c>
      <c r="AK348" s="82">
        <v>46362</v>
      </c>
      <c r="AL348" s="27">
        <v>46362</v>
      </c>
      <c r="AM348" s="27">
        <v>46392</v>
      </c>
      <c r="AN348" s="123"/>
      <c r="AO348" s="124"/>
      <c r="AP348" s="82">
        <f>AK348</f>
        <v>46362</v>
      </c>
      <c r="AQ348" s="125"/>
      <c r="AR348" s="124"/>
      <c r="AS348" s="124"/>
      <c r="AT348" s="499"/>
      <c r="AU348" s="38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415"/>
      <c r="BG348" s="407"/>
      <c r="BH348" s="407"/>
    </row>
    <row r="349" spans="1:60" s="3" customFormat="1" ht="20.75" customHeight="1" thickBot="1" x14ac:dyDescent="0.45">
      <c r="A349" s="497"/>
      <c r="B349" s="93" t="s">
        <v>469</v>
      </c>
      <c r="C349" s="71" t="s">
        <v>414</v>
      </c>
      <c r="D349" s="32" t="s">
        <v>739</v>
      </c>
      <c r="E349" s="44" t="s">
        <v>159</v>
      </c>
      <c r="F349" s="33" t="s">
        <v>153</v>
      </c>
      <c r="G349" s="31" t="s">
        <v>180</v>
      </c>
      <c r="H349" s="31" t="s">
        <v>0</v>
      </c>
      <c r="I349" s="31" t="s">
        <v>323</v>
      </c>
      <c r="J349" s="44"/>
      <c r="K349" s="195"/>
      <c r="L349" s="44"/>
      <c r="M349" s="44"/>
      <c r="N349" s="44"/>
      <c r="O349" s="44"/>
      <c r="P349" s="176" t="s">
        <v>69</v>
      </c>
      <c r="Q349" s="34" t="s">
        <v>330</v>
      </c>
      <c r="R349" s="35">
        <v>46120</v>
      </c>
      <c r="S349" s="35">
        <v>46148</v>
      </c>
      <c r="T349" s="35">
        <v>46157</v>
      </c>
      <c r="U349" s="36">
        <v>46167</v>
      </c>
      <c r="V349" s="35">
        <v>46167</v>
      </c>
      <c r="W349" s="35">
        <v>46172</v>
      </c>
      <c r="X349" s="35">
        <v>46230</v>
      </c>
      <c r="Y349" s="35">
        <v>46237</v>
      </c>
      <c r="Z349" s="35"/>
      <c r="AA349" s="129">
        <v>46237</v>
      </c>
      <c r="AB349" s="129">
        <v>46237</v>
      </c>
      <c r="AC349" s="35">
        <v>46132</v>
      </c>
      <c r="AD349" s="35">
        <v>46238</v>
      </c>
      <c r="AE349" s="35">
        <v>46238</v>
      </c>
      <c r="AF349" s="35"/>
      <c r="AG349" s="35"/>
      <c r="AH349" s="35"/>
      <c r="AI349" s="35"/>
      <c r="AJ349" s="35"/>
      <c r="AK349" s="35"/>
      <c r="AL349" s="35"/>
      <c r="AM349" s="35"/>
      <c r="AN349" s="81"/>
      <c r="AO349" s="79"/>
      <c r="AP349" s="36"/>
      <c r="AQ349" s="36"/>
      <c r="AR349" s="79"/>
      <c r="AS349" s="143"/>
      <c r="AT349" s="500"/>
      <c r="AU349" s="38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415"/>
      <c r="BG349" s="407"/>
      <c r="BH349" s="407"/>
    </row>
    <row r="350" spans="1:60" s="3" customFormat="1" ht="20.65" customHeight="1" thickTop="1" thickBot="1" x14ac:dyDescent="0.45">
      <c r="A350" s="495">
        <f t="shared" ref="A350" si="63">A347+1</f>
        <v>101</v>
      </c>
      <c r="B350" s="91" t="s">
        <v>469</v>
      </c>
      <c r="C350" s="16" t="s">
        <v>415</v>
      </c>
      <c r="D350" s="338" t="s">
        <v>740</v>
      </c>
      <c r="E350" s="63" t="s">
        <v>159</v>
      </c>
      <c r="F350" s="15" t="s">
        <v>153</v>
      </c>
      <c r="G350" s="13" t="s">
        <v>180</v>
      </c>
      <c r="H350" s="13" t="s">
        <v>0</v>
      </c>
      <c r="I350" s="13" t="s">
        <v>323</v>
      </c>
      <c r="J350" s="492" t="s">
        <v>1088</v>
      </c>
      <c r="K350" s="220"/>
      <c r="L350" s="41"/>
      <c r="M350" s="41"/>
      <c r="N350" s="41"/>
      <c r="O350" s="41"/>
      <c r="P350" s="174" t="s">
        <v>69</v>
      </c>
      <c r="Q350" s="17" t="s">
        <v>33</v>
      </c>
      <c r="R350" s="18">
        <v>46135</v>
      </c>
      <c r="S350" s="18">
        <v>46205</v>
      </c>
      <c r="T350" s="18">
        <v>46220</v>
      </c>
      <c r="U350" s="18">
        <v>46222</v>
      </c>
      <c r="V350" s="18">
        <v>46222</v>
      </c>
      <c r="W350" s="18">
        <v>46227</v>
      </c>
      <c r="X350" s="18">
        <v>46238</v>
      </c>
      <c r="Y350" s="18">
        <v>46248</v>
      </c>
      <c r="Z350" s="18"/>
      <c r="AA350" s="18">
        <v>46248</v>
      </c>
      <c r="AB350" s="18">
        <v>46248</v>
      </c>
      <c r="AC350" s="18">
        <v>46132</v>
      </c>
      <c r="AD350" s="18">
        <v>46252</v>
      </c>
      <c r="AE350" s="18">
        <v>46237</v>
      </c>
      <c r="AF350" s="206">
        <v>46352</v>
      </c>
      <c r="AG350" s="18">
        <v>46352</v>
      </c>
      <c r="AH350" s="18">
        <v>46352</v>
      </c>
      <c r="AI350" s="18">
        <v>46375</v>
      </c>
      <c r="AJ350" s="18">
        <v>46381</v>
      </c>
      <c r="AK350" s="18">
        <v>46383</v>
      </c>
      <c r="AL350" s="18">
        <v>46383</v>
      </c>
      <c r="AM350" s="18">
        <v>46413</v>
      </c>
      <c r="AN350" s="57">
        <v>8.5</v>
      </c>
      <c r="AO350" s="58">
        <v>59.5</v>
      </c>
      <c r="AP350" s="77">
        <f>AK350</f>
        <v>46383</v>
      </c>
      <c r="AQ350" s="77">
        <v>46399</v>
      </c>
      <c r="AR350" s="76">
        <f>AQ350-AP351</f>
        <v>16</v>
      </c>
      <c r="AS350" s="139" t="s">
        <v>499</v>
      </c>
      <c r="AT350" s="498" t="s">
        <v>528</v>
      </c>
      <c r="AU350" s="20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415" t="s">
        <v>968</v>
      </c>
      <c r="BG350" s="407"/>
      <c r="BH350" s="407"/>
    </row>
    <row r="351" spans="1:60" s="3" customFormat="1" ht="20.75" customHeight="1" thickTop="1" thickBot="1" x14ac:dyDescent="0.45">
      <c r="A351" s="496"/>
      <c r="B351" s="97" t="s">
        <v>469</v>
      </c>
      <c r="C351" s="238" t="s">
        <v>415</v>
      </c>
      <c r="D351" s="239" t="s">
        <v>740</v>
      </c>
      <c r="E351" s="117" t="s">
        <v>159</v>
      </c>
      <c r="F351" s="118" t="s">
        <v>153</v>
      </c>
      <c r="G351" s="119" t="s">
        <v>31</v>
      </c>
      <c r="H351" s="116" t="s">
        <v>0</v>
      </c>
      <c r="I351" s="116" t="s">
        <v>323</v>
      </c>
      <c r="J351" s="482" t="s">
        <v>968</v>
      </c>
      <c r="K351" s="304"/>
      <c r="L351" s="117"/>
      <c r="M351" s="117"/>
      <c r="N351" s="117"/>
      <c r="O351" s="117"/>
      <c r="P351" s="180" t="s">
        <v>69</v>
      </c>
      <c r="Q351" s="120" t="s">
        <v>329</v>
      </c>
      <c r="R351" s="121"/>
      <c r="S351" s="122">
        <v>46205</v>
      </c>
      <c r="T351" s="122">
        <v>46220</v>
      </c>
      <c r="U351" s="122">
        <v>46222</v>
      </c>
      <c r="V351" s="122">
        <v>46222</v>
      </c>
      <c r="W351" s="122">
        <v>46227</v>
      </c>
      <c r="X351" s="122"/>
      <c r="Y351" s="27"/>
      <c r="Z351" s="27"/>
      <c r="AA351" s="27"/>
      <c r="AB351" s="27"/>
      <c r="AC351" s="27"/>
      <c r="AD351" s="27"/>
      <c r="AE351" s="27"/>
      <c r="AF351" s="27">
        <v>46352</v>
      </c>
      <c r="AG351" s="27">
        <v>46352</v>
      </c>
      <c r="AH351" s="27">
        <v>46352</v>
      </c>
      <c r="AI351" s="82">
        <v>46375</v>
      </c>
      <c r="AJ351" s="82">
        <v>46381</v>
      </c>
      <c r="AK351" s="82">
        <v>46383</v>
      </c>
      <c r="AL351" s="27">
        <v>46383</v>
      </c>
      <c r="AM351" s="27">
        <v>46413</v>
      </c>
      <c r="AN351" s="123"/>
      <c r="AO351" s="124"/>
      <c r="AP351" s="82">
        <f>AL351</f>
        <v>46383</v>
      </c>
      <c r="AQ351" s="125"/>
      <c r="AR351" s="124"/>
      <c r="AS351" s="124"/>
      <c r="AT351" s="499"/>
      <c r="AU351" s="38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415"/>
      <c r="BG351" s="407"/>
      <c r="BH351" s="407"/>
    </row>
    <row r="352" spans="1:60" s="3" customFormat="1" ht="20.75" customHeight="1" thickBot="1" x14ac:dyDescent="0.45">
      <c r="A352" s="497"/>
      <c r="B352" s="93" t="s">
        <v>469</v>
      </c>
      <c r="C352" s="71" t="s">
        <v>415</v>
      </c>
      <c r="D352" s="32" t="s">
        <v>740</v>
      </c>
      <c r="E352" s="44" t="s">
        <v>159</v>
      </c>
      <c r="F352" s="33" t="s">
        <v>153</v>
      </c>
      <c r="G352" s="31" t="s">
        <v>180</v>
      </c>
      <c r="H352" s="31" t="s">
        <v>0</v>
      </c>
      <c r="I352" s="31" t="s">
        <v>323</v>
      </c>
      <c r="J352" s="44"/>
      <c r="K352" s="195"/>
      <c r="L352" s="44"/>
      <c r="M352" s="44"/>
      <c r="N352" s="44"/>
      <c r="O352" s="44"/>
      <c r="P352" s="176" t="s">
        <v>69</v>
      </c>
      <c r="Q352" s="34" t="s">
        <v>330</v>
      </c>
      <c r="R352" s="35">
        <v>46120</v>
      </c>
      <c r="S352" s="35">
        <v>46148</v>
      </c>
      <c r="T352" s="35">
        <v>46157</v>
      </c>
      <c r="U352" s="36">
        <v>46167</v>
      </c>
      <c r="V352" s="35">
        <v>46167</v>
      </c>
      <c r="W352" s="35">
        <v>46172</v>
      </c>
      <c r="X352" s="35">
        <v>46230</v>
      </c>
      <c r="Y352" s="35">
        <v>46237</v>
      </c>
      <c r="Z352" s="35"/>
      <c r="AA352" s="129">
        <v>46237</v>
      </c>
      <c r="AB352" s="129">
        <v>46237</v>
      </c>
      <c r="AC352" s="35">
        <v>46132</v>
      </c>
      <c r="AD352" s="35">
        <v>46244</v>
      </c>
      <c r="AE352" s="35">
        <v>46244</v>
      </c>
      <c r="AF352" s="35"/>
      <c r="AG352" s="35"/>
      <c r="AH352" s="35"/>
      <c r="AI352" s="35"/>
      <c r="AJ352" s="35"/>
      <c r="AK352" s="35"/>
      <c r="AL352" s="35"/>
      <c r="AM352" s="35"/>
      <c r="AN352" s="81"/>
      <c r="AO352" s="79"/>
      <c r="AP352" s="36"/>
      <c r="AQ352" s="36"/>
      <c r="AR352" s="79"/>
      <c r="AS352" s="143"/>
      <c r="AT352" s="500"/>
      <c r="AU352" s="38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415"/>
      <c r="BG352" s="407"/>
      <c r="BH352" s="407"/>
    </row>
    <row r="353" spans="1:60" s="3" customFormat="1" ht="20.65" customHeight="1" thickTop="1" thickBot="1" x14ac:dyDescent="0.45">
      <c r="A353" s="495">
        <f t="shared" ref="A353" si="64">A350+1</f>
        <v>102</v>
      </c>
      <c r="B353" s="91" t="s">
        <v>469</v>
      </c>
      <c r="C353" s="16" t="s">
        <v>530</v>
      </c>
      <c r="D353" s="338" t="s">
        <v>741</v>
      </c>
      <c r="E353" s="63" t="s">
        <v>159</v>
      </c>
      <c r="F353" s="15" t="s">
        <v>153</v>
      </c>
      <c r="G353" s="13" t="s">
        <v>180</v>
      </c>
      <c r="H353" s="13" t="s">
        <v>0</v>
      </c>
      <c r="I353" s="13" t="s">
        <v>323</v>
      </c>
      <c r="J353" s="492" t="s">
        <v>1088</v>
      </c>
      <c r="K353" s="220"/>
      <c r="L353" s="41"/>
      <c r="M353" s="41"/>
      <c r="N353" s="41"/>
      <c r="O353" s="41"/>
      <c r="P353" s="174" t="s">
        <v>69</v>
      </c>
      <c r="Q353" s="17" t="s">
        <v>33</v>
      </c>
      <c r="R353" s="18">
        <v>46135</v>
      </c>
      <c r="S353" s="18">
        <v>46205</v>
      </c>
      <c r="T353" s="18">
        <v>46220</v>
      </c>
      <c r="U353" s="18">
        <v>46222</v>
      </c>
      <c r="V353" s="18">
        <v>46222</v>
      </c>
      <c r="W353" s="18">
        <v>46227</v>
      </c>
      <c r="X353" s="18">
        <v>46238</v>
      </c>
      <c r="Y353" s="18">
        <v>46248</v>
      </c>
      <c r="Z353" s="18"/>
      <c r="AA353" s="18">
        <v>46248</v>
      </c>
      <c r="AB353" s="18">
        <v>46248</v>
      </c>
      <c r="AC353" s="18">
        <v>46132</v>
      </c>
      <c r="AD353" s="206">
        <v>46252</v>
      </c>
      <c r="AE353" s="18">
        <v>46237</v>
      </c>
      <c r="AF353" s="18">
        <v>46373</v>
      </c>
      <c r="AG353" s="18">
        <v>46373</v>
      </c>
      <c r="AH353" s="18">
        <v>46373</v>
      </c>
      <c r="AI353" s="18">
        <v>46396</v>
      </c>
      <c r="AJ353" s="18">
        <v>46402</v>
      </c>
      <c r="AK353" s="18">
        <v>46404</v>
      </c>
      <c r="AL353" s="18">
        <v>46404</v>
      </c>
      <c r="AM353" s="18">
        <v>46434</v>
      </c>
      <c r="AN353" s="57">
        <v>8.5</v>
      </c>
      <c r="AO353" s="58">
        <v>59.5</v>
      </c>
      <c r="AP353" s="77">
        <f>AK353</f>
        <v>46404</v>
      </c>
      <c r="AQ353" s="77">
        <v>46329</v>
      </c>
      <c r="AR353" s="76">
        <f>AQ353-AP354</f>
        <v>-75</v>
      </c>
      <c r="AS353" s="139" t="s">
        <v>499</v>
      </c>
      <c r="AT353" s="498" t="s">
        <v>528</v>
      </c>
      <c r="AU353" s="20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415" t="s">
        <v>968</v>
      </c>
      <c r="BG353" s="407"/>
      <c r="BH353" s="407"/>
    </row>
    <row r="354" spans="1:60" s="3" customFormat="1" ht="20.75" customHeight="1" thickTop="1" thickBot="1" x14ac:dyDescent="0.45">
      <c r="A354" s="496"/>
      <c r="B354" s="97" t="s">
        <v>469</v>
      </c>
      <c r="C354" s="238" t="s">
        <v>530</v>
      </c>
      <c r="D354" s="239" t="s">
        <v>741</v>
      </c>
      <c r="E354" s="117" t="s">
        <v>159</v>
      </c>
      <c r="F354" s="118" t="s">
        <v>153</v>
      </c>
      <c r="G354" s="119" t="s">
        <v>31</v>
      </c>
      <c r="H354" s="116" t="s">
        <v>0</v>
      </c>
      <c r="I354" s="116" t="s">
        <v>323</v>
      </c>
      <c r="J354" s="482" t="s">
        <v>968</v>
      </c>
      <c r="K354" s="304"/>
      <c r="L354" s="117"/>
      <c r="M354" s="117"/>
      <c r="N354" s="117"/>
      <c r="O354" s="117"/>
      <c r="P354" s="180" t="s">
        <v>69</v>
      </c>
      <c r="Q354" s="120" t="s">
        <v>329</v>
      </c>
      <c r="R354" s="121"/>
      <c r="S354" s="122"/>
      <c r="T354" s="122"/>
      <c r="U354" s="122"/>
      <c r="V354" s="122"/>
      <c r="W354" s="122"/>
      <c r="X354" s="122"/>
      <c r="Y354" s="27"/>
      <c r="Z354" s="27"/>
      <c r="AA354" s="27"/>
      <c r="AB354" s="27"/>
      <c r="AC354" s="27"/>
      <c r="AD354" s="27">
        <v>46252</v>
      </c>
      <c r="AE354" s="27">
        <v>46237</v>
      </c>
      <c r="AF354" s="27">
        <v>46373</v>
      </c>
      <c r="AG354" s="27">
        <v>46373</v>
      </c>
      <c r="AH354" s="27">
        <v>46373</v>
      </c>
      <c r="AI354" s="82">
        <v>46396</v>
      </c>
      <c r="AJ354" s="82">
        <v>46402</v>
      </c>
      <c r="AK354" s="82">
        <v>46404</v>
      </c>
      <c r="AL354" s="27">
        <v>46404</v>
      </c>
      <c r="AM354" s="27">
        <v>46434</v>
      </c>
      <c r="AN354" s="123"/>
      <c r="AO354" s="124"/>
      <c r="AP354" s="82">
        <f>AK354</f>
        <v>46404</v>
      </c>
      <c r="AQ354" s="125"/>
      <c r="AR354" s="124"/>
      <c r="AS354" s="124"/>
      <c r="AT354" s="499"/>
      <c r="AU354" s="38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415"/>
      <c r="BG354" s="407"/>
      <c r="BH354" s="407"/>
    </row>
    <row r="355" spans="1:60" s="3" customFormat="1" ht="20.75" customHeight="1" thickBot="1" x14ac:dyDescent="0.45">
      <c r="A355" s="497"/>
      <c r="B355" s="93" t="s">
        <v>469</v>
      </c>
      <c r="C355" s="71" t="s">
        <v>530</v>
      </c>
      <c r="D355" s="32" t="s">
        <v>741</v>
      </c>
      <c r="E355" s="44" t="s">
        <v>159</v>
      </c>
      <c r="F355" s="33" t="s">
        <v>153</v>
      </c>
      <c r="G355" s="31" t="s">
        <v>180</v>
      </c>
      <c r="H355" s="31" t="s">
        <v>0</v>
      </c>
      <c r="I355" s="31" t="s">
        <v>323</v>
      </c>
      <c r="J355" s="44"/>
      <c r="K355" s="195"/>
      <c r="L355" s="44"/>
      <c r="M355" s="44"/>
      <c r="N355" s="44"/>
      <c r="O355" s="44"/>
      <c r="P355" s="176" t="s">
        <v>69</v>
      </c>
      <c r="Q355" s="34" t="s">
        <v>330</v>
      </c>
      <c r="R355" s="35">
        <v>46120</v>
      </c>
      <c r="S355" s="35">
        <v>46148</v>
      </c>
      <c r="T355" s="35">
        <v>46157</v>
      </c>
      <c r="U355" s="36">
        <v>46167</v>
      </c>
      <c r="V355" s="35">
        <v>46167</v>
      </c>
      <c r="W355" s="35">
        <v>46172</v>
      </c>
      <c r="X355" s="35">
        <v>46230</v>
      </c>
      <c r="Y355" s="35">
        <v>46237</v>
      </c>
      <c r="Z355" s="35"/>
      <c r="AA355" s="129">
        <v>46237</v>
      </c>
      <c r="AB355" s="129">
        <v>46237</v>
      </c>
      <c r="AC355" s="35">
        <v>46132</v>
      </c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81"/>
      <c r="AO355" s="79"/>
      <c r="AP355" s="36"/>
      <c r="AQ355" s="36"/>
      <c r="AR355" s="79"/>
      <c r="AS355" s="143"/>
      <c r="AT355" s="500"/>
      <c r="AU355" s="38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415"/>
      <c r="BG355" s="407"/>
      <c r="BH355" s="407"/>
    </row>
    <row r="356" spans="1:60" s="3" customFormat="1" ht="20.65" customHeight="1" thickTop="1" thickBot="1" x14ac:dyDescent="0.45">
      <c r="A356" s="495">
        <f t="shared" ref="A356" si="65">A353+1</f>
        <v>103</v>
      </c>
      <c r="B356" s="91" t="s">
        <v>469</v>
      </c>
      <c r="C356" s="16" t="s">
        <v>590</v>
      </c>
      <c r="D356" s="338" t="s">
        <v>538</v>
      </c>
      <c r="E356" s="63" t="s">
        <v>159</v>
      </c>
      <c r="F356" s="15" t="s">
        <v>153</v>
      </c>
      <c r="G356" s="13" t="s">
        <v>180</v>
      </c>
      <c r="H356" s="13" t="s">
        <v>0</v>
      </c>
      <c r="I356" s="13" t="s">
        <v>323</v>
      </c>
      <c r="J356" s="492" t="s">
        <v>1088</v>
      </c>
      <c r="K356" s="220"/>
      <c r="L356" s="41"/>
      <c r="M356" s="41"/>
      <c r="N356" s="41"/>
      <c r="O356" s="41"/>
      <c r="P356" s="174" t="s">
        <v>69</v>
      </c>
      <c r="Q356" s="17" t="s">
        <v>33</v>
      </c>
      <c r="R356" s="18">
        <v>46135</v>
      </c>
      <c r="S356" s="18">
        <v>46205</v>
      </c>
      <c r="T356" s="18">
        <v>46220</v>
      </c>
      <c r="U356" s="18">
        <v>46222</v>
      </c>
      <c r="V356" s="18">
        <v>46222</v>
      </c>
      <c r="W356" s="18">
        <v>46227</v>
      </c>
      <c r="X356" s="18">
        <v>46238</v>
      </c>
      <c r="Y356" s="18">
        <v>46248</v>
      </c>
      <c r="Z356" s="18"/>
      <c r="AA356" s="206">
        <v>46248</v>
      </c>
      <c r="AB356" s="18">
        <v>46248</v>
      </c>
      <c r="AC356" s="18">
        <v>46132</v>
      </c>
      <c r="AD356" s="18">
        <v>46252</v>
      </c>
      <c r="AE356" s="18">
        <v>46237</v>
      </c>
      <c r="AF356" s="18">
        <v>46373</v>
      </c>
      <c r="AG356" s="18">
        <v>46373</v>
      </c>
      <c r="AH356" s="18">
        <v>46373</v>
      </c>
      <c r="AI356" s="18">
        <v>46396</v>
      </c>
      <c r="AJ356" s="18">
        <v>46402</v>
      </c>
      <c r="AK356" s="18">
        <v>46404</v>
      </c>
      <c r="AL356" s="18">
        <v>46404</v>
      </c>
      <c r="AM356" s="18">
        <v>46434</v>
      </c>
      <c r="AN356" s="57">
        <v>8.5</v>
      </c>
      <c r="AO356" s="58">
        <v>59.5</v>
      </c>
      <c r="AP356" s="77">
        <f>AK356</f>
        <v>46404</v>
      </c>
      <c r="AQ356" s="77">
        <v>46344</v>
      </c>
      <c r="AR356" s="76">
        <f>AQ356-AP357</f>
        <v>-60</v>
      </c>
      <c r="AS356" s="139" t="s">
        <v>499</v>
      </c>
      <c r="AT356" s="498" t="s">
        <v>528</v>
      </c>
      <c r="AU356" s="20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415" t="s">
        <v>968</v>
      </c>
      <c r="BG356" s="407"/>
      <c r="BH356" s="407"/>
    </row>
    <row r="357" spans="1:60" s="3" customFormat="1" ht="20.75" customHeight="1" thickTop="1" thickBot="1" x14ac:dyDescent="0.45">
      <c r="A357" s="496"/>
      <c r="B357" s="97" t="s">
        <v>469</v>
      </c>
      <c r="C357" s="238" t="s">
        <v>531</v>
      </c>
      <c r="D357" s="239" t="s">
        <v>538</v>
      </c>
      <c r="E357" s="117" t="s">
        <v>159</v>
      </c>
      <c r="F357" s="118" t="s">
        <v>153</v>
      </c>
      <c r="G357" s="119" t="s">
        <v>31</v>
      </c>
      <c r="H357" s="116" t="s">
        <v>0</v>
      </c>
      <c r="I357" s="116" t="s">
        <v>323</v>
      </c>
      <c r="J357" s="482" t="s">
        <v>968</v>
      </c>
      <c r="K357" s="304"/>
      <c r="L357" s="117"/>
      <c r="M357" s="117"/>
      <c r="N357" s="117"/>
      <c r="O357" s="117"/>
      <c r="P357" s="180" t="s">
        <v>69</v>
      </c>
      <c r="Q357" s="120" t="s">
        <v>329</v>
      </c>
      <c r="R357" s="121"/>
      <c r="S357" s="122"/>
      <c r="T357" s="122"/>
      <c r="U357" s="122"/>
      <c r="V357" s="122"/>
      <c r="W357" s="122"/>
      <c r="X357" s="122"/>
      <c r="Y357" s="27"/>
      <c r="Z357" s="27"/>
      <c r="AA357" s="27">
        <v>46248</v>
      </c>
      <c r="AB357" s="27">
        <v>46248</v>
      </c>
      <c r="AC357" s="27"/>
      <c r="AD357" s="27">
        <v>46252</v>
      </c>
      <c r="AE357" s="27">
        <v>46237</v>
      </c>
      <c r="AF357" s="27">
        <v>46373</v>
      </c>
      <c r="AG357" s="27">
        <v>46373</v>
      </c>
      <c r="AH357" s="27">
        <v>46373</v>
      </c>
      <c r="AI357" s="82">
        <v>46396</v>
      </c>
      <c r="AJ357" s="82">
        <v>46402</v>
      </c>
      <c r="AK357" s="82">
        <v>46404</v>
      </c>
      <c r="AL357" s="27">
        <v>46404</v>
      </c>
      <c r="AM357" s="27">
        <v>46434</v>
      </c>
      <c r="AN357" s="123"/>
      <c r="AO357" s="124"/>
      <c r="AP357" s="82">
        <f>AK357</f>
        <v>46404</v>
      </c>
      <c r="AQ357" s="125"/>
      <c r="AR357" s="124"/>
      <c r="AS357" s="124"/>
      <c r="AT357" s="499"/>
      <c r="AU357" s="38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415"/>
      <c r="BG357" s="407"/>
      <c r="BH357" s="407"/>
    </row>
    <row r="358" spans="1:60" s="3" customFormat="1" ht="20.75" customHeight="1" thickBot="1" x14ac:dyDescent="0.45">
      <c r="A358" s="497"/>
      <c r="B358" s="93" t="s">
        <v>469</v>
      </c>
      <c r="C358" s="71" t="s">
        <v>531</v>
      </c>
      <c r="D358" s="32" t="s">
        <v>538</v>
      </c>
      <c r="E358" s="44" t="s">
        <v>159</v>
      </c>
      <c r="F358" s="33" t="s">
        <v>153</v>
      </c>
      <c r="G358" s="31" t="s">
        <v>180</v>
      </c>
      <c r="H358" s="31" t="s">
        <v>0</v>
      </c>
      <c r="I358" s="31" t="s">
        <v>323</v>
      </c>
      <c r="J358" s="44"/>
      <c r="K358" s="195"/>
      <c r="L358" s="44"/>
      <c r="M358" s="44"/>
      <c r="N358" s="44"/>
      <c r="O358" s="44"/>
      <c r="P358" s="176" t="s">
        <v>69</v>
      </c>
      <c r="Q358" s="34" t="s">
        <v>330</v>
      </c>
      <c r="R358" s="35">
        <v>46120</v>
      </c>
      <c r="S358" s="35">
        <v>46148</v>
      </c>
      <c r="T358" s="35">
        <v>46157</v>
      </c>
      <c r="U358" s="36">
        <v>46167</v>
      </c>
      <c r="V358" s="35">
        <v>46167</v>
      </c>
      <c r="W358" s="35">
        <v>46172</v>
      </c>
      <c r="X358" s="35">
        <v>46230</v>
      </c>
      <c r="Y358" s="35">
        <v>46237</v>
      </c>
      <c r="Z358" s="35"/>
      <c r="AA358" s="129"/>
      <c r="AB358" s="129"/>
      <c r="AC358" s="35">
        <v>46132</v>
      </c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81"/>
      <c r="AO358" s="79"/>
      <c r="AP358" s="36"/>
      <c r="AQ358" s="36"/>
      <c r="AR358" s="79"/>
      <c r="AS358" s="143"/>
      <c r="AT358" s="500"/>
      <c r="AU358" s="38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415"/>
      <c r="BG358" s="407"/>
      <c r="BH358" s="407"/>
    </row>
    <row r="359" spans="1:60" s="3" customFormat="1" ht="20.65" customHeight="1" thickTop="1" thickBot="1" x14ac:dyDescent="0.45">
      <c r="A359" s="495">
        <f t="shared" ref="A359" si="66">A356+1</f>
        <v>104</v>
      </c>
      <c r="B359" s="91" t="s">
        <v>468</v>
      </c>
      <c r="C359" s="16" t="s">
        <v>413</v>
      </c>
      <c r="D359" s="338" t="s">
        <v>535</v>
      </c>
      <c r="E359" s="63" t="s">
        <v>159</v>
      </c>
      <c r="F359" s="15" t="s">
        <v>153</v>
      </c>
      <c r="G359" s="13" t="s">
        <v>180</v>
      </c>
      <c r="H359" s="13" t="s">
        <v>0</v>
      </c>
      <c r="I359" s="13" t="s">
        <v>323</v>
      </c>
      <c r="J359" s="492" t="s">
        <v>1088</v>
      </c>
      <c r="K359" s="220"/>
      <c r="L359" s="41"/>
      <c r="M359" s="41"/>
      <c r="N359" s="41"/>
      <c r="O359" s="41"/>
      <c r="P359" s="174" t="s">
        <v>69</v>
      </c>
      <c r="Q359" s="17" t="s">
        <v>33</v>
      </c>
      <c r="R359" s="18">
        <v>46135</v>
      </c>
      <c r="S359" s="18">
        <v>46220</v>
      </c>
      <c r="T359" s="18">
        <v>46235</v>
      </c>
      <c r="U359" s="18">
        <v>46237</v>
      </c>
      <c r="V359" s="18">
        <v>46237</v>
      </c>
      <c r="W359" s="18">
        <v>46242</v>
      </c>
      <c r="X359" s="18">
        <v>46253</v>
      </c>
      <c r="Y359" s="18">
        <v>46263</v>
      </c>
      <c r="Z359" s="18"/>
      <c r="AA359" s="206">
        <v>46263</v>
      </c>
      <c r="AB359" s="18">
        <v>46263</v>
      </c>
      <c r="AC359" s="18">
        <v>46132</v>
      </c>
      <c r="AD359" s="18">
        <v>46267</v>
      </c>
      <c r="AE359" s="18">
        <v>46252</v>
      </c>
      <c r="AF359" s="18">
        <v>46283</v>
      </c>
      <c r="AG359" s="18">
        <v>46283</v>
      </c>
      <c r="AH359" s="18">
        <v>46283</v>
      </c>
      <c r="AI359" s="18">
        <v>46306</v>
      </c>
      <c r="AJ359" s="18">
        <v>46312</v>
      </c>
      <c r="AK359" s="18">
        <v>46314</v>
      </c>
      <c r="AL359" s="18">
        <v>46314</v>
      </c>
      <c r="AM359" s="18">
        <v>46344</v>
      </c>
      <c r="AN359" s="57">
        <v>8.5</v>
      </c>
      <c r="AO359" s="58">
        <v>59.5</v>
      </c>
      <c r="AP359" s="77">
        <v>46299</v>
      </c>
      <c r="AQ359" s="77">
        <v>46320</v>
      </c>
      <c r="AR359" s="76">
        <f>AQ359-AP360</f>
        <v>6</v>
      </c>
      <c r="AS359" s="139" t="s">
        <v>499</v>
      </c>
      <c r="AT359" s="498" t="s">
        <v>528</v>
      </c>
      <c r="AU359" s="20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415" t="s">
        <v>968</v>
      </c>
      <c r="BG359" s="407"/>
      <c r="BH359" s="407"/>
    </row>
    <row r="360" spans="1:60" s="3" customFormat="1" ht="20.75" customHeight="1" thickTop="1" thickBot="1" x14ac:dyDescent="0.45">
      <c r="A360" s="496"/>
      <c r="B360" s="97" t="s">
        <v>468</v>
      </c>
      <c r="C360" s="238" t="s">
        <v>413</v>
      </c>
      <c r="D360" s="351" t="s">
        <v>535</v>
      </c>
      <c r="E360" s="117" t="s">
        <v>159</v>
      </c>
      <c r="F360" s="118" t="s">
        <v>153</v>
      </c>
      <c r="G360" s="119" t="s">
        <v>31</v>
      </c>
      <c r="H360" s="116" t="s">
        <v>0</v>
      </c>
      <c r="I360" s="116" t="s">
        <v>323</v>
      </c>
      <c r="J360" s="482" t="s">
        <v>968</v>
      </c>
      <c r="K360" s="304"/>
      <c r="L360" s="117"/>
      <c r="M360" s="117"/>
      <c r="N360" s="117"/>
      <c r="O360" s="117"/>
      <c r="P360" s="180" t="s">
        <v>69</v>
      </c>
      <c r="Q360" s="120" t="s">
        <v>329</v>
      </c>
      <c r="R360" s="121"/>
      <c r="S360" s="122"/>
      <c r="T360" s="122"/>
      <c r="U360" s="122"/>
      <c r="V360" s="122"/>
      <c r="W360" s="122"/>
      <c r="X360" s="122"/>
      <c r="Y360" s="27"/>
      <c r="Z360" s="27"/>
      <c r="AA360" s="27">
        <v>46263</v>
      </c>
      <c r="AB360" s="27">
        <v>46263</v>
      </c>
      <c r="AC360" s="27"/>
      <c r="AD360" s="27">
        <v>46267</v>
      </c>
      <c r="AE360" s="27">
        <v>46252</v>
      </c>
      <c r="AF360" s="27">
        <v>46283</v>
      </c>
      <c r="AG360" s="27">
        <v>46283</v>
      </c>
      <c r="AH360" s="27">
        <v>46283</v>
      </c>
      <c r="AI360" s="82">
        <v>46306</v>
      </c>
      <c r="AJ360" s="82">
        <v>46312</v>
      </c>
      <c r="AK360" s="82">
        <v>46314</v>
      </c>
      <c r="AL360" s="27">
        <v>46314</v>
      </c>
      <c r="AM360" s="27">
        <v>46344</v>
      </c>
      <c r="AN360" s="123"/>
      <c r="AO360" s="124"/>
      <c r="AP360" s="82">
        <f>AK360</f>
        <v>46314</v>
      </c>
      <c r="AQ360" s="125"/>
      <c r="AR360" s="124"/>
      <c r="AS360" s="124"/>
      <c r="AT360" s="499"/>
      <c r="AU360" s="38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415"/>
      <c r="BG360" s="407"/>
      <c r="BH360" s="407"/>
    </row>
    <row r="361" spans="1:60" s="3" customFormat="1" ht="20.65" customHeight="1" thickBot="1" x14ac:dyDescent="0.45">
      <c r="A361" s="497"/>
      <c r="B361" s="93" t="s">
        <v>468</v>
      </c>
      <c r="C361" s="71" t="s">
        <v>413</v>
      </c>
      <c r="D361" s="32" t="s">
        <v>535</v>
      </c>
      <c r="E361" s="44" t="s">
        <v>159</v>
      </c>
      <c r="F361" s="33" t="s">
        <v>153</v>
      </c>
      <c r="G361" s="31" t="s">
        <v>180</v>
      </c>
      <c r="H361" s="31" t="s">
        <v>0</v>
      </c>
      <c r="I361" s="31" t="s">
        <v>323</v>
      </c>
      <c r="J361" s="44"/>
      <c r="K361" s="195"/>
      <c r="L361" s="44"/>
      <c r="M361" s="44"/>
      <c r="N361" s="44"/>
      <c r="O361" s="44"/>
      <c r="P361" s="176" t="s">
        <v>69</v>
      </c>
      <c r="Q361" s="34" t="s">
        <v>330</v>
      </c>
      <c r="R361" s="35">
        <v>46120</v>
      </c>
      <c r="S361" s="35">
        <v>46148</v>
      </c>
      <c r="T361" s="35">
        <v>46157</v>
      </c>
      <c r="U361" s="36">
        <v>46167</v>
      </c>
      <c r="V361" s="35">
        <v>46167</v>
      </c>
      <c r="W361" s="35">
        <v>46172</v>
      </c>
      <c r="X361" s="35">
        <v>46230</v>
      </c>
      <c r="Y361" s="35">
        <v>46233</v>
      </c>
      <c r="Z361" s="35"/>
      <c r="AA361" s="129"/>
      <c r="AB361" s="129"/>
      <c r="AC361" s="35">
        <v>46132</v>
      </c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81"/>
      <c r="AO361" s="79"/>
      <c r="AP361" s="36"/>
      <c r="AQ361" s="36"/>
      <c r="AR361" s="79"/>
      <c r="AS361" s="143"/>
      <c r="AT361" s="500"/>
      <c r="AU361" s="38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415"/>
      <c r="BG361" s="407"/>
      <c r="BH361" s="407"/>
    </row>
    <row r="362" spans="1:60" s="3" customFormat="1" ht="20.65" customHeight="1" thickTop="1" thickBot="1" x14ac:dyDescent="0.45">
      <c r="A362" s="495">
        <f t="shared" ref="A362" si="67">A359+1</f>
        <v>105</v>
      </c>
      <c r="B362" s="91" t="s">
        <v>468</v>
      </c>
      <c r="C362" s="16" t="s">
        <v>588</v>
      </c>
      <c r="D362" s="338" t="s">
        <v>533</v>
      </c>
      <c r="E362" s="63" t="s">
        <v>159</v>
      </c>
      <c r="F362" s="15" t="s">
        <v>153</v>
      </c>
      <c r="G362" s="13" t="s">
        <v>180</v>
      </c>
      <c r="H362" s="13" t="s">
        <v>0</v>
      </c>
      <c r="I362" s="13" t="s">
        <v>323</v>
      </c>
      <c r="J362" s="492" t="s">
        <v>1088</v>
      </c>
      <c r="K362" s="220"/>
      <c r="L362" s="41"/>
      <c r="M362" s="41"/>
      <c r="N362" s="41"/>
      <c r="O362" s="41"/>
      <c r="P362" s="174" t="s">
        <v>69</v>
      </c>
      <c r="Q362" s="17" t="s">
        <v>33</v>
      </c>
      <c r="R362" s="18">
        <v>46135</v>
      </c>
      <c r="S362" s="18">
        <v>46220</v>
      </c>
      <c r="T362" s="18">
        <v>46235</v>
      </c>
      <c r="U362" s="18">
        <v>46237</v>
      </c>
      <c r="V362" s="18">
        <v>46237</v>
      </c>
      <c r="W362" s="18">
        <v>46242</v>
      </c>
      <c r="X362" s="18">
        <v>46253</v>
      </c>
      <c r="Y362" s="18">
        <v>46263</v>
      </c>
      <c r="Z362" s="18"/>
      <c r="AA362" s="206">
        <v>46263</v>
      </c>
      <c r="AB362" s="18">
        <v>46263</v>
      </c>
      <c r="AC362" s="18">
        <v>46132</v>
      </c>
      <c r="AD362" s="18">
        <v>46267</v>
      </c>
      <c r="AE362" s="18">
        <v>46252</v>
      </c>
      <c r="AF362" s="18">
        <v>46304</v>
      </c>
      <c r="AG362" s="18">
        <v>46304</v>
      </c>
      <c r="AH362" s="18">
        <v>46304</v>
      </c>
      <c r="AI362" s="18">
        <v>46327</v>
      </c>
      <c r="AJ362" s="18">
        <v>46333</v>
      </c>
      <c r="AK362" s="18">
        <v>46335</v>
      </c>
      <c r="AL362" s="18">
        <v>46335</v>
      </c>
      <c r="AM362" s="18">
        <v>46365</v>
      </c>
      <c r="AN362" s="57">
        <v>8.5</v>
      </c>
      <c r="AO362" s="58">
        <v>59.5</v>
      </c>
      <c r="AP362" s="77">
        <f>AK362</f>
        <v>46335</v>
      </c>
      <c r="AQ362" s="77">
        <v>46351</v>
      </c>
      <c r="AR362" s="76">
        <f>AQ362-AP363</f>
        <v>16</v>
      </c>
      <c r="AS362" s="139" t="s">
        <v>499</v>
      </c>
      <c r="AT362" s="498" t="s">
        <v>528</v>
      </c>
      <c r="AU362" s="20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415" t="s">
        <v>968</v>
      </c>
      <c r="BG362" s="407"/>
      <c r="BH362" s="407"/>
    </row>
    <row r="363" spans="1:60" s="3" customFormat="1" ht="20.75" customHeight="1" thickTop="1" thickBot="1" x14ac:dyDescent="0.45">
      <c r="A363" s="496"/>
      <c r="B363" s="97" t="s">
        <v>468</v>
      </c>
      <c r="C363" s="238" t="s">
        <v>588</v>
      </c>
      <c r="D363" s="239" t="s">
        <v>533</v>
      </c>
      <c r="E363" s="117" t="s">
        <v>159</v>
      </c>
      <c r="F363" s="118" t="s">
        <v>153</v>
      </c>
      <c r="G363" s="119" t="s">
        <v>31</v>
      </c>
      <c r="H363" s="116" t="s">
        <v>0</v>
      </c>
      <c r="I363" s="116" t="s">
        <v>323</v>
      </c>
      <c r="J363" s="482" t="s">
        <v>968</v>
      </c>
      <c r="K363" s="304"/>
      <c r="L363" s="117"/>
      <c r="M363" s="117"/>
      <c r="N363" s="117"/>
      <c r="O363" s="117"/>
      <c r="P363" s="180" t="s">
        <v>69</v>
      </c>
      <c r="Q363" s="120" t="s">
        <v>329</v>
      </c>
      <c r="R363" s="121"/>
      <c r="S363" s="122"/>
      <c r="T363" s="122"/>
      <c r="U363" s="122"/>
      <c r="V363" s="122"/>
      <c r="W363" s="122"/>
      <c r="X363" s="122"/>
      <c r="Y363" s="27"/>
      <c r="Z363" s="27"/>
      <c r="AA363" s="27">
        <v>46263</v>
      </c>
      <c r="AB363" s="27">
        <v>46263</v>
      </c>
      <c r="AC363" s="27"/>
      <c r="AD363" s="27">
        <v>46267</v>
      </c>
      <c r="AE363" s="27">
        <v>46252</v>
      </c>
      <c r="AF363" s="27">
        <v>46304</v>
      </c>
      <c r="AG363" s="27">
        <v>46304</v>
      </c>
      <c r="AH363" s="27">
        <v>46304</v>
      </c>
      <c r="AI363" s="82">
        <v>46327</v>
      </c>
      <c r="AJ363" s="82">
        <v>46333</v>
      </c>
      <c r="AK363" s="82">
        <v>46335</v>
      </c>
      <c r="AL363" s="27">
        <v>46335</v>
      </c>
      <c r="AM363" s="27">
        <v>46365</v>
      </c>
      <c r="AN363" s="123"/>
      <c r="AO363" s="124"/>
      <c r="AP363" s="82">
        <f>AK363</f>
        <v>46335</v>
      </c>
      <c r="AQ363" s="125"/>
      <c r="AR363" s="124"/>
      <c r="AS363" s="124"/>
      <c r="AT363" s="499"/>
      <c r="AU363" s="38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415"/>
      <c r="BG363" s="407"/>
      <c r="BH363" s="407"/>
    </row>
    <row r="364" spans="1:60" s="3" customFormat="1" ht="20.75" customHeight="1" thickBot="1" x14ac:dyDescent="0.45">
      <c r="A364" s="497"/>
      <c r="B364" s="93" t="s">
        <v>468</v>
      </c>
      <c r="C364" s="71" t="s">
        <v>588</v>
      </c>
      <c r="D364" s="32" t="s">
        <v>533</v>
      </c>
      <c r="E364" s="44" t="s">
        <v>159</v>
      </c>
      <c r="F364" s="33" t="s">
        <v>153</v>
      </c>
      <c r="G364" s="31" t="s">
        <v>180</v>
      </c>
      <c r="H364" s="31" t="s">
        <v>0</v>
      </c>
      <c r="I364" s="31" t="s">
        <v>323</v>
      </c>
      <c r="J364" s="44"/>
      <c r="K364" s="195"/>
      <c r="L364" s="44"/>
      <c r="M364" s="44"/>
      <c r="N364" s="44"/>
      <c r="O364" s="44"/>
      <c r="P364" s="176" t="s">
        <v>69</v>
      </c>
      <c r="Q364" s="34" t="s">
        <v>330</v>
      </c>
      <c r="R364" s="35">
        <v>46120</v>
      </c>
      <c r="S364" s="35">
        <v>46148</v>
      </c>
      <c r="T364" s="35">
        <v>46157</v>
      </c>
      <c r="U364" s="36">
        <v>46167</v>
      </c>
      <c r="V364" s="35">
        <v>46167</v>
      </c>
      <c r="W364" s="35">
        <v>46172</v>
      </c>
      <c r="X364" s="35">
        <v>46230</v>
      </c>
      <c r="Y364" s="35">
        <v>46233</v>
      </c>
      <c r="Z364" s="35"/>
      <c r="AA364" s="129"/>
      <c r="AB364" s="129"/>
      <c r="AC364" s="35">
        <v>46132</v>
      </c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81"/>
      <c r="AO364" s="79"/>
      <c r="AP364" s="36"/>
      <c r="AQ364" s="36"/>
      <c r="AR364" s="79"/>
      <c r="AS364" s="143"/>
      <c r="AT364" s="500"/>
      <c r="AU364" s="38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415"/>
      <c r="BG364" s="407"/>
      <c r="BH364" s="407"/>
    </row>
    <row r="365" spans="1:60" s="3" customFormat="1" ht="20.65" customHeight="1" thickTop="1" thickBot="1" x14ac:dyDescent="0.45">
      <c r="A365" s="495">
        <f t="shared" ref="A365" si="68">A362+1</f>
        <v>106</v>
      </c>
      <c r="B365" s="91" t="s">
        <v>468</v>
      </c>
      <c r="C365" s="16" t="s">
        <v>589</v>
      </c>
      <c r="D365" s="338" t="s">
        <v>743</v>
      </c>
      <c r="E365" s="63" t="s">
        <v>159</v>
      </c>
      <c r="F365" s="15" t="s">
        <v>153</v>
      </c>
      <c r="G365" s="13" t="s">
        <v>180</v>
      </c>
      <c r="H365" s="13" t="s">
        <v>0</v>
      </c>
      <c r="I365" s="13" t="s">
        <v>323</v>
      </c>
      <c r="J365" s="492" t="s">
        <v>1088</v>
      </c>
      <c r="K365" s="220"/>
      <c r="L365" s="41"/>
      <c r="M365" s="41"/>
      <c r="N365" s="41"/>
      <c r="O365" s="41"/>
      <c r="P365" s="174" t="s">
        <v>69</v>
      </c>
      <c r="Q365" s="17" t="s">
        <v>33</v>
      </c>
      <c r="R365" s="18">
        <v>46135</v>
      </c>
      <c r="S365" s="18">
        <v>46220</v>
      </c>
      <c r="T365" s="18">
        <v>46235</v>
      </c>
      <c r="U365" s="18">
        <v>46237</v>
      </c>
      <c r="V365" s="18">
        <v>46237</v>
      </c>
      <c r="W365" s="18">
        <v>46242</v>
      </c>
      <c r="X365" s="18">
        <v>46253</v>
      </c>
      <c r="Y365" s="18">
        <v>46263</v>
      </c>
      <c r="Z365" s="18"/>
      <c r="AA365" s="18">
        <v>46263</v>
      </c>
      <c r="AB365" s="18">
        <v>46263</v>
      </c>
      <c r="AC365" s="18">
        <v>46132</v>
      </c>
      <c r="AD365" s="18">
        <v>46267</v>
      </c>
      <c r="AE365" s="18">
        <v>46252</v>
      </c>
      <c r="AF365" s="206">
        <v>46325</v>
      </c>
      <c r="AG365" s="18">
        <v>46325</v>
      </c>
      <c r="AH365" s="18">
        <v>46325</v>
      </c>
      <c r="AI365" s="18">
        <v>46348</v>
      </c>
      <c r="AJ365" s="18">
        <v>46354</v>
      </c>
      <c r="AK365" s="18">
        <v>46356</v>
      </c>
      <c r="AL365" s="18">
        <v>46356</v>
      </c>
      <c r="AM365" s="18">
        <v>46386</v>
      </c>
      <c r="AN365" s="57">
        <v>8.5</v>
      </c>
      <c r="AO365" s="58">
        <v>59.5</v>
      </c>
      <c r="AP365" s="77">
        <f>AK365</f>
        <v>46356</v>
      </c>
      <c r="AQ365" s="77">
        <v>46363</v>
      </c>
      <c r="AR365" s="76">
        <f>AQ365-AP366</f>
        <v>7</v>
      </c>
      <c r="AS365" s="139" t="s">
        <v>499</v>
      </c>
      <c r="AT365" s="498" t="s">
        <v>528</v>
      </c>
      <c r="AU365" s="20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415" t="s">
        <v>968</v>
      </c>
      <c r="BG365" s="407"/>
      <c r="BH365" s="407"/>
    </row>
    <row r="366" spans="1:60" s="3" customFormat="1" ht="20.75" customHeight="1" thickTop="1" thickBot="1" x14ac:dyDescent="0.45">
      <c r="A366" s="496"/>
      <c r="B366" s="97" t="s">
        <v>468</v>
      </c>
      <c r="C366" s="238" t="s">
        <v>589</v>
      </c>
      <c r="D366" s="239" t="s">
        <v>743</v>
      </c>
      <c r="E366" s="117" t="s">
        <v>159</v>
      </c>
      <c r="F366" s="118" t="s">
        <v>153</v>
      </c>
      <c r="G366" s="119" t="s">
        <v>31</v>
      </c>
      <c r="H366" s="116" t="s">
        <v>0</v>
      </c>
      <c r="I366" s="116" t="s">
        <v>323</v>
      </c>
      <c r="J366" s="482" t="s">
        <v>968</v>
      </c>
      <c r="K366" s="304"/>
      <c r="L366" s="117"/>
      <c r="M366" s="117"/>
      <c r="N366" s="117"/>
      <c r="O366" s="117"/>
      <c r="P366" s="180" t="s">
        <v>69</v>
      </c>
      <c r="Q366" s="120" t="s">
        <v>329</v>
      </c>
      <c r="R366" s="121"/>
      <c r="S366" s="122"/>
      <c r="T366" s="122"/>
      <c r="U366" s="122"/>
      <c r="V366" s="122"/>
      <c r="W366" s="122"/>
      <c r="X366" s="122"/>
      <c r="Y366" s="27"/>
      <c r="Z366" s="27"/>
      <c r="AA366" s="27"/>
      <c r="AB366" s="27"/>
      <c r="AC366" s="27"/>
      <c r="AD366" s="27"/>
      <c r="AE366" s="27"/>
      <c r="AF366" s="27">
        <v>46325</v>
      </c>
      <c r="AG366" s="27">
        <v>46325</v>
      </c>
      <c r="AH366" s="27">
        <v>46325</v>
      </c>
      <c r="AI366" s="82">
        <v>46348</v>
      </c>
      <c r="AJ366" s="82">
        <v>46354</v>
      </c>
      <c r="AK366" s="82">
        <v>46356</v>
      </c>
      <c r="AL366" s="27">
        <v>46356</v>
      </c>
      <c r="AM366" s="27">
        <v>46386</v>
      </c>
      <c r="AN366" s="123"/>
      <c r="AO366" s="124"/>
      <c r="AP366" s="82">
        <f>AK366</f>
        <v>46356</v>
      </c>
      <c r="AQ366" s="125"/>
      <c r="AR366" s="124"/>
      <c r="AS366" s="124"/>
      <c r="AT366" s="499"/>
      <c r="AU366" s="38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415"/>
      <c r="BG366" s="407"/>
      <c r="BH366" s="407"/>
    </row>
    <row r="367" spans="1:60" s="3" customFormat="1" ht="20.75" customHeight="1" thickBot="1" x14ac:dyDescent="0.45">
      <c r="A367" s="497"/>
      <c r="B367" s="93" t="s">
        <v>468</v>
      </c>
      <c r="C367" s="71" t="s">
        <v>589</v>
      </c>
      <c r="D367" s="32" t="s">
        <v>743</v>
      </c>
      <c r="E367" s="44" t="s">
        <v>159</v>
      </c>
      <c r="F367" s="33" t="s">
        <v>153</v>
      </c>
      <c r="G367" s="31" t="s">
        <v>180</v>
      </c>
      <c r="H367" s="31" t="s">
        <v>0</v>
      </c>
      <c r="I367" s="31" t="s">
        <v>323</v>
      </c>
      <c r="J367" s="44"/>
      <c r="K367" s="195"/>
      <c r="L367" s="44"/>
      <c r="M367" s="44"/>
      <c r="N367" s="44"/>
      <c r="O367" s="44"/>
      <c r="P367" s="176" t="s">
        <v>69</v>
      </c>
      <c r="Q367" s="34" t="s">
        <v>330</v>
      </c>
      <c r="R367" s="35">
        <v>46120</v>
      </c>
      <c r="S367" s="35">
        <v>46148</v>
      </c>
      <c r="T367" s="35">
        <v>46157</v>
      </c>
      <c r="U367" s="36">
        <v>46167</v>
      </c>
      <c r="V367" s="35">
        <v>46167</v>
      </c>
      <c r="W367" s="35">
        <v>46172</v>
      </c>
      <c r="X367" s="35">
        <v>46230</v>
      </c>
      <c r="Y367" s="35">
        <v>46233</v>
      </c>
      <c r="Z367" s="35"/>
      <c r="AA367" s="129">
        <v>46233</v>
      </c>
      <c r="AB367" s="129">
        <v>46233</v>
      </c>
      <c r="AC367" s="35">
        <v>46132</v>
      </c>
      <c r="AD367" s="35">
        <v>46233</v>
      </c>
      <c r="AE367" s="35">
        <v>46234</v>
      </c>
      <c r="AF367" s="35"/>
      <c r="AG367" s="35"/>
      <c r="AH367" s="35"/>
      <c r="AI367" s="35"/>
      <c r="AJ367" s="35"/>
      <c r="AK367" s="35"/>
      <c r="AL367" s="35"/>
      <c r="AM367" s="35"/>
      <c r="AN367" s="81"/>
      <c r="AO367" s="79"/>
      <c r="AP367" s="36"/>
      <c r="AQ367" s="36"/>
      <c r="AR367" s="79"/>
      <c r="AS367" s="143"/>
      <c r="AT367" s="500"/>
      <c r="AU367" s="38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415"/>
      <c r="BG367" s="407"/>
      <c r="BH367" s="407"/>
    </row>
    <row r="368" spans="1:60" s="3" customFormat="1" ht="20.65" customHeight="1" thickTop="1" thickBot="1" x14ac:dyDescent="0.45">
      <c r="A368" s="495">
        <f t="shared" ref="A368" si="69">A365+1</f>
        <v>107</v>
      </c>
      <c r="B368" s="91" t="s">
        <v>468</v>
      </c>
      <c r="C368" s="16" t="s">
        <v>414</v>
      </c>
      <c r="D368" s="338" t="s">
        <v>744</v>
      </c>
      <c r="E368" s="63" t="s">
        <v>159</v>
      </c>
      <c r="F368" s="15" t="s">
        <v>153</v>
      </c>
      <c r="G368" s="13" t="s">
        <v>180</v>
      </c>
      <c r="H368" s="13" t="s">
        <v>0</v>
      </c>
      <c r="I368" s="13" t="s">
        <v>323</v>
      </c>
      <c r="J368" s="492" t="s">
        <v>1088</v>
      </c>
      <c r="K368" s="220"/>
      <c r="L368" s="41"/>
      <c r="M368" s="41"/>
      <c r="N368" s="41"/>
      <c r="O368" s="41"/>
      <c r="P368" s="174" t="s">
        <v>69</v>
      </c>
      <c r="Q368" s="17" t="s">
        <v>33</v>
      </c>
      <c r="R368" s="18">
        <v>46135</v>
      </c>
      <c r="S368" s="18">
        <v>46220</v>
      </c>
      <c r="T368" s="18">
        <v>46235</v>
      </c>
      <c r="U368" s="18">
        <v>46237</v>
      </c>
      <c r="V368" s="18">
        <v>46237</v>
      </c>
      <c r="W368" s="18">
        <v>46242</v>
      </c>
      <c r="X368" s="18">
        <v>46253</v>
      </c>
      <c r="Y368" s="18">
        <v>46263</v>
      </c>
      <c r="Z368" s="18"/>
      <c r="AA368" s="18">
        <v>46263</v>
      </c>
      <c r="AB368" s="18">
        <v>46263</v>
      </c>
      <c r="AC368" s="18">
        <v>46132</v>
      </c>
      <c r="AD368" s="18">
        <v>46267</v>
      </c>
      <c r="AE368" s="18">
        <v>46252</v>
      </c>
      <c r="AF368" s="206">
        <v>46346</v>
      </c>
      <c r="AG368" s="18">
        <v>46346</v>
      </c>
      <c r="AH368" s="18">
        <v>46346</v>
      </c>
      <c r="AI368" s="18">
        <v>46369</v>
      </c>
      <c r="AJ368" s="18">
        <v>46375</v>
      </c>
      <c r="AK368" s="18">
        <v>46377</v>
      </c>
      <c r="AL368" s="18">
        <v>46377</v>
      </c>
      <c r="AM368" s="18">
        <v>46407</v>
      </c>
      <c r="AN368" s="57">
        <v>8.5</v>
      </c>
      <c r="AO368" s="58">
        <v>59.5</v>
      </c>
      <c r="AP368" s="77">
        <f>AK368</f>
        <v>46377</v>
      </c>
      <c r="AQ368" s="77">
        <v>46375</v>
      </c>
      <c r="AR368" s="76">
        <f>AQ368-AP369</f>
        <v>-2</v>
      </c>
      <c r="AS368" s="139" t="s">
        <v>499</v>
      </c>
      <c r="AT368" s="498" t="s">
        <v>528</v>
      </c>
      <c r="AU368" s="20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415" t="s">
        <v>968</v>
      </c>
      <c r="BG368" s="407"/>
      <c r="BH368" s="407"/>
    </row>
    <row r="369" spans="1:60" s="3" customFormat="1" ht="20.75" customHeight="1" thickTop="1" thickBot="1" x14ac:dyDescent="0.45">
      <c r="A369" s="496"/>
      <c r="B369" s="97" t="s">
        <v>468</v>
      </c>
      <c r="C369" s="238" t="s">
        <v>414</v>
      </c>
      <c r="D369" s="239" t="s">
        <v>744</v>
      </c>
      <c r="E369" s="117" t="s">
        <v>159</v>
      </c>
      <c r="F369" s="118" t="s">
        <v>153</v>
      </c>
      <c r="G369" s="119" t="s">
        <v>31</v>
      </c>
      <c r="H369" s="116" t="s">
        <v>0</v>
      </c>
      <c r="I369" s="116" t="s">
        <v>323</v>
      </c>
      <c r="J369" s="482" t="s">
        <v>968</v>
      </c>
      <c r="K369" s="304"/>
      <c r="L369" s="117"/>
      <c r="M369" s="117"/>
      <c r="N369" s="117"/>
      <c r="O369" s="117"/>
      <c r="P369" s="180" t="s">
        <v>69</v>
      </c>
      <c r="Q369" s="120" t="s">
        <v>329</v>
      </c>
      <c r="R369" s="121"/>
      <c r="S369" s="122"/>
      <c r="T369" s="122"/>
      <c r="U369" s="122"/>
      <c r="V369" s="122"/>
      <c r="W369" s="122"/>
      <c r="X369" s="122"/>
      <c r="Y369" s="27"/>
      <c r="Z369" s="27"/>
      <c r="AA369" s="27"/>
      <c r="AB369" s="27"/>
      <c r="AC369" s="27"/>
      <c r="AD369" s="27"/>
      <c r="AE369" s="27"/>
      <c r="AF369" s="27">
        <v>46346</v>
      </c>
      <c r="AG369" s="27">
        <v>46346</v>
      </c>
      <c r="AH369" s="27">
        <v>46346</v>
      </c>
      <c r="AI369" s="82">
        <v>46369</v>
      </c>
      <c r="AJ369" s="82">
        <v>46375</v>
      </c>
      <c r="AK369" s="82">
        <v>46377</v>
      </c>
      <c r="AL369" s="27">
        <v>46377</v>
      </c>
      <c r="AM369" s="27">
        <v>46407</v>
      </c>
      <c r="AN369" s="123"/>
      <c r="AO369" s="124"/>
      <c r="AP369" s="82">
        <f>AK369</f>
        <v>46377</v>
      </c>
      <c r="AQ369" s="125"/>
      <c r="AR369" s="124"/>
      <c r="AS369" s="124"/>
      <c r="AT369" s="499"/>
      <c r="AU369" s="38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415"/>
      <c r="BG369" s="407"/>
      <c r="BH369" s="407"/>
    </row>
    <row r="370" spans="1:60" s="3" customFormat="1" ht="20.75" customHeight="1" thickBot="1" x14ac:dyDescent="0.45">
      <c r="A370" s="497"/>
      <c r="B370" s="93" t="s">
        <v>468</v>
      </c>
      <c r="C370" s="71" t="s">
        <v>414</v>
      </c>
      <c r="D370" s="32" t="s">
        <v>744</v>
      </c>
      <c r="E370" s="44" t="s">
        <v>159</v>
      </c>
      <c r="F370" s="33" t="s">
        <v>153</v>
      </c>
      <c r="G370" s="31" t="s">
        <v>180</v>
      </c>
      <c r="H370" s="31" t="s">
        <v>0</v>
      </c>
      <c r="I370" s="31" t="s">
        <v>323</v>
      </c>
      <c r="J370" s="44"/>
      <c r="K370" s="195"/>
      <c r="L370" s="44"/>
      <c r="M370" s="44"/>
      <c r="N370" s="44"/>
      <c r="O370" s="44"/>
      <c r="P370" s="176" t="s">
        <v>69</v>
      </c>
      <c r="Q370" s="34" t="s">
        <v>330</v>
      </c>
      <c r="R370" s="35">
        <v>46120</v>
      </c>
      <c r="S370" s="35">
        <v>46148</v>
      </c>
      <c r="T370" s="35">
        <v>46157</v>
      </c>
      <c r="U370" s="36">
        <v>46167</v>
      </c>
      <c r="V370" s="35">
        <v>46167</v>
      </c>
      <c r="W370" s="35">
        <v>46172</v>
      </c>
      <c r="X370" s="35">
        <v>46230</v>
      </c>
      <c r="Y370" s="35">
        <v>46233</v>
      </c>
      <c r="Z370" s="35"/>
      <c r="AA370" s="129">
        <v>46233</v>
      </c>
      <c r="AB370" s="129">
        <v>46233</v>
      </c>
      <c r="AC370" s="35">
        <v>46132</v>
      </c>
      <c r="AD370" s="35">
        <v>46233</v>
      </c>
      <c r="AE370" s="35">
        <v>46234</v>
      </c>
      <c r="AF370" s="35"/>
      <c r="AG370" s="35"/>
      <c r="AH370" s="35"/>
      <c r="AI370" s="35"/>
      <c r="AJ370" s="35"/>
      <c r="AK370" s="35"/>
      <c r="AL370" s="35"/>
      <c r="AM370" s="35"/>
      <c r="AN370" s="81"/>
      <c r="AO370" s="79"/>
      <c r="AP370" s="36"/>
      <c r="AQ370" s="36"/>
      <c r="AR370" s="79"/>
      <c r="AS370" s="143"/>
      <c r="AT370" s="500"/>
      <c r="AU370" s="38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415"/>
      <c r="BG370" s="407"/>
      <c r="BH370" s="407"/>
    </row>
    <row r="371" spans="1:60" s="3" customFormat="1" ht="20.65" customHeight="1" thickTop="1" thickBot="1" x14ac:dyDescent="0.45">
      <c r="A371" s="495">
        <f t="shared" ref="A371" si="70">A368+1</f>
        <v>108</v>
      </c>
      <c r="B371" s="91" t="s">
        <v>468</v>
      </c>
      <c r="C371" s="16" t="s">
        <v>415</v>
      </c>
      <c r="D371" s="338" t="s">
        <v>745</v>
      </c>
      <c r="E371" s="63" t="s">
        <v>159</v>
      </c>
      <c r="F371" s="15" t="s">
        <v>153</v>
      </c>
      <c r="G371" s="13" t="s">
        <v>180</v>
      </c>
      <c r="H371" s="13" t="s">
        <v>0</v>
      </c>
      <c r="I371" s="13" t="s">
        <v>323</v>
      </c>
      <c r="J371" s="492" t="s">
        <v>1088</v>
      </c>
      <c r="K371" s="220"/>
      <c r="L371" s="41"/>
      <c r="M371" s="41"/>
      <c r="N371" s="41"/>
      <c r="O371" s="41"/>
      <c r="P371" s="174" t="s">
        <v>69</v>
      </c>
      <c r="Q371" s="17" t="s">
        <v>33</v>
      </c>
      <c r="R371" s="18">
        <v>46135</v>
      </c>
      <c r="S371" s="18">
        <v>46220</v>
      </c>
      <c r="T371" s="18">
        <v>46235</v>
      </c>
      <c r="U371" s="18">
        <v>46237</v>
      </c>
      <c r="V371" s="18">
        <v>46237</v>
      </c>
      <c r="W371" s="18">
        <v>46242</v>
      </c>
      <c r="X371" s="18">
        <v>46253</v>
      </c>
      <c r="Y371" s="18">
        <v>46263</v>
      </c>
      <c r="Z371" s="18"/>
      <c r="AA371" s="18">
        <v>46263</v>
      </c>
      <c r="AB371" s="18">
        <v>46263</v>
      </c>
      <c r="AC371" s="18">
        <v>46132</v>
      </c>
      <c r="AD371" s="18">
        <v>46267</v>
      </c>
      <c r="AE371" s="18">
        <v>46252</v>
      </c>
      <c r="AF371" s="206">
        <v>46367</v>
      </c>
      <c r="AG371" s="18">
        <v>46367</v>
      </c>
      <c r="AH371" s="18">
        <v>46367</v>
      </c>
      <c r="AI371" s="18">
        <v>46390</v>
      </c>
      <c r="AJ371" s="18">
        <v>46396</v>
      </c>
      <c r="AK371" s="18">
        <v>46398</v>
      </c>
      <c r="AL371" s="18">
        <v>46398</v>
      </c>
      <c r="AM371" s="18">
        <v>46428</v>
      </c>
      <c r="AN371" s="57">
        <v>8.5</v>
      </c>
      <c r="AO371" s="58">
        <v>59.5</v>
      </c>
      <c r="AP371" s="77">
        <f>AK371</f>
        <v>46398</v>
      </c>
      <c r="AQ371" s="77">
        <v>46414</v>
      </c>
      <c r="AR371" s="76">
        <f>AQ371-AP372</f>
        <v>16</v>
      </c>
      <c r="AS371" s="139" t="s">
        <v>499</v>
      </c>
      <c r="AT371" s="498" t="s">
        <v>528</v>
      </c>
      <c r="AU371" s="20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415" t="s">
        <v>968</v>
      </c>
      <c r="BG371" s="407"/>
      <c r="BH371" s="407"/>
    </row>
    <row r="372" spans="1:60" s="3" customFormat="1" ht="20.75" customHeight="1" thickTop="1" thickBot="1" x14ac:dyDescent="0.45">
      <c r="A372" s="496"/>
      <c r="B372" s="97" t="s">
        <v>468</v>
      </c>
      <c r="C372" s="238" t="s">
        <v>415</v>
      </c>
      <c r="D372" s="239" t="s">
        <v>745</v>
      </c>
      <c r="E372" s="117" t="s">
        <v>159</v>
      </c>
      <c r="F372" s="118" t="s">
        <v>153</v>
      </c>
      <c r="G372" s="119" t="s">
        <v>31</v>
      </c>
      <c r="H372" s="116" t="s">
        <v>0</v>
      </c>
      <c r="I372" s="116" t="s">
        <v>323</v>
      </c>
      <c r="J372" s="482" t="s">
        <v>968</v>
      </c>
      <c r="K372" s="304"/>
      <c r="L372" s="117"/>
      <c r="M372" s="117"/>
      <c r="N372" s="117"/>
      <c r="O372" s="117"/>
      <c r="P372" s="180" t="s">
        <v>69</v>
      </c>
      <c r="Q372" s="120" t="s">
        <v>329</v>
      </c>
      <c r="R372" s="121"/>
      <c r="S372" s="122"/>
      <c r="T372" s="122"/>
      <c r="U372" s="122"/>
      <c r="V372" s="122"/>
      <c r="W372" s="122"/>
      <c r="X372" s="122"/>
      <c r="Y372" s="27"/>
      <c r="Z372" s="27"/>
      <c r="AA372" s="27"/>
      <c r="AB372" s="27"/>
      <c r="AC372" s="27"/>
      <c r="AD372" s="27"/>
      <c r="AE372" s="27"/>
      <c r="AF372" s="27">
        <v>46367</v>
      </c>
      <c r="AG372" s="27">
        <v>46367</v>
      </c>
      <c r="AH372" s="27">
        <v>46367</v>
      </c>
      <c r="AI372" s="82">
        <v>46390</v>
      </c>
      <c r="AJ372" s="82">
        <v>46396</v>
      </c>
      <c r="AK372" s="82">
        <v>46398</v>
      </c>
      <c r="AL372" s="27">
        <v>46398</v>
      </c>
      <c r="AM372" s="27">
        <v>46428</v>
      </c>
      <c r="AN372" s="123"/>
      <c r="AO372" s="124"/>
      <c r="AP372" s="82">
        <f>AL372</f>
        <v>46398</v>
      </c>
      <c r="AQ372" s="125"/>
      <c r="AR372" s="124"/>
      <c r="AS372" s="124"/>
      <c r="AT372" s="499"/>
      <c r="AU372" s="38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415"/>
      <c r="BG372" s="407"/>
      <c r="BH372" s="407"/>
    </row>
    <row r="373" spans="1:60" s="3" customFormat="1" ht="20.75" customHeight="1" thickBot="1" x14ac:dyDescent="0.45">
      <c r="A373" s="497"/>
      <c r="B373" s="93" t="s">
        <v>468</v>
      </c>
      <c r="C373" s="71" t="s">
        <v>415</v>
      </c>
      <c r="D373" s="32" t="s">
        <v>745</v>
      </c>
      <c r="E373" s="44" t="s">
        <v>159</v>
      </c>
      <c r="F373" s="33" t="s">
        <v>153</v>
      </c>
      <c r="G373" s="31" t="s">
        <v>180</v>
      </c>
      <c r="H373" s="31" t="s">
        <v>0</v>
      </c>
      <c r="I373" s="31" t="s">
        <v>323</v>
      </c>
      <c r="J373" s="44"/>
      <c r="K373" s="195"/>
      <c r="L373" s="44"/>
      <c r="M373" s="44"/>
      <c r="N373" s="44"/>
      <c r="O373" s="44"/>
      <c r="P373" s="176" t="s">
        <v>69</v>
      </c>
      <c r="Q373" s="34" t="s">
        <v>330</v>
      </c>
      <c r="R373" s="35">
        <v>46120</v>
      </c>
      <c r="S373" s="35">
        <v>46148</v>
      </c>
      <c r="T373" s="35">
        <v>46157</v>
      </c>
      <c r="U373" s="36">
        <v>46167</v>
      </c>
      <c r="V373" s="35">
        <v>46167</v>
      </c>
      <c r="W373" s="35">
        <v>46172</v>
      </c>
      <c r="X373" s="35">
        <v>46230</v>
      </c>
      <c r="Y373" s="35">
        <v>46233</v>
      </c>
      <c r="Z373" s="35"/>
      <c r="AA373" s="129">
        <v>46233</v>
      </c>
      <c r="AB373" s="129">
        <v>46233</v>
      </c>
      <c r="AC373" s="35">
        <v>46132</v>
      </c>
      <c r="AD373" s="35">
        <v>46233</v>
      </c>
      <c r="AE373" s="35">
        <v>46234</v>
      </c>
      <c r="AF373" s="35"/>
      <c r="AG373" s="35"/>
      <c r="AH373" s="35"/>
      <c r="AI373" s="35"/>
      <c r="AJ373" s="35"/>
      <c r="AK373" s="35"/>
      <c r="AL373" s="35"/>
      <c r="AM373" s="35"/>
      <c r="AN373" s="81"/>
      <c r="AO373" s="79"/>
      <c r="AP373" s="36"/>
      <c r="AQ373" s="36"/>
      <c r="AR373" s="79"/>
      <c r="AS373" s="143"/>
      <c r="AT373" s="500"/>
      <c r="AU373" s="38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415"/>
      <c r="BG373" s="407"/>
      <c r="BH373" s="407"/>
    </row>
    <row r="374" spans="1:60" s="3" customFormat="1" ht="20.65" customHeight="1" thickTop="1" thickBot="1" x14ac:dyDescent="0.45">
      <c r="A374" s="495">
        <f t="shared" ref="A374" si="71">A371+1</f>
        <v>109</v>
      </c>
      <c r="B374" s="91" t="s">
        <v>468</v>
      </c>
      <c r="C374" s="16" t="s">
        <v>530</v>
      </c>
      <c r="D374" s="338" t="s">
        <v>746</v>
      </c>
      <c r="E374" s="63" t="s">
        <v>159</v>
      </c>
      <c r="F374" s="15" t="s">
        <v>153</v>
      </c>
      <c r="G374" s="13" t="s">
        <v>180</v>
      </c>
      <c r="H374" s="13" t="s">
        <v>0</v>
      </c>
      <c r="I374" s="13" t="s">
        <v>323</v>
      </c>
      <c r="J374" s="492" t="s">
        <v>1088</v>
      </c>
      <c r="K374" s="220"/>
      <c r="L374" s="41"/>
      <c r="M374" s="41"/>
      <c r="N374" s="41"/>
      <c r="O374" s="41"/>
      <c r="P374" s="174" t="s">
        <v>69</v>
      </c>
      <c r="Q374" s="17" t="s">
        <v>33</v>
      </c>
      <c r="R374" s="18">
        <v>46135</v>
      </c>
      <c r="S374" s="18">
        <v>46220</v>
      </c>
      <c r="T374" s="18">
        <v>46235</v>
      </c>
      <c r="U374" s="18">
        <v>46237</v>
      </c>
      <c r="V374" s="18">
        <v>46237</v>
      </c>
      <c r="W374" s="18">
        <v>46242</v>
      </c>
      <c r="X374" s="18">
        <v>46253</v>
      </c>
      <c r="Y374" s="18">
        <v>46263</v>
      </c>
      <c r="Z374" s="18"/>
      <c r="AA374" s="206">
        <v>46263</v>
      </c>
      <c r="AB374" s="18">
        <v>46263</v>
      </c>
      <c r="AC374" s="18">
        <v>46132</v>
      </c>
      <c r="AD374" s="18">
        <v>46267</v>
      </c>
      <c r="AE374" s="18">
        <v>46252</v>
      </c>
      <c r="AF374" s="18">
        <v>46388</v>
      </c>
      <c r="AG374" s="18">
        <v>46388</v>
      </c>
      <c r="AH374" s="18">
        <v>46388</v>
      </c>
      <c r="AI374" s="18">
        <v>46411</v>
      </c>
      <c r="AJ374" s="18">
        <v>46417</v>
      </c>
      <c r="AK374" s="18">
        <v>46419</v>
      </c>
      <c r="AL374" s="18">
        <v>46419</v>
      </c>
      <c r="AM374" s="18">
        <v>46449</v>
      </c>
      <c r="AN374" s="57">
        <v>8.5</v>
      </c>
      <c r="AO374" s="58">
        <v>59.5</v>
      </c>
      <c r="AP374" s="77">
        <f>AK374</f>
        <v>46419</v>
      </c>
      <c r="AQ374" s="77">
        <v>46346</v>
      </c>
      <c r="AR374" s="76">
        <f>AQ374-AP375</f>
        <v>-73</v>
      </c>
      <c r="AS374" s="139" t="s">
        <v>499</v>
      </c>
      <c r="AT374" s="498" t="s">
        <v>528</v>
      </c>
      <c r="AU374" s="20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415" t="s">
        <v>968</v>
      </c>
      <c r="BG374" s="407"/>
      <c r="BH374" s="407"/>
    </row>
    <row r="375" spans="1:60" s="3" customFormat="1" ht="20.75" customHeight="1" thickTop="1" thickBot="1" x14ac:dyDescent="0.45">
      <c r="A375" s="496"/>
      <c r="B375" s="97" t="s">
        <v>468</v>
      </c>
      <c r="C375" s="238" t="s">
        <v>530</v>
      </c>
      <c r="D375" s="239" t="s">
        <v>746</v>
      </c>
      <c r="E375" s="117" t="s">
        <v>159</v>
      </c>
      <c r="F375" s="118" t="s">
        <v>153</v>
      </c>
      <c r="G375" s="119" t="s">
        <v>31</v>
      </c>
      <c r="H375" s="116" t="s">
        <v>0</v>
      </c>
      <c r="I375" s="116" t="s">
        <v>323</v>
      </c>
      <c r="J375" s="482" t="s">
        <v>968</v>
      </c>
      <c r="K375" s="304"/>
      <c r="L375" s="117"/>
      <c r="M375" s="117"/>
      <c r="N375" s="117"/>
      <c r="O375" s="117"/>
      <c r="P375" s="180" t="s">
        <v>69</v>
      </c>
      <c r="Q375" s="120" t="s">
        <v>329</v>
      </c>
      <c r="R375" s="121"/>
      <c r="S375" s="122"/>
      <c r="T375" s="122"/>
      <c r="U375" s="122"/>
      <c r="V375" s="122"/>
      <c r="W375" s="122"/>
      <c r="X375" s="122"/>
      <c r="Y375" s="27"/>
      <c r="Z375" s="27"/>
      <c r="AA375" s="27">
        <v>46263</v>
      </c>
      <c r="AB375" s="27">
        <v>46263</v>
      </c>
      <c r="AC375" s="27"/>
      <c r="AD375" s="27">
        <v>46267</v>
      </c>
      <c r="AE375" s="27">
        <v>46252</v>
      </c>
      <c r="AF375" s="27">
        <v>46388</v>
      </c>
      <c r="AG375" s="27">
        <v>46388</v>
      </c>
      <c r="AH375" s="27">
        <v>46388</v>
      </c>
      <c r="AI375" s="82">
        <v>46411</v>
      </c>
      <c r="AJ375" s="82">
        <v>46417</v>
      </c>
      <c r="AK375" s="82">
        <v>46419</v>
      </c>
      <c r="AL375" s="27">
        <v>46419</v>
      </c>
      <c r="AM375" s="27">
        <v>46449</v>
      </c>
      <c r="AN375" s="123"/>
      <c r="AO375" s="124"/>
      <c r="AP375" s="82">
        <f>AK375</f>
        <v>46419</v>
      </c>
      <c r="AQ375" s="125"/>
      <c r="AR375" s="124"/>
      <c r="AS375" s="124"/>
      <c r="AT375" s="499"/>
      <c r="AU375" s="38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415"/>
      <c r="BG375" s="407"/>
      <c r="BH375" s="407"/>
    </row>
    <row r="376" spans="1:60" s="3" customFormat="1" ht="20.75" customHeight="1" thickBot="1" x14ac:dyDescent="0.45">
      <c r="A376" s="497"/>
      <c r="B376" s="93" t="s">
        <v>468</v>
      </c>
      <c r="C376" s="71" t="s">
        <v>530</v>
      </c>
      <c r="D376" s="32" t="s">
        <v>746</v>
      </c>
      <c r="E376" s="44" t="s">
        <v>159</v>
      </c>
      <c r="F376" s="33" t="s">
        <v>153</v>
      </c>
      <c r="G376" s="31" t="s">
        <v>180</v>
      </c>
      <c r="H376" s="31" t="s">
        <v>0</v>
      </c>
      <c r="I376" s="31" t="s">
        <v>323</v>
      </c>
      <c r="J376" s="44"/>
      <c r="K376" s="195"/>
      <c r="L376" s="44"/>
      <c r="M376" s="44"/>
      <c r="N376" s="44"/>
      <c r="O376" s="44"/>
      <c r="P376" s="176" t="s">
        <v>69</v>
      </c>
      <c r="Q376" s="34" t="s">
        <v>330</v>
      </c>
      <c r="R376" s="35">
        <v>46120</v>
      </c>
      <c r="S376" s="35">
        <v>46148</v>
      </c>
      <c r="T376" s="35">
        <v>46157</v>
      </c>
      <c r="U376" s="36">
        <v>46167</v>
      </c>
      <c r="V376" s="35">
        <v>46167</v>
      </c>
      <c r="W376" s="35">
        <v>46172</v>
      </c>
      <c r="X376" s="35">
        <v>46230</v>
      </c>
      <c r="Y376" s="35">
        <v>46233</v>
      </c>
      <c r="Z376" s="35"/>
      <c r="AA376" s="129"/>
      <c r="AB376" s="129"/>
      <c r="AC376" s="35">
        <v>46132</v>
      </c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81"/>
      <c r="AO376" s="79"/>
      <c r="AP376" s="36"/>
      <c r="AQ376" s="36"/>
      <c r="AR376" s="79"/>
      <c r="AS376" s="143"/>
      <c r="AT376" s="500"/>
      <c r="AU376" s="38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415"/>
      <c r="BG376" s="407"/>
      <c r="BH376" s="407"/>
    </row>
    <row r="377" spans="1:60" s="3" customFormat="1" ht="20.65" customHeight="1" thickTop="1" thickBot="1" x14ac:dyDescent="0.45">
      <c r="A377" s="495">
        <f t="shared" ref="A377" si="72">A374+1</f>
        <v>110</v>
      </c>
      <c r="B377" s="91" t="s">
        <v>468</v>
      </c>
      <c r="C377" s="16" t="s">
        <v>590</v>
      </c>
      <c r="D377" s="338" t="s">
        <v>534</v>
      </c>
      <c r="E377" s="63" t="s">
        <v>159</v>
      </c>
      <c r="F377" s="15" t="s">
        <v>153</v>
      </c>
      <c r="G377" s="13" t="s">
        <v>180</v>
      </c>
      <c r="H377" s="13" t="s">
        <v>0</v>
      </c>
      <c r="I377" s="13" t="s">
        <v>323</v>
      </c>
      <c r="J377" s="492" t="s">
        <v>1088</v>
      </c>
      <c r="K377" s="220"/>
      <c r="L377" s="41"/>
      <c r="M377" s="41"/>
      <c r="N377" s="41"/>
      <c r="O377" s="41"/>
      <c r="P377" s="174" t="s">
        <v>69</v>
      </c>
      <c r="Q377" s="17" t="s">
        <v>33</v>
      </c>
      <c r="R377" s="18">
        <v>46135</v>
      </c>
      <c r="S377" s="18">
        <v>46205</v>
      </c>
      <c r="T377" s="18">
        <v>46220</v>
      </c>
      <c r="U377" s="18">
        <v>46222</v>
      </c>
      <c r="V377" s="18">
        <v>46222</v>
      </c>
      <c r="W377" s="18">
        <v>46227</v>
      </c>
      <c r="X377" s="18">
        <v>46238</v>
      </c>
      <c r="Y377" s="18">
        <v>46248</v>
      </c>
      <c r="Z377" s="18"/>
      <c r="AA377" s="206">
        <v>46248</v>
      </c>
      <c r="AB377" s="18">
        <v>46248</v>
      </c>
      <c r="AC377" s="18">
        <v>46132</v>
      </c>
      <c r="AD377" s="18">
        <v>46267</v>
      </c>
      <c r="AE377" s="18">
        <v>46252</v>
      </c>
      <c r="AF377" s="18">
        <v>46409</v>
      </c>
      <c r="AG377" s="18">
        <v>46409</v>
      </c>
      <c r="AH377" s="18">
        <v>46409</v>
      </c>
      <c r="AI377" s="18">
        <v>46432</v>
      </c>
      <c r="AJ377" s="18">
        <v>46438</v>
      </c>
      <c r="AK377" s="18">
        <v>46440</v>
      </c>
      <c r="AL377" s="18">
        <v>46440</v>
      </c>
      <c r="AM377" s="18">
        <v>46470</v>
      </c>
      <c r="AN377" s="57">
        <v>8.5</v>
      </c>
      <c r="AO377" s="58">
        <v>59.5</v>
      </c>
      <c r="AP377" s="77">
        <f>AK377</f>
        <v>46440</v>
      </c>
      <c r="AQ377" s="77">
        <v>46381</v>
      </c>
      <c r="AR377" s="76">
        <f>AQ377-AP378</f>
        <v>-59</v>
      </c>
      <c r="AS377" s="139" t="s">
        <v>499</v>
      </c>
      <c r="AT377" s="498" t="s">
        <v>528</v>
      </c>
      <c r="AU377" s="20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415" t="s">
        <v>968</v>
      </c>
      <c r="BG377" s="407"/>
      <c r="BH377" s="407"/>
    </row>
    <row r="378" spans="1:60" s="3" customFormat="1" ht="20.75" customHeight="1" thickTop="1" thickBot="1" x14ac:dyDescent="0.45">
      <c r="A378" s="496"/>
      <c r="B378" s="97" t="s">
        <v>468</v>
      </c>
      <c r="C378" s="238" t="s">
        <v>531</v>
      </c>
      <c r="D378" s="239" t="s">
        <v>534</v>
      </c>
      <c r="E378" s="117" t="s">
        <v>159</v>
      </c>
      <c r="F378" s="118" t="s">
        <v>153</v>
      </c>
      <c r="G378" s="119" t="s">
        <v>31</v>
      </c>
      <c r="H378" s="116" t="s">
        <v>0</v>
      </c>
      <c r="I378" s="116" t="s">
        <v>323</v>
      </c>
      <c r="J378" s="482" t="s">
        <v>968</v>
      </c>
      <c r="K378" s="304"/>
      <c r="L378" s="117"/>
      <c r="M378" s="117"/>
      <c r="N378" s="117"/>
      <c r="O378" s="117"/>
      <c r="P378" s="180" t="s">
        <v>69</v>
      </c>
      <c r="Q378" s="120" t="s">
        <v>329</v>
      </c>
      <c r="R378" s="121"/>
      <c r="S378" s="122"/>
      <c r="T378" s="122"/>
      <c r="U378" s="122"/>
      <c r="V378" s="122"/>
      <c r="W378" s="122"/>
      <c r="X378" s="122"/>
      <c r="Y378" s="27"/>
      <c r="Z378" s="27"/>
      <c r="AA378" s="27">
        <v>46248</v>
      </c>
      <c r="AB378" s="27">
        <v>46248</v>
      </c>
      <c r="AC378" s="27"/>
      <c r="AD378" s="27">
        <v>46267</v>
      </c>
      <c r="AE378" s="27">
        <v>46252</v>
      </c>
      <c r="AF378" s="27">
        <v>46409</v>
      </c>
      <c r="AG378" s="27">
        <v>46409</v>
      </c>
      <c r="AH378" s="27">
        <v>46409</v>
      </c>
      <c r="AI378" s="82">
        <v>46432</v>
      </c>
      <c r="AJ378" s="82">
        <v>46438</v>
      </c>
      <c r="AK378" s="82">
        <v>46440</v>
      </c>
      <c r="AL378" s="27">
        <v>46440</v>
      </c>
      <c r="AM378" s="27">
        <v>46470</v>
      </c>
      <c r="AN378" s="123"/>
      <c r="AO378" s="124"/>
      <c r="AP378" s="82">
        <f>AK378</f>
        <v>46440</v>
      </c>
      <c r="AQ378" s="125"/>
      <c r="AR378" s="124"/>
      <c r="AS378" s="124"/>
      <c r="AT378" s="499"/>
      <c r="AU378" s="38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415"/>
      <c r="BG378" s="407"/>
      <c r="BH378" s="407"/>
    </row>
    <row r="379" spans="1:60" s="3" customFormat="1" ht="20.75" customHeight="1" thickBot="1" x14ac:dyDescent="0.45">
      <c r="A379" s="497"/>
      <c r="B379" s="93" t="s">
        <v>468</v>
      </c>
      <c r="C379" s="71" t="s">
        <v>531</v>
      </c>
      <c r="D379" s="32" t="s">
        <v>534</v>
      </c>
      <c r="E379" s="44" t="s">
        <v>159</v>
      </c>
      <c r="F379" s="33" t="s">
        <v>153</v>
      </c>
      <c r="G379" s="31" t="s">
        <v>180</v>
      </c>
      <c r="H379" s="31" t="s">
        <v>0</v>
      </c>
      <c r="I379" s="31" t="s">
        <v>323</v>
      </c>
      <c r="J379" s="44"/>
      <c r="K379" s="195"/>
      <c r="L379" s="44"/>
      <c r="M379" s="44"/>
      <c r="N379" s="44"/>
      <c r="O379" s="44"/>
      <c r="P379" s="176" t="s">
        <v>69</v>
      </c>
      <c r="Q379" s="34" t="s">
        <v>330</v>
      </c>
      <c r="R379" s="35">
        <v>46120</v>
      </c>
      <c r="S379" s="35">
        <v>46148</v>
      </c>
      <c r="T379" s="35">
        <v>46157</v>
      </c>
      <c r="U379" s="36">
        <v>46167</v>
      </c>
      <c r="V379" s="35">
        <v>46167</v>
      </c>
      <c r="W379" s="35">
        <v>46172</v>
      </c>
      <c r="X379" s="35">
        <v>46230</v>
      </c>
      <c r="Y379" s="35">
        <v>46233</v>
      </c>
      <c r="Z379" s="35"/>
      <c r="AA379" s="129"/>
      <c r="AB379" s="129"/>
      <c r="AC379" s="35">
        <v>46132</v>
      </c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81"/>
      <c r="AO379" s="79"/>
      <c r="AP379" s="36"/>
      <c r="AQ379" s="36"/>
      <c r="AR379" s="79"/>
      <c r="AS379" s="143"/>
      <c r="AT379" s="500"/>
      <c r="AU379" s="38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415"/>
      <c r="BG379" s="407"/>
      <c r="BH379" s="407"/>
    </row>
    <row r="380" spans="1:60" s="3" customFormat="1" ht="18" customHeight="1" thickTop="1" x14ac:dyDescent="0.4">
      <c r="A380" s="495">
        <f t="shared" ref="A380" si="73">A377+1</f>
        <v>111</v>
      </c>
      <c r="B380" s="198"/>
      <c r="C380" s="13" t="s">
        <v>600</v>
      </c>
      <c r="D380" s="41" t="s">
        <v>598</v>
      </c>
      <c r="E380" s="63" t="s">
        <v>159</v>
      </c>
      <c r="F380" s="15" t="s">
        <v>153</v>
      </c>
      <c r="G380" s="13" t="s">
        <v>180</v>
      </c>
      <c r="H380" s="13" t="s">
        <v>0</v>
      </c>
      <c r="I380" s="13" t="s">
        <v>323</v>
      </c>
      <c r="J380" s="492" t="s">
        <v>1088</v>
      </c>
      <c r="K380" s="193"/>
      <c r="L380" s="41"/>
      <c r="M380" s="41"/>
      <c r="N380" s="41"/>
      <c r="O380" s="41"/>
      <c r="P380" s="174" t="s">
        <v>69</v>
      </c>
      <c r="Q380" s="17" t="s">
        <v>33</v>
      </c>
      <c r="R380" s="18">
        <v>46286</v>
      </c>
      <c r="S380" s="18">
        <v>46295</v>
      </c>
      <c r="T380" s="18">
        <v>46307</v>
      </c>
      <c r="U380" s="18">
        <v>46310</v>
      </c>
      <c r="V380" s="18">
        <v>46310</v>
      </c>
      <c r="W380" s="18">
        <v>46317</v>
      </c>
      <c r="X380" s="18">
        <v>46322</v>
      </c>
      <c r="Y380" s="18">
        <v>46327</v>
      </c>
      <c r="Z380" s="18"/>
      <c r="AA380" s="18">
        <v>46333</v>
      </c>
      <c r="AB380" s="18">
        <v>46337</v>
      </c>
      <c r="AC380" s="56">
        <v>46344</v>
      </c>
      <c r="AD380" s="18">
        <v>46358</v>
      </c>
      <c r="AE380" s="18">
        <v>46373</v>
      </c>
      <c r="AF380" s="18">
        <v>46378</v>
      </c>
      <c r="AG380" s="18">
        <v>46381</v>
      </c>
      <c r="AH380" s="18">
        <v>46384</v>
      </c>
      <c r="AI380" s="18">
        <v>46413</v>
      </c>
      <c r="AJ380" s="18">
        <v>46418</v>
      </c>
      <c r="AK380" s="18">
        <v>46423</v>
      </c>
      <c r="AL380" s="18">
        <v>46426</v>
      </c>
      <c r="AM380" s="18">
        <v>46453</v>
      </c>
      <c r="AN380" s="57">
        <v>8.5</v>
      </c>
      <c r="AO380" s="58">
        <v>59.5</v>
      </c>
      <c r="AP380" s="77">
        <f>AK380</f>
        <v>46423</v>
      </c>
      <c r="AQ380" s="77">
        <v>46432</v>
      </c>
      <c r="AR380" s="76">
        <f>AQ380-AP381</f>
        <v>9</v>
      </c>
      <c r="AS380" s="139" t="s">
        <v>498</v>
      </c>
      <c r="AT380" s="504"/>
      <c r="BF380" s="415"/>
      <c r="BG380" s="407"/>
      <c r="BH380" s="407"/>
    </row>
    <row r="381" spans="1:60" s="3" customFormat="1" ht="18" customHeight="1" x14ac:dyDescent="0.4">
      <c r="A381" s="496"/>
      <c r="B381" s="284"/>
      <c r="C381" s="116" t="s">
        <v>600</v>
      </c>
      <c r="D381" s="117" t="s">
        <v>548</v>
      </c>
      <c r="E381" s="117" t="s">
        <v>159</v>
      </c>
      <c r="F381" s="118" t="s">
        <v>153</v>
      </c>
      <c r="G381" s="119" t="s">
        <v>31</v>
      </c>
      <c r="H381" s="116" t="s">
        <v>0</v>
      </c>
      <c r="I381" s="116" t="s">
        <v>323</v>
      </c>
      <c r="J381" s="482" t="s">
        <v>968</v>
      </c>
      <c r="K381" s="304"/>
      <c r="L381" s="117"/>
      <c r="M381" s="117"/>
      <c r="N381" s="117"/>
      <c r="O381" s="117"/>
      <c r="P381" s="180" t="s">
        <v>69</v>
      </c>
      <c r="Q381" s="120" t="s">
        <v>329</v>
      </c>
      <c r="R381" s="121">
        <v>46286</v>
      </c>
      <c r="S381" s="122">
        <v>46295</v>
      </c>
      <c r="T381" s="122">
        <v>46307</v>
      </c>
      <c r="U381" s="122">
        <v>46310</v>
      </c>
      <c r="V381" s="122">
        <v>46310</v>
      </c>
      <c r="W381" s="122">
        <v>46317</v>
      </c>
      <c r="X381" s="122">
        <v>46322</v>
      </c>
      <c r="Y381" s="122">
        <v>46327</v>
      </c>
      <c r="Z381" s="122"/>
      <c r="AA381" s="122">
        <v>46333</v>
      </c>
      <c r="AB381" s="138">
        <v>46337</v>
      </c>
      <c r="AC381" s="138">
        <v>46344</v>
      </c>
      <c r="AD381" s="122">
        <v>46358</v>
      </c>
      <c r="AE381" s="122">
        <v>46373</v>
      </c>
      <c r="AF381" s="122">
        <v>46378</v>
      </c>
      <c r="AG381" s="122">
        <v>46381</v>
      </c>
      <c r="AH381" s="122">
        <v>46384</v>
      </c>
      <c r="AI381" s="122">
        <v>46413</v>
      </c>
      <c r="AJ381" s="122">
        <v>46418</v>
      </c>
      <c r="AK381" s="122">
        <v>46423</v>
      </c>
      <c r="AL381" s="122">
        <v>46426</v>
      </c>
      <c r="AM381" s="82">
        <v>46453</v>
      </c>
      <c r="AN381" s="123"/>
      <c r="AO381" s="124"/>
      <c r="AP381" s="125">
        <f>AK381</f>
        <v>46423</v>
      </c>
      <c r="AQ381" s="125"/>
      <c r="AR381" s="124"/>
      <c r="AS381" s="124"/>
      <c r="AT381" s="505"/>
      <c r="BF381" s="415"/>
      <c r="BG381" s="407"/>
      <c r="BH381" s="407"/>
    </row>
    <row r="382" spans="1:60" s="3" customFormat="1" ht="18" customHeight="1" thickBot="1" x14ac:dyDescent="0.45">
      <c r="A382" s="497"/>
      <c r="B382" s="95"/>
      <c r="C382" s="31" t="s">
        <v>600</v>
      </c>
      <c r="D382" s="44" t="s">
        <v>548</v>
      </c>
      <c r="E382" s="44" t="s">
        <v>159</v>
      </c>
      <c r="F382" s="33" t="s">
        <v>153</v>
      </c>
      <c r="G382" s="31" t="s">
        <v>180</v>
      </c>
      <c r="H382" s="31" t="s">
        <v>0</v>
      </c>
      <c r="I382" s="31" t="s">
        <v>323</v>
      </c>
      <c r="J382" s="44"/>
      <c r="K382" s="195"/>
      <c r="L382" s="44"/>
      <c r="M382" s="44"/>
      <c r="N382" s="44"/>
      <c r="O382" s="44"/>
      <c r="P382" s="176" t="s">
        <v>69</v>
      </c>
      <c r="Q382" s="34" t="s">
        <v>330</v>
      </c>
      <c r="R382" s="35"/>
      <c r="S382" s="35"/>
      <c r="T382" s="35"/>
      <c r="U382" s="36"/>
      <c r="V382" s="35"/>
      <c r="W382" s="35"/>
      <c r="X382" s="35"/>
      <c r="Y382" s="35"/>
      <c r="Z382" s="35"/>
      <c r="AA382" s="129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81"/>
      <c r="AN382" s="81"/>
      <c r="AO382" s="79"/>
      <c r="AP382" s="36"/>
      <c r="AQ382" s="36"/>
      <c r="AR382" s="79"/>
      <c r="AS382" s="143"/>
      <c r="AT382" s="506"/>
      <c r="BF382" s="415"/>
      <c r="BG382" s="407"/>
      <c r="BH382" s="407"/>
    </row>
    <row r="383" spans="1:60" s="3" customFormat="1" ht="18" customHeight="1" thickTop="1" x14ac:dyDescent="0.4">
      <c r="A383" s="495">
        <f t="shared" ref="A383" si="74">A380+1</f>
        <v>112</v>
      </c>
      <c r="B383" s="198"/>
      <c r="C383" s="13" t="s">
        <v>601</v>
      </c>
      <c r="D383" s="41" t="s">
        <v>599</v>
      </c>
      <c r="E383" s="63" t="s">
        <v>159</v>
      </c>
      <c r="F383" s="15" t="s">
        <v>153</v>
      </c>
      <c r="G383" s="13" t="s">
        <v>180</v>
      </c>
      <c r="H383" s="13" t="s">
        <v>0</v>
      </c>
      <c r="I383" s="13" t="s">
        <v>323</v>
      </c>
      <c r="J383" s="492" t="s">
        <v>1088</v>
      </c>
      <c r="K383" s="193"/>
      <c r="L383" s="41"/>
      <c r="M383" s="41"/>
      <c r="N383" s="41"/>
      <c r="O383" s="41"/>
      <c r="P383" s="174" t="s">
        <v>69</v>
      </c>
      <c r="Q383" s="17" t="s">
        <v>33</v>
      </c>
      <c r="R383" s="18">
        <v>46286</v>
      </c>
      <c r="S383" s="18">
        <v>46324</v>
      </c>
      <c r="T383" s="18">
        <v>46336</v>
      </c>
      <c r="U383" s="18">
        <v>46339</v>
      </c>
      <c r="V383" s="18">
        <v>46339</v>
      </c>
      <c r="W383" s="18">
        <v>46346</v>
      </c>
      <c r="X383" s="18">
        <v>46351</v>
      </c>
      <c r="Y383" s="18">
        <v>46356</v>
      </c>
      <c r="Z383" s="18"/>
      <c r="AA383" s="18">
        <v>46363</v>
      </c>
      <c r="AB383" s="18">
        <v>46367</v>
      </c>
      <c r="AC383" s="56">
        <v>46374</v>
      </c>
      <c r="AD383" s="18">
        <v>46388</v>
      </c>
      <c r="AE383" s="18">
        <v>46403</v>
      </c>
      <c r="AF383" s="18">
        <v>46408</v>
      </c>
      <c r="AG383" s="18">
        <v>46411</v>
      </c>
      <c r="AH383" s="18">
        <v>46414</v>
      </c>
      <c r="AI383" s="18">
        <v>46443</v>
      </c>
      <c r="AJ383" s="18">
        <v>46448</v>
      </c>
      <c r="AK383" s="18">
        <v>46453</v>
      </c>
      <c r="AL383" s="18">
        <v>46456</v>
      </c>
      <c r="AM383" s="18">
        <v>46483</v>
      </c>
      <c r="AN383" s="57">
        <v>8.5</v>
      </c>
      <c r="AO383" s="58">
        <v>59.5</v>
      </c>
      <c r="AP383" s="77">
        <v>46453</v>
      </c>
      <c r="AQ383" s="77">
        <v>46462</v>
      </c>
      <c r="AR383" s="76">
        <f>AQ383-AP384</f>
        <v>39.5</v>
      </c>
      <c r="AS383" s="139" t="s">
        <v>498</v>
      </c>
      <c r="AT383" s="504"/>
      <c r="BF383" s="415"/>
      <c r="BG383" s="407"/>
      <c r="BH383" s="407"/>
    </row>
    <row r="384" spans="1:60" s="3" customFormat="1" ht="18" customHeight="1" x14ac:dyDescent="0.4">
      <c r="A384" s="496"/>
      <c r="B384" s="284"/>
      <c r="C384" s="116" t="s">
        <v>601</v>
      </c>
      <c r="D384" s="117" t="s">
        <v>599</v>
      </c>
      <c r="E384" s="117" t="s">
        <v>159</v>
      </c>
      <c r="F384" s="118" t="s">
        <v>153</v>
      </c>
      <c r="G384" s="119" t="s">
        <v>31</v>
      </c>
      <c r="H384" s="116" t="s">
        <v>0</v>
      </c>
      <c r="I384" s="116" t="s">
        <v>323</v>
      </c>
      <c r="J384" s="482" t="s">
        <v>968</v>
      </c>
      <c r="K384" s="304"/>
      <c r="L384" s="117"/>
      <c r="M384" s="117"/>
      <c r="N384" s="117"/>
      <c r="O384" s="117"/>
      <c r="P384" s="180" t="s">
        <v>69</v>
      </c>
      <c r="Q384" s="120" t="s">
        <v>329</v>
      </c>
      <c r="R384" s="121">
        <v>46286</v>
      </c>
      <c r="S384" s="122">
        <v>46324</v>
      </c>
      <c r="T384" s="122">
        <v>46336</v>
      </c>
      <c r="U384" s="122">
        <v>46339</v>
      </c>
      <c r="V384" s="122">
        <v>46339</v>
      </c>
      <c r="W384" s="122">
        <v>46346</v>
      </c>
      <c r="X384" s="122">
        <v>46351</v>
      </c>
      <c r="Y384" s="122">
        <v>46356</v>
      </c>
      <c r="Z384" s="122"/>
      <c r="AA384" s="122">
        <v>46363</v>
      </c>
      <c r="AB384" s="138">
        <v>46367</v>
      </c>
      <c r="AC384" s="138">
        <v>46374</v>
      </c>
      <c r="AD384" s="122">
        <v>46388</v>
      </c>
      <c r="AE384" s="122">
        <v>46403</v>
      </c>
      <c r="AF384" s="122">
        <v>46408</v>
      </c>
      <c r="AG384" s="122">
        <v>46411</v>
      </c>
      <c r="AH384" s="122">
        <v>46414</v>
      </c>
      <c r="AI384" s="122">
        <v>46443</v>
      </c>
      <c r="AJ384" s="122">
        <v>46448</v>
      </c>
      <c r="AK384" s="122">
        <v>46453</v>
      </c>
      <c r="AL384" s="122">
        <v>46456</v>
      </c>
      <c r="AM384" s="82">
        <v>46483</v>
      </c>
      <c r="AN384" s="123"/>
      <c r="AO384" s="124"/>
      <c r="AP384" s="82">
        <f>AA384+AO383</f>
        <v>46422.5</v>
      </c>
      <c r="AQ384" s="125"/>
      <c r="AR384" s="124"/>
      <c r="AS384" s="124"/>
      <c r="AT384" s="505"/>
      <c r="BF384" s="415"/>
      <c r="BG384" s="407"/>
      <c r="BH384" s="407"/>
    </row>
    <row r="385" spans="1:60" s="3" customFormat="1" ht="18" customHeight="1" thickBot="1" x14ac:dyDescent="0.45">
      <c r="A385" s="497"/>
      <c r="B385" s="95"/>
      <c r="C385" s="31" t="s">
        <v>601</v>
      </c>
      <c r="D385" s="44" t="s">
        <v>599</v>
      </c>
      <c r="E385" s="44" t="s">
        <v>159</v>
      </c>
      <c r="F385" s="33" t="s">
        <v>153</v>
      </c>
      <c r="G385" s="31" t="s">
        <v>180</v>
      </c>
      <c r="H385" s="31" t="s">
        <v>0</v>
      </c>
      <c r="I385" s="31" t="s">
        <v>323</v>
      </c>
      <c r="J385" s="44"/>
      <c r="K385" s="195"/>
      <c r="L385" s="44"/>
      <c r="M385" s="44"/>
      <c r="N385" s="44"/>
      <c r="O385" s="44"/>
      <c r="P385" s="176" t="s">
        <v>69</v>
      </c>
      <c r="Q385" s="34" t="s">
        <v>330</v>
      </c>
      <c r="R385" s="35"/>
      <c r="S385" s="35"/>
      <c r="T385" s="35"/>
      <c r="U385" s="36"/>
      <c r="V385" s="35"/>
      <c r="W385" s="35"/>
      <c r="X385" s="35"/>
      <c r="Y385" s="35"/>
      <c r="Z385" s="35"/>
      <c r="AA385" s="129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81"/>
      <c r="AM385" s="79"/>
      <c r="AN385" s="81"/>
      <c r="AO385" s="79"/>
      <c r="AP385" s="36"/>
      <c r="AQ385" s="36"/>
      <c r="AR385" s="79"/>
      <c r="AS385" s="143"/>
      <c r="AT385" s="506"/>
      <c r="BF385" s="415"/>
      <c r="BG385" s="407"/>
      <c r="BH385" s="407"/>
    </row>
    <row r="386" spans="1:60" s="3" customFormat="1" ht="18" customHeight="1" thickTop="1" x14ac:dyDescent="0.4">
      <c r="A386" s="495">
        <f t="shared" ref="A386" si="75">A383+1</f>
        <v>113</v>
      </c>
      <c r="B386" s="91"/>
      <c r="C386" s="16" t="s">
        <v>602</v>
      </c>
      <c r="D386" s="41" t="s">
        <v>597</v>
      </c>
      <c r="E386" s="63" t="s">
        <v>159</v>
      </c>
      <c r="F386" s="15" t="s">
        <v>153</v>
      </c>
      <c r="G386" s="13" t="s">
        <v>180</v>
      </c>
      <c r="H386" s="13" t="s">
        <v>0</v>
      </c>
      <c r="I386" s="13" t="s">
        <v>323</v>
      </c>
      <c r="J386" s="492" t="s">
        <v>1088</v>
      </c>
      <c r="K386" s="193"/>
      <c r="L386" s="41"/>
      <c r="M386" s="41"/>
      <c r="N386" s="41"/>
      <c r="O386" s="41"/>
      <c r="P386" s="174" t="s">
        <v>69</v>
      </c>
      <c r="Q386" s="17" t="s">
        <v>33</v>
      </c>
      <c r="R386" s="18">
        <v>46286</v>
      </c>
      <c r="S386" s="18">
        <v>46353</v>
      </c>
      <c r="T386" s="18">
        <v>46365</v>
      </c>
      <c r="U386" s="18">
        <v>46368</v>
      </c>
      <c r="V386" s="18">
        <v>46368</v>
      </c>
      <c r="W386" s="18">
        <v>46375</v>
      </c>
      <c r="X386" s="18">
        <v>46380</v>
      </c>
      <c r="Y386" s="18">
        <v>46385</v>
      </c>
      <c r="Z386" s="18"/>
      <c r="AA386" s="18">
        <v>46393</v>
      </c>
      <c r="AB386" s="18">
        <v>46397</v>
      </c>
      <c r="AC386" s="18">
        <v>46404</v>
      </c>
      <c r="AD386" s="18">
        <v>46418</v>
      </c>
      <c r="AE386" s="18">
        <v>46433</v>
      </c>
      <c r="AF386" s="18">
        <v>46438</v>
      </c>
      <c r="AG386" s="18">
        <v>46441</v>
      </c>
      <c r="AH386" s="18">
        <v>46444</v>
      </c>
      <c r="AI386" s="18">
        <v>46473</v>
      </c>
      <c r="AJ386" s="18">
        <v>46478</v>
      </c>
      <c r="AK386" s="18">
        <v>46483</v>
      </c>
      <c r="AL386" s="18">
        <v>46486</v>
      </c>
      <c r="AM386" s="18">
        <v>46513</v>
      </c>
      <c r="AN386" s="57">
        <v>8.5</v>
      </c>
      <c r="AO386" s="58">
        <v>59.5</v>
      </c>
      <c r="AP386" s="77">
        <v>46452.5</v>
      </c>
      <c r="AQ386" s="77">
        <v>46492</v>
      </c>
      <c r="AR386" s="76">
        <f>AQ386-AP387</f>
        <v>39.5</v>
      </c>
      <c r="AS386" s="139" t="s">
        <v>498</v>
      </c>
      <c r="AT386" s="498"/>
      <c r="BF386" s="415"/>
      <c r="BG386" s="407"/>
      <c r="BH386" s="407"/>
    </row>
    <row r="387" spans="1:60" s="3" customFormat="1" ht="18" customHeight="1" x14ac:dyDescent="0.4">
      <c r="A387" s="496"/>
      <c r="B387" s="97"/>
      <c r="C387" s="238" t="s">
        <v>602</v>
      </c>
      <c r="D387" s="117" t="s">
        <v>549</v>
      </c>
      <c r="E387" s="117" t="s">
        <v>159</v>
      </c>
      <c r="F387" s="118" t="s">
        <v>153</v>
      </c>
      <c r="G387" s="119" t="s">
        <v>31</v>
      </c>
      <c r="H387" s="116" t="s">
        <v>0</v>
      </c>
      <c r="I387" s="116" t="s">
        <v>323</v>
      </c>
      <c r="J387" s="482" t="s">
        <v>968</v>
      </c>
      <c r="K387" s="304"/>
      <c r="L387" s="117"/>
      <c r="M387" s="117"/>
      <c r="N387" s="117"/>
      <c r="O387" s="117"/>
      <c r="P387" s="180" t="s">
        <v>69</v>
      </c>
      <c r="Q387" s="120" t="s">
        <v>329</v>
      </c>
      <c r="R387" s="121">
        <v>46286</v>
      </c>
      <c r="S387" s="122">
        <v>46353</v>
      </c>
      <c r="T387" s="122">
        <v>46365</v>
      </c>
      <c r="U387" s="122">
        <v>46368</v>
      </c>
      <c r="V387" s="122">
        <v>46368</v>
      </c>
      <c r="W387" s="122">
        <v>46375</v>
      </c>
      <c r="X387" s="122">
        <v>46380</v>
      </c>
      <c r="Y387" s="122">
        <v>46385</v>
      </c>
      <c r="Z387" s="122"/>
      <c r="AA387" s="122">
        <v>46393</v>
      </c>
      <c r="AB387" s="138">
        <v>46397</v>
      </c>
      <c r="AC387" s="82">
        <v>46404</v>
      </c>
      <c r="AD387" s="82">
        <v>46418</v>
      </c>
      <c r="AE387" s="27">
        <v>46433</v>
      </c>
      <c r="AF387" s="128">
        <v>46438</v>
      </c>
      <c r="AG387" s="82">
        <v>46441</v>
      </c>
      <c r="AH387" s="82">
        <v>46444</v>
      </c>
      <c r="AI387" s="82">
        <v>46473</v>
      </c>
      <c r="AJ387" s="27">
        <v>46478</v>
      </c>
      <c r="AK387" s="82">
        <v>46483</v>
      </c>
      <c r="AL387" s="27">
        <v>46486</v>
      </c>
      <c r="AM387" s="27">
        <v>46513</v>
      </c>
      <c r="AN387" s="123"/>
      <c r="AO387" s="124"/>
      <c r="AP387" s="82">
        <f>AA387+AO386</f>
        <v>46452.5</v>
      </c>
      <c r="AQ387" s="125"/>
      <c r="AR387" s="124"/>
      <c r="AS387" s="124"/>
      <c r="AT387" s="499"/>
      <c r="BF387" s="415"/>
      <c r="BG387" s="407"/>
      <c r="BH387" s="407"/>
    </row>
    <row r="388" spans="1:60" s="3" customFormat="1" ht="18" customHeight="1" thickBot="1" x14ac:dyDescent="0.45">
      <c r="A388" s="497"/>
      <c r="B388" s="93"/>
      <c r="C388" s="71" t="s">
        <v>602</v>
      </c>
      <c r="D388" s="43" t="s">
        <v>549</v>
      </c>
      <c r="E388" s="44" t="s">
        <v>159</v>
      </c>
      <c r="F388" s="33" t="s">
        <v>153</v>
      </c>
      <c r="G388" s="31" t="s">
        <v>180</v>
      </c>
      <c r="H388" s="31" t="s">
        <v>0</v>
      </c>
      <c r="I388" s="31" t="s">
        <v>323</v>
      </c>
      <c r="J388" s="44"/>
      <c r="K388" s="195"/>
      <c r="L388" s="44"/>
      <c r="M388" s="44"/>
      <c r="N388" s="44"/>
      <c r="O388" s="44"/>
      <c r="P388" s="176" t="s">
        <v>69</v>
      </c>
      <c r="Q388" s="34" t="s">
        <v>330</v>
      </c>
      <c r="R388" s="35"/>
      <c r="S388" s="35"/>
      <c r="T388" s="35"/>
      <c r="U388" s="36"/>
      <c r="V388" s="35"/>
      <c r="W388" s="35"/>
      <c r="X388" s="35"/>
      <c r="Y388" s="35"/>
      <c r="Z388" s="35"/>
      <c r="AA388" s="129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81"/>
      <c r="AM388" s="79"/>
      <c r="AN388" s="81"/>
      <c r="AO388" s="79"/>
      <c r="AP388" s="36"/>
      <c r="AQ388" s="36"/>
      <c r="AR388" s="79"/>
      <c r="AS388" s="143"/>
      <c r="AT388" s="500"/>
      <c r="BF388" s="415"/>
      <c r="BG388" s="407"/>
      <c r="BH388" s="407"/>
    </row>
    <row r="389" spans="1:60" s="3" customFormat="1" ht="24" customHeight="1" thickTop="1" thickBot="1" x14ac:dyDescent="0.45">
      <c r="A389" s="495">
        <f t="shared" ref="A389" si="76">A386+1</f>
        <v>114</v>
      </c>
      <c r="B389" s="91" t="s">
        <v>639</v>
      </c>
      <c r="C389" s="13" t="s">
        <v>572</v>
      </c>
      <c r="D389" s="338" t="s">
        <v>576</v>
      </c>
      <c r="E389" s="63" t="s">
        <v>159</v>
      </c>
      <c r="F389" s="15" t="s">
        <v>153</v>
      </c>
      <c r="G389" s="13" t="s">
        <v>180</v>
      </c>
      <c r="H389" s="13" t="s">
        <v>0</v>
      </c>
      <c r="I389" s="13" t="s">
        <v>292</v>
      </c>
      <c r="J389" s="492" t="s">
        <v>895</v>
      </c>
      <c r="K389" s="193"/>
      <c r="L389" s="41"/>
      <c r="M389" s="41"/>
      <c r="N389" s="41"/>
      <c r="O389" s="41"/>
      <c r="P389" s="174" t="s">
        <v>69</v>
      </c>
      <c r="Q389" s="17" t="s">
        <v>33</v>
      </c>
      <c r="R389" s="18">
        <v>46154</v>
      </c>
      <c r="S389" s="18">
        <v>46188</v>
      </c>
      <c r="T389" s="18">
        <v>46202</v>
      </c>
      <c r="U389" s="56">
        <v>46202</v>
      </c>
      <c r="V389" s="18">
        <v>46202</v>
      </c>
      <c r="W389" s="18">
        <v>46209</v>
      </c>
      <c r="X389" s="18">
        <v>46218</v>
      </c>
      <c r="Y389" s="18">
        <v>46234</v>
      </c>
      <c r="Z389" s="18"/>
      <c r="AA389" s="56">
        <v>46235</v>
      </c>
      <c r="AB389" s="18">
        <v>46236</v>
      </c>
      <c r="AC389" s="18">
        <v>46243</v>
      </c>
      <c r="AD389" s="206">
        <v>46250</v>
      </c>
      <c r="AE389" s="18">
        <v>46275</v>
      </c>
      <c r="AF389" s="18">
        <v>46254</v>
      </c>
      <c r="AG389" s="18">
        <v>46255</v>
      </c>
      <c r="AH389" s="18">
        <v>46259</v>
      </c>
      <c r="AI389" s="18">
        <v>46298</v>
      </c>
      <c r="AJ389" s="18">
        <v>46305</v>
      </c>
      <c r="AK389" s="18">
        <v>46310</v>
      </c>
      <c r="AL389" s="18">
        <v>46313</v>
      </c>
      <c r="AM389" s="18">
        <v>46340</v>
      </c>
      <c r="AN389" s="57">
        <f>AO389/7</f>
        <v>4</v>
      </c>
      <c r="AO389" s="58">
        <v>28</v>
      </c>
      <c r="AP389" s="77">
        <f>AK389</f>
        <v>46310</v>
      </c>
      <c r="AQ389" s="77">
        <v>46301</v>
      </c>
      <c r="AR389" s="76">
        <f>AQ389-AP390</f>
        <v>-9</v>
      </c>
      <c r="AS389" s="139" t="s">
        <v>498</v>
      </c>
      <c r="AT389" s="498" t="s">
        <v>435</v>
      </c>
      <c r="AU389" s="20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415" t="s">
        <v>976</v>
      </c>
      <c r="BG389" s="407"/>
      <c r="BH389" s="407"/>
    </row>
    <row r="390" spans="1:60" s="3" customFormat="1" ht="24" customHeight="1" thickTop="1" thickBot="1" x14ac:dyDescent="0.45">
      <c r="A390" s="496"/>
      <c r="B390" s="97" t="s">
        <v>639</v>
      </c>
      <c r="C390" s="40" t="s">
        <v>571</v>
      </c>
      <c r="D390" s="23" t="s">
        <v>576</v>
      </c>
      <c r="E390" s="42" t="s">
        <v>159</v>
      </c>
      <c r="F390" s="45" t="s">
        <v>153</v>
      </c>
      <c r="G390" s="22" t="s">
        <v>180</v>
      </c>
      <c r="H390" s="40" t="s">
        <v>0</v>
      </c>
      <c r="I390" s="40" t="s">
        <v>292</v>
      </c>
      <c r="J390" s="482"/>
      <c r="K390" s="194"/>
      <c r="L390" s="42"/>
      <c r="M390" s="42"/>
      <c r="N390" s="42"/>
      <c r="O390" s="42"/>
      <c r="P390" s="175" t="s">
        <v>69</v>
      </c>
      <c r="Q390" s="25" t="s">
        <v>34</v>
      </c>
      <c r="R390" s="26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>
        <v>46250</v>
      </c>
      <c r="AE390" s="27">
        <v>46275</v>
      </c>
      <c r="AF390" s="27">
        <v>46254</v>
      </c>
      <c r="AG390" s="27">
        <v>46255</v>
      </c>
      <c r="AH390" s="27">
        <v>46259</v>
      </c>
      <c r="AI390" s="27">
        <v>46298</v>
      </c>
      <c r="AJ390" s="27">
        <v>46305</v>
      </c>
      <c r="AK390" s="27">
        <v>46310</v>
      </c>
      <c r="AL390" s="27">
        <v>46313</v>
      </c>
      <c r="AM390" s="27">
        <v>46340</v>
      </c>
      <c r="AN390" s="80"/>
      <c r="AO390" s="78"/>
      <c r="AP390" s="82">
        <f>AK390</f>
        <v>46310</v>
      </c>
      <c r="AQ390" s="82"/>
      <c r="AR390" s="78"/>
      <c r="AS390" s="124"/>
      <c r="AT390" s="499"/>
      <c r="AU390" s="20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415"/>
      <c r="BG390" s="407"/>
      <c r="BH390" s="407"/>
    </row>
    <row r="391" spans="1:60" s="3" customFormat="1" ht="24" customHeight="1" thickTop="1" thickBot="1" x14ac:dyDescent="0.45">
      <c r="A391" s="497"/>
      <c r="B391" s="93" t="s">
        <v>639</v>
      </c>
      <c r="C391" s="31" t="s">
        <v>571</v>
      </c>
      <c r="D391" s="47" t="s">
        <v>575</v>
      </c>
      <c r="E391" s="44" t="s">
        <v>159</v>
      </c>
      <c r="F391" s="33" t="s">
        <v>153</v>
      </c>
      <c r="G391" s="31" t="s">
        <v>180</v>
      </c>
      <c r="H391" s="31" t="s">
        <v>0</v>
      </c>
      <c r="I391" s="31" t="s">
        <v>292</v>
      </c>
      <c r="J391" s="44"/>
      <c r="K391" s="195"/>
      <c r="L391" s="44"/>
      <c r="M391" s="44"/>
      <c r="N391" s="44"/>
      <c r="O391" s="44"/>
      <c r="P391" s="176" t="s">
        <v>69</v>
      </c>
      <c r="Q391" s="34" t="s">
        <v>35</v>
      </c>
      <c r="R391" s="35">
        <v>46183</v>
      </c>
      <c r="S391" s="35">
        <v>46146</v>
      </c>
      <c r="T391" s="35">
        <v>46157</v>
      </c>
      <c r="U391" s="35">
        <v>46183</v>
      </c>
      <c r="V391" s="35">
        <v>46183</v>
      </c>
      <c r="W391" s="35">
        <v>46185</v>
      </c>
      <c r="X391" s="35">
        <v>46227</v>
      </c>
      <c r="Y391" s="35">
        <v>46240</v>
      </c>
      <c r="Z391" s="35"/>
      <c r="AA391" s="36">
        <v>46240</v>
      </c>
      <c r="AB391" s="35">
        <v>46240</v>
      </c>
      <c r="AC391" s="35">
        <v>46262</v>
      </c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81"/>
      <c r="AO391" s="79"/>
      <c r="AP391" s="36"/>
      <c r="AQ391" s="36"/>
      <c r="AR391" s="79"/>
      <c r="AS391" s="143"/>
      <c r="AT391" s="500"/>
      <c r="AU391" s="38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415"/>
      <c r="BG391" s="407"/>
      <c r="BH391" s="407"/>
    </row>
    <row r="392" spans="1:60" s="3" customFormat="1" ht="25.15" customHeight="1" thickTop="1" thickBot="1" x14ac:dyDescent="0.45">
      <c r="A392" s="495">
        <f t="shared" ref="A392" si="77">A389+1</f>
        <v>115</v>
      </c>
      <c r="B392" s="91" t="s">
        <v>639</v>
      </c>
      <c r="C392" s="13" t="s">
        <v>574</v>
      </c>
      <c r="D392" s="338" t="s">
        <v>578</v>
      </c>
      <c r="E392" s="63" t="s">
        <v>159</v>
      </c>
      <c r="F392" s="15" t="s">
        <v>153</v>
      </c>
      <c r="G392" s="13" t="s">
        <v>180</v>
      </c>
      <c r="H392" s="13" t="s">
        <v>0</v>
      </c>
      <c r="I392" s="13" t="s">
        <v>292</v>
      </c>
      <c r="J392" s="492" t="s">
        <v>896</v>
      </c>
      <c r="K392" s="193"/>
      <c r="L392" s="41"/>
      <c r="M392" s="41"/>
      <c r="N392" s="41"/>
      <c r="O392" s="41"/>
      <c r="P392" s="174" t="s">
        <v>69</v>
      </c>
      <c r="Q392" s="17" t="s">
        <v>33</v>
      </c>
      <c r="R392" s="18">
        <v>46154</v>
      </c>
      <c r="S392" s="18">
        <v>46188</v>
      </c>
      <c r="T392" s="18">
        <v>46202</v>
      </c>
      <c r="U392" s="56">
        <v>46202</v>
      </c>
      <c r="V392" s="18">
        <v>46202</v>
      </c>
      <c r="W392" s="18">
        <v>46209</v>
      </c>
      <c r="X392" s="18">
        <v>46218</v>
      </c>
      <c r="Y392" s="18">
        <v>46234</v>
      </c>
      <c r="Z392" s="18"/>
      <c r="AA392" s="56">
        <v>46235</v>
      </c>
      <c r="AB392" s="56">
        <v>46236</v>
      </c>
      <c r="AC392" s="56">
        <v>46243</v>
      </c>
      <c r="AD392" s="206">
        <v>46250</v>
      </c>
      <c r="AE392" s="18">
        <v>46275</v>
      </c>
      <c r="AF392" s="18">
        <v>46254</v>
      </c>
      <c r="AG392" s="18">
        <v>46255</v>
      </c>
      <c r="AH392" s="18">
        <v>46259</v>
      </c>
      <c r="AI392" s="18">
        <v>46286</v>
      </c>
      <c r="AJ392" s="18">
        <v>46293</v>
      </c>
      <c r="AK392" s="18">
        <v>46298</v>
      </c>
      <c r="AL392" s="18">
        <v>46301</v>
      </c>
      <c r="AM392" s="18">
        <v>46328</v>
      </c>
      <c r="AN392" s="57">
        <f>AO392/7</f>
        <v>4</v>
      </c>
      <c r="AO392" s="58">
        <v>28</v>
      </c>
      <c r="AP392" s="77">
        <f>AK392</f>
        <v>46298</v>
      </c>
      <c r="AQ392" s="77">
        <v>46293</v>
      </c>
      <c r="AR392" s="76">
        <f>AQ392-AP393</f>
        <v>-5</v>
      </c>
      <c r="AS392" s="139" t="s">
        <v>498</v>
      </c>
      <c r="AT392" s="498" t="s">
        <v>435</v>
      </c>
      <c r="AU392" s="20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415" t="s">
        <v>975</v>
      </c>
      <c r="BG392" s="407"/>
      <c r="BH392" s="407"/>
    </row>
    <row r="393" spans="1:60" s="3" customFormat="1" ht="22.5" customHeight="1" thickTop="1" thickBot="1" x14ac:dyDescent="0.45">
      <c r="A393" s="496"/>
      <c r="B393" s="97" t="s">
        <v>639</v>
      </c>
      <c r="C393" s="40" t="s">
        <v>573</v>
      </c>
      <c r="D393" s="23" t="s">
        <v>577</v>
      </c>
      <c r="E393" s="42" t="s">
        <v>159</v>
      </c>
      <c r="F393" s="45" t="s">
        <v>153</v>
      </c>
      <c r="G393" s="22" t="s">
        <v>180</v>
      </c>
      <c r="H393" s="40" t="s">
        <v>0</v>
      </c>
      <c r="I393" s="40" t="s">
        <v>292</v>
      </c>
      <c r="J393" s="42"/>
      <c r="K393" s="194"/>
      <c r="L393" s="42"/>
      <c r="M393" s="42"/>
      <c r="N393" s="42"/>
      <c r="O393" s="42"/>
      <c r="P393" s="175" t="s">
        <v>69</v>
      </c>
      <c r="Q393" s="25" t="s">
        <v>34</v>
      </c>
      <c r="R393" s="26"/>
      <c r="S393" s="27"/>
      <c r="T393" s="27"/>
      <c r="U393" s="27"/>
      <c r="V393" s="27"/>
      <c r="W393" s="27"/>
      <c r="X393" s="82"/>
      <c r="Y393" s="27"/>
      <c r="Z393" s="27"/>
      <c r="AA393" s="27"/>
      <c r="AB393" s="27"/>
      <c r="AC393" s="27"/>
      <c r="AD393" s="27">
        <v>46250</v>
      </c>
      <c r="AE393" s="27">
        <v>46275</v>
      </c>
      <c r="AF393" s="27">
        <v>46254</v>
      </c>
      <c r="AG393" s="27">
        <v>46255</v>
      </c>
      <c r="AH393" s="27">
        <v>46259</v>
      </c>
      <c r="AI393" s="27">
        <v>46286</v>
      </c>
      <c r="AJ393" s="27">
        <v>46293</v>
      </c>
      <c r="AK393" s="27">
        <v>46298</v>
      </c>
      <c r="AL393" s="27">
        <v>46301</v>
      </c>
      <c r="AM393" s="27">
        <v>46328</v>
      </c>
      <c r="AN393" s="80"/>
      <c r="AO393" s="78"/>
      <c r="AP393" s="82">
        <f>AK393</f>
        <v>46298</v>
      </c>
      <c r="AQ393" s="82"/>
      <c r="AR393" s="78"/>
      <c r="AS393" s="124"/>
      <c r="AT393" s="499"/>
      <c r="AU393" s="20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415"/>
      <c r="BG393" s="407"/>
      <c r="BH393" s="407"/>
    </row>
    <row r="394" spans="1:60" s="3" customFormat="1" ht="25.15" customHeight="1" thickTop="1" thickBot="1" x14ac:dyDescent="0.45">
      <c r="A394" s="497"/>
      <c r="B394" s="93" t="s">
        <v>639</v>
      </c>
      <c r="C394" s="31" t="s">
        <v>573</v>
      </c>
      <c r="D394" s="47" t="s">
        <v>577</v>
      </c>
      <c r="E394" s="44" t="s">
        <v>159</v>
      </c>
      <c r="F394" s="33" t="s">
        <v>153</v>
      </c>
      <c r="G394" s="31" t="s">
        <v>180</v>
      </c>
      <c r="H394" s="31" t="s">
        <v>0</v>
      </c>
      <c r="I394" s="31" t="s">
        <v>292</v>
      </c>
      <c r="J394" s="44"/>
      <c r="K394" s="195"/>
      <c r="L394" s="44"/>
      <c r="M394" s="44"/>
      <c r="N394" s="44"/>
      <c r="O394" s="44"/>
      <c r="P394" s="176" t="s">
        <v>69</v>
      </c>
      <c r="Q394" s="34" t="s">
        <v>35</v>
      </c>
      <c r="R394" s="35">
        <v>46183</v>
      </c>
      <c r="S394" s="35">
        <v>46146</v>
      </c>
      <c r="T394" s="35">
        <v>46157</v>
      </c>
      <c r="U394" s="35">
        <v>46183</v>
      </c>
      <c r="V394" s="35">
        <v>46183</v>
      </c>
      <c r="W394" s="35">
        <v>46185</v>
      </c>
      <c r="X394" s="35">
        <v>46227</v>
      </c>
      <c r="Y394" s="35">
        <v>46240</v>
      </c>
      <c r="Z394" s="35"/>
      <c r="AA394" s="36">
        <v>46240</v>
      </c>
      <c r="AB394" s="35">
        <v>46240</v>
      </c>
      <c r="AC394" s="35">
        <v>46275</v>
      </c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81"/>
      <c r="AO394" s="79"/>
      <c r="AP394" s="36"/>
      <c r="AQ394" s="36"/>
      <c r="AR394" s="79"/>
      <c r="AS394" s="143"/>
      <c r="AT394" s="500"/>
      <c r="AU394" s="38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415"/>
      <c r="BG394" s="407"/>
      <c r="BH394" s="407"/>
    </row>
    <row r="395" spans="1:60" s="3" customFormat="1" ht="21" customHeight="1" thickTop="1" thickBot="1" x14ac:dyDescent="0.45">
      <c r="A395" s="495"/>
      <c r="B395" s="91"/>
      <c r="C395" s="234" t="s">
        <v>161</v>
      </c>
      <c r="D395" s="224" t="s">
        <v>554</v>
      </c>
      <c r="E395" s="240" t="s">
        <v>159</v>
      </c>
      <c r="F395" s="241" t="s">
        <v>153</v>
      </c>
      <c r="G395" s="234" t="s">
        <v>51</v>
      </c>
      <c r="H395" s="234" t="s">
        <v>3</v>
      </c>
      <c r="I395" s="234" t="s">
        <v>292</v>
      </c>
      <c r="J395" s="41"/>
      <c r="K395" s="193"/>
      <c r="L395" s="41"/>
      <c r="M395" s="41"/>
      <c r="N395" s="41"/>
      <c r="O395" s="41"/>
      <c r="P395" s="174" t="s">
        <v>69</v>
      </c>
      <c r="Q395" s="17" t="s">
        <v>33</v>
      </c>
      <c r="R395" s="18">
        <v>46213</v>
      </c>
      <c r="S395" s="206">
        <v>46210</v>
      </c>
      <c r="T395" s="18">
        <v>46217</v>
      </c>
      <c r="U395" s="18">
        <v>46218</v>
      </c>
      <c r="V395" s="18">
        <v>46221</v>
      </c>
      <c r="W395" s="18">
        <v>46228</v>
      </c>
      <c r="X395" s="18">
        <v>46239</v>
      </c>
      <c r="Y395" s="18">
        <v>46241</v>
      </c>
      <c r="Z395" s="18"/>
      <c r="AA395" s="18">
        <v>46248</v>
      </c>
      <c r="AB395" s="18">
        <v>46252</v>
      </c>
      <c r="AC395" s="18">
        <v>46259</v>
      </c>
      <c r="AD395" s="18">
        <v>46273</v>
      </c>
      <c r="AE395" s="18">
        <v>46288</v>
      </c>
      <c r="AF395" s="18">
        <v>46293</v>
      </c>
      <c r="AG395" s="18">
        <v>46296</v>
      </c>
      <c r="AH395" s="18">
        <v>46299</v>
      </c>
      <c r="AI395" s="18">
        <v>46328.02</v>
      </c>
      <c r="AJ395" s="18">
        <v>46333.02</v>
      </c>
      <c r="AK395" s="18">
        <v>46338.02</v>
      </c>
      <c r="AL395" s="18">
        <v>46341.02</v>
      </c>
      <c r="AM395" s="18">
        <v>46358.02</v>
      </c>
      <c r="AN395" s="57">
        <f>AO395/7</f>
        <v>12.857142857142858</v>
      </c>
      <c r="AO395" s="58">
        <v>90</v>
      </c>
      <c r="AP395" s="77">
        <f>AK395</f>
        <v>46338.02</v>
      </c>
      <c r="AQ395" s="77"/>
      <c r="AR395" s="76"/>
      <c r="AS395" s="139"/>
      <c r="AT395" s="510" t="s">
        <v>564</v>
      </c>
      <c r="AU395" s="20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415"/>
      <c r="BG395" s="407"/>
      <c r="BH395" s="407"/>
    </row>
    <row r="396" spans="1:60" s="3" customFormat="1" ht="21" customHeight="1" thickTop="1" thickBot="1" x14ac:dyDescent="0.45">
      <c r="A396" s="496"/>
      <c r="B396" s="92"/>
      <c r="C396" s="235" t="s">
        <v>161</v>
      </c>
      <c r="D396" s="437" t="s">
        <v>553</v>
      </c>
      <c r="E396" s="242" t="s">
        <v>159</v>
      </c>
      <c r="F396" s="243" t="s">
        <v>153</v>
      </c>
      <c r="G396" s="244" t="s">
        <v>51</v>
      </c>
      <c r="H396" s="235" t="s">
        <v>3</v>
      </c>
      <c r="I396" s="235" t="s">
        <v>292</v>
      </c>
      <c r="J396" s="42"/>
      <c r="K396" s="194"/>
      <c r="L396" s="42"/>
      <c r="M396" s="42"/>
      <c r="N396" s="42"/>
      <c r="O396" s="42"/>
      <c r="P396" s="175" t="s">
        <v>69</v>
      </c>
      <c r="Q396" s="25" t="s">
        <v>34</v>
      </c>
      <c r="R396" s="26">
        <v>46260</v>
      </c>
      <c r="S396" s="26"/>
      <c r="T396" s="27">
        <f>R396</f>
        <v>46260</v>
      </c>
      <c r="U396" s="27">
        <f>R396</f>
        <v>46260</v>
      </c>
      <c r="V396" s="27">
        <f>WORKDAY(U396, V9, IF(V12="China",'China Holidays'!$A$2:$A$84,'Thai Holidays'!$A$2:$A$65))</f>
        <v>46260</v>
      </c>
      <c r="W396" s="27">
        <f>WORKDAY(V396, W9, IF(W12="China",'China Holidays'!$A$2:$A$84,'Thai Holidays'!$A$2:$A$65))</f>
        <v>46267</v>
      </c>
      <c r="X396" s="27">
        <f>WORKDAY(W396, X9, IF(X12="China",'China Holidays'!$A$2:$A$84,'Thai Holidays'!$A$2:$A$65))</f>
        <v>46276</v>
      </c>
      <c r="Y396" s="27">
        <f>WORKDAY(X396, Y9, IF(Y12="China",'China Holidays'!$A$2:$A$84,'Thai Holidays'!$A$2:$A$65))</f>
        <v>46290</v>
      </c>
      <c r="Z396" s="27"/>
      <c r="AA396" s="27">
        <f>WORKDAY(Y396, AA9, IF(AA12="China",'China Holidays'!$A$2:$A$84,'Thai Holidays'!$A$2:$A$65))</f>
        <v>46304</v>
      </c>
      <c r="AB396" s="27">
        <f>WORKDAY(AA396, AB9, IF(AB12="China",'China Holidays'!$A$2:$A$84,'Thai Holidays'!$A$2:$A$65))</f>
        <v>46308</v>
      </c>
      <c r="AC396" s="27">
        <f>AB396</f>
        <v>46308</v>
      </c>
      <c r="AD396" s="27">
        <f>WORKDAY(AC396, AD9, IF(AD12="China",'China Holidays'!$A$2:$A$84,'Thai Holidays'!$A$2:$A$65))</f>
        <v>46322</v>
      </c>
      <c r="AE396" s="27">
        <f>WORKDAY(AD396, AE9, IF(AE12="China",'China Holidays'!$A$2:$A$84,'Thai Holidays'!$A$2:$A$65))</f>
        <v>46336</v>
      </c>
      <c r="AF396" s="27">
        <f>AE396+30</f>
        <v>46366</v>
      </c>
      <c r="AG396" s="27">
        <f>AF396</f>
        <v>46366</v>
      </c>
      <c r="AH396" s="27">
        <f>AG396</f>
        <v>46366</v>
      </c>
      <c r="AI396" s="27">
        <f>AJ396-5</f>
        <v>46384</v>
      </c>
      <c r="AJ396" s="27">
        <f>AK396-5</f>
        <v>46389</v>
      </c>
      <c r="AK396" s="27">
        <f>AP396</f>
        <v>46394</v>
      </c>
      <c r="AL396" s="27">
        <f>AK396+7</f>
        <v>46401</v>
      </c>
      <c r="AM396" s="27">
        <f>AK396+30</f>
        <v>46424</v>
      </c>
      <c r="AN396" s="80"/>
      <c r="AO396" s="78"/>
      <c r="AP396" s="82">
        <f>AA396+AO395</f>
        <v>46394</v>
      </c>
      <c r="AQ396" s="82"/>
      <c r="AR396" s="78"/>
      <c r="AS396" s="124"/>
      <c r="AT396" s="511"/>
      <c r="AU396" s="20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415"/>
      <c r="BG396" s="407"/>
      <c r="BH396" s="407"/>
    </row>
    <row r="397" spans="1:60" s="3" customFormat="1" ht="21" customHeight="1" thickTop="1" thickBot="1" x14ac:dyDescent="0.45">
      <c r="A397" s="497"/>
      <c r="B397" s="93"/>
      <c r="C397" s="236" t="s">
        <v>161</v>
      </c>
      <c r="D397" s="438" t="s">
        <v>553</v>
      </c>
      <c r="E397" s="245" t="s">
        <v>159</v>
      </c>
      <c r="F397" s="246" t="s">
        <v>153</v>
      </c>
      <c r="G397" s="236" t="s">
        <v>51</v>
      </c>
      <c r="H397" s="236" t="s">
        <v>3</v>
      </c>
      <c r="I397" s="236" t="s">
        <v>292</v>
      </c>
      <c r="J397" s="44"/>
      <c r="K397" s="195"/>
      <c r="L397" s="44"/>
      <c r="M397" s="44"/>
      <c r="N397" s="44"/>
      <c r="O397" s="44"/>
      <c r="P397" s="176" t="s">
        <v>69</v>
      </c>
      <c r="Q397" s="34" t="s">
        <v>35</v>
      </c>
      <c r="R397" s="35"/>
      <c r="S397" s="35">
        <v>46213</v>
      </c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81"/>
      <c r="AO397" s="79"/>
      <c r="AP397" s="36"/>
      <c r="AQ397" s="36"/>
      <c r="AR397" s="79"/>
      <c r="AS397" s="143"/>
      <c r="AT397" s="512"/>
      <c r="AU397" s="38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415"/>
      <c r="BG397" s="407"/>
      <c r="BH397" s="407"/>
    </row>
    <row r="398" spans="1:60" s="3" customFormat="1" ht="14.25" thickTop="1" thickBot="1" x14ac:dyDescent="0.45">
      <c r="A398" s="495">
        <f>A392+1</f>
        <v>116</v>
      </c>
      <c r="B398" s="91"/>
      <c r="C398" s="13" t="s">
        <v>918</v>
      </c>
      <c r="D398" s="338" t="s">
        <v>961</v>
      </c>
      <c r="E398" s="63" t="s">
        <v>159</v>
      </c>
      <c r="F398" s="15" t="s">
        <v>153</v>
      </c>
      <c r="G398" s="13" t="s">
        <v>51</v>
      </c>
      <c r="H398" s="13" t="s">
        <v>0</v>
      </c>
      <c r="I398" s="13" t="s">
        <v>292</v>
      </c>
      <c r="J398" s="492" t="s">
        <v>1088</v>
      </c>
      <c r="K398" s="193"/>
      <c r="L398" s="41"/>
      <c r="M398" s="41"/>
      <c r="N398" s="41"/>
      <c r="O398" s="41"/>
      <c r="P398" s="174" t="s">
        <v>69</v>
      </c>
      <c r="Q398" s="17" t="s">
        <v>33</v>
      </c>
      <c r="R398" s="18">
        <v>46213</v>
      </c>
      <c r="S398" s="18">
        <v>46210</v>
      </c>
      <c r="T398" s="18">
        <v>46217</v>
      </c>
      <c r="U398" s="18">
        <v>46218</v>
      </c>
      <c r="V398" s="18">
        <v>46221</v>
      </c>
      <c r="W398" s="18">
        <v>46228</v>
      </c>
      <c r="X398" s="18">
        <v>46239</v>
      </c>
      <c r="Y398" s="18">
        <v>46241</v>
      </c>
      <c r="Z398" s="18"/>
      <c r="AA398" s="206">
        <v>46248</v>
      </c>
      <c r="AB398" s="18">
        <v>46252</v>
      </c>
      <c r="AC398" s="18">
        <v>46259</v>
      </c>
      <c r="AD398" s="18">
        <v>46273</v>
      </c>
      <c r="AE398" s="18">
        <v>46288</v>
      </c>
      <c r="AF398" s="18">
        <v>46293</v>
      </c>
      <c r="AG398" s="18">
        <v>46296</v>
      </c>
      <c r="AH398" s="18">
        <v>46299</v>
      </c>
      <c r="AI398" s="18">
        <v>46328.02</v>
      </c>
      <c r="AJ398" s="18">
        <v>46333.02</v>
      </c>
      <c r="AK398" s="18">
        <v>46338.02</v>
      </c>
      <c r="AL398" s="18">
        <v>46341.02</v>
      </c>
      <c r="AM398" s="18">
        <v>46358.02</v>
      </c>
      <c r="AN398" s="57">
        <f>AO398/7</f>
        <v>12.857142857142858</v>
      </c>
      <c r="AO398" s="58">
        <v>90</v>
      </c>
      <c r="AP398" s="77">
        <f>AK398</f>
        <v>46338.02</v>
      </c>
      <c r="AQ398" s="77">
        <v>46306</v>
      </c>
      <c r="AR398" s="76">
        <f>AQ398-AP399</f>
        <v>-52</v>
      </c>
      <c r="AS398" s="139" t="s">
        <v>823</v>
      </c>
      <c r="AT398" s="510" t="s">
        <v>564</v>
      </c>
      <c r="AU398" s="20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415" t="s">
        <v>968</v>
      </c>
      <c r="BG398" s="407"/>
      <c r="BH398" s="407"/>
    </row>
    <row r="399" spans="1:60" s="3" customFormat="1" ht="14.25" thickTop="1" thickBot="1" x14ac:dyDescent="0.45">
      <c r="A399" s="496"/>
      <c r="B399" s="92"/>
      <c r="C399" s="40" t="s">
        <v>917</v>
      </c>
      <c r="D399" s="274" t="s">
        <v>916</v>
      </c>
      <c r="E399" s="42" t="s">
        <v>159</v>
      </c>
      <c r="F399" s="45" t="s">
        <v>153</v>
      </c>
      <c r="G399" s="22" t="s">
        <v>51</v>
      </c>
      <c r="H399" s="40" t="s">
        <v>0</v>
      </c>
      <c r="I399" s="40" t="s">
        <v>292</v>
      </c>
      <c r="J399" s="482" t="s">
        <v>968</v>
      </c>
      <c r="K399" s="194"/>
      <c r="L399" s="42"/>
      <c r="M399" s="42"/>
      <c r="N399" s="42"/>
      <c r="O399" s="42"/>
      <c r="P399" s="175" t="s">
        <v>69</v>
      </c>
      <c r="Q399" s="25" t="s">
        <v>34</v>
      </c>
      <c r="R399" s="26"/>
      <c r="S399" s="26"/>
      <c r="T399" s="27"/>
      <c r="U399" s="27"/>
      <c r="V399" s="27"/>
      <c r="W399" s="27"/>
      <c r="X399" s="27"/>
      <c r="Y399" s="27"/>
      <c r="Z399" s="27"/>
      <c r="AA399" s="27">
        <f>WORKDAY(Z400, AA8, IF(AA12="China",'China Holidays'!$A$2:$A$84,'Thai Holidays'!$A$2:$A$65))</f>
        <v>46268</v>
      </c>
      <c r="AB399" s="27">
        <f>WORKDAY(AA399, AB8, IF(AB12="China",'China Holidays'!$A$2:$A$84,'Thai Holidays'!$A$2:$A$65))</f>
        <v>46272</v>
      </c>
      <c r="AC399" s="27">
        <f>WORKDAY(AB399, AC8, IF(AC12="China",'China Holidays'!$A$2:$A$84,'Thai Holidays'!$A$2:$A$65))</f>
        <v>46279</v>
      </c>
      <c r="AD399" s="27">
        <f>WORKDAY(AC399, AD8, IF(AD12="China",'China Holidays'!$A$2:$A$84,'Thai Holidays'!$A$2:$A$65))</f>
        <v>46308</v>
      </c>
      <c r="AE399" s="27">
        <f>WORKDAY(AD399, AE8, IF(AE12="China",'China Holidays'!$A$2:$A$84,'Thai Holidays'!$A$2:$A$65))</f>
        <v>46323</v>
      </c>
      <c r="AF399" s="27">
        <f>AE399+30</f>
        <v>46353</v>
      </c>
      <c r="AG399" s="27">
        <f>AF399</f>
        <v>46353</v>
      </c>
      <c r="AH399" s="27">
        <f>AG399</f>
        <v>46353</v>
      </c>
      <c r="AI399" s="27">
        <f>AJ399-5</f>
        <v>46348</v>
      </c>
      <c r="AJ399" s="27">
        <f>AK399-5</f>
        <v>46353</v>
      </c>
      <c r="AK399" s="27">
        <f>AP399</f>
        <v>46358</v>
      </c>
      <c r="AL399" s="27">
        <f>AK399+7</f>
        <v>46365</v>
      </c>
      <c r="AM399" s="27">
        <f>AK399+30</f>
        <v>46388</v>
      </c>
      <c r="AN399" s="80"/>
      <c r="AO399" s="78"/>
      <c r="AP399" s="82">
        <f>AA399+AO398</f>
        <v>46358</v>
      </c>
      <c r="AQ399" s="82"/>
      <c r="AR399" s="78"/>
      <c r="AS399" s="124"/>
      <c r="AT399" s="511"/>
      <c r="AU399" s="20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415"/>
      <c r="BG399" s="407"/>
      <c r="BH399" s="407"/>
    </row>
    <row r="400" spans="1:60" s="3" customFormat="1" ht="14.25" thickTop="1" thickBot="1" x14ac:dyDescent="0.45">
      <c r="A400" s="497"/>
      <c r="B400" s="93"/>
      <c r="C400" s="31" t="s">
        <v>917</v>
      </c>
      <c r="D400" s="55" t="s">
        <v>916</v>
      </c>
      <c r="E400" s="44" t="s">
        <v>159</v>
      </c>
      <c r="F400" s="33" t="s">
        <v>153</v>
      </c>
      <c r="G400" s="31" t="s">
        <v>51</v>
      </c>
      <c r="H400" s="31" t="s">
        <v>0</v>
      </c>
      <c r="I400" s="31" t="s">
        <v>292</v>
      </c>
      <c r="J400" s="44"/>
      <c r="K400" s="195"/>
      <c r="L400" s="44"/>
      <c r="M400" s="44"/>
      <c r="N400" s="44"/>
      <c r="O400" s="44"/>
      <c r="P400" s="176" t="s">
        <v>69</v>
      </c>
      <c r="Q400" s="34" t="s">
        <v>35</v>
      </c>
      <c r="R400" s="35">
        <v>46256</v>
      </c>
      <c r="S400" s="35">
        <v>46256</v>
      </c>
      <c r="T400" s="35">
        <v>46256</v>
      </c>
      <c r="U400" s="35">
        <v>46256</v>
      </c>
      <c r="V400" s="35">
        <v>46256</v>
      </c>
      <c r="W400" s="35">
        <v>46256</v>
      </c>
      <c r="X400" s="35">
        <v>46256</v>
      </c>
      <c r="Y400" s="35">
        <v>46256</v>
      </c>
      <c r="Z400" s="35">
        <v>46256</v>
      </c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81"/>
      <c r="AO400" s="79"/>
      <c r="AP400" s="36"/>
      <c r="AQ400" s="36"/>
      <c r="AR400" s="79"/>
      <c r="AS400" s="143"/>
      <c r="AT400" s="512"/>
      <c r="AU400" s="38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415"/>
      <c r="BG400" s="407"/>
      <c r="BH400" s="407"/>
    </row>
    <row r="401" spans="1:60" s="3" customFormat="1" ht="14.25" thickTop="1" thickBot="1" x14ac:dyDescent="0.45">
      <c r="A401" s="495">
        <f t="shared" ref="A401" si="78">A398+1</f>
        <v>117</v>
      </c>
      <c r="B401" s="91"/>
      <c r="C401" s="13" t="s">
        <v>921</v>
      </c>
      <c r="D401" s="14" t="s">
        <v>919</v>
      </c>
      <c r="E401" s="63" t="s">
        <v>159</v>
      </c>
      <c r="F401" s="15" t="s">
        <v>153</v>
      </c>
      <c r="G401" s="13" t="s">
        <v>51</v>
      </c>
      <c r="H401" s="13" t="s">
        <v>0</v>
      </c>
      <c r="I401" s="13" t="s">
        <v>292</v>
      </c>
      <c r="J401" s="492" t="s">
        <v>1088</v>
      </c>
      <c r="K401" s="193"/>
      <c r="L401" s="41"/>
      <c r="M401" s="41"/>
      <c r="N401" s="41"/>
      <c r="O401" s="41"/>
      <c r="P401" s="174" t="s">
        <v>69</v>
      </c>
      <c r="Q401" s="17" t="s">
        <v>33</v>
      </c>
      <c r="R401" s="18">
        <v>46213</v>
      </c>
      <c r="S401" s="206">
        <v>46210</v>
      </c>
      <c r="T401" s="18">
        <v>46217</v>
      </c>
      <c r="U401" s="18">
        <v>46218</v>
      </c>
      <c r="V401" s="18">
        <v>46221</v>
      </c>
      <c r="W401" s="18">
        <v>46228</v>
      </c>
      <c r="X401" s="18">
        <v>46239</v>
      </c>
      <c r="Y401" s="18">
        <v>46241</v>
      </c>
      <c r="Z401" s="18"/>
      <c r="AA401" s="18">
        <v>46248</v>
      </c>
      <c r="AB401" s="18">
        <v>46252</v>
      </c>
      <c r="AC401" s="18">
        <v>46259</v>
      </c>
      <c r="AD401" s="18">
        <v>46273</v>
      </c>
      <c r="AE401" s="18">
        <v>46288</v>
      </c>
      <c r="AF401" s="18">
        <v>46293</v>
      </c>
      <c r="AG401" s="18">
        <v>46296</v>
      </c>
      <c r="AH401" s="18">
        <v>46299</v>
      </c>
      <c r="AI401" s="18">
        <v>46328.02</v>
      </c>
      <c r="AJ401" s="18">
        <v>46333.02</v>
      </c>
      <c r="AK401" s="18">
        <v>46338.02</v>
      </c>
      <c r="AL401" s="18">
        <v>46341.02</v>
      </c>
      <c r="AM401" s="18">
        <v>46358.02</v>
      </c>
      <c r="AN401" s="57">
        <f>AO401/7</f>
        <v>12.857142857142858</v>
      </c>
      <c r="AO401" s="58">
        <v>90</v>
      </c>
      <c r="AP401" s="77">
        <f>AK401</f>
        <v>46338.02</v>
      </c>
      <c r="AQ401" s="77">
        <v>46488</v>
      </c>
      <c r="AR401" s="76">
        <f>AQ401-AP402</f>
        <v>138</v>
      </c>
      <c r="AS401" s="139" t="s">
        <v>823</v>
      </c>
      <c r="AT401" s="510" t="s">
        <v>564</v>
      </c>
      <c r="AU401" s="20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415"/>
      <c r="BG401" s="407"/>
      <c r="BH401" s="407"/>
    </row>
    <row r="402" spans="1:60" s="3" customFormat="1" ht="14.25" thickTop="1" thickBot="1" x14ac:dyDescent="0.45">
      <c r="A402" s="496"/>
      <c r="B402" s="92"/>
      <c r="C402" s="40" t="s">
        <v>920</v>
      </c>
      <c r="D402" s="87" t="s">
        <v>919</v>
      </c>
      <c r="E402" s="42" t="s">
        <v>159</v>
      </c>
      <c r="F402" s="45" t="s">
        <v>153</v>
      </c>
      <c r="G402" s="22" t="s">
        <v>51</v>
      </c>
      <c r="H402" s="40" t="s">
        <v>0</v>
      </c>
      <c r="I402" s="40" t="s">
        <v>292</v>
      </c>
      <c r="J402" s="482" t="s">
        <v>968</v>
      </c>
      <c r="K402" s="194"/>
      <c r="L402" s="42"/>
      <c r="M402" s="42"/>
      <c r="N402" s="42"/>
      <c r="O402" s="42"/>
      <c r="P402" s="175" t="s">
        <v>69</v>
      </c>
      <c r="Q402" s="25" t="s">
        <v>34</v>
      </c>
      <c r="R402" s="26"/>
      <c r="S402" s="26"/>
      <c r="T402" s="27">
        <v>46260</v>
      </c>
      <c r="U402" s="27">
        <v>46260</v>
      </c>
      <c r="V402" s="27">
        <v>46260</v>
      </c>
      <c r="W402" s="27">
        <v>46260</v>
      </c>
      <c r="X402" s="27">
        <v>46260</v>
      </c>
      <c r="Y402" s="27">
        <v>46260</v>
      </c>
      <c r="Z402" s="27"/>
      <c r="AA402" s="27">
        <f>WORKDAY(Y402, AA15, IF(AA18="China",'China Holidays'!$A$2:$A$84,'Thai Holidays'!$A$2:$A$65))</f>
        <v>46260</v>
      </c>
      <c r="AB402" s="27">
        <f>WORKDAY(AA402, AB15, IF(AB18="China",'China Holidays'!$A$2:$A$84,'Thai Holidays'!$A$2:$A$65))</f>
        <v>46260</v>
      </c>
      <c r="AC402" s="27">
        <f>AB402</f>
        <v>46260</v>
      </c>
      <c r="AD402" s="27">
        <f>WORKDAY(AC402, AD15, IF(AD18="China",'China Holidays'!$A$2:$A$84,'Thai Holidays'!$A$2:$A$65))</f>
        <v>46260</v>
      </c>
      <c r="AE402" s="27">
        <f>WORKDAY(AD402, AE15, IF(AE18="China",'China Holidays'!$A$2:$A$84,'Thai Holidays'!$A$2:$A$65))</f>
        <v>46260</v>
      </c>
      <c r="AF402" s="27">
        <f>AE402+30</f>
        <v>46290</v>
      </c>
      <c r="AG402" s="27">
        <f>AF402</f>
        <v>46290</v>
      </c>
      <c r="AH402" s="27">
        <f>AG402</f>
        <v>46290</v>
      </c>
      <c r="AI402" s="27">
        <f>AJ402-5</f>
        <v>46340</v>
      </c>
      <c r="AJ402" s="27">
        <f>AK402-5</f>
        <v>46345</v>
      </c>
      <c r="AK402" s="27">
        <f>AP402</f>
        <v>46350</v>
      </c>
      <c r="AL402" s="27">
        <f>AK402+7</f>
        <v>46357</v>
      </c>
      <c r="AM402" s="27">
        <f>AK402+30</f>
        <v>46380</v>
      </c>
      <c r="AN402" s="80"/>
      <c r="AO402" s="78"/>
      <c r="AP402" s="82">
        <f>AA402+AO401</f>
        <v>46350</v>
      </c>
      <c r="AQ402" s="82"/>
      <c r="AR402" s="78"/>
      <c r="AS402" s="124"/>
      <c r="AT402" s="511"/>
      <c r="AU402" s="20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415"/>
      <c r="BG402" s="407"/>
      <c r="BH402" s="407"/>
    </row>
    <row r="403" spans="1:60" s="3" customFormat="1" ht="14.25" thickTop="1" thickBot="1" x14ac:dyDescent="0.45">
      <c r="A403" s="497"/>
      <c r="B403" s="93"/>
      <c r="C403" s="31" t="s">
        <v>920</v>
      </c>
      <c r="D403" s="43" t="s">
        <v>919</v>
      </c>
      <c r="E403" s="44" t="s">
        <v>159</v>
      </c>
      <c r="F403" s="33" t="s">
        <v>153</v>
      </c>
      <c r="G403" s="31" t="s">
        <v>51</v>
      </c>
      <c r="H403" s="31" t="s">
        <v>0</v>
      </c>
      <c r="I403" s="31" t="s">
        <v>292</v>
      </c>
      <c r="J403" s="44"/>
      <c r="K403" s="195"/>
      <c r="L403" s="44"/>
      <c r="M403" s="44"/>
      <c r="N403" s="44"/>
      <c r="O403" s="44"/>
      <c r="P403" s="176" t="s">
        <v>69</v>
      </c>
      <c r="Q403" s="34" t="s">
        <v>35</v>
      </c>
      <c r="R403" s="35">
        <v>46256</v>
      </c>
      <c r="S403" s="35">
        <v>46213</v>
      </c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81"/>
      <c r="AO403" s="79"/>
      <c r="AP403" s="36"/>
      <c r="AQ403" s="36"/>
      <c r="AR403" s="79"/>
      <c r="AS403" s="143"/>
      <c r="AT403" s="512"/>
      <c r="AU403" s="38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415"/>
      <c r="BG403" s="407"/>
      <c r="BH403" s="407"/>
    </row>
    <row r="404" spans="1:60" s="3" customFormat="1" ht="14.25" thickTop="1" thickBot="1" x14ac:dyDescent="0.45">
      <c r="A404" s="495">
        <f t="shared" ref="A404" si="79">A401+1</f>
        <v>118</v>
      </c>
      <c r="B404" s="91"/>
      <c r="C404" s="13" t="s">
        <v>924</v>
      </c>
      <c r="D404" s="14" t="s">
        <v>922</v>
      </c>
      <c r="E404" s="63" t="s">
        <v>159</v>
      </c>
      <c r="F404" s="15" t="s">
        <v>153</v>
      </c>
      <c r="G404" s="13" t="s">
        <v>51</v>
      </c>
      <c r="H404" s="13" t="s">
        <v>0</v>
      </c>
      <c r="I404" s="13" t="s">
        <v>292</v>
      </c>
      <c r="J404" s="492" t="s">
        <v>1088</v>
      </c>
      <c r="K404" s="193"/>
      <c r="L404" s="41"/>
      <c r="M404" s="41"/>
      <c r="N404" s="41"/>
      <c r="O404" s="41"/>
      <c r="P404" s="174" t="s">
        <v>69</v>
      </c>
      <c r="Q404" s="17" t="s">
        <v>33</v>
      </c>
      <c r="R404" s="18">
        <v>46213</v>
      </c>
      <c r="S404" s="206">
        <v>46210</v>
      </c>
      <c r="T404" s="18">
        <v>46217</v>
      </c>
      <c r="U404" s="18">
        <v>46218</v>
      </c>
      <c r="V404" s="18">
        <v>46221</v>
      </c>
      <c r="W404" s="18">
        <v>46228</v>
      </c>
      <c r="X404" s="18">
        <v>46239</v>
      </c>
      <c r="Y404" s="18">
        <v>46241</v>
      </c>
      <c r="Z404" s="18"/>
      <c r="AA404" s="18">
        <v>46248</v>
      </c>
      <c r="AB404" s="18">
        <v>46252</v>
      </c>
      <c r="AC404" s="18">
        <v>46259</v>
      </c>
      <c r="AD404" s="18">
        <v>46273</v>
      </c>
      <c r="AE404" s="18">
        <v>46288</v>
      </c>
      <c r="AF404" s="18">
        <v>46293</v>
      </c>
      <c r="AG404" s="18">
        <v>46296</v>
      </c>
      <c r="AH404" s="18">
        <v>46299</v>
      </c>
      <c r="AI404" s="18">
        <v>46328.02</v>
      </c>
      <c r="AJ404" s="18">
        <v>46333.02</v>
      </c>
      <c r="AK404" s="18">
        <v>46338.02</v>
      </c>
      <c r="AL404" s="18">
        <v>46341.02</v>
      </c>
      <c r="AM404" s="18">
        <v>46358.02</v>
      </c>
      <c r="AN404" s="57">
        <f>AO404/7</f>
        <v>12.857142857142858</v>
      </c>
      <c r="AO404" s="58">
        <v>90</v>
      </c>
      <c r="AP404" s="77">
        <f>AK404</f>
        <v>46338.02</v>
      </c>
      <c r="AQ404" s="77">
        <v>46307</v>
      </c>
      <c r="AR404" s="76">
        <f>AQ404-AP405</f>
        <v>-56</v>
      </c>
      <c r="AS404" s="139" t="s">
        <v>823</v>
      </c>
      <c r="AT404" s="510" t="s">
        <v>564</v>
      </c>
      <c r="AU404" s="20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415"/>
      <c r="BG404" s="407"/>
      <c r="BH404" s="407"/>
    </row>
    <row r="405" spans="1:60" s="3" customFormat="1" ht="14.25" thickTop="1" thickBot="1" x14ac:dyDescent="0.45">
      <c r="A405" s="496"/>
      <c r="B405" s="92"/>
      <c r="C405" s="40" t="s">
        <v>923</v>
      </c>
      <c r="D405" s="87" t="s">
        <v>922</v>
      </c>
      <c r="E405" s="42" t="s">
        <v>159</v>
      </c>
      <c r="F405" s="45" t="s">
        <v>153</v>
      </c>
      <c r="G405" s="22" t="s">
        <v>51</v>
      </c>
      <c r="H405" s="40" t="s">
        <v>0</v>
      </c>
      <c r="I405" s="40" t="s">
        <v>292</v>
      </c>
      <c r="J405" s="482" t="s">
        <v>968</v>
      </c>
      <c r="K405" s="194"/>
      <c r="L405" s="42"/>
      <c r="M405" s="42"/>
      <c r="N405" s="42"/>
      <c r="O405" s="42"/>
      <c r="P405" s="175" t="s">
        <v>69</v>
      </c>
      <c r="Q405" s="25" t="s">
        <v>34</v>
      </c>
      <c r="R405" s="26"/>
      <c r="S405" s="26"/>
      <c r="T405" s="27">
        <v>46260</v>
      </c>
      <c r="U405" s="27">
        <v>46260</v>
      </c>
      <c r="V405" s="27">
        <v>46260</v>
      </c>
      <c r="W405" s="27">
        <v>46260</v>
      </c>
      <c r="X405" s="27">
        <v>46260</v>
      </c>
      <c r="Y405" s="27">
        <v>46260</v>
      </c>
      <c r="Z405" s="27"/>
      <c r="AA405" s="27">
        <f>WORKDAY(Y405, AA8, IF(AA12="China",'China Holidays'!$A$2:$A$84,'Thai Holidays'!$A$2:$A$65))</f>
        <v>46273</v>
      </c>
      <c r="AB405" s="27">
        <f>WORKDAY(AA405, AB18, IF(AB21="China",'China Holidays'!$A$2:$A$84,'Thai Holidays'!$A$2:$A$65))</f>
        <v>111032</v>
      </c>
      <c r="AC405" s="27">
        <f>AB405</f>
        <v>111032</v>
      </c>
      <c r="AD405" s="27">
        <f>WORKDAY(AC405, AD18, IF(AD21="China",'China Holidays'!$A$2:$A$84,'Thai Holidays'!$A$2:$A$65))</f>
        <v>175780</v>
      </c>
      <c r="AE405" s="27">
        <f>WORKDAY(AD405, AE18, IF(AE21="China",'China Holidays'!$A$2:$A$84,'Thai Holidays'!$A$2:$A$65))</f>
        <v>175780</v>
      </c>
      <c r="AF405" s="27">
        <f>AE405+30</f>
        <v>175810</v>
      </c>
      <c r="AG405" s="27">
        <f>AF405</f>
        <v>175810</v>
      </c>
      <c r="AH405" s="27">
        <f>AG405</f>
        <v>175810</v>
      </c>
      <c r="AI405" s="27">
        <f>AJ405-5</f>
        <v>46353</v>
      </c>
      <c r="AJ405" s="27">
        <f>AK405-5</f>
        <v>46358</v>
      </c>
      <c r="AK405" s="27">
        <f>AP405</f>
        <v>46363</v>
      </c>
      <c r="AL405" s="27">
        <f>AK405+7</f>
        <v>46370</v>
      </c>
      <c r="AM405" s="27">
        <f>AK405+30</f>
        <v>46393</v>
      </c>
      <c r="AN405" s="80"/>
      <c r="AO405" s="78"/>
      <c r="AP405" s="82">
        <f>AA405+AO404</f>
        <v>46363</v>
      </c>
      <c r="AQ405" s="82"/>
      <c r="AR405" s="78"/>
      <c r="AS405" s="124"/>
      <c r="AT405" s="511"/>
      <c r="AU405" s="20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415"/>
      <c r="BG405" s="407"/>
      <c r="BH405" s="407"/>
    </row>
    <row r="406" spans="1:60" s="3" customFormat="1" ht="14.25" thickTop="1" thickBot="1" x14ac:dyDescent="0.45">
      <c r="A406" s="497"/>
      <c r="B406" s="93"/>
      <c r="C406" s="31" t="s">
        <v>923</v>
      </c>
      <c r="D406" s="43" t="s">
        <v>922</v>
      </c>
      <c r="E406" s="44" t="s">
        <v>159</v>
      </c>
      <c r="F406" s="33" t="s">
        <v>153</v>
      </c>
      <c r="G406" s="31" t="s">
        <v>51</v>
      </c>
      <c r="H406" s="31" t="s">
        <v>0</v>
      </c>
      <c r="I406" s="31" t="s">
        <v>292</v>
      </c>
      <c r="J406" s="44"/>
      <c r="K406" s="195"/>
      <c r="L406" s="44"/>
      <c r="M406" s="44"/>
      <c r="N406" s="44"/>
      <c r="O406" s="44"/>
      <c r="P406" s="176" t="s">
        <v>69</v>
      </c>
      <c r="Q406" s="34" t="s">
        <v>35</v>
      </c>
      <c r="R406" s="35">
        <v>46256</v>
      </c>
      <c r="S406" s="35">
        <v>46213</v>
      </c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81"/>
      <c r="AO406" s="79"/>
      <c r="AP406" s="36"/>
      <c r="AQ406" s="36"/>
      <c r="AR406" s="79"/>
      <c r="AS406" s="143"/>
      <c r="AT406" s="512"/>
      <c r="AU406" s="38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415"/>
      <c r="BG406" s="407"/>
      <c r="BH406" s="407"/>
    </row>
    <row r="407" spans="1:60" s="3" customFormat="1" ht="14.25" thickTop="1" thickBot="1" x14ac:dyDescent="0.45">
      <c r="A407" s="495">
        <f t="shared" ref="A407" si="80">A404+1</f>
        <v>119</v>
      </c>
      <c r="B407" s="91"/>
      <c r="C407" s="13" t="s">
        <v>926</v>
      </c>
      <c r="D407" s="338" t="s">
        <v>960</v>
      </c>
      <c r="E407" s="63" t="s">
        <v>159</v>
      </c>
      <c r="F407" s="15" t="s">
        <v>153</v>
      </c>
      <c r="G407" s="13" t="s">
        <v>51</v>
      </c>
      <c r="H407" s="13" t="s">
        <v>0</v>
      </c>
      <c r="I407" s="13" t="s">
        <v>292</v>
      </c>
      <c r="J407" s="492" t="s">
        <v>1088</v>
      </c>
      <c r="K407" s="193"/>
      <c r="L407" s="41"/>
      <c r="M407" s="41"/>
      <c r="N407" s="41"/>
      <c r="O407" s="41"/>
      <c r="P407" s="174" t="s">
        <v>69</v>
      </c>
      <c r="Q407" s="17" t="s">
        <v>33</v>
      </c>
      <c r="R407" s="18">
        <v>46213</v>
      </c>
      <c r="S407" s="18">
        <v>46210</v>
      </c>
      <c r="T407" s="18">
        <v>46217</v>
      </c>
      <c r="U407" s="18">
        <v>46218</v>
      </c>
      <c r="V407" s="18">
        <v>46221</v>
      </c>
      <c r="W407" s="18">
        <v>46228</v>
      </c>
      <c r="X407" s="18">
        <v>46239</v>
      </c>
      <c r="Y407" s="18">
        <v>46241</v>
      </c>
      <c r="Z407" s="18"/>
      <c r="AA407" s="206">
        <v>46248</v>
      </c>
      <c r="AB407" s="18">
        <v>46252</v>
      </c>
      <c r="AC407" s="18">
        <v>46259</v>
      </c>
      <c r="AD407" s="18">
        <v>46273</v>
      </c>
      <c r="AE407" s="18">
        <v>46288</v>
      </c>
      <c r="AF407" s="18">
        <v>46293</v>
      </c>
      <c r="AG407" s="18">
        <v>46296</v>
      </c>
      <c r="AH407" s="18">
        <v>46299</v>
      </c>
      <c r="AI407" s="18">
        <v>46328.02</v>
      </c>
      <c r="AJ407" s="18">
        <v>46333.02</v>
      </c>
      <c r="AK407" s="18">
        <v>46338.02</v>
      </c>
      <c r="AL407" s="18">
        <v>46341.02</v>
      </c>
      <c r="AM407" s="18">
        <v>46358.02</v>
      </c>
      <c r="AN407" s="57">
        <f>AO407/7</f>
        <v>12.857142857142858</v>
      </c>
      <c r="AO407" s="58">
        <v>90</v>
      </c>
      <c r="AP407" s="77">
        <f>AK407</f>
        <v>46338.02</v>
      </c>
      <c r="AQ407" s="77">
        <v>46371</v>
      </c>
      <c r="AR407" s="76">
        <f>AQ407-AP408</f>
        <v>13</v>
      </c>
      <c r="AS407" s="139" t="s">
        <v>823</v>
      </c>
      <c r="AT407" s="510" t="s">
        <v>564</v>
      </c>
      <c r="AU407" s="20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415" t="s">
        <v>968</v>
      </c>
      <c r="BG407" s="407"/>
      <c r="BH407" s="407"/>
    </row>
    <row r="408" spans="1:60" s="3" customFormat="1" ht="14.25" thickTop="1" thickBot="1" x14ac:dyDescent="0.45">
      <c r="A408" s="496"/>
      <c r="B408" s="92"/>
      <c r="C408" s="40" t="s">
        <v>925</v>
      </c>
      <c r="D408" s="87" t="s">
        <v>927</v>
      </c>
      <c r="E408" s="42" t="s">
        <v>159</v>
      </c>
      <c r="F408" s="45" t="s">
        <v>153</v>
      </c>
      <c r="G408" s="22" t="s">
        <v>51</v>
      </c>
      <c r="H408" s="40" t="s">
        <v>0</v>
      </c>
      <c r="I408" s="40" t="s">
        <v>292</v>
      </c>
      <c r="J408" s="482" t="s">
        <v>968</v>
      </c>
      <c r="K408" s="194"/>
      <c r="L408" s="42"/>
      <c r="M408" s="42"/>
      <c r="N408" s="42"/>
      <c r="O408" s="42"/>
      <c r="P408" s="175" t="s">
        <v>69</v>
      </c>
      <c r="Q408" s="25" t="s">
        <v>34</v>
      </c>
      <c r="R408" s="26"/>
      <c r="S408" s="26"/>
      <c r="T408" s="27"/>
      <c r="U408" s="27"/>
      <c r="V408" s="27"/>
      <c r="W408" s="27"/>
      <c r="X408" s="27"/>
      <c r="Y408" s="27"/>
      <c r="Z408" s="27"/>
      <c r="AA408" s="27">
        <f>WORKDAY(Z409, AA8, IF(AA12="China",'China Holidays'!$A$2:$A$84,'Thai Holidays'!$A$2:$A$65))</f>
        <v>46268</v>
      </c>
      <c r="AB408" s="27">
        <f>WORKDAY(AA408, AB21, IF(AB24="China",'China Holidays'!$A$2:$A$84,'Thai Holidays'!$A$2:$A$65))</f>
        <v>111016</v>
      </c>
      <c r="AC408" s="27">
        <f>AB408</f>
        <v>111016</v>
      </c>
      <c r="AD408" s="27">
        <f>WORKDAY(AC408, AD21, IF(AD24="China",'China Holidays'!$A$2:$A$84,'Thai Holidays'!$A$2:$A$65))</f>
        <v>175758</v>
      </c>
      <c r="AE408" s="27">
        <f>WORKDAY(AD408, AE21, IF(AE24="China",'China Holidays'!$A$2:$A$84,'Thai Holidays'!$A$2:$A$65))</f>
        <v>175758</v>
      </c>
      <c r="AF408" s="27">
        <f>AE408+30</f>
        <v>175788</v>
      </c>
      <c r="AG408" s="27">
        <f>AF408</f>
        <v>175788</v>
      </c>
      <c r="AH408" s="27">
        <f>AG408</f>
        <v>175788</v>
      </c>
      <c r="AI408" s="27">
        <f>AJ408-5</f>
        <v>46348</v>
      </c>
      <c r="AJ408" s="27">
        <f>AK408-5</f>
        <v>46353</v>
      </c>
      <c r="AK408" s="27">
        <f>AP408</f>
        <v>46358</v>
      </c>
      <c r="AL408" s="27">
        <f>AK408+7</f>
        <v>46365</v>
      </c>
      <c r="AM408" s="27">
        <f>AK408+30</f>
        <v>46388</v>
      </c>
      <c r="AN408" s="80"/>
      <c r="AO408" s="78"/>
      <c r="AP408" s="82">
        <f>AA408+AO407</f>
        <v>46358</v>
      </c>
      <c r="AQ408" s="82"/>
      <c r="AR408" s="78"/>
      <c r="AS408" s="124"/>
      <c r="AT408" s="511"/>
      <c r="AU408" s="20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415"/>
      <c r="BG408" s="407"/>
      <c r="BH408" s="407"/>
    </row>
    <row r="409" spans="1:60" s="3" customFormat="1" ht="14.25" thickTop="1" thickBot="1" x14ac:dyDescent="0.45">
      <c r="A409" s="497"/>
      <c r="B409" s="93"/>
      <c r="C409" s="31" t="s">
        <v>925</v>
      </c>
      <c r="D409" s="43" t="s">
        <v>927</v>
      </c>
      <c r="E409" s="44" t="s">
        <v>159</v>
      </c>
      <c r="F409" s="33" t="s">
        <v>153</v>
      </c>
      <c r="G409" s="31" t="s">
        <v>51</v>
      </c>
      <c r="H409" s="31" t="s">
        <v>0</v>
      </c>
      <c r="I409" s="31" t="s">
        <v>292</v>
      </c>
      <c r="J409" s="44"/>
      <c r="K409" s="195"/>
      <c r="L409" s="44"/>
      <c r="M409" s="44"/>
      <c r="N409" s="44"/>
      <c r="O409" s="44"/>
      <c r="P409" s="176" t="s">
        <v>69</v>
      </c>
      <c r="Q409" s="34" t="s">
        <v>35</v>
      </c>
      <c r="R409" s="35">
        <v>46256</v>
      </c>
      <c r="S409" s="35">
        <v>46256</v>
      </c>
      <c r="T409" s="35">
        <v>46256</v>
      </c>
      <c r="U409" s="35">
        <v>46256</v>
      </c>
      <c r="V409" s="35">
        <v>46256</v>
      </c>
      <c r="W409" s="35">
        <v>46256</v>
      </c>
      <c r="X409" s="35">
        <v>46256</v>
      </c>
      <c r="Y409" s="35">
        <v>46256</v>
      </c>
      <c r="Z409" s="35">
        <v>46256</v>
      </c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81"/>
      <c r="AO409" s="79"/>
      <c r="AP409" s="36"/>
      <c r="AQ409" s="36"/>
      <c r="AR409" s="79"/>
      <c r="AS409" s="143"/>
      <c r="AT409" s="512"/>
      <c r="AU409" s="38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415"/>
      <c r="BG409" s="407"/>
      <c r="BH409" s="407"/>
    </row>
    <row r="410" spans="1:60" s="3" customFormat="1" ht="14.25" thickTop="1" thickBot="1" x14ac:dyDescent="0.45">
      <c r="A410" s="495">
        <f t="shared" ref="A410" si="81">A407+1</f>
        <v>120</v>
      </c>
      <c r="B410" s="91"/>
      <c r="C410" s="13" t="s">
        <v>928</v>
      </c>
      <c r="D410" s="338" t="s">
        <v>930</v>
      </c>
      <c r="E410" s="63" t="s">
        <v>159</v>
      </c>
      <c r="F410" s="15" t="s">
        <v>153</v>
      </c>
      <c r="G410" s="13" t="s">
        <v>51</v>
      </c>
      <c r="H410" s="13" t="s">
        <v>0</v>
      </c>
      <c r="I410" s="13" t="s">
        <v>292</v>
      </c>
      <c r="J410" s="492" t="s">
        <v>1088</v>
      </c>
      <c r="K410" s="193"/>
      <c r="L410" s="41"/>
      <c r="M410" s="41"/>
      <c r="N410" s="41"/>
      <c r="O410" s="41"/>
      <c r="P410" s="174" t="s">
        <v>69</v>
      </c>
      <c r="Q410" s="17" t="s">
        <v>33</v>
      </c>
      <c r="R410" s="18">
        <v>46213</v>
      </c>
      <c r="S410" s="18">
        <v>46210</v>
      </c>
      <c r="T410" s="18">
        <v>46217</v>
      </c>
      <c r="U410" s="18">
        <v>46218</v>
      </c>
      <c r="V410" s="18">
        <v>46221</v>
      </c>
      <c r="W410" s="18">
        <v>46228</v>
      </c>
      <c r="X410" s="18">
        <v>46239</v>
      </c>
      <c r="Y410" s="18">
        <v>46241</v>
      </c>
      <c r="Z410" s="18"/>
      <c r="AA410" s="18">
        <v>46248</v>
      </c>
      <c r="AB410" s="18">
        <v>46252</v>
      </c>
      <c r="AC410" s="18">
        <v>46259</v>
      </c>
      <c r="AD410" s="18">
        <v>46273</v>
      </c>
      <c r="AE410" s="18">
        <v>46288</v>
      </c>
      <c r="AF410" s="206">
        <v>46293</v>
      </c>
      <c r="AG410" s="18">
        <v>46296</v>
      </c>
      <c r="AH410" s="18">
        <v>46299</v>
      </c>
      <c r="AI410" s="18">
        <v>46328.02</v>
      </c>
      <c r="AJ410" s="18">
        <v>46333.02</v>
      </c>
      <c r="AK410" s="18">
        <v>46338.02</v>
      </c>
      <c r="AL410" s="18">
        <v>46341.02</v>
      </c>
      <c r="AM410" s="18">
        <v>46358.02</v>
      </c>
      <c r="AN410" s="57">
        <f>AO410/7</f>
        <v>12.857142857142858</v>
      </c>
      <c r="AO410" s="58">
        <v>90</v>
      </c>
      <c r="AP410" s="77">
        <f>AK410</f>
        <v>46338.02</v>
      </c>
      <c r="AQ410" s="77">
        <v>46474</v>
      </c>
      <c r="AR410" s="76">
        <f>AQ410-AP411</f>
        <v>110</v>
      </c>
      <c r="AS410" s="139" t="s">
        <v>823</v>
      </c>
      <c r="AT410" s="510" t="s">
        <v>564</v>
      </c>
      <c r="AU410" s="20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415" t="s">
        <v>968</v>
      </c>
      <c r="BG410" s="407"/>
      <c r="BH410" s="407"/>
    </row>
    <row r="411" spans="1:60" s="3" customFormat="1" ht="14.25" thickTop="1" thickBot="1" x14ac:dyDescent="0.45">
      <c r="A411" s="496"/>
      <c r="B411" s="92"/>
      <c r="C411" s="40" t="s">
        <v>928</v>
      </c>
      <c r="D411" s="274" t="s">
        <v>929</v>
      </c>
      <c r="E411" s="42" t="s">
        <v>159</v>
      </c>
      <c r="F411" s="45" t="s">
        <v>153</v>
      </c>
      <c r="G411" s="22" t="s">
        <v>51</v>
      </c>
      <c r="H411" s="40" t="s">
        <v>0</v>
      </c>
      <c r="I411" s="40" t="s">
        <v>292</v>
      </c>
      <c r="J411" s="482" t="s">
        <v>968</v>
      </c>
      <c r="K411" s="194"/>
      <c r="L411" s="42"/>
      <c r="M411" s="42"/>
      <c r="N411" s="42"/>
      <c r="O411" s="42"/>
      <c r="P411" s="175" t="s">
        <v>69</v>
      </c>
      <c r="Q411" s="25" t="s">
        <v>34</v>
      </c>
      <c r="R411" s="26"/>
      <c r="S411" s="26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>
        <f>AB412+30</f>
        <v>46304</v>
      </c>
      <c r="AG411" s="27">
        <f>AF411</f>
        <v>46304</v>
      </c>
      <c r="AH411" s="27">
        <f>AG411</f>
        <v>46304</v>
      </c>
      <c r="AI411" s="27">
        <f>AJ411-5</f>
        <v>46354</v>
      </c>
      <c r="AJ411" s="27">
        <f>AK411-5</f>
        <v>46359</v>
      </c>
      <c r="AK411" s="27">
        <f>AP411</f>
        <v>46364</v>
      </c>
      <c r="AL411" s="27">
        <f>AK411+7</f>
        <v>46371</v>
      </c>
      <c r="AM411" s="27">
        <f>AK411+30</f>
        <v>46394</v>
      </c>
      <c r="AN411" s="80"/>
      <c r="AO411" s="78"/>
      <c r="AP411" s="82">
        <f>AA412+AO410</f>
        <v>46364</v>
      </c>
      <c r="AQ411" s="82"/>
      <c r="AR411" s="78"/>
      <c r="AS411" s="124"/>
      <c r="AT411" s="511"/>
      <c r="AU411" s="20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415"/>
      <c r="BG411" s="407"/>
      <c r="BH411" s="407"/>
    </row>
    <row r="412" spans="1:60" s="3" customFormat="1" ht="14.25" thickTop="1" thickBot="1" x14ac:dyDescent="0.45">
      <c r="A412" s="497"/>
      <c r="B412" s="93"/>
      <c r="C412" s="31" t="s">
        <v>928</v>
      </c>
      <c r="D412" s="55" t="s">
        <v>929</v>
      </c>
      <c r="E412" s="44" t="s">
        <v>159</v>
      </c>
      <c r="F412" s="33" t="s">
        <v>153</v>
      </c>
      <c r="G412" s="31" t="s">
        <v>51</v>
      </c>
      <c r="H412" s="31" t="s">
        <v>0</v>
      </c>
      <c r="I412" s="31" t="s">
        <v>292</v>
      </c>
      <c r="J412" s="44"/>
      <c r="K412" s="195"/>
      <c r="L412" s="44"/>
      <c r="M412" s="44"/>
      <c r="N412" s="44"/>
      <c r="O412" s="44"/>
      <c r="P412" s="176" t="s">
        <v>69</v>
      </c>
      <c r="Q412" s="34" t="s">
        <v>35</v>
      </c>
      <c r="R412" s="35">
        <v>46256</v>
      </c>
      <c r="S412" s="35">
        <v>46256</v>
      </c>
      <c r="T412" s="35">
        <v>46256</v>
      </c>
      <c r="U412" s="35">
        <v>46256</v>
      </c>
      <c r="V412" s="35">
        <v>46256</v>
      </c>
      <c r="W412" s="35">
        <v>46256</v>
      </c>
      <c r="X412" s="35">
        <v>46256</v>
      </c>
      <c r="Y412" s="35">
        <v>46256</v>
      </c>
      <c r="Z412" s="35">
        <v>46256</v>
      </c>
      <c r="AA412" s="35">
        <v>46274</v>
      </c>
      <c r="AB412" s="35">
        <v>46274</v>
      </c>
      <c r="AC412" s="35" t="s">
        <v>342</v>
      </c>
      <c r="AD412" s="35" t="s">
        <v>342</v>
      </c>
      <c r="AE412" s="35" t="s">
        <v>342</v>
      </c>
      <c r="AF412" s="35"/>
      <c r="AG412" s="35"/>
      <c r="AH412" s="35"/>
      <c r="AI412" s="35"/>
      <c r="AJ412" s="35"/>
      <c r="AK412" s="35"/>
      <c r="AL412" s="35"/>
      <c r="AM412" s="35"/>
      <c r="AN412" s="81"/>
      <c r="AO412" s="79"/>
      <c r="AP412" s="36"/>
      <c r="AQ412" s="36"/>
      <c r="AR412" s="79"/>
      <c r="AS412" s="143"/>
      <c r="AT412" s="512"/>
      <c r="AU412" s="38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415"/>
      <c r="BG412" s="407"/>
      <c r="BH412" s="407"/>
    </row>
    <row r="413" spans="1:60" s="3" customFormat="1" ht="14.25" thickTop="1" thickBot="1" x14ac:dyDescent="0.45">
      <c r="A413" s="495">
        <f t="shared" ref="A413" si="82">A410+1</f>
        <v>121</v>
      </c>
      <c r="B413" s="91"/>
      <c r="C413" s="13" t="s">
        <v>933</v>
      </c>
      <c r="D413" s="14" t="s">
        <v>932</v>
      </c>
      <c r="E413" s="63" t="s">
        <v>159</v>
      </c>
      <c r="F413" s="15" t="s">
        <v>153</v>
      </c>
      <c r="G413" s="13" t="s">
        <v>51</v>
      </c>
      <c r="H413" s="13" t="s">
        <v>0</v>
      </c>
      <c r="I413" s="13" t="s">
        <v>292</v>
      </c>
      <c r="J413" s="492" t="s">
        <v>1088</v>
      </c>
      <c r="K413" s="193"/>
      <c r="L413" s="41"/>
      <c r="M413" s="41"/>
      <c r="N413" s="41"/>
      <c r="O413" s="41"/>
      <c r="P413" s="174" t="s">
        <v>69</v>
      </c>
      <c r="Q413" s="17" t="s">
        <v>33</v>
      </c>
      <c r="R413" s="18">
        <v>46213</v>
      </c>
      <c r="S413" s="206">
        <v>46210</v>
      </c>
      <c r="T413" s="18">
        <v>46217</v>
      </c>
      <c r="U413" s="18">
        <v>46218</v>
      </c>
      <c r="V413" s="18">
        <v>46221</v>
      </c>
      <c r="W413" s="18">
        <v>46228</v>
      </c>
      <c r="X413" s="18">
        <v>46239</v>
      </c>
      <c r="Y413" s="18">
        <v>46241</v>
      </c>
      <c r="Z413" s="18"/>
      <c r="AA413" s="18">
        <v>46248</v>
      </c>
      <c r="AB413" s="18">
        <v>46252</v>
      </c>
      <c r="AC413" s="18">
        <v>46259</v>
      </c>
      <c r="AD413" s="18">
        <v>46273</v>
      </c>
      <c r="AE413" s="18">
        <v>46288</v>
      </c>
      <c r="AF413" s="18">
        <v>46293</v>
      </c>
      <c r="AG413" s="18">
        <v>46296</v>
      </c>
      <c r="AH413" s="18">
        <v>46299</v>
      </c>
      <c r="AI413" s="18">
        <v>46328.02</v>
      </c>
      <c r="AJ413" s="18">
        <v>46333.02</v>
      </c>
      <c r="AK413" s="18">
        <v>46338.02</v>
      </c>
      <c r="AL413" s="18">
        <v>46341.02</v>
      </c>
      <c r="AM413" s="18">
        <v>46358.02</v>
      </c>
      <c r="AN413" s="57">
        <f>AO413/7</f>
        <v>12.857142857142858</v>
      </c>
      <c r="AO413" s="58">
        <v>90</v>
      </c>
      <c r="AP413" s="77">
        <f>AK413</f>
        <v>46338.02</v>
      </c>
      <c r="AQ413" s="77">
        <v>46476</v>
      </c>
      <c r="AR413" s="76">
        <f>AQ413-AP414</f>
        <v>113</v>
      </c>
      <c r="AS413" s="139" t="s">
        <v>823</v>
      </c>
      <c r="AT413" s="510" t="s">
        <v>564</v>
      </c>
      <c r="AU413" s="20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415" t="s">
        <v>968</v>
      </c>
      <c r="BG413" s="407"/>
      <c r="BH413" s="407"/>
    </row>
    <row r="414" spans="1:60" s="3" customFormat="1" ht="14.25" thickTop="1" thickBot="1" x14ac:dyDescent="0.45">
      <c r="A414" s="496"/>
      <c r="B414" s="92"/>
      <c r="C414" s="40" t="s">
        <v>933</v>
      </c>
      <c r="D414" s="274" t="s">
        <v>931</v>
      </c>
      <c r="E414" s="42" t="s">
        <v>159</v>
      </c>
      <c r="F414" s="45" t="s">
        <v>153</v>
      </c>
      <c r="G414" s="22" t="s">
        <v>51</v>
      </c>
      <c r="H414" s="40" t="s">
        <v>0</v>
      </c>
      <c r="I414" s="40" t="s">
        <v>292</v>
      </c>
      <c r="J414" s="482" t="s">
        <v>968</v>
      </c>
      <c r="K414" s="194"/>
      <c r="L414" s="42"/>
      <c r="M414" s="42"/>
      <c r="N414" s="42"/>
      <c r="O414" s="42"/>
      <c r="P414" s="175" t="s">
        <v>69</v>
      </c>
      <c r="Q414" s="25" t="s">
        <v>34</v>
      </c>
      <c r="R414" s="26"/>
      <c r="S414" s="26">
        <v>46256</v>
      </c>
      <c r="T414" s="27">
        <v>46260</v>
      </c>
      <c r="U414" s="27">
        <v>46260</v>
      </c>
      <c r="V414" s="27">
        <v>46260</v>
      </c>
      <c r="W414" s="27">
        <v>46260</v>
      </c>
      <c r="X414" s="27">
        <v>46260</v>
      </c>
      <c r="Y414" s="27">
        <v>46260</v>
      </c>
      <c r="Z414" s="27"/>
      <c r="AA414" s="27">
        <v>46273</v>
      </c>
      <c r="AB414" s="27">
        <f>WORKDAY(AA414, AB27, IF(AB30="China",'China Holidays'!$A$2:$A$84,'Thai Holidays'!$A$2:$A$65))</f>
        <v>111019</v>
      </c>
      <c r="AC414" s="27">
        <f>AB414</f>
        <v>111019</v>
      </c>
      <c r="AD414" s="27">
        <f>WORKDAY(AC414, AD27, IF(AD30="China",'China Holidays'!$A$2:$A$84,'Thai Holidays'!$A$2:$A$65))</f>
        <v>175796</v>
      </c>
      <c r="AE414" s="27">
        <f>WORKDAY(AD414, AE27, IF(AE30="China",'China Holidays'!$A$2:$A$84,'Thai Holidays'!$A$2:$A$65))</f>
        <v>175796</v>
      </c>
      <c r="AF414" s="27">
        <f>AE414+30</f>
        <v>175826</v>
      </c>
      <c r="AG414" s="27">
        <f>AF414</f>
        <v>175826</v>
      </c>
      <c r="AH414" s="27">
        <f>AG414</f>
        <v>175826</v>
      </c>
      <c r="AI414" s="27">
        <f>AJ414-5</f>
        <v>46353</v>
      </c>
      <c r="AJ414" s="27">
        <f>AK414-5</f>
        <v>46358</v>
      </c>
      <c r="AK414" s="27">
        <f>AP414</f>
        <v>46363</v>
      </c>
      <c r="AL414" s="27">
        <f>AK414+7</f>
        <v>46370</v>
      </c>
      <c r="AM414" s="27">
        <f>AK414+30</f>
        <v>46393</v>
      </c>
      <c r="AN414" s="80"/>
      <c r="AO414" s="78"/>
      <c r="AP414" s="82">
        <f>AA414+AO413</f>
        <v>46363</v>
      </c>
      <c r="AQ414" s="82"/>
      <c r="AR414" s="78"/>
      <c r="AS414" s="124"/>
      <c r="AT414" s="511"/>
      <c r="AU414" s="20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415"/>
      <c r="BG414" s="407"/>
      <c r="BH414" s="407"/>
    </row>
    <row r="415" spans="1:60" s="3" customFormat="1" ht="14.25" thickTop="1" thickBot="1" x14ac:dyDescent="0.45">
      <c r="A415" s="497"/>
      <c r="B415" s="93"/>
      <c r="C415" s="31" t="s">
        <v>933</v>
      </c>
      <c r="D415" s="55" t="s">
        <v>931</v>
      </c>
      <c r="E415" s="44" t="s">
        <v>159</v>
      </c>
      <c r="F415" s="33" t="s">
        <v>153</v>
      </c>
      <c r="G415" s="31" t="s">
        <v>51</v>
      </c>
      <c r="H415" s="31" t="s">
        <v>0</v>
      </c>
      <c r="I415" s="31" t="s">
        <v>292</v>
      </c>
      <c r="J415" s="44"/>
      <c r="K415" s="195"/>
      <c r="L415" s="44"/>
      <c r="M415" s="44"/>
      <c r="N415" s="44"/>
      <c r="O415" s="44"/>
      <c r="P415" s="176" t="s">
        <v>69</v>
      </c>
      <c r="Q415" s="34" t="s">
        <v>35</v>
      </c>
      <c r="R415" s="35"/>
      <c r="S415" s="35"/>
      <c r="T415" s="35"/>
      <c r="U415" s="35"/>
      <c r="V415" s="35"/>
      <c r="W415" s="35"/>
      <c r="X415" s="35"/>
      <c r="Y415" s="35"/>
      <c r="Z415" s="35">
        <v>46256</v>
      </c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81"/>
      <c r="AO415" s="79"/>
      <c r="AP415" s="36"/>
      <c r="AQ415" s="36"/>
      <c r="AR415" s="79"/>
      <c r="AS415" s="143"/>
      <c r="AT415" s="512"/>
      <c r="AU415" s="38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415"/>
      <c r="BG415" s="407"/>
      <c r="BH415" s="407"/>
    </row>
    <row r="416" spans="1:60" s="3" customFormat="1" ht="14.25" thickTop="1" thickBot="1" x14ac:dyDescent="0.45">
      <c r="A416" s="495">
        <f>A413+1</f>
        <v>122</v>
      </c>
      <c r="B416" s="91"/>
      <c r="C416" s="13" t="s">
        <v>934</v>
      </c>
      <c r="D416" s="14" t="s">
        <v>935</v>
      </c>
      <c r="E416" s="63" t="s">
        <v>159</v>
      </c>
      <c r="F416" s="15" t="s">
        <v>153</v>
      </c>
      <c r="G416" s="13" t="s">
        <v>51</v>
      </c>
      <c r="H416" s="13" t="s">
        <v>0</v>
      </c>
      <c r="I416" s="13" t="s">
        <v>292</v>
      </c>
      <c r="J416" s="492" t="s">
        <v>1088</v>
      </c>
      <c r="K416" s="193"/>
      <c r="L416" s="41"/>
      <c r="M416" s="41"/>
      <c r="N416" s="41"/>
      <c r="O416" s="41"/>
      <c r="P416" s="174" t="s">
        <v>69</v>
      </c>
      <c r="Q416" s="17" t="s">
        <v>33</v>
      </c>
      <c r="R416" s="18">
        <v>46213</v>
      </c>
      <c r="S416" s="206">
        <v>46210</v>
      </c>
      <c r="T416" s="18">
        <v>46217</v>
      </c>
      <c r="U416" s="18">
        <v>46218</v>
      </c>
      <c r="V416" s="18">
        <v>46221</v>
      </c>
      <c r="W416" s="18">
        <v>46228</v>
      </c>
      <c r="X416" s="18">
        <v>46239</v>
      </c>
      <c r="Y416" s="18">
        <v>46241</v>
      </c>
      <c r="Z416" s="18"/>
      <c r="AA416" s="18">
        <v>46248</v>
      </c>
      <c r="AB416" s="18">
        <v>46252</v>
      </c>
      <c r="AC416" s="18">
        <v>46259</v>
      </c>
      <c r="AD416" s="18">
        <v>46273</v>
      </c>
      <c r="AE416" s="18">
        <v>46288</v>
      </c>
      <c r="AF416" s="18">
        <v>46293</v>
      </c>
      <c r="AG416" s="18">
        <v>46296</v>
      </c>
      <c r="AH416" s="18">
        <v>46299</v>
      </c>
      <c r="AI416" s="18">
        <v>46328.02</v>
      </c>
      <c r="AJ416" s="18">
        <v>46333.02</v>
      </c>
      <c r="AK416" s="18">
        <v>46338.02</v>
      </c>
      <c r="AL416" s="18">
        <v>46341.02</v>
      </c>
      <c r="AM416" s="18">
        <v>46358.02</v>
      </c>
      <c r="AN416" s="57">
        <f>AO416/7</f>
        <v>12.857142857142858</v>
      </c>
      <c r="AO416" s="58">
        <v>90</v>
      </c>
      <c r="AP416" s="77">
        <f>AK416</f>
        <v>46338.02</v>
      </c>
      <c r="AQ416" s="77">
        <v>46370</v>
      </c>
      <c r="AR416" s="76">
        <f>AQ416-AP417</f>
        <v>7</v>
      </c>
      <c r="AS416" s="139" t="s">
        <v>823</v>
      </c>
      <c r="AT416" s="510" t="s">
        <v>564</v>
      </c>
      <c r="AU416" s="20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415"/>
      <c r="BG416" s="407"/>
      <c r="BH416" s="407"/>
    </row>
    <row r="417" spans="1:60" s="3" customFormat="1" ht="14.25" thickTop="1" thickBot="1" x14ac:dyDescent="0.45">
      <c r="A417" s="496"/>
      <c r="B417" s="92"/>
      <c r="C417" s="40" t="s">
        <v>934</v>
      </c>
      <c r="D417" s="274" t="s">
        <v>935</v>
      </c>
      <c r="E417" s="42" t="s">
        <v>159</v>
      </c>
      <c r="F417" s="45" t="s">
        <v>153</v>
      </c>
      <c r="G417" s="22" t="s">
        <v>51</v>
      </c>
      <c r="H417" s="40" t="s">
        <v>0</v>
      </c>
      <c r="I417" s="40" t="s">
        <v>292</v>
      </c>
      <c r="J417" s="482" t="s">
        <v>968</v>
      </c>
      <c r="K417" s="194"/>
      <c r="L417" s="42"/>
      <c r="M417" s="42"/>
      <c r="N417" s="42"/>
      <c r="O417" s="42"/>
      <c r="P417" s="175" t="s">
        <v>69</v>
      </c>
      <c r="Q417" s="25" t="s">
        <v>34</v>
      </c>
      <c r="R417" s="26"/>
      <c r="S417" s="26"/>
      <c r="T417" s="27">
        <v>46260</v>
      </c>
      <c r="U417" s="27">
        <v>46260</v>
      </c>
      <c r="V417" s="27">
        <v>46260</v>
      </c>
      <c r="W417" s="27">
        <v>46260</v>
      </c>
      <c r="X417" s="27">
        <v>46260</v>
      </c>
      <c r="Y417" s="27">
        <v>46260</v>
      </c>
      <c r="Z417" s="27"/>
      <c r="AA417" s="27">
        <v>46273</v>
      </c>
      <c r="AB417" s="27">
        <f>WORKDAY(AA417, AB30, IF(AB33="China",'China Holidays'!$A$2:$A$84,'Thai Holidays'!$A$2:$A$65))</f>
        <v>111088</v>
      </c>
      <c r="AC417" s="27">
        <f>AB417</f>
        <v>111088</v>
      </c>
      <c r="AD417" s="27">
        <f>WORKDAY(AC417, AD30, IF(AD33="China",'China Holidays'!$A$2:$A$84,'Thai Holidays'!$A$2:$A$65))</f>
        <v>175856</v>
      </c>
      <c r="AE417" s="27">
        <f>WORKDAY(AD417, AE30, IF(AE33="China",'China Holidays'!$A$2:$A$84,'Thai Holidays'!$A$2:$A$65))</f>
        <v>175856</v>
      </c>
      <c r="AF417" s="27">
        <f>AE417+30</f>
        <v>175886</v>
      </c>
      <c r="AG417" s="27">
        <f>AF417</f>
        <v>175886</v>
      </c>
      <c r="AH417" s="27">
        <f>AG417</f>
        <v>175886</v>
      </c>
      <c r="AI417" s="27">
        <f>AJ417-5</f>
        <v>46353</v>
      </c>
      <c r="AJ417" s="27">
        <f>AK417-5</f>
        <v>46358</v>
      </c>
      <c r="AK417" s="27">
        <f>AP417</f>
        <v>46363</v>
      </c>
      <c r="AL417" s="27">
        <f>AK417+7</f>
        <v>46370</v>
      </c>
      <c r="AM417" s="27">
        <f>AK417+30</f>
        <v>46393</v>
      </c>
      <c r="AN417" s="80"/>
      <c r="AO417" s="78"/>
      <c r="AP417" s="82">
        <f>AA417+AO416</f>
        <v>46363</v>
      </c>
      <c r="AQ417" s="82"/>
      <c r="AR417" s="78"/>
      <c r="AS417" s="124"/>
      <c r="AT417" s="511"/>
      <c r="AU417" s="20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415"/>
      <c r="BG417" s="407"/>
      <c r="BH417" s="407"/>
    </row>
    <row r="418" spans="1:60" s="3" customFormat="1" ht="14.25" thickTop="1" thickBot="1" x14ac:dyDescent="0.45">
      <c r="A418" s="497"/>
      <c r="B418" s="93"/>
      <c r="C418" s="31" t="s">
        <v>934</v>
      </c>
      <c r="D418" s="55" t="s">
        <v>935</v>
      </c>
      <c r="E418" s="44" t="s">
        <v>159</v>
      </c>
      <c r="F418" s="33" t="s">
        <v>153</v>
      </c>
      <c r="G418" s="31" t="s">
        <v>51</v>
      </c>
      <c r="H418" s="31" t="s">
        <v>0</v>
      </c>
      <c r="I418" s="31" t="s">
        <v>292</v>
      </c>
      <c r="J418" s="44"/>
      <c r="K418" s="195"/>
      <c r="L418" s="44"/>
      <c r="M418" s="44"/>
      <c r="N418" s="44"/>
      <c r="O418" s="44"/>
      <c r="P418" s="176" t="s">
        <v>69</v>
      </c>
      <c r="Q418" s="34" t="s">
        <v>35</v>
      </c>
      <c r="R418" s="35">
        <v>46256</v>
      </c>
      <c r="S418" s="35">
        <v>46213</v>
      </c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81"/>
      <c r="AO418" s="79"/>
      <c r="AP418" s="36"/>
      <c r="AQ418" s="36"/>
      <c r="AR418" s="79"/>
      <c r="AS418" s="143"/>
      <c r="AT418" s="512"/>
      <c r="AU418" s="38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415"/>
      <c r="BG418" s="407"/>
      <c r="BH418" s="407"/>
    </row>
    <row r="419" spans="1:60" s="3" customFormat="1" ht="15.4" thickTop="1" thickBot="1" x14ac:dyDescent="0.45">
      <c r="A419" s="495">
        <f>A416+1</f>
        <v>123</v>
      </c>
      <c r="B419" s="198" t="s">
        <v>409</v>
      </c>
      <c r="C419" s="13" t="s">
        <v>181</v>
      </c>
      <c r="D419" s="338" t="s">
        <v>493</v>
      </c>
      <c r="E419" s="63" t="s">
        <v>159</v>
      </c>
      <c r="F419" s="15" t="s">
        <v>153</v>
      </c>
      <c r="G419" s="13" t="s">
        <v>51</v>
      </c>
      <c r="H419" s="13" t="s">
        <v>3</v>
      </c>
      <c r="I419" s="13" t="s">
        <v>286</v>
      </c>
      <c r="J419" s="345" t="s">
        <v>936</v>
      </c>
      <c r="K419" s="46"/>
      <c r="L419" s="440"/>
      <c r="M419" s="441"/>
      <c r="N419" s="441"/>
      <c r="O419" s="441"/>
      <c r="P419" s="174" t="s">
        <v>69</v>
      </c>
      <c r="Q419" s="17" t="s">
        <v>33</v>
      </c>
      <c r="R419" s="18">
        <v>46168</v>
      </c>
      <c r="S419" s="18">
        <v>46169</v>
      </c>
      <c r="T419" s="18">
        <v>46183</v>
      </c>
      <c r="U419" s="18">
        <v>46183</v>
      </c>
      <c r="V419" s="18">
        <v>46183</v>
      </c>
      <c r="W419" s="18">
        <v>46198</v>
      </c>
      <c r="X419" s="18">
        <v>46223</v>
      </c>
      <c r="Y419" s="18">
        <v>46239</v>
      </c>
      <c r="Z419" s="18"/>
      <c r="AA419" s="18">
        <v>46252</v>
      </c>
      <c r="AB419" s="18">
        <v>46254</v>
      </c>
      <c r="AC419" s="18">
        <v>46261</v>
      </c>
      <c r="AD419" s="18">
        <v>46275</v>
      </c>
      <c r="AE419" s="206">
        <v>46289</v>
      </c>
      <c r="AF419" s="18">
        <v>46275</v>
      </c>
      <c r="AG419" s="18">
        <v>46278</v>
      </c>
      <c r="AH419" s="18">
        <v>46280</v>
      </c>
      <c r="AI419" s="18">
        <v>46304.5</v>
      </c>
      <c r="AJ419" s="18">
        <v>46307.5</v>
      </c>
      <c r="AK419" s="18">
        <v>46311.5</v>
      </c>
      <c r="AL419" s="18">
        <v>46314.5</v>
      </c>
      <c r="AM419" s="18">
        <v>46331.5</v>
      </c>
      <c r="AN419" s="57">
        <v>8.5</v>
      </c>
      <c r="AO419" s="58">
        <v>59.5</v>
      </c>
      <c r="AP419" s="77">
        <v>46311.5</v>
      </c>
      <c r="AQ419" s="77">
        <v>46306</v>
      </c>
      <c r="AR419" s="76">
        <f>AQ419-AP420</f>
        <v>0</v>
      </c>
      <c r="AS419" s="139" t="s">
        <v>817</v>
      </c>
      <c r="AT419" s="504" t="s">
        <v>989</v>
      </c>
      <c r="AU419" s="21"/>
      <c r="AV419" s="21"/>
      <c r="AW419" s="21"/>
      <c r="AX419" s="21"/>
      <c r="AY419" s="21"/>
      <c r="AZ419" s="21"/>
      <c r="BA419" s="439"/>
      <c r="BB419" s="281"/>
      <c r="BC419" s="281"/>
      <c r="BF419" s="415" t="s">
        <v>969</v>
      </c>
      <c r="BG419" s="407">
        <v>46315</v>
      </c>
      <c r="BH419" s="407"/>
    </row>
    <row r="420" spans="1:60" s="3" customFormat="1" ht="15.4" thickTop="1" thickBot="1" x14ac:dyDescent="0.45">
      <c r="A420" s="496"/>
      <c r="B420" s="199" t="s">
        <v>410</v>
      </c>
      <c r="C420" s="40" t="s">
        <v>163</v>
      </c>
      <c r="D420" s="42" t="s">
        <v>162</v>
      </c>
      <c r="E420" s="42" t="s">
        <v>159</v>
      </c>
      <c r="F420" s="45" t="s">
        <v>153</v>
      </c>
      <c r="G420" s="22" t="s">
        <v>51</v>
      </c>
      <c r="H420" s="40" t="s">
        <v>3</v>
      </c>
      <c r="I420" s="40" t="s">
        <v>286</v>
      </c>
      <c r="J420" s="194" t="s">
        <v>1089</v>
      </c>
      <c r="K420" s="442"/>
      <c r="L420" s="52"/>
      <c r="M420" s="443"/>
      <c r="N420" s="444"/>
      <c r="O420" s="444"/>
      <c r="P420" s="175" t="s">
        <v>69</v>
      </c>
      <c r="Q420" s="25" t="s">
        <v>34</v>
      </c>
      <c r="R420" s="26"/>
      <c r="S420" s="27"/>
      <c r="T420" s="27"/>
      <c r="U420" s="27"/>
      <c r="V420" s="27"/>
      <c r="W420" s="27"/>
      <c r="X420" s="27"/>
      <c r="Y420" s="27"/>
      <c r="Z420" s="27"/>
      <c r="AA420" s="144"/>
      <c r="AB420" s="27"/>
      <c r="AC420" s="27"/>
      <c r="AD420" s="27"/>
      <c r="AE420" s="27">
        <v>46289</v>
      </c>
      <c r="AF420" s="27">
        <f>AE420</f>
        <v>46289</v>
      </c>
      <c r="AG420" s="27"/>
      <c r="AH420" s="27">
        <f>AE420</f>
        <v>46289</v>
      </c>
      <c r="AI420" s="27">
        <f>AJ420-3</f>
        <v>46299</v>
      </c>
      <c r="AJ420" s="27">
        <f>AK420-4</f>
        <v>46302</v>
      </c>
      <c r="AK420" s="27">
        <f>AP420</f>
        <v>46306</v>
      </c>
      <c r="AL420" s="27">
        <f>AP419+3</f>
        <v>46314.5</v>
      </c>
      <c r="AM420" s="27">
        <f>AK420+20</f>
        <v>46326</v>
      </c>
      <c r="AN420" s="80"/>
      <c r="AO420" s="78"/>
      <c r="AP420" s="82">
        <f>AQ419</f>
        <v>46306</v>
      </c>
      <c r="AQ420" s="82"/>
      <c r="AR420" s="78"/>
      <c r="AS420" s="456"/>
      <c r="AT420" s="513"/>
      <c r="AU420" s="21"/>
      <c r="AV420" s="21"/>
      <c r="AW420" s="21"/>
      <c r="AX420" s="21"/>
      <c r="AY420" s="21"/>
      <c r="AZ420" s="21"/>
      <c r="BA420" s="439"/>
      <c r="BB420" s="281"/>
      <c r="BC420" s="281"/>
      <c r="BF420" s="415"/>
      <c r="BG420" s="407"/>
      <c r="BH420" s="407"/>
    </row>
    <row r="421" spans="1:60" s="3" customFormat="1" ht="24" thickTop="1" thickBot="1" x14ac:dyDescent="0.45">
      <c r="A421" s="497"/>
      <c r="B421" s="95" t="s">
        <v>410</v>
      </c>
      <c r="C421" s="31" t="s">
        <v>163</v>
      </c>
      <c r="D421" s="44" t="s">
        <v>493</v>
      </c>
      <c r="E421" s="44" t="s">
        <v>159</v>
      </c>
      <c r="F421" s="33" t="s">
        <v>153</v>
      </c>
      <c r="G421" s="31" t="s">
        <v>51</v>
      </c>
      <c r="H421" s="31" t="s">
        <v>3</v>
      </c>
      <c r="I421" s="31" t="s">
        <v>286</v>
      </c>
      <c r="J421" s="44"/>
      <c r="K421" s="47"/>
      <c r="L421" s="445"/>
      <c r="M421" s="426"/>
      <c r="N421" s="426"/>
      <c r="O421" s="426"/>
      <c r="P421" s="176" t="s">
        <v>69</v>
      </c>
      <c r="Q421" s="34" t="s">
        <v>35</v>
      </c>
      <c r="R421" s="35">
        <v>46164</v>
      </c>
      <c r="S421" s="35">
        <v>46146</v>
      </c>
      <c r="T421" s="35">
        <v>46157</v>
      </c>
      <c r="U421" s="35">
        <v>46181</v>
      </c>
      <c r="V421" s="35">
        <v>46181</v>
      </c>
      <c r="W421" s="35">
        <v>46196</v>
      </c>
      <c r="X421" s="35">
        <v>46230</v>
      </c>
      <c r="Y421" s="383" t="s">
        <v>937</v>
      </c>
      <c r="Z421" s="373"/>
      <c r="AA421" s="383" t="s">
        <v>959</v>
      </c>
      <c r="AB421" s="35">
        <v>46266</v>
      </c>
      <c r="AC421" s="35" t="s">
        <v>342</v>
      </c>
      <c r="AD421" s="35">
        <v>46276</v>
      </c>
      <c r="AE421" s="35"/>
      <c r="AF421" s="35"/>
      <c r="AG421" s="35" t="s">
        <v>988</v>
      </c>
      <c r="AH421" s="35"/>
      <c r="AI421" s="35"/>
      <c r="AJ421" s="35"/>
      <c r="AK421" s="35"/>
      <c r="AL421" s="35"/>
      <c r="AM421" s="35"/>
      <c r="AN421" s="81"/>
      <c r="AO421" s="79"/>
      <c r="AP421" s="36"/>
      <c r="AQ421" s="36"/>
      <c r="AR421" s="79"/>
      <c r="AS421" s="143"/>
      <c r="AT421" s="514"/>
      <c r="AU421" s="39"/>
      <c r="AV421" s="39"/>
      <c r="AW421" s="39"/>
      <c r="AX421" s="39"/>
      <c r="AY421" s="39"/>
      <c r="AZ421" s="39"/>
      <c r="BA421" s="439"/>
      <c r="BB421" s="281"/>
      <c r="BC421" s="281"/>
      <c r="BF421" s="415"/>
      <c r="BG421" s="407"/>
      <c r="BH421" s="407"/>
    </row>
    <row r="422" spans="1:60" s="3" customFormat="1" ht="21" thickTop="1" thickBot="1" x14ac:dyDescent="0.45">
      <c r="A422" s="495">
        <f>A419+1</f>
        <v>124</v>
      </c>
      <c r="B422" s="198" t="s">
        <v>383</v>
      </c>
      <c r="C422" s="13" t="s">
        <v>440</v>
      </c>
      <c r="D422" s="338" t="s">
        <v>199</v>
      </c>
      <c r="E422" s="41" t="s">
        <v>159</v>
      </c>
      <c r="F422" s="15" t="s">
        <v>153</v>
      </c>
      <c r="G422" s="13" t="s">
        <v>51</v>
      </c>
      <c r="H422" s="13" t="s">
        <v>189</v>
      </c>
      <c r="I422" s="13" t="s">
        <v>286</v>
      </c>
      <c r="J422" s="344" t="s">
        <v>749</v>
      </c>
      <c r="K422" s="46"/>
      <c r="L422" s="440"/>
      <c r="M422" s="441"/>
      <c r="N422" s="441"/>
      <c r="O422" s="441"/>
      <c r="P422" s="174" t="s">
        <v>32</v>
      </c>
      <c r="Q422" s="17" t="s">
        <v>33</v>
      </c>
      <c r="R422" s="18">
        <v>46153</v>
      </c>
      <c r="S422" s="18">
        <v>46154</v>
      </c>
      <c r="T422" s="18">
        <v>46161</v>
      </c>
      <c r="U422" s="18">
        <v>46162</v>
      </c>
      <c r="V422" s="18">
        <v>46169</v>
      </c>
      <c r="W422" s="18">
        <v>46183</v>
      </c>
      <c r="X422" s="18">
        <v>46211</v>
      </c>
      <c r="Y422" s="18">
        <v>46216</v>
      </c>
      <c r="Z422" s="18"/>
      <c r="AA422" s="18">
        <v>46230</v>
      </c>
      <c r="AB422" s="18">
        <v>46232</v>
      </c>
      <c r="AC422" s="18">
        <v>46239</v>
      </c>
      <c r="AD422" s="18">
        <v>46267</v>
      </c>
      <c r="AE422" s="206">
        <v>46281</v>
      </c>
      <c r="AF422" s="18">
        <v>46311</v>
      </c>
      <c r="AG422" s="18">
        <v>46311</v>
      </c>
      <c r="AH422" s="18">
        <v>46313</v>
      </c>
      <c r="AI422" s="18">
        <v>46416</v>
      </c>
      <c r="AJ422" s="18">
        <v>46431</v>
      </c>
      <c r="AK422" s="18">
        <v>46461</v>
      </c>
      <c r="AL422" s="18">
        <v>46464</v>
      </c>
      <c r="AM422" s="18">
        <v>46481</v>
      </c>
      <c r="AN422" s="57">
        <v>33</v>
      </c>
      <c r="AO422" s="58">
        <f>AN422*7</f>
        <v>231</v>
      </c>
      <c r="AP422" s="77">
        <v>46461</v>
      </c>
      <c r="AQ422" s="77"/>
      <c r="AR422" s="76"/>
      <c r="AS422" s="139" t="s">
        <v>364</v>
      </c>
      <c r="AT422" s="520"/>
      <c r="AU422" s="21"/>
      <c r="AV422" s="21"/>
      <c r="AW422" s="21"/>
      <c r="AX422" s="21"/>
      <c r="AY422" s="21"/>
      <c r="AZ422" s="21"/>
      <c r="BA422" s="439"/>
      <c r="BB422" s="282"/>
      <c r="BC422" s="281" t="s">
        <v>586</v>
      </c>
      <c r="BF422" s="415"/>
      <c r="BG422" s="407"/>
      <c r="BH422" s="407"/>
    </row>
    <row r="423" spans="1:60" s="3" customFormat="1" ht="21" thickTop="1" thickBot="1" x14ac:dyDescent="0.45">
      <c r="A423" s="496"/>
      <c r="B423" s="86" t="s">
        <v>383</v>
      </c>
      <c r="C423" s="40" t="s">
        <v>165</v>
      </c>
      <c r="D423" s="42" t="s">
        <v>199</v>
      </c>
      <c r="E423" s="42" t="s">
        <v>159</v>
      </c>
      <c r="F423" s="45" t="s">
        <v>153</v>
      </c>
      <c r="G423" s="22" t="s">
        <v>51</v>
      </c>
      <c r="H423" s="40" t="s">
        <v>1</v>
      </c>
      <c r="I423" s="40" t="s">
        <v>286</v>
      </c>
      <c r="J423" s="213" t="s">
        <v>750</v>
      </c>
      <c r="K423" s="442"/>
      <c r="L423" s="52"/>
      <c r="M423" s="443"/>
      <c r="N423" s="444"/>
      <c r="O423" s="444"/>
      <c r="P423" s="175" t="s">
        <v>32</v>
      </c>
      <c r="Q423" s="25" t="s">
        <v>34</v>
      </c>
      <c r="R423" s="26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>
        <v>46293</v>
      </c>
      <c r="AF423" s="27">
        <f>AE423+30</f>
        <v>46323</v>
      </c>
      <c r="AG423" s="27">
        <f>AF423</f>
        <v>46323</v>
      </c>
      <c r="AH423" s="27">
        <f>AG423+2</f>
        <v>46325</v>
      </c>
      <c r="AI423" s="27">
        <f>AJ423-15</f>
        <v>46427</v>
      </c>
      <c r="AJ423" s="27">
        <f>AK423-30</f>
        <v>46442</v>
      </c>
      <c r="AK423" s="27">
        <f>AP423</f>
        <v>46472</v>
      </c>
      <c r="AL423" s="27">
        <f>AP422+3</f>
        <v>46464</v>
      </c>
      <c r="AM423" s="27">
        <f>AK423+20</f>
        <v>46492</v>
      </c>
      <c r="AN423" s="80">
        <v>28</v>
      </c>
      <c r="AO423" s="78">
        <f>AN423*7</f>
        <v>196</v>
      </c>
      <c r="AP423" s="82">
        <f>BG423+7</f>
        <v>46472</v>
      </c>
      <c r="AQ423" s="82">
        <v>46426</v>
      </c>
      <c r="AR423" s="78">
        <f>AQ423-AP423</f>
        <v>-46</v>
      </c>
      <c r="AS423" s="124" t="s">
        <v>772</v>
      </c>
      <c r="AT423" s="513"/>
      <c r="AU423" s="21"/>
      <c r="AV423" s="21"/>
      <c r="AW423" s="21"/>
      <c r="AX423" s="21"/>
      <c r="AY423" s="21"/>
      <c r="AZ423" s="21"/>
      <c r="BA423" s="439"/>
      <c r="BB423" s="281"/>
      <c r="BC423" s="281"/>
      <c r="BF423" s="415" t="s">
        <v>544</v>
      </c>
      <c r="BG423" s="428">
        <v>46465</v>
      </c>
      <c r="BH423" s="428"/>
    </row>
    <row r="424" spans="1:60" s="3" customFormat="1" ht="31.15" thickTop="1" thickBot="1" x14ac:dyDescent="0.45">
      <c r="A424" s="496"/>
      <c r="B424" s="450" t="s">
        <v>382</v>
      </c>
      <c r="C424" s="116" t="s">
        <v>165</v>
      </c>
      <c r="D424" s="117" t="s">
        <v>938</v>
      </c>
      <c r="E424" s="117"/>
      <c r="F424" s="45" t="s">
        <v>153</v>
      </c>
      <c r="G424" s="22" t="s">
        <v>51</v>
      </c>
      <c r="H424" s="40" t="s">
        <v>1</v>
      </c>
      <c r="I424" s="40" t="s">
        <v>286</v>
      </c>
      <c r="J424" s="471" t="s">
        <v>1028</v>
      </c>
      <c r="K424" s="452"/>
      <c r="L424" s="386"/>
      <c r="M424" s="453"/>
      <c r="N424" s="454"/>
      <c r="O424" s="454"/>
      <c r="P424" s="175" t="s">
        <v>32</v>
      </c>
      <c r="Q424" s="25" t="s">
        <v>34</v>
      </c>
      <c r="R424" s="390"/>
      <c r="S424" s="391"/>
      <c r="T424" s="391"/>
      <c r="U424" s="391"/>
      <c r="V424" s="391"/>
      <c r="W424" s="391"/>
      <c r="X424" s="391"/>
      <c r="Y424" s="391"/>
      <c r="Z424" s="391"/>
      <c r="AA424" s="391"/>
      <c r="AB424" s="391"/>
      <c r="AC424" s="391"/>
      <c r="AD424" s="391"/>
      <c r="AE424" s="391"/>
      <c r="AF424" s="391"/>
      <c r="AG424" s="391"/>
      <c r="AH424" s="391"/>
      <c r="AI424" s="391"/>
      <c r="AJ424" s="391"/>
      <c r="AK424" s="391"/>
      <c r="AL424" s="391"/>
      <c r="AM424" s="391"/>
      <c r="AN424" s="392">
        <v>30</v>
      </c>
      <c r="AO424" s="78">
        <f t="shared" ref="AO424:AO426" si="83">AN424*7</f>
        <v>210</v>
      </c>
      <c r="AP424" s="82">
        <f>BG424+7</f>
        <v>46483</v>
      </c>
      <c r="AQ424" s="393">
        <v>46450</v>
      </c>
      <c r="AR424" s="78">
        <f t="shared" ref="AR424:AR426" si="84">AQ424-AP424</f>
        <v>-33</v>
      </c>
      <c r="AS424" s="78"/>
      <c r="AT424" s="513"/>
      <c r="AU424" s="39"/>
      <c r="AV424" s="39"/>
      <c r="AW424" s="39"/>
      <c r="AX424" s="39"/>
      <c r="AY424" s="39"/>
      <c r="AZ424" s="39"/>
      <c r="BA424" s="439"/>
      <c r="BB424" s="281"/>
      <c r="BC424" s="281"/>
      <c r="BF424" s="415" t="s">
        <v>426</v>
      </c>
      <c r="BG424" s="428">
        <v>46476</v>
      </c>
      <c r="BH424" s="428"/>
    </row>
    <row r="425" spans="1:60" s="3" customFormat="1" ht="20.65" thickBot="1" x14ac:dyDescent="0.45">
      <c r="A425" s="496"/>
      <c r="B425" s="450" t="s">
        <v>382</v>
      </c>
      <c r="C425" s="116" t="s">
        <v>165</v>
      </c>
      <c r="D425" s="117" t="s">
        <v>938</v>
      </c>
      <c r="E425" s="117"/>
      <c r="F425" s="45" t="s">
        <v>153</v>
      </c>
      <c r="G425" s="22" t="s">
        <v>51</v>
      </c>
      <c r="H425" s="40" t="s">
        <v>1</v>
      </c>
      <c r="I425" s="40" t="s">
        <v>286</v>
      </c>
      <c r="J425" s="451"/>
      <c r="K425" s="452"/>
      <c r="L425" s="386"/>
      <c r="M425" s="453"/>
      <c r="N425" s="454"/>
      <c r="O425" s="454"/>
      <c r="P425" s="175" t="s">
        <v>32</v>
      </c>
      <c r="Q425" s="25" t="s">
        <v>34</v>
      </c>
      <c r="R425" s="390"/>
      <c r="S425" s="391"/>
      <c r="T425" s="391"/>
      <c r="U425" s="391"/>
      <c r="V425" s="391"/>
      <c r="W425" s="391"/>
      <c r="X425" s="391"/>
      <c r="Y425" s="391"/>
      <c r="Z425" s="391"/>
      <c r="AA425" s="391"/>
      <c r="AB425" s="391"/>
      <c r="AC425" s="391"/>
      <c r="AD425" s="391"/>
      <c r="AE425" s="391"/>
      <c r="AF425" s="391"/>
      <c r="AG425" s="391"/>
      <c r="AH425" s="391"/>
      <c r="AI425" s="391"/>
      <c r="AJ425" s="391"/>
      <c r="AK425" s="391"/>
      <c r="AL425" s="391"/>
      <c r="AM425" s="391"/>
      <c r="AN425" s="392">
        <v>32</v>
      </c>
      <c r="AO425" s="78">
        <f t="shared" si="83"/>
        <v>224</v>
      </c>
      <c r="AP425" s="82">
        <f t="shared" ref="AP425:AP426" si="85">BG425+7</f>
        <v>46497</v>
      </c>
      <c r="AQ425" s="393">
        <v>46472</v>
      </c>
      <c r="AR425" s="78">
        <f t="shared" si="84"/>
        <v>-25</v>
      </c>
      <c r="AS425" s="78"/>
      <c r="AT425" s="513"/>
      <c r="AU425" s="39"/>
      <c r="AV425" s="39"/>
      <c r="AW425" s="39"/>
      <c r="AX425" s="39"/>
      <c r="AY425" s="39"/>
      <c r="AZ425" s="39"/>
      <c r="BA425" s="439"/>
      <c r="BB425" s="281"/>
      <c r="BC425" s="281"/>
      <c r="BF425" s="415" t="s">
        <v>545</v>
      </c>
      <c r="BG425" s="428">
        <v>46490</v>
      </c>
      <c r="BH425" s="428"/>
    </row>
    <row r="426" spans="1:60" s="3" customFormat="1" ht="20.65" thickBot="1" x14ac:dyDescent="0.45">
      <c r="A426" s="496"/>
      <c r="B426" s="450" t="s">
        <v>382</v>
      </c>
      <c r="C426" s="116" t="s">
        <v>165</v>
      </c>
      <c r="D426" s="117" t="s">
        <v>938</v>
      </c>
      <c r="E426" s="117"/>
      <c r="F426" s="45" t="s">
        <v>153</v>
      </c>
      <c r="G426" s="22" t="s">
        <v>51</v>
      </c>
      <c r="H426" s="40" t="s">
        <v>1</v>
      </c>
      <c r="I426" s="40" t="s">
        <v>286</v>
      </c>
      <c r="J426" s="451"/>
      <c r="K426" s="452"/>
      <c r="L426" s="386"/>
      <c r="M426" s="453"/>
      <c r="N426" s="454"/>
      <c r="O426" s="454"/>
      <c r="P426" s="175" t="s">
        <v>32</v>
      </c>
      <c r="Q426" s="25" t="s">
        <v>34</v>
      </c>
      <c r="R426" s="390"/>
      <c r="S426" s="391"/>
      <c r="T426" s="391"/>
      <c r="U426" s="391"/>
      <c r="V426" s="391"/>
      <c r="W426" s="391"/>
      <c r="X426" s="391"/>
      <c r="Y426" s="391"/>
      <c r="Z426" s="391"/>
      <c r="AA426" s="391"/>
      <c r="AB426" s="391"/>
      <c r="AC426" s="391"/>
      <c r="AD426" s="391"/>
      <c r="AE426" s="391"/>
      <c r="AF426" s="391"/>
      <c r="AG426" s="391"/>
      <c r="AH426" s="391"/>
      <c r="AI426" s="391"/>
      <c r="AJ426" s="391"/>
      <c r="AK426" s="391"/>
      <c r="AL426" s="391"/>
      <c r="AM426" s="391"/>
      <c r="AN426" s="392">
        <v>34</v>
      </c>
      <c r="AO426" s="78">
        <f t="shared" si="83"/>
        <v>238</v>
      </c>
      <c r="AP426" s="82">
        <f t="shared" si="85"/>
        <v>46511</v>
      </c>
      <c r="AQ426" s="393">
        <v>46504</v>
      </c>
      <c r="AR426" s="78">
        <f t="shared" si="84"/>
        <v>-7</v>
      </c>
      <c r="AS426" s="78"/>
      <c r="AT426" s="513"/>
      <c r="AU426" s="39"/>
      <c r="AV426" s="39"/>
      <c r="AW426" s="39"/>
      <c r="AX426" s="39"/>
      <c r="AY426" s="39"/>
      <c r="AZ426" s="39"/>
      <c r="BA426" s="439"/>
      <c r="BB426" s="281"/>
      <c r="BC426" s="281"/>
      <c r="BF426" s="415" t="s">
        <v>546</v>
      </c>
      <c r="BG426" s="428">
        <v>46504</v>
      </c>
      <c r="BH426" s="428"/>
    </row>
    <row r="427" spans="1:60" s="3" customFormat="1" ht="23.65" thickBot="1" x14ac:dyDescent="0.45">
      <c r="A427" s="497"/>
      <c r="B427" s="95" t="s">
        <v>382</v>
      </c>
      <c r="C427" s="31" t="s">
        <v>165</v>
      </c>
      <c r="D427" s="44" t="s">
        <v>199</v>
      </c>
      <c r="E427" s="44" t="s">
        <v>159</v>
      </c>
      <c r="F427" s="33" t="s">
        <v>153</v>
      </c>
      <c r="G427" s="31" t="s">
        <v>51</v>
      </c>
      <c r="H427" s="31" t="s">
        <v>1</v>
      </c>
      <c r="I427" s="31" t="s">
        <v>286</v>
      </c>
      <c r="J427" s="44"/>
      <c r="K427" s="47"/>
      <c r="L427" s="445"/>
      <c r="M427" s="426"/>
      <c r="N427" s="426"/>
      <c r="O427" s="426"/>
      <c r="P427" s="176" t="s">
        <v>32</v>
      </c>
      <c r="Q427" s="34" t="s">
        <v>35</v>
      </c>
      <c r="R427" s="35">
        <v>46164</v>
      </c>
      <c r="S427" s="35">
        <v>46153</v>
      </c>
      <c r="T427" s="35">
        <v>46157</v>
      </c>
      <c r="U427" s="35">
        <v>46167</v>
      </c>
      <c r="V427" s="35">
        <v>46167</v>
      </c>
      <c r="W427" s="35">
        <v>46185</v>
      </c>
      <c r="X427" s="35">
        <v>46220</v>
      </c>
      <c r="Y427" s="383" t="s">
        <v>873</v>
      </c>
      <c r="Z427" s="35">
        <v>46238</v>
      </c>
      <c r="AA427" s="35">
        <v>46251</v>
      </c>
      <c r="AB427" s="35">
        <v>46271</v>
      </c>
      <c r="AC427" s="35">
        <v>46245</v>
      </c>
      <c r="AD427" s="35">
        <v>46245</v>
      </c>
      <c r="AE427" s="35"/>
      <c r="AF427" s="35"/>
      <c r="AG427" s="35"/>
      <c r="AH427" s="35"/>
      <c r="AI427" s="35"/>
      <c r="AJ427" s="35"/>
      <c r="AK427" s="35"/>
      <c r="AL427" s="35"/>
      <c r="AM427" s="35"/>
      <c r="AN427" s="81"/>
      <c r="AO427" s="79"/>
      <c r="AP427" s="36" t="s">
        <v>904</v>
      </c>
      <c r="AQ427" s="36"/>
      <c r="AR427" s="79"/>
      <c r="AS427" s="143"/>
      <c r="AT427" s="514"/>
      <c r="AU427" s="39"/>
      <c r="AV427" s="39"/>
      <c r="AW427" s="39"/>
      <c r="AX427" s="39"/>
      <c r="AY427" s="39"/>
      <c r="AZ427" s="39"/>
      <c r="BA427" s="439"/>
      <c r="BB427" s="281"/>
      <c r="BC427" s="281"/>
      <c r="BF427" s="415"/>
      <c r="BG427" s="407"/>
      <c r="BH427" s="407"/>
    </row>
    <row r="428" spans="1:60" s="3" customFormat="1" ht="21" thickTop="1" thickBot="1" x14ac:dyDescent="0.45">
      <c r="A428" s="495"/>
      <c r="B428" s="198"/>
      <c r="C428" s="234" t="s">
        <v>166</v>
      </c>
      <c r="D428" s="314" t="s">
        <v>197</v>
      </c>
      <c r="E428" s="41" t="s">
        <v>159</v>
      </c>
      <c r="F428" s="15" t="s">
        <v>153</v>
      </c>
      <c r="G428" s="13" t="s">
        <v>51</v>
      </c>
      <c r="H428" s="13" t="s">
        <v>1</v>
      </c>
      <c r="I428" s="13" t="s">
        <v>286</v>
      </c>
      <c r="J428" s="220" t="s">
        <v>566</v>
      </c>
      <c r="K428" s="46"/>
      <c r="L428" s="440"/>
      <c r="M428" s="446"/>
      <c r="N428" s="446"/>
      <c r="O428" s="446"/>
      <c r="P428" s="174" t="s">
        <v>69</v>
      </c>
      <c r="Q428" s="17" t="s">
        <v>33</v>
      </c>
      <c r="R428" s="56">
        <v>46153</v>
      </c>
      <c r="S428" s="56">
        <v>46152</v>
      </c>
      <c r="T428" s="56">
        <v>46164</v>
      </c>
      <c r="U428" s="56">
        <v>46164</v>
      </c>
      <c r="V428" s="56">
        <v>46164</v>
      </c>
      <c r="W428" s="56">
        <v>46178</v>
      </c>
      <c r="X428" s="18">
        <v>46203</v>
      </c>
      <c r="Y428" s="18">
        <v>46217</v>
      </c>
      <c r="Z428" s="18"/>
      <c r="AA428" s="56">
        <v>46230</v>
      </c>
      <c r="AB428" s="18">
        <v>46232</v>
      </c>
      <c r="AC428" s="18">
        <v>46239</v>
      </c>
      <c r="AD428" s="18">
        <v>46267</v>
      </c>
      <c r="AE428" s="18">
        <v>46281</v>
      </c>
      <c r="AF428" s="18">
        <v>46303</v>
      </c>
      <c r="AG428" s="18">
        <v>46303</v>
      </c>
      <c r="AH428" s="18">
        <v>46305</v>
      </c>
      <c r="AI428" s="18">
        <v>46446</v>
      </c>
      <c r="AJ428" s="18">
        <v>46451</v>
      </c>
      <c r="AK428" s="18">
        <v>46461</v>
      </c>
      <c r="AL428" s="18">
        <v>46464</v>
      </c>
      <c r="AM428" s="18">
        <v>46481</v>
      </c>
      <c r="AN428" s="57">
        <v>33</v>
      </c>
      <c r="AO428" s="58">
        <f>AN428*7</f>
        <v>231</v>
      </c>
      <c r="AP428" s="77">
        <v>46461</v>
      </c>
      <c r="AQ428" s="77">
        <v>46471</v>
      </c>
      <c r="AR428" s="76">
        <f>AQ428-AP428</f>
        <v>10</v>
      </c>
      <c r="AS428" s="139" t="s">
        <v>519</v>
      </c>
      <c r="AT428" s="504" t="s">
        <v>509</v>
      </c>
      <c r="AU428" s="21"/>
      <c r="AV428" s="21"/>
      <c r="AW428" s="21"/>
      <c r="AX428" s="21"/>
      <c r="AY428" s="21"/>
      <c r="AZ428" s="21"/>
      <c r="BA428" s="439"/>
      <c r="BB428" s="281"/>
      <c r="BC428" s="281"/>
      <c r="BF428" s="415"/>
      <c r="BG428" s="407"/>
      <c r="BH428" s="407"/>
    </row>
    <row r="429" spans="1:60" s="3" customFormat="1" ht="21" thickTop="1" thickBot="1" x14ac:dyDescent="0.45">
      <c r="A429" s="496"/>
      <c r="B429" s="199"/>
      <c r="C429" s="235" t="s">
        <v>166</v>
      </c>
      <c r="D429" s="242" t="s">
        <v>196</v>
      </c>
      <c r="E429" s="42" t="s">
        <v>159</v>
      </c>
      <c r="F429" s="45" t="s">
        <v>153</v>
      </c>
      <c r="G429" s="22" t="s">
        <v>51</v>
      </c>
      <c r="H429" s="40" t="s">
        <v>1</v>
      </c>
      <c r="I429" s="40" t="s">
        <v>286</v>
      </c>
      <c r="J429" s="255" t="s">
        <v>567</v>
      </c>
      <c r="K429" s="442"/>
      <c r="L429" s="52"/>
      <c r="M429" s="443"/>
      <c r="N429" s="447"/>
      <c r="O429" s="444"/>
      <c r="P429" s="175" t="s">
        <v>69</v>
      </c>
      <c r="Q429" s="25" t="s">
        <v>34</v>
      </c>
      <c r="R429" s="26"/>
      <c r="S429" s="82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80"/>
      <c r="AO429" s="78"/>
      <c r="AP429" s="82"/>
      <c r="AQ429" s="82"/>
      <c r="AR429" s="78"/>
      <c r="AS429" s="124"/>
      <c r="AT429" s="513"/>
      <c r="AU429" s="21"/>
      <c r="AV429" s="21"/>
      <c r="AW429" s="21"/>
      <c r="AX429" s="21"/>
      <c r="AY429" s="21"/>
      <c r="AZ429" s="21"/>
      <c r="BA429" s="439"/>
      <c r="BB429" s="281"/>
      <c r="BC429" s="281"/>
      <c r="BF429" s="415"/>
      <c r="BG429" s="407"/>
      <c r="BH429" s="407"/>
    </row>
    <row r="430" spans="1:60" s="3" customFormat="1" ht="15.4" thickTop="1" thickBot="1" x14ac:dyDescent="0.45">
      <c r="A430" s="497"/>
      <c r="B430" s="95"/>
      <c r="C430" s="236" t="s">
        <v>166</v>
      </c>
      <c r="D430" s="245" t="s">
        <v>196</v>
      </c>
      <c r="E430" s="44" t="s">
        <v>159</v>
      </c>
      <c r="F430" s="33" t="s">
        <v>153</v>
      </c>
      <c r="G430" s="31" t="s">
        <v>51</v>
      </c>
      <c r="H430" s="31" t="s">
        <v>1</v>
      </c>
      <c r="I430" s="31" t="s">
        <v>286</v>
      </c>
      <c r="J430" s="214"/>
      <c r="K430" s="47"/>
      <c r="L430" s="445"/>
      <c r="M430" s="426"/>
      <c r="N430" s="448"/>
      <c r="O430" s="426"/>
      <c r="P430" s="176" t="s">
        <v>69</v>
      </c>
      <c r="Q430" s="34" t="s">
        <v>35</v>
      </c>
      <c r="R430" s="35">
        <v>46184</v>
      </c>
      <c r="S430" s="36">
        <v>46177</v>
      </c>
      <c r="T430" s="35">
        <v>46184</v>
      </c>
      <c r="U430" s="35">
        <v>46184</v>
      </c>
      <c r="V430" s="35">
        <v>46184</v>
      </c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81"/>
      <c r="AO430" s="79"/>
      <c r="AP430" s="36"/>
      <c r="AQ430" s="36"/>
      <c r="AR430" s="79"/>
      <c r="AS430" s="143"/>
      <c r="AT430" s="514"/>
      <c r="AU430" s="39"/>
      <c r="AV430" s="39"/>
      <c r="AW430" s="39"/>
      <c r="AX430" s="39"/>
      <c r="AY430" s="39"/>
      <c r="AZ430" s="39"/>
      <c r="BA430" s="439"/>
      <c r="BB430" s="281"/>
      <c r="BC430" s="281"/>
      <c r="BF430" s="415"/>
      <c r="BG430" s="407"/>
      <c r="BH430" s="407"/>
    </row>
    <row r="431" spans="1:60" s="3" customFormat="1" ht="15.4" thickTop="1" thickBot="1" x14ac:dyDescent="0.45">
      <c r="A431" s="495">
        <f>A422+1</f>
        <v>125</v>
      </c>
      <c r="B431" s="198"/>
      <c r="C431" s="13" t="s">
        <v>167</v>
      </c>
      <c r="D431" s="338" t="s">
        <v>673</v>
      </c>
      <c r="E431" s="41" t="s">
        <v>159</v>
      </c>
      <c r="F431" s="15" t="s">
        <v>153</v>
      </c>
      <c r="G431" s="13" t="s">
        <v>51</v>
      </c>
      <c r="H431" s="13" t="s">
        <v>1</v>
      </c>
      <c r="I431" s="13" t="s">
        <v>286</v>
      </c>
      <c r="J431" s="345" t="s">
        <v>641</v>
      </c>
      <c r="K431" s="46"/>
      <c r="L431" s="440"/>
      <c r="M431" s="446"/>
      <c r="N431" s="446"/>
      <c r="O431" s="446"/>
      <c r="P431" s="174" t="s">
        <v>69</v>
      </c>
      <c r="Q431" s="17" t="s">
        <v>33</v>
      </c>
      <c r="R431" s="56">
        <v>46153</v>
      </c>
      <c r="S431" s="56">
        <v>46152</v>
      </c>
      <c r="T431" s="56">
        <v>46164</v>
      </c>
      <c r="U431" s="56">
        <v>46164</v>
      </c>
      <c r="V431" s="18">
        <v>46164</v>
      </c>
      <c r="W431" s="18">
        <v>46178</v>
      </c>
      <c r="X431" s="18">
        <v>46203</v>
      </c>
      <c r="Y431" s="18">
        <v>46217</v>
      </c>
      <c r="Z431" s="18"/>
      <c r="AA431" s="18">
        <v>46230</v>
      </c>
      <c r="AB431" s="18">
        <v>46232</v>
      </c>
      <c r="AC431" s="18">
        <v>46239</v>
      </c>
      <c r="AD431" s="18">
        <v>46267</v>
      </c>
      <c r="AE431" s="206">
        <v>46281</v>
      </c>
      <c r="AF431" s="18">
        <v>46303</v>
      </c>
      <c r="AG431" s="18">
        <v>46303</v>
      </c>
      <c r="AH431" s="18">
        <v>46305</v>
      </c>
      <c r="AI431" s="18">
        <v>46446</v>
      </c>
      <c r="AJ431" s="18">
        <v>46451</v>
      </c>
      <c r="AK431" s="18">
        <v>46461</v>
      </c>
      <c r="AL431" s="18">
        <v>46464</v>
      </c>
      <c r="AM431" s="18">
        <v>46481</v>
      </c>
      <c r="AN431" s="57">
        <v>33</v>
      </c>
      <c r="AO431" s="58">
        <f>AN431*7</f>
        <v>231</v>
      </c>
      <c r="AP431" s="77">
        <v>46461</v>
      </c>
      <c r="AQ431" s="77">
        <v>46498</v>
      </c>
      <c r="AR431" s="76">
        <f>AQ431-AP432</f>
        <v>-9</v>
      </c>
      <c r="AS431" s="139" t="s">
        <v>518</v>
      </c>
      <c r="AT431" s="504" t="s">
        <v>509</v>
      </c>
      <c r="AU431" s="21"/>
      <c r="AV431" s="21"/>
      <c r="AW431" s="21"/>
      <c r="AX431" s="21"/>
      <c r="AY431" s="21"/>
      <c r="AZ431" s="21"/>
      <c r="BA431" s="439" t="s">
        <v>640</v>
      </c>
      <c r="BB431" s="283" t="s">
        <v>587</v>
      </c>
      <c r="BC431" s="281"/>
      <c r="BF431" s="415"/>
      <c r="BG431" s="407"/>
      <c r="BH431" s="407"/>
    </row>
    <row r="432" spans="1:60" s="3" customFormat="1" ht="15.4" thickTop="1" thickBot="1" x14ac:dyDescent="0.45">
      <c r="A432" s="496"/>
      <c r="B432" s="199"/>
      <c r="C432" s="40" t="s">
        <v>167</v>
      </c>
      <c r="D432" s="42" t="s">
        <v>672</v>
      </c>
      <c r="E432" s="42" t="s">
        <v>159</v>
      </c>
      <c r="F432" s="45" t="s">
        <v>153</v>
      </c>
      <c r="G432" s="22" t="s">
        <v>51</v>
      </c>
      <c r="H432" s="40" t="s">
        <v>1</v>
      </c>
      <c r="I432" s="40" t="s">
        <v>286</v>
      </c>
      <c r="J432" s="213"/>
      <c r="K432" s="442"/>
      <c r="L432" s="52"/>
      <c r="M432" s="443"/>
      <c r="N432" s="447"/>
      <c r="O432" s="444"/>
      <c r="P432" s="175" t="s">
        <v>69</v>
      </c>
      <c r="Q432" s="25" t="s">
        <v>34</v>
      </c>
      <c r="R432" s="26"/>
      <c r="S432" s="82"/>
      <c r="T432" s="27"/>
      <c r="U432" s="27"/>
      <c r="V432" s="27"/>
      <c r="W432" s="27"/>
      <c r="X432" s="27"/>
      <c r="Y432" s="27"/>
      <c r="Z432" s="27"/>
      <c r="AA432" s="27"/>
      <c r="AB432" s="27">
        <v>46286</v>
      </c>
      <c r="AC432" s="27"/>
      <c r="AD432" s="27"/>
      <c r="AE432" s="27">
        <f>AD433+30</f>
        <v>46309</v>
      </c>
      <c r="AF432" s="27">
        <f>AE432+30</f>
        <v>46339</v>
      </c>
      <c r="AG432" s="27">
        <f>AF432</f>
        <v>46339</v>
      </c>
      <c r="AH432" s="27">
        <f>AG432+2</f>
        <v>46341</v>
      </c>
      <c r="AI432" s="27">
        <f>AJ432-5</f>
        <v>46492</v>
      </c>
      <c r="AJ432" s="27">
        <f>AK432-10</f>
        <v>46497</v>
      </c>
      <c r="AK432" s="27">
        <f>AP432</f>
        <v>46507</v>
      </c>
      <c r="AL432" s="27">
        <f>AP431+3</f>
        <v>46464</v>
      </c>
      <c r="AM432" s="27">
        <f>AK432+20</f>
        <v>46527</v>
      </c>
      <c r="AN432" s="80">
        <f>28+5</f>
        <v>33</v>
      </c>
      <c r="AO432" s="78">
        <f>AN432*7</f>
        <v>231</v>
      </c>
      <c r="AP432" s="82">
        <f>AA433+AO431</f>
        <v>46507</v>
      </c>
      <c r="AQ432" s="82"/>
      <c r="AR432" s="78"/>
      <c r="AS432" s="124"/>
      <c r="AT432" s="513"/>
      <c r="AU432" s="21"/>
      <c r="AV432" s="21"/>
      <c r="AW432" s="21"/>
      <c r="AX432" s="21"/>
      <c r="AY432" s="21"/>
      <c r="AZ432" s="21"/>
      <c r="BA432" s="439"/>
      <c r="BB432" s="281"/>
      <c r="BC432" s="281"/>
      <c r="BF432" s="415"/>
      <c r="BG432" s="485" t="s">
        <v>1036</v>
      </c>
      <c r="BH432" s="407"/>
    </row>
    <row r="433" spans="1:60" s="3" customFormat="1" ht="24" thickTop="1" thickBot="1" x14ac:dyDescent="0.45">
      <c r="A433" s="497"/>
      <c r="B433" s="95"/>
      <c r="C433" s="31" t="s">
        <v>167</v>
      </c>
      <c r="D433" s="44" t="s">
        <v>673</v>
      </c>
      <c r="E433" s="44" t="s">
        <v>159</v>
      </c>
      <c r="F433" s="33" t="s">
        <v>153</v>
      </c>
      <c r="G433" s="31" t="s">
        <v>51</v>
      </c>
      <c r="H433" s="31" t="s">
        <v>1</v>
      </c>
      <c r="I433" s="31" t="s">
        <v>286</v>
      </c>
      <c r="J433" s="44"/>
      <c r="K433" s="47"/>
      <c r="L433" s="445"/>
      <c r="M433" s="426"/>
      <c r="N433" s="448"/>
      <c r="O433" s="426"/>
      <c r="P433" s="176" t="s">
        <v>69</v>
      </c>
      <c r="Q433" s="34" t="s">
        <v>35</v>
      </c>
      <c r="R433" s="35">
        <v>46184</v>
      </c>
      <c r="S433" s="36">
        <v>46177</v>
      </c>
      <c r="T433" s="35">
        <v>46184</v>
      </c>
      <c r="U433" s="35">
        <v>46184</v>
      </c>
      <c r="V433" s="35">
        <v>46184</v>
      </c>
      <c r="W433" s="35">
        <v>46201</v>
      </c>
      <c r="X433" s="35">
        <v>46218</v>
      </c>
      <c r="Y433" s="383" t="s">
        <v>874</v>
      </c>
      <c r="Z433" s="35">
        <v>46265</v>
      </c>
      <c r="AA433" s="35">
        <v>46276</v>
      </c>
      <c r="AB433" s="35"/>
      <c r="AC433" s="35">
        <v>46258</v>
      </c>
      <c r="AD433" s="35">
        <v>46279</v>
      </c>
      <c r="AE433" s="35"/>
      <c r="AF433" s="35"/>
      <c r="AG433" s="35"/>
      <c r="AH433" s="35"/>
      <c r="AI433" s="35"/>
      <c r="AJ433" s="35"/>
      <c r="AK433" s="35"/>
      <c r="AL433" s="35"/>
      <c r="AM433" s="35"/>
      <c r="AN433" s="81"/>
      <c r="AO433" s="79"/>
      <c r="AP433" s="36"/>
      <c r="AQ433" s="36"/>
      <c r="AR433" s="79"/>
      <c r="AS433" s="143"/>
      <c r="AT433" s="514"/>
      <c r="AU433" s="39"/>
      <c r="AV433" s="39"/>
      <c r="AW433" s="39"/>
      <c r="AX433" s="39"/>
      <c r="AY433" s="39"/>
      <c r="AZ433" s="39"/>
      <c r="BA433" s="439"/>
      <c r="BB433" s="281"/>
      <c r="BC433" s="281"/>
      <c r="BF433" s="415"/>
      <c r="BG433" s="407"/>
      <c r="BH433" s="407"/>
    </row>
    <row r="434" spans="1:60" s="3" customFormat="1" ht="14.25" thickTop="1" thickBot="1" x14ac:dyDescent="0.45">
      <c r="A434" s="495">
        <f t="shared" ref="A434" si="86">A431+1</f>
        <v>126</v>
      </c>
      <c r="B434" s="198" t="s">
        <v>970</v>
      </c>
      <c r="C434" s="13" t="s">
        <v>971</v>
      </c>
      <c r="D434" s="338" t="s">
        <v>198</v>
      </c>
      <c r="E434" s="41" t="s">
        <v>159</v>
      </c>
      <c r="F434" s="15" t="s">
        <v>153</v>
      </c>
      <c r="G434" s="13" t="s">
        <v>51</v>
      </c>
      <c r="H434" s="13" t="s">
        <v>1</v>
      </c>
      <c r="I434" s="13" t="s">
        <v>286</v>
      </c>
      <c r="J434" s="345" t="s">
        <v>972</v>
      </c>
      <c r="K434" s="193"/>
      <c r="L434" s="41"/>
      <c r="M434" s="41"/>
      <c r="N434" s="41"/>
      <c r="O434" s="41"/>
      <c r="P434" s="174" t="s">
        <v>69</v>
      </c>
      <c r="Q434" s="17" t="s">
        <v>33</v>
      </c>
      <c r="R434" s="56">
        <v>46134</v>
      </c>
      <c r="S434" s="56">
        <v>46135</v>
      </c>
      <c r="T434" s="56">
        <v>46142</v>
      </c>
      <c r="U434" s="18">
        <v>46146</v>
      </c>
      <c r="V434" s="18">
        <v>46153</v>
      </c>
      <c r="W434" s="18">
        <v>46167</v>
      </c>
      <c r="X434" s="18">
        <v>46197</v>
      </c>
      <c r="Y434" s="18">
        <v>46202</v>
      </c>
      <c r="Z434" s="18"/>
      <c r="AA434" s="18">
        <v>46216</v>
      </c>
      <c r="AB434" s="18">
        <v>46218</v>
      </c>
      <c r="AC434" s="18">
        <v>46225</v>
      </c>
      <c r="AD434" s="18">
        <v>46253</v>
      </c>
      <c r="AE434" s="18">
        <v>46267</v>
      </c>
      <c r="AF434" s="18">
        <v>46272</v>
      </c>
      <c r="AG434" s="206">
        <v>46272</v>
      </c>
      <c r="AH434" s="18">
        <v>46274</v>
      </c>
      <c r="AI434" s="18">
        <v>46295.6</v>
      </c>
      <c r="AJ434" s="18">
        <v>46300.6</v>
      </c>
      <c r="AK434" s="18">
        <v>46305.599999999999</v>
      </c>
      <c r="AL434" s="18">
        <v>46308.6</v>
      </c>
      <c r="AM434" s="18">
        <v>46325.599999999999</v>
      </c>
      <c r="AN434" s="57">
        <v>12.8</v>
      </c>
      <c r="AO434" s="58">
        <v>90</v>
      </c>
      <c r="AP434" s="77">
        <v>46305</v>
      </c>
      <c r="AQ434" s="77">
        <v>46295</v>
      </c>
      <c r="AR434" s="76">
        <f>AQ434-AP435</f>
        <v>15</v>
      </c>
      <c r="AS434" s="139" t="s">
        <v>496</v>
      </c>
      <c r="AT434" s="504" t="s">
        <v>500</v>
      </c>
      <c r="AU434" s="20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415" t="s">
        <v>974</v>
      </c>
      <c r="BG434" s="407">
        <v>46280</v>
      </c>
      <c r="BH434" s="407"/>
    </row>
    <row r="435" spans="1:60" s="3" customFormat="1" ht="14.25" thickTop="1" thickBot="1" x14ac:dyDescent="0.45">
      <c r="A435" s="496"/>
      <c r="B435" s="199" t="s">
        <v>970</v>
      </c>
      <c r="C435" s="40" t="s">
        <v>971</v>
      </c>
      <c r="D435" s="42" t="s">
        <v>973</v>
      </c>
      <c r="E435" s="42" t="s">
        <v>159</v>
      </c>
      <c r="F435" s="45" t="s">
        <v>153</v>
      </c>
      <c r="G435" s="22" t="s">
        <v>51</v>
      </c>
      <c r="H435" s="40" t="s">
        <v>1</v>
      </c>
      <c r="I435" s="40" t="s">
        <v>286</v>
      </c>
      <c r="J435" s="192" t="s">
        <v>974</v>
      </c>
      <c r="K435" s="194"/>
      <c r="L435" s="42"/>
      <c r="M435" s="42"/>
      <c r="N435" s="42"/>
      <c r="O435" s="42"/>
      <c r="P435" s="175" t="s">
        <v>69</v>
      </c>
      <c r="Q435" s="25" t="s">
        <v>34</v>
      </c>
      <c r="R435" s="26"/>
      <c r="S435" s="82"/>
      <c r="T435" s="82"/>
      <c r="U435" s="144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27"/>
      <c r="AG435" s="27">
        <f>AG434</f>
        <v>46272</v>
      </c>
      <c r="AH435" s="27">
        <f>AG435+2</f>
        <v>46274</v>
      </c>
      <c r="AI435" s="27">
        <f>AJ435-5</f>
        <v>46270</v>
      </c>
      <c r="AJ435" s="27">
        <f>AK435-5</f>
        <v>46275</v>
      </c>
      <c r="AK435" s="27">
        <f>AP435</f>
        <v>46280</v>
      </c>
      <c r="AL435" s="27">
        <f>AP434+3</f>
        <v>46308</v>
      </c>
      <c r="AM435" s="27">
        <f>AK435+20</f>
        <v>46300</v>
      </c>
      <c r="AN435" s="80"/>
      <c r="AO435" s="78"/>
      <c r="AP435" s="82">
        <f>BG434</f>
        <v>46280</v>
      </c>
      <c r="AQ435" s="82"/>
      <c r="AR435" s="78"/>
      <c r="AS435" s="124"/>
      <c r="AT435" s="513"/>
      <c r="AU435" s="20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415"/>
      <c r="BG435" s="407"/>
      <c r="BH435" s="407"/>
    </row>
    <row r="436" spans="1:60" s="3" customFormat="1" ht="14.25" thickTop="1" thickBot="1" x14ac:dyDescent="0.45">
      <c r="A436" s="497"/>
      <c r="B436" s="95" t="s">
        <v>970</v>
      </c>
      <c r="C436" s="31" t="s">
        <v>971</v>
      </c>
      <c r="D436" s="43" t="s">
        <v>198</v>
      </c>
      <c r="E436" s="44" t="s">
        <v>159</v>
      </c>
      <c r="F436" s="33" t="s">
        <v>153</v>
      </c>
      <c r="G436" s="31" t="s">
        <v>51</v>
      </c>
      <c r="H436" s="31" t="s">
        <v>1</v>
      </c>
      <c r="I436" s="31" t="s">
        <v>286</v>
      </c>
      <c r="J436" s="44"/>
      <c r="K436" s="195"/>
      <c r="L436" s="44"/>
      <c r="M436" s="44"/>
      <c r="N436" s="44"/>
      <c r="O436" s="44"/>
      <c r="P436" s="176" t="s">
        <v>69</v>
      </c>
      <c r="Q436" s="34" t="s">
        <v>35</v>
      </c>
      <c r="R436" s="35">
        <v>46181</v>
      </c>
      <c r="S436" s="35">
        <v>46153</v>
      </c>
      <c r="T436" s="35">
        <v>46157</v>
      </c>
      <c r="U436" s="35">
        <v>46183</v>
      </c>
      <c r="V436" s="35">
        <v>46183</v>
      </c>
      <c r="W436" s="35">
        <v>46189</v>
      </c>
      <c r="X436" s="35">
        <v>46203</v>
      </c>
      <c r="Y436" s="35">
        <v>46211</v>
      </c>
      <c r="Z436" s="35"/>
      <c r="AA436" s="35">
        <v>46212</v>
      </c>
      <c r="AB436" s="35">
        <v>46213</v>
      </c>
      <c r="AC436" s="35" t="s">
        <v>342</v>
      </c>
      <c r="AD436" s="35">
        <v>46240</v>
      </c>
      <c r="AE436" s="35">
        <v>46244</v>
      </c>
      <c r="AF436" s="35">
        <v>46245</v>
      </c>
      <c r="AG436" s="35"/>
      <c r="AH436" s="35"/>
      <c r="AI436" s="35"/>
      <c r="AJ436" s="35"/>
      <c r="AK436" s="35"/>
      <c r="AL436" s="35"/>
      <c r="AM436" s="35"/>
      <c r="AN436" s="81"/>
      <c r="AO436" s="79"/>
      <c r="AP436" s="36"/>
      <c r="AQ436" s="36"/>
      <c r="AR436" s="79"/>
      <c r="AS436" s="143"/>
      <c r="AT436" s="514"/>
      <c r="AU436" s="38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415"/>
      <c r="BG436" s="407"/>
      <c r="BH436" s="407"/>
    </row>
    <row r="437" spans="1:60" s="3" customFormat="1" ht="14.25" thickTop="1" thickBot="1" x14ac:dyDescent="0.45">
      <c r="A437" s="495">
        <f>A431+1</f>
        <v>126</v>
      </c>
      <c r="B437" s="145"/>
      <c r="C437" s="16" t="s">
        <v>200</v>
      </c>
      <c r="D437" s="338" t="s">
        <v>779</v>
      </c>
      <c r="E437" s="41" t="s">
        <v>159</v>
      </c>
      <c r="F437" s="15" t="s">
        <v>153</v>
      </c>
      <c r="G437" s="13" t="s">
        <v>51</v>
      </c>
      <c r="H437" s="13" t="s">
        <v>1</v>
      </c>
      <c r="I437" s="13" t="s">
        <v>286</v>
      </c>
      <c r="J437" s="345" t="s">
        <v>996</v>
      </c>
      <c r="K437" s="191"/>
      <c r="L437" s="14"/>
      <c r="M437" s="14"/>
      <c r="N437" s="14"/>
      <c r="O437" s="14"/>
      <c r="P437" s="174" t="s">
        <v>69</v>
      </c>
      <c r="Q437" s="17" t="s">
        <v>33</v>
      </c>
      <c r="R437" s="56">
        <v>46134</v>
      </c>
      <c r="S437" s="56">
        <v>46135</v>
      </c>
      <c r="T437" s="56">
        <v>46142</v>
      </c>
      <c r="U437" s="18">
        <v>46146</v>
      </c>
      <c r="V437" s="18">
        <v>46153</v>
      </c>
      <c r="W437" s="18">
        <v>46167</v>
      </c>
      <c r="X437" s="18">
        <v>46197</v>
      </c>
      <c r="Y437" s="18">
        <v>46202</v>
      </c>
      <c r="Z437" s="18"/>
      <c r="AA437" s="18">
        <v>46216</v>
      </c>
      <c r="AB437" s="18">
        <v>46218</v>
      </c>
      <c r="AC437" s="18">
        <v>46225</v>
      </c>
      <c r="AD437" s="18">
        <v>46253</v>
      </c>
      <c r="AE437" s="18">
        <v>46267</v>
      </c>
      <c r="AF437" s="18">
        <v>46272</v>
      </c>
      <c r="AG437" s="18">
        <v>46272</v>
      </c>
      <c r="AH437" s="18">
        <v>46274</v>
      </c>
      <c r="AI437" s="18">
        <v>46295.6</v>
      </c>
      <c r="AJ437" s="18">
        <v>46300.6</v>
      </c>
      <c r="AK437" s="18">
        <v>46305.599999999999</v>
      </c>
      <c r="AL437" s="18">
        <v>46308.6</v>
      </c>
      <c r="AM437" s="206">
        <v>46325.599999999999</v>
      </c>
      <c r="AN437" s="57">
        <v>12.8</v>
      </c>
      <c r="AO437" s="58">
        <v>90</v>
      </c>
      <c r="AP437" s="77">
        <v>46305</v>
      </c>
      <c r="AQ437" s="77">
        <v>46295</v>
      </c>
      <c r="AR437" s="76">
        <f>AQ437-AP438</f>
        <v>8</v>
      </c>
      <c r="AS437" s="139" t="s">
        <v>499</v>
      </c>
      <c r="AT437" s="504" t="s">
        <v>500</v>
      </c>
      <c r="AU437" s="20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415" t="s">
        <v>995</v>
      </c>
      <c r="BG437" s="407">
        <v>46287</v>
      </c>
      <c r="BH437" s="407" t="s">
        <v>998</v>
      </c>
    </row>
    <row r="438" spans="1:60" s="3" customFormat="1" ht="14.25" thickTop="1" thickBot="1" x14ac:dyDescent="0.45">
      <c r="A438" s="496"/>
      <c r="B438" s="172"/>
      <c r="C438" s="70" t="s">
        <v>200</v>
      </c>
      <c r="D438" s="23" t="s">
        <v>778</v>
      </c>
      <c r="E438" s="42" t="s">
        <v>159</v>
      </c>
      <c r="F438" s="45" t="s">
        <v>153</v>
      </c>
      <c r="G438" s="22" t="s">
        <v>51</v>
      </c>
      <c r="H438" s="40" t="s">
        <v>1</v>
      </c>
      <c r="I438" s="40" t="s">
        <v>286</v>
      </c>
      <c r="J438" s="192" t="s">
        <v>994</v>
      </c>
      <c r="K438" s="192"/>
      <c r="L438" s="23"/>
      <c r="M438" s="23"/>
      <c r="N438" s="23"/>
      <c r="O438" s="23"/>
      <c r="P438" s="175" t="s">
        <v>69</v>
      </c>
      <c r="Q438" s="25" t="s">
        <v>34</v>
      </c>
      <c r="R438" s="26"/>
      <c r="S438" s="82"/>
      <c r="T438" s="82"/>
      <c r="U438" s="144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27"/>
      <c r="AG438" s="27"/>
      <c r="AH438" s="27"/>
      <c r="AI438" s="27"/>
      <c r="AJ438" s="27"/>
      <c r="AK438" s="27"/>
      <c r="AL438" s="27"/>
      <c r="AM438" s="27">
        <f>AL439+30</f>
        <v>46313</v>
      </c>
      <c r="AN438" s="80"/>
      <c r="AO438" s="78"/>
      <c r="AP438" s="82">
        <v>46287</v>
      </c>
      <c r="AQ438" s="82"/>
      <c r="AR438" s="78"/>
      <c r="AS438" s="124"/>
      <c r="AT438" s="513"/>
      <c r="AU438" s="20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415"/>
      <c r="BG438" s="407"/>
      <c r="BH438" s="407"/>
    </row>
    <row r="439" spans="1:60" s="3" customFormat="1" ht="14.25" thickTop="1" thickBot="1" x14ac:dyDescent="0.45">
      <c r="A439" s="497"/>
      <c r="B439" s="146"/>
      <c r="C439" s="71" t="s">
        <v>200</v>
      </c>
      <c r="D439" s="32" t="s">
        <v>778</v>
      </c>
      <c r="E439" s="44" t="s">
        <v>159</v>
      </c>
      <c r="F439" s="33" t="s">
        <v>153</v>
      </c>
      <c r="G439" s="31" t="s">
        <v>51</v>
      </c>
      <c r="H439" s="31" t="s">
        <v>1</v>
      </c>
      <c r="I439" s="31" t="s">
        <v>286</v>
      </c>
      <c r="J439" s="44"/>
      <c r="K439" s="449"/>
      <c r="L439" s="47"/>
      <c r="M439" s="47"/>
      <c r="N439" s="47"/>
      <c r="O439" s="47"/>
      <c r="P439" s="176" t="s">
        <v>69</v>
      </c>
      <c r="Q439" s="34" t="s">
        <v>35</v>
      </c>
      <c r="R439" s="35">
        <v>46181</v>
      </c>
      <c r="S439" s="35">
        <v>46153</v>
      </c>
      <c r="T439" s="35">
        <v>46157</v>
      </c>
      <c r="U439" s="35">
        <v>46183</v>
      </c>
      <c r="V439" s="35">
        <v>46183</v>
      </c>
      <c r="W439" s="35">
        <v>46189</v>
      </c>
      <c r="X439" s="35">
        <v>46203</v>
      </c>
      <c r="Y439" s="35">
        <v>46211</v>
      </c>
      <c r="Z439" s="35"/>
      <c r="AA439" s="35">
        <v>46212</v>
      </c>
      <c r="AB439" s="35">
        <v>46213</v>
      </c>
      <c r="AC439" s="35" t="s">
        <v>342</v>
      </c>
      <c r="AD439" s="35">
        <v>46240</v>
      </c>
      <c r="AE439" s="35" t="s">
        <v>818</v>
      </c>
      <c r="AF439" s="35" t="s">
        <v>818</v>
      </c>
      <c r="AG439" s="35" t="s">
        <v>818</v>
      </c>
      <c r="AH439" s="377">
        <v>46276</v>
      </c>
      <c r="AI439" s="377" t="s">
        <v>342</v>
      </c>
      <c r="AJ439" s="377">
        <v>46282</v>
      </c>
      <c r="AK439" s="377">
        <v>46283</v>
      </c>
      <c r="AL439" s="377">
        <v>46283</v>
      </c>
      <c r="AM439" s="35"/>
      <c r="AN439" s="81"/>
      <c r="AO439" s="79"/>
      <c r="AP439" s="36"/>
      <c r="AQ439" s="36"/>
      <c r="AR439" s="79"/>
      <c r="AS439" s="143"/>
      <c r="AT439" s="514"/>
      <c r="AU439" s="38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415"/>
      <c r="BG439" s="407"/>
      <c r="BH439" s="407"/>
    </row>
    <row r="440" spans="1:60" s="3" customFormat="1" ht="14.25" thickTop="1" thickBot="1" x14ac:dyDescent="0.45">
      <c r="A440" s="495">
        <f t="shared" ref="A440" si="87">A437+1</f>
        <v>127</v>
      </c>
      <c r="B440" s="91" t="s">
        <v>406</v>
      </c>
      <c r="C440" s="13" t="s">
        <v>201</v>
      </c>
      <c r="D440" s="338" t="s">
        <v>408</v>
      </c>
      <c r="E440" s="41" t="s">
        <v>159</v>
      </c>
      <c r="F440" s="15" t="s">
        <v>153</v>
      </c>
      <c r="G440" s="13" t="s">
        <v>51</v>
      </c>
      <c r="H440" s="13" t="s">
        <v>1</v>
      </c>
      <c r="I440" s="13" t="s">
        <v>286</v>
      </c>
      <c r="J440" s="345" t="s">
        <v>857</v>
      </c>
      <c r="K440" s="193"/>
      <c r="L440" s="41"/>
      <c r="M440" s="41"/>
      <c r="N440" s="41"/>
      <c r="O440" s="41"/>
      <c r="P440" s="174" t="s">
        <v>69</v>
      </c>
      <c r="Q440" s="17" t="s">
        <v>33</v>
      </c>
      <c r="R440" s="18">
        <v>46247</v>
      </c>
      <c r="S440" s="18">
        <v>46248</v>
      </c>
      <c r="T440" s="18">
        <v>46260</v>
      </c>
      <c r="U440" s="18">
        <v>46260</v>
      </c>
      <c r="V440" s="18">
        <v>46260</v>
      </c>
      <c r="W440" s="18">
        <v>46274</v>
      </c>
      <c r="X440" s="18">
        <v>46297</v>
      </c>
      <c r="Y440" s="18">
        <v>46314</v>
      </c>
      <c r="Z440" s="18"/>
      <c r="AA440" s="206">
        <v>46325</v>
      </c>
      <c r="AB440" s="18">
        <v>46329</v>
      </c>
      <c r="AC440" s="18">
        <v>46336</v>
      </c>
      <c r="AD440" s="18">
        <v>46364</v>
      </c>
      <c r="AE440" s="18">
        <v>46378</v>
      </c>
      <c r="AF440" s="18">
        <v>46383</v>
      </c>
      <c r="AG440" s="18">
        <v>46383</v>
      </c>
      <c r="AH440" s="18">
        <v>46385</v>
      </c>
      <c r="AI440" s="18">
        <v>46434.7</v>
      </c>
      <c r="AJ440" s="18">
        <v>46439.7</v>
      </c>
      <c r="AK440" s="18">
        <v>46444.7</v>
      </c>
      <c r="AL440" s="18">
        <v>46447.7</v>
      </c>
      <c r="AM440" s="18">
        <v>46464.7</v>
      </c>
      <c r="AN440" s="58">
        <v>17.100000000000001</v>
      </c>
      <c r="AO440" s="58">
        <f>AN440*7</f>
        <v>119.70000000000002</v>
      </c>
      <c r="AP440" s="77">
        <v>46444.7</v>
      </c>
      <c r="AQ440" s="77">
        <v>46435</v>
      </c>
      <c r="AR440" s="76">
        <f>AQ440-AP440</f>
        <v>-9.6999999999970896</v>
      </c>
      <c r="AS440" s="139" t="s">
        <v>496</v>
      </c>
      <c r="AT440" s="501" t="s">
        <v>436</v>
      </c>
      <c r="AU440" s="20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415"/>
      <c r="BG440" s="407"/>
      <c r="BH440" s="407"/>
    </row>
    <row r="441" spans="1:60" s="3" customFormat="1" ht="14.25" thickTop="1" thickBot="1" x14ac:dyDescent="0.45">
      <c r="A441" s="496"/>
      <c r="B441" s="92" t="s">
        <v>406</v>
      </c>
      <c r="C441" s="40" t="s">
        <v>201</v>
      </c>
      <c r="D441" s="23" t="s">
        <v>407</v>
      </c>
      <c r="E441" s="42" t="s">
        <v>159</v>
      </c>
      <c r="F441" s="45" t="s">
        <v>153</v>
      </c>
      <c r="G441" s="22" t="s">
        <v>51</v>
      </c>
      <c r="H441" s="40" t="s">
        <v>1</v>
      </c>
      <c r="I441" s="40" t="s">
        <v>286</v>
      </c>
      <c r="J441" s="42"/>
      <c r="K441" s="194"/>
      <c r="L441" s="42"/>
      <c r="M441" s="42"/>
      <c r="N441" s="42"/>
      <c r="O441" s="42"/>
      <c r="P441" s="175" t="s">
        <v>69</v>
      </c>
      <c r="Q441" s="25" t="s">
        <v>34</v>
      </c>
      <c r="R441" s="26">
        <f>R440</f>
        <v>46247</v>
      </c>
      <c r="S441" s="27"/>
      <c r="T441" s="27"/>
      <c r="U441" s="27"/>
      <c r="V441" s="27"/>
      <c r="W441" s="27"/>
      <c r="X441" s="27"/>
      <c r="Y441" s="27"/>
      <c r="Z441" s="27"/>
      <c r="AA441" s="27">
        <v>46289</v>
      </c>
      <c r="AB441" s="27">
        <f>WORKDAY(AA441, AB6, IF(AB12="China",'China Holidays'!$A$2:$A$84,'Thai Holidays'!$A$2:$A$65))</f>
        <v>46294</v>
      </c>
      <c r="AC441" s="27">
        <f>WORKDAY(AB441, AC6, IF(AC12="China",'China Holidays'!$A$2:$A$84,'Thai Holidays'!$A$2:$A$65))</f>
        <v>46308</v>
      </c>
      <c r="AD441" s="27">
        <f>WORKDAY(AC441, AD6, IF(AD12="China",'China Holidays'!$A$2:$A$84,'Thai Holidays'!$A$2:$A$65))</f>
        <v>46336</v>
      </c>
      <c r="AE441" s="27">
        <f>WORKDAY(AD441, AE6, IF(AE12="China",'China Holidays'!$A$2:$A$84,'Thai Holidays'!$A$2:$A$65))</f>
        <v>46350</v>
      </c>
      <c r="AF441" s="27">
        <f>AE441+5</f>
        <v>46355</v>
      </c>
      <c r="AG441" s="27">
        <f>AF441</f>
        <v>46355</v>
      </c>
      <c r="AH441" s="27">
        <f>AG441+2</f>
        <v>46357</v>
      </c>
      <c r="AI441" s="27">
        <f>AJ441-5</f>
        <v>46434.7</v>
      </c>
      <c r="AJ441" s="27">
        <f>AK441-5</f>
        <v>46439.7</v>
      </c>
      <c r="AK441" s="27">
        <f>AP440</f>
        <v>46444.7</v>
      </c>
      <c r="AL441" s="27">
        <f>AP440+3</f>
        <v>46447.7</v>
      </c>
      <c r="AM441" s="27">
        <f>AK441+20</f>
        <v>46464.7</v>
      </c>
      <c r="AN441" s="80"/>
      <c r="AO441" s="78"/>
      <c r="AP441" s="82">
        <f>AA441+AO440</f>
        <v>46408.7</v>
      </c>
      <c r="AQ441" s="82"/>
      <c r="AR441" s="78"/>
      <c r="AS441" s="124"/>
      <c r="AT441" s="502"/>
      <c r="AU441" s="20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415"/>
      <c r="BG441" s="407"/>
      <c r="BH441" s="407"/>
    </row>
    <row r="442" spans="1:60" s="3" customFormat="1" ht="14.25" thickTop="1" thickBot="1" x14ac:dyDescent="0.45">
      <c r="A442" s="497"/>
      <c r="B442" s="93" t="s">
        <v>406</v>
      </c>
      <c r="C442" s="31" t="s">
        <v>201</v>
      </c>
      <c r="D442" s="32" t="s">
        <v>408</v>
      </c>
      <c r="E442" s="44" t="s">
        <v>159</v>
      </c>
      <c r="F442" s="33" t="s">
        <v>153</v>
      </c>
      <c r="G442" s="31" t="s">
        <v>51</v>
      </c>
      <c r="H442" s="31" t="s">
        <v>1</v>
      </c>
      <c r="I442" s="31" t="s">
        <v>286</v>
      </c>
      <c r="J442" s="44"/>
      <c r="K442" s="195"/>
      <c r="L442" s="44"/>
      <c r="M442" s="44"/>
      <c r="N442" s="44"/>
      <c r="O442" s="44"/>
      <c r="P442" s="176" t="s">
        <v>69</v>
      </c>
      <c r="Q442" s="34" t="s">
        <v>35</v>
      </c>
      <c r="R442" s="35"/>
      <c r="S442" s="35">
        <v>46146</v>
      </c>
      <c r="T442" s="35">
        <v>46157</v>
      </c>
      <c r="U442" s="35">
        <v>46237</v>
      </c>
      <c r="V442" s="35">
        <v>46237</v>
      </c>
      <c r="W442" s="35">
        <v>46244</v>
      </c>
      <c r="X442" s="35">
        <v>46262</v>
      </c>
      <c r="Y442" s="35" t="s">
        <v>1037</v>
      </c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81"/>
      <c r="AO442" s="79"/>
      <c r="AP442" s="36"/>
      <c r="AQ442" s="36"/>
      <c r="AR442" s="79"/>
      <c r="AS442" s="143"/>
      <c r="AT442" s="503"/>
      <c r="AU442" s="38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415"/>
      <c r="BG442" s="407"/>
      <c r="BH442" s="407"/>
    </row>
    <row r="443" spans="1:60" ht="15.75" thickTop="1" x14ac:dyDescent="0.45">
      <c r="A443" s="495">
        <f t="shared" ref="A443" si="88">A440+1</f>
        <v>128</v>
      </c>
      <c r="B443" s="91"/>
      <c r="C443" s="13" t="s">
        <v>425</v>
      </c>
      <c r="D443" s="491" t="s">
        <v>820</v>
      </c>
      <c r="E443" s="41" t="s">
        <v>159</v>
      </c>
      <c r="F443" s="15" t="s">
        <v>153</v>
      </c>
      <c r="G443" s="13" t="s">
        <v>51</v>
      </c>
      <c r="H443" s="13" t="s">
        <v>189</v>
      </c>
      <c r="I443" s="13" t="s">
        <v>286</v>
      </c>
      <c r="J443" s="41"/>
      <c r="K443" s="193"/>
      <c r="L443" s="41"/>
      <c r="M443" s="41"/>
      <c r="N443" s="41"/>
      <c r="O443" s="41"/>
      <c r="P443" s="174" t="s">
        <v>69</v>
      </c>
      <c r="Q443" s="17" t="s">
        <v>33</v>
      </c>
      <c r="R443" s="18">
        <v>46247</v>
      </c>
      <c r="S443" s="18">
        <v>46238</v>
      </c>
      <c r="T443" s="18">
        <v>46238</v>
      </c>
      <c r="U443" s="18">
        <v>46260</v>
      </c>
      <c r="V443" s="18">
        <v>46260</v>
      </c>
      <c r="W443" s="206">
        <v>46274</v>
      </c>
      <c r="X443" s="18">
        <v>46297</v>
      </c>
      <c r="Y443" s="18">
        <v>46314</v>
      </c>
      <c r="Z443" s="18"/>
      <c r="AA443" s="56">
        <v>46325</v>
      </c>
      <c r="AB443" s="18">
        <v>46329</v>
      </c>
      <c r="AC443" s="18">
        <v>46336</v>
      </c>
      <c r="AD443" s="18">
        <v>46364</v>
      </c>
      <c r="AE443" s="18">
        <v>46378</v>
      </c>
      <c r="AF443" s="18">
        <v>46383</v>
      </c>
      <c r="AG443" s="18">
        <v>46383</v>
      </c>
      <c r="AH443" s="18">
        <v>46385</v>
      </c>
      <c r="AI443" s="18">
        <v>46434.7</v>
      </c>
      <c r="AJ443" s="18">
        <v>46439.7</v>
      </c>
      <c r="AK443" s="18">
        <v>46444.7</v>
      </c>
      <c r="AL443" s="18">
        <v>46447.7</v>
      </c>
      <c r="AM443" s="18">
        <v>46464.7</v>
      </c>
      <c r="AN443" s="58">
        <v>17.100000000000001</v>
      </c>
      <c r="AO443" s="58">
        <f>AN443*7</f>
        <v>119.70000000000002</v>
      </c>
      <c r="AP443" s="77">
        <v>46444.7</v>
      </c>
      <c r="AQ443" s="77">
        <v>46412</v>
      </c>
      <c r="AR443" s="76">
        <f>AQ443-AP443</f>
        <v>-32.69999999999709</v>
      </c>
      <c r="AS443" s="139" t="s">
        <v>496</v>
      </c>
      <c r="AT443" s="501" t="s">
        <v>436</v>
      </c>
      <c r="BF443" s="415"/>
      <c r="BG443" s="407"/>
      <c r="BH443" s="407"/>
    </row>
    <row r="444" spans="1:60" ht="15.4" x14ac:dyDescent="0.45">
      <c r="A444" s="496"/>
      <c r="B444" s="92"/>
      <c r="C444" s="40" t="s">
        <v>425</v>
      </c>
      <c r="D444" s="23" t="s">
        <v>820</v>
      </c>
      <c r="E444" s="42" t="s">
        <v>159</v>
      </c>
      <c r="F444" s="45" t="s">
        <v>153</v>
      </c>
      <c r="G444" s="22" t="s">
        <v>51</v>
      </c>
      <c r="H444" s="40" t="s">
        <v>1</v>
      </c>
      <c r="I444" s="40" t="s">
        <v>286</v>
      </c>
      <c r="J444" s="42"/>
      <c r="K444" s="194"/>
      <c r="L444" s="42"/>
      <c r="M444" s="42"/>
      <c r="N444" s="42"/>
      <c r="O444" s="42"/>
      <c r="P444" s="175" t="s">
        <v>69</v>
      </c>
      <c r="Q444" s="25" t="s">
        <v>34</v>
      </c>
      <c r="R444" s="26"/>
      <c r="S444" s="27"/>
      <c r="T444" s="27"/>
      <c r="U444" s="27"/>
      <c r="V444" s="27"/>
      <c r="W444" s="27">
        <v>46290</v>
      </c>
      <c r="X444" s="27">
        <f t="shared" ref="X444:Y444" si="89">X443</f>
        <v>46297</v>
      </c>
      <c r="Y444" s="27">
        <f t="shared" si="89"/>
        <v>46314</v>
      </c>
      <c r="Z444" s="27"/>
      <c r="AA444" s="27">
        <f>AA443</f>
        <v>46325</v>
      </c>
      <c r="AB444" s="27">
        <f>WORKDAY(AA444, AB9, IF(AB18="China",'China Holidays'!$A$2:$A$84,'Thai Holidays'!$A$2:$A$65))</f>
        <v>46329</v>
      </c>
      <c r="AC444" s="27">
        <f>WORKDAY(AB444, AC9, IF(AC18="China",'China Holidays'!$A$2:$A$84,'Thai Holidays'!$A$2:$A$65))</f>
        <v>46336</v>
      </c>
      <c r="AD444" s="27">
        <f>WORKDAY(AC444, AD9, IF(AD18="China",'China Holidays'!$A$2:$A$84,'Thai Holidays'!$A$2:$A$65))</f>
        <v>46350</v>
      </c>
      <c r="AE444" s="27">
        <f>WORKDAY(AD444, AE9, IF(AE18="China",'China Holidays'!$A$2:$A$84,'Thai Holidays'!$A$2:$A$65))</f>
        <v>46365</v>
      </c>
      <c r="AF444" s="27">
        <f>WORKDAY(AE444, AF9, IF(AF18="China",'China Holidays'!$A$2:$A$84,'Thai Holidays'!$A$2:$A$65))</f>
        <v>46365</v>
      </c>
      <c r="AG444" s="27">
        <f>WORKDAY(AF444, AG9, IF(AG18="China",'China Holidays'!$A$2:$A$84,'Thai Holidays'!$A$2:$A$65))</f>
        <v>46365</v>
      </c>
      <c r="AH444" s="27">
        <f>WORKDAY(AG444, AH9, IF(AH18="China",'China Holidays'!$A$2:$A$84,'Thai Holidays'!$A$2:$A$65))</f>
        <v>46365</v>
      </c>
      <c r="AI444" s="27">
        <f>WORKDAY(AH444, AI9, IF(AI18="China",'China Holidays'!$A$2:$A$84,'Thai Holidays'!$A$2:$A$65))</f>
        <v>46365</v>
      </c>
      <c r="AJ444" s="27">
        <f>WORKDAY(AI444, AJ9, IF(AJ18="China",'China Holidays'!$A$2:$A$84,'Thai Holidays'!$A$2:$A$65))</f>
        <v>46365</v>
      </c>
      <c r="AK444" s="27">
        <f>WORKDAY(AJ444, AK9, IF(AK18="China",'China Holidays'!$A$2:$A$84,'Thai Holidays'!$A$2:$A$65))</f>
        <v>46365</v>
      </c>
      <c r="AL444" s="27">
        <f>WORKDAY(AK444, AL9, IF(AL18="China",'China Holidays'!$A$2:$A$84,'Thai Holidays'!$A$2:$A$65))</f>
        <v>46365</v>
      </c>
      <c r="AM444" s="27">
        <f>WORKDAY(AL444, AM9, IF(AM18="China",'China Holidays'!$A$2:$A$84,'Thai Holidays'!$A$2:$A$65))</f>
        <v>46365</v>
      </c>
      <c r="AN444" s="80"/>
      <c r="AO444" s="78"/>
      <c r="AP444" s="82">
        <f>AA444+AO443</f>
        <v>46444.7</v>
      </c>
      <c r="AQ444" s="82"/>
      <c r="AR444" s="78"/>
      <c r="AS444" s="124"/>
      <c r="AT444" s="502"/>
      <c r="BF444" s="415"/>
      <c r="BG444" s="407"/>
      <c r="BH444" s="407"/>
    </row>
    <row r="445" spans="1:60" ht="15.75" thickBot="1" x14ac:dyDescent="0.5">
      <c r="A445" s="497"/>
      <c r="B445" s="93"/>
      <c r="C445" s="31" t="s">
        <v>425</v>
      </c>
      <c r="D445" s="32" t="s">
        <v>820</v>
      </c>
      <c r="E445" s="44" t="s">
        <v>159</v>
      </c>
      <c r="F445" s="33" t="s">
        <v>153</v>
      </c>
      <c r="G445" s="31" t="s">
        <v>51</v>
      </c>
      <c r="H445" s="31" t="s">
        <v>1</v>
      </c>
      <c r="I445" s="31" t="s">
        <v>286</v>
      </c>
      <c r="J445" s="44"/>
      <c r="K445" s="195"/>
      <c r="L445" s="44"/>
      <c r="M445" s="44"/>
      <c r="N445" s="44"/>
      <c r="O445" s="44"/>
      <c r="P445" s="176" t="s">
        <v>69</v>
      </c>
      <c r="Q445" s="34" t="s">
        <v>35</v>
      </c>
      <c r="R445" s="35"/>
      <c r="S445" s="35">
        <v>46238</v>
      </c>
      <c r="T445" s="35" t="s">
        <v>818</v>
      </c>
      <c r="U445" s="35">
        <v>46260</v>
      </c>
      <c r="V445" s="35">
        <v>46260</v>
      </c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81"/>
      <c r="AO445" s="79"/>
      <c r="AP445" s="36"/>
      <c r="AQ445" s="36"/>
      <c r="AR445" s="79"/>
      <c r="AS445" s="143"/>
      <c r="AT445" s="503"/>
      <c r="BF445" s="415"/>
      <c r="BG445" s="407"/>
      <c r="BH445" s="407"/>
    </row>
    <row r="446" spans="1:60" ht="19.5" thickTop="1" x14ac:dyDescent="0.6"/>
  </sheetData>
  <autoFilter ref="A10:BI445" xr:uid="{00000000-0001-0000-0000-000000000000}"/>
  <mergeCells count="282">
    <mergeCell ref="A431:A433"/>
    <mergeCell ref="AT419:AT421"/>
    <mergeCell ref="AT422:AT427"/>
    <mergeCell ref="AT428:AT430"/>
    <mergeCell ref="AT431:AT433"/>
    <mergeCell ref="A413:A415"/>
    <mergeCell ref="AT413:AT415"/>
    <mergeCell ref="A416:A418"/>
    <mergeCell ref="AT416:AT418"/>
    <mergeCell ref="A419:A421"/>
    <mergeCell ref="A422:A427"/>
    <mergeCell ref="A428:A430"/>
    <mergeCell ref="A437:A439"/>
    <mergeCell ref="AT237:AT239"/>
    <mergeCell ref="A270:A272"/>
    <mergeCell ref="A240:A242"/>
    <mergeCell ref="A267:A269"/>
    <mergeCell ref="A252:A254"/>
    <mergeCell ref="A258:A260"/>
    <mergeCell ref="A261:A263"/>
    <mergeCell ref="A264:A266"/>
    <mergeCell ref="A249:A251"/>
    <mergeCell ref="A246:A248"/>
    <mergeCell ref="AT290:AT292"/>
    <mergeCell ref="A302:A304"/>
    <mergeCell ref="AT302:AT304"/>
    <mergeCell ref="A305:A307"/>
    <mergeCell ref="AT305:AT307"/>
    <mergeCell ref="A398:A400"/>
    <mergeCell ref="A401:A403"/>
    <mergeCell ref="A332:A334"/>
    <mergeCell ref="AT332:AT334"/>
    <mergeCell ref="A389:A391"/>
    <mergeCell ref="AT380:AT382"/>
    <mergeCell ref="A434:A436"/>
    <mergeCell ref="AT434:AT436"/>
    <mergeCell ref="A392:A394"/>
    <mergeCell ref="A395:A397"/>
    <mergeCell ref="A61:A63"/>
    <mergeCell ref="A64:A66"/>
    <mergeCell ref="AT437:AT439"/>
    <mergeCell ref="A317:A319"/>
    <mergeCell ref="A49:A51"/>
    <mergeCell ref="A225:A227"/>
    <mergeCell ref="A73:A75"/>
    <mergeCell ref="A180:A182"/>
    <mergeCell ref="A213:A215"/>
    <mergeCell ref="A165:A167"/>
    <mergeCell ref="A168:A170"/>
    <mergeCell ref="A222:A224"/>
    <mergeCell ref="A219:A221"/>
    <mergeCell ref="A100:A102"/>
    <mergeCell ref="A82:A84"/>
    <mergeCell ref="A186:A188"/>
    <mergeCell ref="A204:A206"/>
    <mergeCell ref="A198:A200"/>
    <mergeCell ref="A55:A57"/>
    <mergeCell ref="A216:A218"/>
    <mergeCell ref="A207:A209"/>
    <mergeCell ref="A189:A191"/>
    <mergeCell ref="AT43:AT45"/>
    <mergeCell ref="AT25:AT27"/>
    <mergeCell ref="A201:A203"/>
    <mergeCell ref="A106:A109"/>
    <mergeCell ref="A22:A24"/>
    <mergeCell ref="A159:A161"/>
    <mergeCell ref="A156:A158"/>
    <mergeCell ref="A150:A152"/>
    <mergeCell ref="A147:A149"/>
    <mergeCell ref="A91:A93"/>
    <mergeCell ref="A37:A39"/>
    <mergeCell ref="A40:A42"/>
    <mergeCell ref="A43:A45"/>
    <mergeCell ref="A46:A48"/>
    <mergeCell ref="A85:A87"/>
    <mergeCell ref="A76:A78"/>
    <mergeCell ref="A58:A60"/>
    <mergeCell ref="A67:A69"/>
    <mergeCell ref="A52:A54"/>
    <mergeCell ref="A177:A179"/>
    <mergeCell ref="A103:A105"/>
    <mergeCell ref="A88:A90"/>
    <mergeCell ref="A144:A146"/>
    <mergeCell ref="AT82:AT84"/>
    <mergeCell ref="AT97:AT99"/>
    <mergeCell ref="A79:A81"/>
    <mergeCell ref="A97:A99"/>
    <mergeCell ref="A1:AT1"/>
    <mergeCell ref="A2:AT2"/>
    <mergeCell ref="A13:A18"/>
    <mergeCell ref="A141:A143"/>
    <mergeCell ref="A19:A21"/>
    <mergeCell ref="A28:A30"/>
    <mergeCell ref="A31:A33"/>
    <mergeCell ref="AT13:AT18"/>
    <mergeCell ref="AT141:AT143"/>
    <mergeCell ref="AT19:AT21"/>
    <mergeCell ref="AT28:AT30"/>
    <mergeCell ref="AT31:AT33"/>
    <mergeCell ref="AT22:AT24"/>
    <mergeCell ref="A25:A27"/>
    <mergeCell ref="A34:A36"/>
    <mergeCell ref="A122:A124"/>
    <mergeCell ref="A125:A127"/>
    <mergeCell ref="A128:A130"/>
    <mergeCell ref="A116:A118"/>
    <mergeCell ref="AT70:AT72"/>
    <mergeCell ref="AT186:AT188"/>
    <mergeCell ref="AT119:AT121"/>
    <mergeCell ref="AT34:AT36"/>
    <mergeCell ref="AT131:AT134"/>
    <mergeCell ref="AT100:AT102"/>
    <mergeCell ref="AT37:AT39"/>
    <mergeCell ref="AT40:AT42"/>
    <mergeCell ref="AT58:AT60"/>
    <mergeCell ref="AT67:AT69"/>
    <mergeCell ref="AT73:AT75"/>
    <mergeCell ref="AT110:AT112"/>
    <mergeCell ref="AT113:AT115"/>
    <mergeCell ref="AT61:AT63"/>
    <mergeCell ref="AT88:AT90"/>
    <mergeCell ref="AT64:AT66"/>
    <mergeCell ref="AT85:AT87"/>
    <mergeCell ref="AT79:AT81"/>
    <mergeCell ref="AT55:AT57"/>
    <mergeCell ref="AT49:AT51"/>
    <mergeCell ref="AT125:AT127"/>
    <mergeCell ref="AT135:AT137"/>
    <mergeCell ref="AT76:AT78"/>
    <mergeCell ref="A386:A388"/>
    <mergeCell ref="A311:A313"/>
    <mergeCell ref="AT116:AT118"/>
    <mergeCell ref="AT46:AT48"/>
    <mergeCell ref="AT52:AT54"/>
    <mergeCell ref="AT183:AT185"/>
    <mergeCell ref="AT216:AT218"/>
    <mergeCell ref="A70:A72"/>
    <mergeCell ref="A94:A96"/>
    <mergeCell ref="A110:A112"/>
    <mergeCell ref="A113:A115"/>
    <mergeCell ref="A119:A121"/>
    <mergeCell ref="A131:A134"/>
    <mergeCell ref="A135:A137"/>
    <mergeCell ref="AT153:AT155"/>
    <mergeCell ref="A183:A185"/>
    <mergeCell ref="A195:A197"/>
    <mergeCell ref="A210:A212"/>
    <mergeCell ref="A174:A176"/>
    <mergeCell ref="AT162:AT164"/>
    <mergeCell ref="AT177:AT179"/>
    <mergeCell ref="AT165:AT167"/>
    <mergeCell ref="AT94:AT96"/>
    <mergeCell ref="AT91:AT93"/>
    <mergeCell ref="A380:A382"/>
    <mergeCell ref="A383:A385"/>
    <mergeCell ref="AT122:AT124"/>
    <mergeCell ref="A153:A155"/>
    <mergeCell ref="A320:A322"/>
    <mergeCell ref="AT320:AT322"/>
    <mergeCell ref="A440:A442"/>
    <mergeCell ref="AT440:AT442"/>
    <mergeCell ref="AT401:AT403"/>
    <mergeCell ref="AT404:AT406"/>
    <mergeCell ref="AT273:AT275"/>
    <mergeCell ref="AT276:AT278"/>
    <mergeCell ref="AT279:AT283"/>
    <mergeCell ref="AT287:AT289"/>
    <mergeCell ref="AT293:AT295"/>
    <mergeCell ref="AT296:AT298"/>
    <mergeCell ref="AT395:AT397"/>
    <mergeCell ref="AT398:AT400"/>
    <mergeCell ref="AT389:AT391"/>
    <mergeCell ref="A404:A406"/>
    <mergeCell ref="A299:A301"/>
    <mergeCell ref="A308:A310"/>
    <mergeCell ref="AT407:AT409"/>
    <mergeCell ref="AT410:AT412"/>
    <mergeCell ref="A138:A140"/>
    <mergeCell ref="AT138:AT140"/>
    <mergeCell ref="AT128:AT130"/>
    <mergeCell ref="AT144:AT146"/>
    <mergeCell ref="AT231:AT233"/>
    <mergeCell ref="AT195:AT197"/>
    <mergeCell ref="AT204:AT206"/>
    <mergeCell ref="AT228:AT230"/>
    <mergeCell ref="AT219:AT221"/>
    <mergeCell ref="AT222:AT224"/>
    <mergeCell ref="AT210:AT212"/>
    <mergeCell ref="AT198:AT200"/>
    <mergeCell ref="AT189:AT191"/>
    <mergeCell ref="AT192:AT194"/>
    <mergeCell ref="A162:A164"/>
    <mergeCell ref="AT159:AT161"/>
    <mergeCell ref="AT156:AT158"/>
    <mergeCell ref="AT150:AT152"/>
    <mergeCell ref="AT147:AT149"/>
    <mergeCell ref="AT171:AT173"/>
    <mergeCell ref="AT180:AT182"/>
    <mergeCell ref="AT207:AT209"/>
    <mergeCell ref="A231:A233"/>
    <mergeCell ref="AT168:AT170"/>
    <mergeCell ref="AT174:AT176"/>
    <mergeCell ref="AT255:AT257"/>
    <mergeCell ref="AT201:AT203"/>
    <mergeCell ref="A338:A340"/>
    <mergeCell ref="AT338:AT340"/>
    <mergeCell ref="A341:A343"/>
    <mergeCell ref="AT341:AT343"/>
    <mergeCell ref="A228:A230"/>
    <mergeCell ref="A192:A194"/>
    <mergeCell ref="A171:A173"/>
    <mergeCell ref="A329:A331"/>
    <mergeCell ref="AT329:AT331"/>
    <mergeCell ref="A335:A337"/>
    <mergeCell ref="AT335:AT337"/>
    <mergeCell ref="A323:A325"/>
    <mergeCell ref="AT323:AT325"/>
    <mergeCell ref="A326:A328"/>
    <mergeCell ref="AT326:AT328"/>
    <mergeCell ref="A344:A346"/>
    <mergeCell ref="AT344:AT346"/>
    <mergeCell ref="AT317:AT319"/>
    <mergeCell ref="AT299:AT301"/>
    <mergeCell ref="A290:A292"/>
    <mergeCell ref="A234:A236"/>
    <mergeCell ref="AT311:AT313"/>
    <mergeCell ref="AT308:AT310"/>
    <mergeCell ref="A237:A239"/>
    <mergeCell ref="A243:A245"/>
    <mergeCell ref="A255:A257"/>
    <mergeCell ref="A273:A275"/>
    <mergeCell ref="A276:A278"/>
    <mergeCell ref="A279:A283"/>
    <mergeCell ref="A287:A289"/>
    <mergeCell ref="A374:A376"/>
    <mergeCell ref="AT374:AT376"/>
    <mergeCell ref="AT392:AT394"/>
    <mergeCell ref="AT270:AT272"/>
    <mergeCell ref="AT252:AT254"/>
    <mergeCell ref="AT258:AT260"/>
    <mergeCell ref="AT261:AT263"/>
    <mergeCell ref="AT213:AT215"/>
    <mergeCell ref="AT264:AT266"/>
    <mergeCell ref="AT267:AT269"/>
    <mergeCell ref="AT234:AT236"/>
    <mergeCell ref="AT225:AT227"/>
    <mergeCell ref="AT240:AT242"/>
    <mergeCell ref="AT243:AT245"/>
    <mergeCell ref="AT246:AT248"/>
    <mergeCell ref="AT249:AT251"/>
    <mergeCell ref="AT383:AT385"/>
    <mergeCell ref="AT386:AT388"/>
    <mergeCell ref="A293:A295"/>
    <mergeCell ref="A296:A298"/>
    <mergeCell ref="A284:A286"/>
    <mergeCell ref="AT284:AT286"/>
    <mergeCell ref="A314:A316"/>
    <mergeCell ref="AT314:AT316"/>
    <mergeCell ref="A407:A409"/>
    <mergeCell ref="A410:A412"/>
    <mergeCell ref="A347:A349"/>
    <mergeCell ref="AT347:AT349"/>
    <mergeCell ref="A443:A445"/>
    <mergeCell ref="AT443:AT445"/>
    <mergeCell ref="A350:A352"/>
    <mergeCell ref="AT350:AT352"/>
    <mergeCell ref="A353:A355"/>
    <mergeCell ref="AT353:AT355"/>
    <mergeCell ref="A356:A358"/>
    <mergeCell ref="AT356:AT358"/>
    <mergeCell ref="A359:A361"/>
    <mergeCell ref="AT359:AT361"/>
    <mergeCell ref="A377:A379"/>
    <mergeCell ref="AT377:AT379"/>
    <mergeCell ref="A362:A364"/>
    <mergeCell ref="AT362:AT364"/>
    <mergeCell ref="A365:A367"/>
    <mergeCell ref="AT365:AT367"/>
    <mergeCell ref="A368:A370"/>
    <mergeCell ref="AT368:AT370"/>
    <mergeCell ref="A371:A373"/>
    <mergeCell ref="AT371:AT373"/>
  </mergeCells>
  <phoneticPr fontId="19" type="noConversion"/>
  <pageMargins left="0.70866141732283472" right="0.70866141732283472" top="0.74803149606299213" bottom="0.74803149606299213" header="0.31496062992125984" footer="0.31496062992125984"/>
  <pageSetup paperSize="8" scale="34" fitToHeight="0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EB6D-60D1-4126-A0CA-0E524E90C28F}">
  <dimension ref="A1:BH22"/>
  <sheetViews>
    <sheetView zoomScale="90" zoomScaleNormal="90" workbookViewId="0">
      <selection activeCell="D26" sqref="D26"/>
    </sheetView>
  </sheetViews>
  <sheetFormatPr defaultColWidth="10.6640625" defaultRowHeight="19.149999999999999" outlineLevelCol="1" x14ac:dyDescent="0.6"/>
  <cols>
    <col min="1" max="1" width="3.86328125" style="376" customWidth="1"/>
    <col min="2" max="2" width="23.19921875" style="94" customWidth="1"/>
    <col min="3" max="3" width="13.73046875" style="5" customWidth="1"/>
    <col min="4" max="4" width="32.86328125" style="6" customWidth="1"/>
    <col min="5" max="5" width="6.9296875" style="6" hidden="1" customWidth="1"/>
    <col min="6" max="6" width="6.73046875" customWidth="1"/>
    <col min="7" max="7" width="5.73046875" style="6" customWidth="1"/>
    <col min="8" max="9" width="5.59765625" style="6" customWidth="1"/>
    <col min="10" max="10" width="20" style="200" customWidth="1"/>
    <col min="11" max="11" width="14.9296875" style="200" hidden="1" customWidth="1" outlineLevel="1"/>
    <col min="12" max="12" width="16.53125" style="200" hidden="1" customWidth="1" outlineLevel="1"/>
    <col min="13" max="13" width="18.3984375" style="200" hidden="1" customWidth="1" outlineLevel="1"/>
    <col min="14" max="14" width="14.59765625" style="200" hidden="1" customWidth="1" outlineLevel="1"/>
    <col min="15" max="15" width="14" style="200" hidden="1" customWidth="1" outlineLevel="1"/>
    <col min="16" max="16" width="5.73046875" style="183" customWidth="1" collapsed="1"/>
    <col min="17" max="17" width="6.86328125" style="6" customWidth="1"/>
    <col min="18" max="25" width="10.53125" style="7" customWidth="1"/>
    <col min="26" max="26" width="11.59765625" style="7" customWidth="1"/>
    <col min="27" max="27" width="11.53125" style="7" customWidth="1"/>
    <col min="28" max="32" width="10.53125" style="7" customWidth="1"/>
    <col min="33" max="33" width="9.796875" style="7" customWidth="1"/>
    <col min="34" max="39" width="10.53125" style="7" customWidth="1"/>
    <col min="40" max="40" width="7.1328125" style="48" customWidth="1"/>
    <col min="41" max="41" width="5.9296875" style="49" customWidth="1"/>
    <col min="42" max="42" width="13.3984375" style="8" customWidth="1"/>
    <col min="43" max="43" width="11.86328125" style="8" customWidth="1"/>
    <col min="44" max="44" width="7.59765625" style="8" customWidth="1"/>
    <col min="45" max="45" width="13.86328125" style="8" customWidth="1"/>
    <col min="46" max="46" width="35.86328125" style="152" customWidth="1"/>
    <col min="47" max="57" width="10.6640625" style="6" hidden="1" customWidth="1"/>
    <col min="58" max="58" width="13.46484375" style="295" customWidth="1"/>
    <col min="59" max="59" width="20.46484375" style="417" customWidth="1"/>
    <col min="60" max="16384" width="10.6640625" style="6"/>
  </cols>
  <sheetData>
    <row r="1" spans="1:60" s="148" customFormat="1" ht="11.25" x14ac:dyDescent="0.4">
      <c r="A1" s="518" t="s">
        <v>183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  <c r="AD1" s="519"/>
      <c r="AE1" s="519"/>
      <c r="AF1" s="519"/>
      <c r="AG1" s="519"/>
      <c r="AH1" s="519"/>
      <c r="AI1" s="519"/>
      <c r="AJ1" s="519"/>
      <c r="AK1" s="519"/>
      <c r="AL1" s="519"/>
      <c r="AM1" s="519"/>
      <c r="AN1" s="519"/>
      <c r="AO1" s="519"/>
      <c r="AP1" s="519"/>
      <c r="AQ1" s="519"/>
      <c r="AR1" s="519"/>
      <c r="AS1" s="519"/>
      <c r="AT1" s="519"/>
      <c r="BF1" s="294"/>
      <c r="BG1" s="416"/>
      <c r="BH1" s="280"/>
    </row>
    <row r="2" spans="1:60" s="148" customFormat="1" ht="11.25" x14ac:dyDescent="0.4">
      <c r="A2" s="518" t="s">
        <v>349</v>
      </c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  <c r="R2" s="519"/>
      <c r="S2" s="519"/>
      <c r="T2" s="519"/>
      <c r="U2" s="519"/>
      <c r="V2" s="519"/>
      <c r="W2" s="519"/>
      <c r="X2" s="519"/>
      <c r="Y2" s="519"/>
      <c r="Z2" s="519"/>
      <c r="AA2" s="519"/>
      <c r="AB2" s="519"/>
      <c r="AC2" s="519"/>
      <c r="AD2" s="519"/>
      <c r="AE2" s="519"/>
      <c r="AF2" s="519"/>
      <c r="AG2" s="519"/>
      <c r="AH2" s="519"/>
      <c r="AI2" s="519"/>
      <c r="AJ2" s="519"/>
      <c r="AK2" s="519"/>
      <c r="AL2" s="519"/>
      <c r="AM2" s="519"/>
      <c r="AN2" s="519"/>
      <c r="AO2" s="519"/>
      <c r="AP2" s="519"/>
      <c r="AQ2" s="519"/>
      <c r="AR2" s="519"/>
      <c r="AS2" s="519"/>
      <c r="AT2" s="519"/>
      <c r="BF2" s="294"/>
      <c r="BG2" s="416"/>
      <c r="BH2" s="280"/>
    </row>
    <row r="3" spans="1:60" s="148" customFormat="1" ht="11.25" x14ac:dyDescent="0.4">
      <c r="A3" s="374"/>
      <c r="B3" s="90"/>
      <c r="C3" s="90"/>
      <c r="D3" s="147"/>
      <c r="E3" s="154"/>
      <c r="F3" s="154"/>
      <c r="G3" s="155"/>
      <c r="H3" s="156"/>
      <c r="I3" s="156"/>
      <c r="J3" s="155"/>
      <c r="K3" s="299"/>
      <c r="L3" s="155"/>
      <c r="M3" s="155"/>
      <c r="N3" s="155"/>
      <c r="O3" s="155"/>
      <c r="P3" s="181"/>
      <c r="Q3" s="157"/>
      <c r="R3" s="155"/>
      <c r="S3" s="158"/>
      <c r="T3" s="158"/>
      <c r="U3" s="158"/>
      <c r="V3" s="158"/>
      <c r="W3" s="158"/>
      <c r="X3" s="158"/>
      <c r="Y3" s="158"/>
      <c r="Z3" s="158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60"/>
      <c r="AO3" s="159"/>
      <c r="AP3" s="159"/>
      <c r="AQ3" s="159"/>
      <c r="AR3" s="159"/>
      <c r="AS3" s="159"/>
      <c r="AT3" s="161"/>
      <c r="BF3" s="294"/>
      <c r="BG3" s="416"/>
      <c r="BH3" s="280"/>
    </row>
    <row r="4" spans="1:60" s="148" customFormat="1" ht="11.25" x14ac:dyDescent="0.4">
      <c r="A4" s="374"/>
      <c r="B4" s="90"/>
      <c r="C4" s="90"/>
      <c r="D4" s="147"/>
      <c r="E4" s="162"/>
      <c r="F4" s="154"/>
      <c r="G4" s="155"/>
      <c r="H4" s="156"/>
      <c r="I4" s="156"/>
      <c r="J4" s="155"/>
      <c r="K4" s="299"/>
      <c r="L4" s="155"/>
      <c r="M4" s="155"/>
      <c r="N4" s="155"/>
      <c r="O4" s="155"/>
      <c r="P4" s="181"/>
      <c r="Q4" s="157"/>
      <c r="R4" s="155"/>
      <c r="S4" s="158"/>
      <c r="T4" s="158"/>
      <c r="U4" s="158"/>
      <c r="V4" s="158"/>
      <c r="W4" s="158"/>
      <c r="X4" s="158"/>
      <c r="Y4" s="158"/>
      <c r="Z4" s="158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60"/>
      <c r="AO4" s="159"/>
      <c r="AP4" s="159"/>
      <c r="AQ4" s="159"/>
      <c r="AR4" s="159"/>
      <c r="AS4" s="159"/>
      <c r="AT4" s="161"/>
      <c r="BF4" s="294"/>
      <c r="BG4" s="416"/>
      <c r="BH4" s="280"/>
    </row>
    <row r="5" spans="1:60" s="148" customFormat="1" ht="11.25" x14ac:dyDescent="0.4">
      <c r="A5" s="374"/>
      <c r="B5" s="90"/>
      <c r="C5" s="90"/>
      <c r="D5" s="147"/>
      <c r="E5" s="162"/>
      <c r="F5" s="154"/>
      <c r="G5" s="155"/>
      <c r="H5" s="156"/>
      <c r="I5" s="156"/>
      <c r="J5" s="155"/>
      <c r="K5" s="299"/>
      <c r="L5" s="155"/>
      <c r="M5" s="155"/>
      <c r="N5" s="155"/>
      <c r="O5" s="155"/>
      <c r="P5" s="181"/>
      <c r="Q5" s="157"/>
      <c r="R5" s="155"/>
      <c r="S5" s="163"/>
      <c r="T5" s="163"/>
      <c r="U5" s="163"/>
      <c r="V5" s="163"/>
      <c r="W5" s="163"/>
      <c r="X5" s="163"/>
      <c r="Y5" s="163"/>
      <c r="Z5" s="163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60"/>
      <c r="AO5" s="159"/>
      <c r="AP5" s="159"/>
      <c r="AQ5" s="159"/>
      <c r="AR5" s="159"/>
      <c r="AS5" s="159"/>
      <c r="AT5" s="161"/>
      <c r="BF5" s="294"/>
      <c r="BG5" s="416"/>
      <c r="BH5" s="280"/>
    </row>
    <row r="6" spans="1:60" s="148" customFormat="1" ht="11.25" x14ac:dyDescent="0.4">
      <c r="A6" s="374"/>
      <c r="B6" s="90"/>
      <c r="C6" s="90"/>
      <c r="D6" s="147"/>
      <c r="E6" s="162"/>
      <c r="F6" s="154"/>
      <c r="G6" s="155"/>
      <c r="H6" s="156"/>
      <c r="I6" s="164" t="s">
        <v>286</v>
      </c>
      <c r="J6" s="196" t="s">
        <v>287</v>
      </c>
      <c r="K6" s="300"/>
      <c r="L6" s="196"/>
      <c r="M6" s="196"/>
      <c r="N6" s="196"/>
      <c r="O6" s="196"/>
      <c r="P6" s="182"/>
      <c r="Q6" s="157"/>
      <c r="R6" s="165"/>
      <c r="S6" s="166">
        <v>1</v>
      </c>
      <c r="T6" s="190">
        <v>10</v>
      </c>
      <c r="U6" s="166">
        <v>0</v>
      </c>
      <c r="V6" s="166">
        <v>0</v>
      </c>
      <c r="W6" s="166">
        <v>10</v>
      </c>
      <c r="X6" s="166">
        <v>17</v>
      </c>
      <c r="Y6" s="190">
        <v>10</v>
      </c>
      <c r="Z6" s="350"/>
      <c r="AA6" s="166">
        <v>9</v>
      </c>
      <c r="AB6" s="166">
        <v>2</v>
      </c>
      <c r="AC6" s="166">
        <v>5</v>
      </c>
      <c r="AD6" s="166">
        <v>20</v>
      </c>
      <c r="AE6" s="166">
        <v>10</v>
      </c>
      <c r="AF6" s="167"/>
      <c r="AG6" s="167"/>
      <c r="AH6" s="166"/>
      <c r="AI6" s="166"/>
      <c r="AJ6" s="166"/>
      <c r="AK6" s="166"/>
      <c r="AL6" s="166"/>
      <c r="AM6" s="166"/>
      <c r="AN6" s="168"/>
      <c r="AO6" s="169"/>
      <c r="AP6" s="159"/>
      <c r="AQ6" s="159"/>
      <c r="AR6" s="159"/>
      <c r="AS6" s="159"/>
      <c r="AT6" s="170"/>
      <c r="AU6" s="165">
        <v>3</v>
      </c>
      <c r="AV6" s="165"/>
      <c r="AW6" s="165">
        <v>10</v>
      </c>
      <c r="AX6" s="148">
        <v>2</v>
      </c>
      <c r="BF6" s="294"/>
      <c r="BG6" s="416"/>
      <c r="BH6" s="280"/>
    </row>
    <row r="7" spans="1:60" s="148" customFormat="1" ht="11.25" x14ac:dyDescent="0.4">
      <c r="A7" s="374"/>
      <c r="B7" s="90"/>
      <c r="C7" s="90"/>
      <c r="D7" s="147"/>
      <c r="E7" s="162"/>
      <c r="F7" s="154"/>
      <c r="G7" s="155"/>
      <c r="H7" s="156"/>
      <c r="I7" s="156" t="s">
        <v>288</v>
      </c>
      <c r="J7" s="196" t="s">
        <v>289</v>
      </c>
      <c r="K7" s="300"/>
      <c r="L7" s="196"/>
      <c r="M7" s="196"/>
      <c r="N7" s="196"/>
      <c r="O7" s="196"/>
      <c r="P7" s="182"/>
      <c r="Q7" s="157"/>
      <c r="R7" s="165"/>
      <c r="S7" s="166">
        <v>1</v>
      </c>
      <c r="T7" s="190">
        <v>10</v>
      </c>
      <c r="U7" s="166">
        <v>0</v>
      </c>
      <c r="V7" s="166">
        <v>0</v>
      </c>
      <c r="W7" s="166">
        <v>10</v>
      </c>
      <c r="X7" s="166">
        <v>17</v>
      </c>
      <c r="Y7" s="190">
        <v>10</v>
      </c>
      <c r="Z7" s="350"/>
      <c r="AA7" s="166">
        <v>9</v>
      </c>
      <c r="AB7" s="166">
        <v>2</v>
      </c>
      <c r="AC7" s="166">
        <v>5</v>
      </c>
      <c r="AD7" s="166">
        <v>20</v>
      </c>
      <c r="AE7" s="166">
        <v>10</v>
      </c>
      <c r="AF7" s="167"/>
      <c r="AG7" s="167"/>
      <c r="AH7" s="166"/>
      <c r="AI7" s="166"/>
      <c r="AJ7" s="166"/>
      <c r="AK7" s="166"/>
      <c r="AL7" s="166"/>
      <c r="AM7" s="166"/>
      <c r="AN7" s="168"/>
      <c r="AO7" s="169"/>
      <c r="AP7" s="159"/>
      <c r="AQ7" s="159"/>
      <c r="AR7" s="159"/>
      <c r="AS7" s="159"/>
      <c r="AT7" s="170"/>
      <c r="AU7" s="165">
        <v>3</v>
      </c>
      <c r="AV7" s="165"/>
      <c r="AW7" s="165">
        <v>10</v>
      </c>
      <c r="AX7" s="148">
        <v>2</v>
      </c>
      <c r="BF7" s="294"/>
      <c r="BG7" s="416"/>
      <c r="BH7" s="280"/>
    </row>
    <row r="8" spans="1:60" s="148" customFormat="1" ht="11.25" x14ac:dyDescent="0.4">
      <c r="A8" s="374"/>
      <c r="B8" s="90"/>
      <c r="C8" s="90"/>
      <c r="D8" s="147"/>
      <c r="E8" s="162"/>
      <c r="F8" s="154"/>
      <c r="G8" s="155"/>
      <c r="H8" s="156"/>
      <c r="I8" s="156" t="s">
        <v>290</v>
      </c>
      <c r="J8" s="196" t="s">
        <v>291</v>
      </c>
      <c r="K8" s="300"/>
      <c r="L8" s="196"/>
      <c r="M8" s="196"/>
      <c r="N8" s="196"/>
      <c r="O8" s="196"/>
      <c r="P8" s="182"/>
      <c r="Q8" s="157"/>
      <c r="R8" s="165"/>
      <c r="S8" s="166">
        <v>1</v>
      </c>
      <c r="T8" s="190">
        <v>10</v>
      </c>
      <c r="U8" s="166">
        <v>0</v>
      </c>
      <c r="V8" s="166">
        <v>0</v>
      </c>
      <c r="W8" s="166">
        <v>10</v>
      </c>
      <c r="X8" s="166">
        <v>13</v>
      </c>
      <c r="Y8" s="190">
        <v>10</v>
      </c>
      <c r="Z8" s="350"/>
      <c r="AA8" s="166">
        <v>9</v>
      </c>
      <c r="AB8" s="166">
        <v>2</v>
      </c>
      <c r="AC8" s="166">
        <v>5</v>
      </c>
      <c r="AD8" s="166">
        <v>15</v>
      </c>
      <c r="AE8" s="166">
        <v>10</v>
      </c>
      <c r="AF8" s="167"/>
      <c r="AG8" s="167"/>
      <c r="AH8" s="166"/>
      <c r="AI8" s="166"/>
      <c r="AJ8" s="166"/>
      <c r="AK8" s="166"/>
      <c r="AL8" s="166"/>
      <c r="AM8" s="166"/>
      <c r="AN8" s="168"/>
      <c r="AO8" s="169"/>
      <c r="AP8" s="159"/>
      <c r="AQ8" s="159"/>
      <c r="AR8" s="159"/>
      <c r="AS8" s="159"/>
      <c r="AT8" s="170"/>
      <c r="AU8" s="165">
        <v>3</v>
      </c>
      <c r="AV8" s="165"/>
      <c r="AW8" s="165">
        <v>10</v>
      </c>
      <c r="AX8" s="148">
        <v>2</v>
      </c>
      <c r="BF8" s="294"/>
      <c r="BG8" s="416"/>
      <c r="BH8" s="280"/>
    </row>
    <row r="9" spans="1:60" s="148" customFormat="1" ht="11.25" x14ac:dyDescent="0.4">
      <c r="A9" s="375" t="s">
        <v>2</v>
      </c>
      <c r="B9" s="171"/>
      <c r="C9" s="90"/>
      <c r="D9" s="147"/>
      <c r="E9" s="162"/>
      <c r="F9" s="154"/>
      <c r="G9" s="155"/>
      <c r="H9" s="156"/>
      <c r="I9" s="156" t="s">
        <v>292</v>
      </c>
      <c r="J9" s="196" t="s">
        <v>293</v>
      </c>
      <c r="K9" s="300"/>
      <c r="L9" s="196"/>
      <c r="M9" s="196"/>
      <c r="N9" s="196"/>
      <c r="O9" s="196"/>
      <c r="P9" s="182"/>
      <c r="Q9" s="157"/>
      <c r="R9" s="165"/>
      <c r="S9" s="166">
        <v>1</v>
      </c>
      <c r="T9" s="190">
        <v>10</v>
      </c>
      <c r="U9" s="166">
        <v>0</v>
      </c>
      <c r="V9" s="166">
        <v>0</v>
      </c>
      <c r="W9" s="166">
        <v>5</v>
      </c>
      <c r="X9" s="166">
        <v>7</v>
      </c>
      <c r="Y9" s="190">
        <v>10</v>
      </c>
      <c r="Z9" s="350"/>
      <c r="AA9" s="166">
        <v>5</v>
      </c>
      <c r="AB9" s="166">
        <v>2</v>
      </c>
      <c r="AC9" s="166">
        <v>5</v>
      </c>
      <c r="AD9" s="166">
        <v>10</v>
      </c>
      <c r="AE9" s="166">
        <v>10</v>
      </c>
      <c r="AF9" s="167"/>
      <c r="AG9" s="167"/>
      <c r="AH9" s="166"/>
      <c r="AI9" s="166"/>
      <c r="AJ9" s="166"/>
      <c r="AK9" s="166"/>
      <c r="AL9" s="166"/>
      <c r="AM9" s="166"/>
      <c r="AN9" s="168"/>
      <c r="AO9" s="169"/>
      <c r="AP9" s="159"/>
      <c r="AQ9" s="159"/>
      <c r="AR9" s="159"/>
      <c r="AS9" s="159"/>
      <c r="AT9" s="189" t="s">
        <v>1021</v>
      </c>
      <c r="AU9" s="165">
        <v>2</v>
      </c>
      <c r="AV9" s="165"/>
      <c r="AW9" s="165">
        <v>5</v>
      </c>
      <c r="AX9" s="148">
        <v>2</v>
      </c>
      <c r="BF9" s="294"/>
      <c r="BG9" s="416"/>
      <c r="BH9" s="280"/>
    </row>
    <row r="10" spans="1:60" s="1" customFormat="1" ht="34.5" customHeight="1" x14ac:dyDescent="0.3">
      <c r="A10" s="72" t="s">
        <v>642</v>
      </c>
      <c r="B10" s="72" t="s">
        <v>411</v>
      </c>
      <c r="C10" s="72" t="s">
        <v>4</v>
      </c>
      <c r="D10" s="72" t="s">
        <v>5</v>
      </c>
      <c r="E10" s="114" t="s">
        <v>6</v>
      </c>
      <c r="F10" s="72" t="s">
        <v>7</v>
      </c>
      <c r="G10" s="72" t="s">
        <v>8</v>
      </c>
      <c r="H10" s="72" t="s">
        <v>184</v>
      </c>
      <c r="I10" s="72" t="s">
        <v>285</v>
      </c>
      <c r="J10" s="72" t="s">
        <v>195</v>
      </c>
      <c r="K10" s="72" t="s">
        <v>649</v>
      </c>
      <c r="L10" s="72" t="s">
        <v>647</v>
      </c>
      <c r="M10" s="72" t="s">
        <v>676</v>
      </c>
      <c r="N10" s="72" t="s">
        <v>697</v>
      </c>
      <c r="O10" s="72" t="s">
        <v>648</v>
      </c>
      <c r="P10" s="173" t="s">
        <v>9</v>
      </c>
      <c r="Q10" s="72" t="s">
        <v>10</v>
      </c>
      <c r="R10" s="72" t="s">
        <v>11</v>
      </c>
      <c r="S10" s="72" t="s">
        <v>428</v>
      </c>
      <c r="T10" s="72" t="s">
        <v>12</v>
      </c>
      <c r="U10" s="72" t="s">
        <v>13</v>
      </c>
      <c r="V10" s="72" t="s">
        <v>14</v>
      </c>
      <c r="W10" s="72" t="s">
        <v>419</v>
      </c>
      <c r="X10" s="72" t="s">
        <v>15</v>
      </c>
      <c r="Y10" s="72" t="s">
        <v>808</v>
      </c>
      <c r="Z10" s="72" t="s">
        <v>735</v>
      </c>
      <c r="AA10" s="72" t="s">
        <v>16</v>
      </c>
      <c r="AB10" s="72" t="s">
        <v>17</v>
      </c>
      <c r="AC10" s="73" t="s">
        <v>168</v>
      </c>
      <c r="AD10" s="74" t="s">
        <v>169</v>
      </c>
      <c r="AE10" s="74" t="s">
        <v>1023</v>
      </c>
      <c r="AF10" s="73" t="s">
        <v>170</v>
      </c>
      <c r="AG10" s="73" t="s">
        <v>332</v>
      </c>
      <c r="AH10" s="73" t="s">
        <v>171</v>
      </c>
      <c r="AI10" s="73" t="s">
        <v>172</v>
      </c>
      <c r="AJ10" s="75" t="s">
        <v>173</v>
      </c>
      <c r="AK10" s="73" t="s">
        <v>325</v>
      </c>
      <c r="AL10" s="72" t="s">
        <v>174</v>
      </c>
      <c r="AM10" s="72" t="s">
        <v>175</v>
      </c>
      <c r="AN10" s="50" t="s">
        <v>18</v>
      </c>
      <c r="AO10" s="115" t="s">
        <v>19</v>
      </c>
      <c r="AP10" s="50" t="s">
        <v>20</v>
      </c>
      <c r="AQ10" s="50" t="s">
        <v>21</v>
      </c>
      <c r="AR10" s="72" t="s">
        <v>179</v>
      </c>
      <c r="AS10" s="72" t="s">
        <v>363</v>
      </c>
      <c r="AT10" s="72" t="s">
        <v>22</v>
      </c>
      <c r="AU10" s="10">
        <v>40329</v>
      </c>
      <c r="AV10" s="11">
        <v>40359</v>
      </c>
      <c r="AW10" s="11">
        <v>40390</v>
      </c>
      <c r="AX10" s="11">
        <v>40421</v>
      </c>
      <c r="AY10" s="11">
        <v>40451</v>
      </c>
      <c r="AZ10" s="11">
        <v>40482</v>
      </c>
      <c r="BA10" s="11">
        <v>40512</v>
      </c>
      <c r="BB10" s="11">
        <v>40543</v>
      </c>
      <c r="BC10" s="11">
        <v>40574</v>
      </c>
      <c r="BD10" s="11">
        <v>40602</v>
      </c>
      <c r="BE10" s="11">
        <f ca="1">TODAY()</f>
        <v>46287</v>
      </c>
      <c r="BF10" s="72" t="s">
        <v>897</v>
      </c>
      <c r="BG10" s="72" t="s">
        <v>898</v>
      </c>
      <c r="BH10" s="72" t="s">
        <v>997</v>
      </c>
    </row>
    <row r="11" spans="1:60" s="2" customFormat="1" ht="10.15" x14ac:dyDescent="0.4">
      <c r="A11" s="12"/>
      <c r="B11" s="12"/>
      <c r="C11" s="72"/>
      <c r="D11" s="72"/>
      <c r="E11" s="72"/>
      <c r="F11" s="72"/>
      <c r="G11" s="72"/>
      <c r="H11" s="72"/>
      <c r="I11" s="72"/>
      <c r="J11" s="72"/>
      <c r="K11" s="301"/>
      <c r="L11" s="72"/>
      <c r="M11" s="72"/>
      <c r="N11" s="72"/>
      <c r="O11" s="72"/>
      <c r="P11" s="173"/>
      <c r="Q11" s="72" t="s">
        <v>23</v>
      </c>
      <c r="R11" s="72" t="s">
        <v>24</v>
      </c>
      <c r="S11" s="72" t="s">
        <v>25</v>
      </c>
      <c r="T11" s="72" t="s">
        <v>24</v>
      </c>
      <c r="U11" s="72" t="s">
        <v>26</v>
      </c>
      <c r="V11" s="72" t="s">
        <v>24</v>
      </c>
      <c r="W11" s="72" t="s">
        <v>26</v>
      </c>
      <c r="X11" s="72" t="s">
        <v>25</v>
      </c>
      <c r="Y11" s="72" t="s">
        <v>24</v>
      </c>
      <c r="Z11" s="72" t="s">
        <v>26</v>
      </c>
      <c r="AA11" s="72" t="s">
        <v>26</v>
      </c>
      <c r="AB11" s="72" t="s">
        <v>27</v>
      </c>
      <c r="AC11" s="72" t="s">
        <v>26</v>
      </c>
      <c r="AD11" s="72" t="s">
        <v>176</v>
      </c>
      <c r="AE11" s="72" t="s">
        <v>25</v>
      </c>
      <c r="AF11" s="72" t="s">
        <v>176</v>
      </c>
      <c r="AG11" s="72" t="s">
        <v>177</v>
      </c>
      <c r="AH11" s="72" t="s">
        <v>176</v>
      </c>
      <c r="AI11" s="72" t="s">
        <v>177</v>
      </c>
      <c r="AJ11" s="72" t="s">
        <v>176</v>
      </c>
      <c r="AK11" s="72" t="s">
        <v>178</v>
      </c>
      <c r="AL11" s="72" t="s">
        <v>177</v>
      </c>
      <c r="AM11" s="72" t="s">
        <v>26</v>
      </c>
      <c r="AN11" s="50"/>
      <c r="AO11" s="51"/>
      <c r="AP11" s="72" t="s">
        <v>26</v>
      </c>
      <c r="AQ11" s="72"/>
      <c r="AR11" s="72"/>
      <c r="AS11" s="72"/>
      <c r="AT11" s="153"/>
      <c r="BF11" s="72"/>
      <c r="BG11" s="72"/>
      <c r="BH11" s="72"/>
    </row>
    <row r="12" spans="1:60" s="2" customFormat="1" ht="10.5" thickBot="1" x14ac:dyDescent="0.45">
      <c r="A12" s="12"/>
      <c r="B12" s="12"/>
      <c r="C12" s="72"/>
      <c r="D12" s="72"/>
      <c r="E12" s="72"/>
      <c r="F12" s="72"/>
      <c r="G12" s="72"/>
      <c r="H12" s="72"/>
      <c r="I12" s="72"/>
      <c r="J12" s="72"/>
      <c r="K12" s="301"/>
      <c r="L12" s="72"/>
      <c r="M12" s="72"/>
      <c r="N12" s="72"/>
      <c r="O12" s="72"/>
      <c r="P12" s="173"/>
      <c r="Q12" s="72" t="s">
        <v>318</v>
      </c>
      <c r="R12" s="72" t="s">
        <v>320</v>
      </c>
      <c r="S12" s="72" t="s">
        <v>319</v>
      </c>
      <c r="T12" s="72" t="s">
        <v>319</v>
      </c>
      <c r="U12" s="72" t="s">
        <v>320</v>
      </c>
      <c r="V12" s="72" t="s">
        <v>319</v>
      </c>
      <c r="W12" s="72" t="s">
        <v>320</v>
      </c>
      <c r="X12" s="72" t="s">
        <v>319</v>
      </c>
      <c r="Y12" s="72" t="s">
        <v>319</v>
      </c>
      <c r="Z12" s="72" t="s">
        <v>320</v>
      </c>
      <c r="AA12" s="72" t="s">
        <v>320</v>
      </c>
      <c r="AB12" s="72" t="s">
        <v>427</v>
      </c>
      <c r="AC12" s="72" t="s">
        <v>427</v>
      </c>
      <c r="AD12" s="72" t="s">
        <v>427</v>
      </c>
      <c r="AE12" s="72" t="s">
        <v>319</v>
      </c>
      <c r="AF12" s="72"/>
      <c r="AG12" s="72"/>
      <c r="AH12" s="72"/>
      <c r="AI12" s="72"/>
      <c r="AJ12" s="72"/>
      <c r="AK12" s="72"/>
      <c r="AL12" s="72"/>
      <c r="AM12" s="72"/>
      <c r="AN12" s="50"/>
      <c r="AO12" s="51"/>
      <c r="AP12" s="72"/>
      <c r="AQ12" s="72"/>
      <c r="AR12" s="72"/>
      <c r="AS12" s="72"/>
      <c r="AT12" s="153"/>
      <c r="AU12" s="2" t="s">
        <v>319</v>
      </c>
      <c r="AW12" s="2" t="s">
        <v>320</v>
      </c>
      <c r="AX12" s="2" t="s">
        <v>320</v>
      </c>
      <c r="BF12" s="72"/>
      <c r="BG12" s="72"/>
      <c r="BH12" s="72"/>
    </row>
    <row r="13" spans="1:60" s="3" customFormat="1" ht="18.850000000000001" customHeight="1" thickTop="1" thickBot="1" x14ac:dyDescent="0.45">
      <c r="A13" s="507">
        <v>1</v>
      </c>
      <c r="B13" s="91" t="s">
        <v>1083</v>
      </c>
      <c r="C13" s="16" t="s">
        <v>1094</v>
      </c>
      <c r="D13" s="205" t="s">
        <v>1084</v>
      </c>
      <c r="E13" s="63"/>
      <c r="F13" s="85" t="s">
        <v>100</v>
      </c>
      <c r="G13" s="16" t="s">
        <v>51</v>
      </c>
      <c r="H13" s="16"/>
      <c r="I13" s="16" t="s">
        <v>292</v>
      </c>
      <c r="J13" s="41"/>
      <c r="K13" s="193"/>
      <c r="L13" s="41"/>
      <c r="M13" s="41"/>
      <c r="N13" s="41"/>
      <c r="O13" s="41"/>
      <c r="P13" s="174" t="s">
        <v>32</v>
      </c>
      <c r="Q13" s="17" t="s">
        <v>33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57"/>
      <c r="AO13" s="58"/>
      <c r="AP13" s="77"/>
      <c r="AQ13" s="77"/>
      <c r="AR13" s="19"/>
      <c r="AS13" s="142"/>
      <c r="AT13" s="501" t="s">
        <v>1087</v>
      </c>
      <c r="AU13" s="20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415"/>
      <c r="BG13" s="407"/>
      <c r="BH13" s="407"/>
    </row>
    <row r="14" spans="1:60" s="3" customFormat="1" ht="18.850000000000001" customHeight="1" thickTop="1" thickBot="1" x14ac:dyDescent="0.45">
      <c r="A14" s="508"/>
      <c r="B14" s="92" t="s">
        <v>1082</v>
      </c>
      <c r="C14" s="70" t="s">
        <v>1093</v>
      </c>
      <c r="D14" s="87" t="s">
        <v>1084</v>
      </c>
      <c r="E14" s="42"/>
      <c r="F14" s="83" t="s">
        <v>100</v>
      </c>
      <c r="G14" s="70" t="s">
        <v>51</v>
      </c>
      <c r="H14" s="70"/>
      <c r="I14" s="70" t="s">
        <v>292</v>
      </c>
      <c r="J14" s="42"/>
      <c r="K14" s="194"/>
      <c r="L14" s="42"/>
      <c r="M14" s="42"/>
      <c r="N14" s="42"/>
      <c r="O14" s="42"/>
      <c r="P14" s="175" t="s">
        <v>32</v>
      </c>
      <c r="Q14" s="25" t="s">
        <v>34</v>
      </c>
      <c r="R14" s="26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80"/>
      <c r="AO14" s="78"/>
      <c r="AP14" s="82"/>
      <c r="AQ14" s="82"/>
      <c r="AR14" s="28"/>
      <c r="AS14" s="140"/>
      <c r="AT14" s="502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415"/>
      <c r="BG14" s="407"/>
      <c r="BH14" s="407"/>
    </row>
    <row r="15" spans="1:60" s="3" customFormat="1" ht="18.850000000000001" customHeight="1" thickTop="1" thickBot="1" x14ac:dyDescent="0.45">
      <c r="A15" s="509"/>
      <c r="B15" s="93" t="s">
        <v>1082</v>
      </c>
      <c r="C15" s="71" t="s">
        <v>1093</v>
      </c>
      <c r="D15" s="43" t="s">
        <v>1084</v>
      </c>
      <c r="E15" s="43"/>
      <c r="F15" s="84" t="s">
        <v>100</v>
      </c>
      <c r="G15" s="71" t="s">
        <v>51</v>
      </c>
      <c r="H15" s="71"/>
      <c r="I15" s="71" t="s">
        <v>292</v>
      </c>
      <c r="J15" s="43"/>
      <c r="K15" s="218"/>
      <c r="L15" s="43"/>
      <c r="M15" s="43"/>
      <c r="N15" s="43"/>
      <c r="O15" s="43"/>
      <c r="P15" s="176" t="s">
        <v>32</v>
      </c>
      <c r="Q15" s="34" t="s">
        <v>35</v>
      </c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81"/>
      <c r="AO15" s="79"/>
      <c r="AP15" s="36"/>
      <c r="AQ15" s="36"/>
      <c r="AR15" s="37"/>
      <c r="AS15" s="141"/>
      <c r="AT15" s="503"/>
      <c r="AU15" s="38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415"/>
      <c r="BG15" s="407"/>
      <c r="BH15" s="407"/>
    </row>
    <row r="16" spans="1:60" ht="15.75" thickTop="1" x14ac:dyDescent="0.45">
      <c r="A16" s="507"/>
      <c r="B16" s="91"/>
      <c r="C16" s="16"/>
      <c r="D16" s="14"/>
      <c r="E16" s="63"/>
      <c r="F16" s="85"/>
      <c r="G16" s="16"/>
      <c r="H16" s="16"/>
      <c r="I16" s="16"/>
      <c r="J16" s="41"/>
      <c r="K16" s="193"/>
      <c r="L16" s="41"/>
      <c r="M16" s="41"/>
      <c r="N16" s="41"/>
      <c r="O16" s="41"/>
      <c r="P16" s="174"/>
      <c r="Q16" s="17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57"/>
      <c r="AO16" s="58"/>
      <c r="AP16" s="77"/>
      <c r="AQ16" s="77"/>
      <c r="AR16" s="19"/>
      <c r="AS16" s="142"/>
      <c r="AT16" s="501"/>
      <c r="BF16" s="415"/>
      <c r="BG16" s="407"/>
      <c r="BH16" s="407"/>
    </row>
    <row r="17" spans="1:60" ht="15.4" x14ac:dyDescent="0.45">
      <c r="A17" s="508"/>
      <c r="B17" s="92"/>
      <c r="C17" s="70"/>
      <c r="D17" s="87"/>
      <c r="E17" s="42"/>
      <c r="F17" s="83"/>
      <c r="G17" s="70"/>
      <c r="H17" s="70"/>
      <c r="I17" s="70"/>
      <c r="J17" s="42"/>
      <c r="K17" s="194"/>
      <c r="L17" s="42"/>
      <c r="M17" s="42"/>
      <c r="N17" s="42"/>
      <c r="O17" s="42"/>
      <c r="P17" s="175"/>
      <c r="Q17" s="25"/>
      <c r="R17" s="26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80"/>
      <c r="AO17" s="78"/>
      <c r="AP17" s="82"/>
      <c r="AQ17" s="82"/>
      <c r="AR17" s="28"/>
      <c r="AS17" s="140"/>
      <c r="AT17" s="502"/>
      <c r="BF17" s="415"/>
      <c r="BG17" s="407"/>
      <c r="BH17" s="407"/>
    </row>
    <row r="18" spans="1:60" ht="15.75" thickBot="1" x14ac:dyDescent="0.5">
      <c r="A18" s="509"/>
      <c r="B18" s="93"/>
      <c r="C18" s="71"/>
      <c r="D18" s="43"/>
      <c r="E18" s="43"/>
      <c r="F18" s="84"/>
      <c r="G18" s="71"/>
      <c r="H18" s="71"/>
      <c r="I18" s="71"/>
      <c r="J18" s="43"/>
      <c r="K18" s="218"/>
      <c r="L18" s="43"/>
      <c r="M18" s="43"/>
      <c r="N18" s="43"/>
      <c r="O18" s="43"/>
      <c r="P18" s="176"/>
      <c r="Q18" s="34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81"/>
      <c r="AO18" s="79"/>
      <c r="AP18" s="36"/>
      <c r="AQ18" s="36"/>
      <c r="AR18" s="37"/>
      <c r="AS18" s="141"/>
      <c r="AT18" s="503"/>
      <c r="BF18" s="415"/>
      <c r="BG18" s="407"/>
      <c r="BH18" s="407"/>
    </row>
    <row r="19" spans="1:60" ht="15.75" thickTop="1" x14ac:dyDescent="0.45">
      <c r="A19" s="507"/>
      <c r="B19" s="91"/>
      <c r="C19" s="16"/>
      <c r="D19" s="14"/>
      <c r="E19" s="63"/>
      <c r="F19" s="85"/>
      <c r="G19" s="16"/>
      <c r="H19" s="16"/>
      <c r="I19" s="16"/>
      <c r="J19" s="41"/>
      <c r="K19" s="193"/>
      <c r="L19" s="41"/>
      <c r="M19" s="41"/>
      <c r="N19" s="41"/>
      <c r="O19" s="41"/>
      <c r="P19" s="174"/>
      <c r="Q19" s="17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57"/>
      <c r="AO19" s="58"/>
      <c r="AP19" s="77"/>
      <c r="AQ19" s="77"/>
      <c r="AR19" s="19"/>
      <c r="AS19" s="142"/>
      <c r="AT19" s="501"/>
      <c r="BF19" s="415"/>
      <c r="BG19" s="407"/>
      <c r="BH19" s="407"/>
    </row>
    <row r="20" spans="1:60" ht="15.4" x14ac:dyDescent="0.45">
      <c r="A20" s="508"/>
      <c r="B20" s="92"/>
      <c r="C20" s="70"/>
      <c r="D20" s="87"/>
      <c r="E20" s="42"/>
      <c r="F20" s="83"/>
      <c r="G20" s="70"/>
      <c r="H20" s="70"/>
      <c r="I20" s="70"/>
      <c r="J20" s="42"/>
      <c r="K20" s="194"/>
      <c r="L20" s="42"/>
      <c r="M20" s="42"/>
      <c r="N20" s="42"/>
      <c r="O20" s="42"/>
      <c r="P20" s="175"/>
      <c r="Q20" s="25"/>
      <c r="R20" s="26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80"/>
      <c r="AO20" s="78"/>
      <c r="AP20" s="82"/>
      <c r="AQ20" s="82"/>
      <c r="AR20" s="28"/>
      <c r="AS20" s="140"/>
      <c r="AT20" s="502"/>
      <c r="BF20" s="415"/>
      <c r="BG20" s="407"/>
      <c r="BH20" s="407"/>
    </row>
    <row r="21" spans="1:60" ht="15.75" thickBot="1" x14ac:dyDescent="0.5">
      <c r="A21" s="509"/>
      <c r="B21" s="93"/>
      <c r="C21" s="71"/>
      <c r="D21" s="43"/>
      <c r="E21" s="43"/>
      <c r="F21" s="84"/>
      <c r="G21" s="71"/>
      <c r="H21" s="71"/>
      <c r="I21" s="71"/>
      <c r="J21" s="43"/>
      <c r="K21" s="218"/>
      <c r="L21" s="43"/>
      <c r="M21" s="43"/>
      <c r="N21" s="43"/>
      <c r="O21" s="43"/>
      <c r="P21" s="176"/>
      <c r="Q21" s="34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81"/>
      <c r="AO21" s="79"/>
      <c r="AP21" s="36"/>
      <c r="AQ21" s="36"/>
      <c r="AR21" s="37"/>
      <c r="AS21" s="141"/>
      <c r="AT21" s="503"/>
      <c r="BF21" s="415"/>
      <c r="BG21" s="407"/>
      <c r="BH21" s="407"/>
    </row>
    <row r="22" spans="1:60" ht="19.5" thickTop="1" x14ac:dyDescent="0.6"/>
  </sheetData>
  <mergeCells count="8">
    <mergeCell ref="A1:AT1"/>
    <mergeCell ref="A2:AT2"/>
    <mergeCell ref="A16:A18"/>
    <mergeCell ref="AT16:AT18"/>
    <mergeCell ref="A19:A21"/>
    <mergeCell ref="AT19:AT21"/>
    <mergeCell ref="A13:A15"/>
    <mergeCell ref="AT13:AT15"/>
  </mergeCells>
  <phoneticPr fontId="8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F93D-4D10-41A9-B499-EFB14B3092FA}">
  <dimension ref="A1:BH19"/>
  <sheetViews>
    <sheetView workbookViewId="0">
      <selection activeCell="F20" sqref="F20"/>
    </sheetView>
  </sheetViews>
  <sheetFormatPr defaultColWidth="10.6640625" defaultRowHeight="19.149999999999999" outlineLevelCol="1" x14ac:dyDescent="0.6"/>
  <cols>
    <col min="1" max="1" width="3.86328125" style="376" customWidth="1"/>
    <col min="2" max="2" width="23.19921875" style="94" customWidth="1"/>
    <col min="3" max="3" width="13.73046875" style="5" customWidth="1"/>
    <col min="4" max="4" width="32.86328125" style="6" customWidth="1"/>
    <col min="5" max="5" width="6.9296875" style="6" hidden="1" customWidth="1"/>
    <col min="6" max="6" width="6.73046875" customWidth="1"/>
    <col min="7" max="7" width="5.73046875" style="6" customWidth="1"/>
    <col min="8" max="9" width="5.59765625" style="6" customWidth="1"/>
    <col min="10" max="10" width="20" style="200" customWidth="1"/>
    <col min="11" max="11" width="14.9296875" style="200" hidden="1" customWidth="1" outlineLevel="1"/>
    <col min="12" max="12" width="16.53125" style="200" hidden="1" customWidth="1" outlineLevel="1"/>
    <col min="13" max="13" width="18.3984375" style="200" hidden="1" customWidth="1" outlineLevel="1"/>
    <col min="14" max="14" width="14.59765625" style="200" hidden="1" customWidth="1" outlineLevel="1"/>
    <col min="15" max="15" width="14" style="200" hidden="1" customWidth="1" outlineLevel="1"/>
    <col min="16" max="16" width="5.73046875" style="183" customWidth="1" collapsed="1"/>
    <col min="17" max="17" width="6.86328125" style="6" customWidth="1"/>
    <col min="18" max="25" width="10.53125" style="7" customWidth="1"/>
    <col min="26" max="26" width="11.59765625" style="7" customWidth="1"/>
    <col min="27" max="27" width="11.53125" style="7" customWidth="1"/>
    <col min="28" max="32" width="10.53125" style="7" customWidth="1"/>
    <col min="33" max="33" width="9.796875" style="7" customWidth="1"/>
    <col min="34" max="39" width="10.53125" style="7" customWidth="1"/>
    <col min="40" max="40" width="7.1328125" style="48" customWidth="1"/>
    <col min="41" max="41" width="5.9296875" style="49" customWidth="1"/>
    <col min="42" max="42" width="13.3984375" style="8" customWidth="1"/>
    <col min="43" max="43" width="11.86328125" style="8" customWidth="1"/>
    <col min="44" max="44" width="7.59765625" style="8" customWidth="1"/>
    <col min="45" max="45" width="13.86328125" style="8" customWidth="1"/>
    <col min="46" max="46" width="35.86328125" style="152" customWidth="1"/>
    <col min="47" max="57" width="10.6640625" style="6" hidden="1" customWidth="1"/>
    <col min="58" max="58" width="13.46484375" style="295" customWidth="1"/>
    <col min="59" max="59" width="20.46484375" style="417" customWidth="1"/>
    <col min="60" max="16384" width="10.6640625" style="6"/>
  </cols>
  <sheetData>
    <row r="1" spans="1:60" s="148" customFormat="1" ht="11.25" x14ac:dyDescent="0.4">
      <c r="A1" s="518" t="s">
        <v>183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  <c r="AD1" s="519"/>
      <c r="AE1" s="519"/>
      <c r="AF1" s="519"/>
      <c r="AG1" s="519"/>
      <c r="AH1" s="519"/>
      <c r="AI1" s="519"/>
      <c r="AJ1" s="519"/>
      <c r="AK1" s="519"/>
      <c r="AL1" s="519"/>
      <c r="AM1" s="519"/>
      <c r="AN1" s="519"/>
      <c r="AO1" s="519"/>
      <c r="AP1" s="519"/>
      <c r="AQ1" s="519"/>
      <c r="AR1" s="519"/>
      <c r="AS1" s="519"/>
      <c r="AT1" s="519"/>
      <c r="BF1" s="294"/>
      <c r="BG1" s="416"/>
      <c r="BH1" s="280"/>
    </row>
    <row r="2" spans="1:60" s="148" customFormat="1" ht="11.25" x14ac:dyDescent="0.4">
      <c r="A2" s="518" t="s">
        <v>349</v>
      </c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  <c r="R2" s="519"/>
      <c r="S2" s="519"/>
      <c r="T2" s="519"/>
      <c r="U2" s="519"/>
      <c r="V2" s="519"/>
      <c r="W2" s="519"/>
      <c r="X2" s="519"/>
      <c r="Y2" s="519"/>
      <c r="Z2" s="519"/>
      <c r="AA2" s="519"/>
      <c r="AB2" s="519"/>
      <c r="AC2" s="519"/>
      <c r="AD2" s="519"/>
      <c r="AE2" s="519"/>
      <c r="AF2" s="519"/>
      <c r="AG2" s="519"/>
      <c r="AH2" s="519"/>
      <c r="AI2" s="519"/>
      <c r="AJ2" s="519"/>
      <c r="AK2" s="519"/>
      <c r="AL2" s="519"/>
      <c r="AM2" s="519"/>
      <c r="AN2" s="519"/>
      <c r="AO2" s="519"/>
      <c r="AP2" s="519"/>
      <c r="AQ2" s="519"/>
      <c r="AR2" s="519"/>
      <c r="AS2" s="519"/>
      <c r="AT2" s="519"/>
      <c r="BF2" s="294"/>
      <c r="BG2" s="416"/>
      <c r="BH2" s="280"/>
    </row>
    <row r="3" spans="1:60" s="148" customFormat="1" ht="11.25" x14ac:dyDescent="0.4">
      <c r="A3" s="374"/>
      <c r="B3" s="90"/>
      <c r="C3" s="90"/>
      <c r="D3" s="147"/>
      <c r="E3" s="154"/>
      <c r="F3" s="154"/>
      <c r="G3" s="155"/>
      <c r="H3" s="156"/>
      <c r="I3" s="156"/>
      <c r="J3" s="155"/>
      <c r="K3" s="299"/>
      <c r="L3" s="155"/>
      <c r="M3" s="155"/>
      <c r="N3" s="155"/>
      <c r="O3" s="155"/>
      <c r="P3" s="181"/>
      <c r="Q3" s="157"/>
      <c r="R3" s="155"/>
      <c r="S3" s="158"/>
      <c r="T3" s="158"/>
      <c r="U3" s="158"/>
      <c r="V3" s="158"/>
      <c r="W3" s="158"/>
      <c r="X3" s="158"/>
      <c r="Y3" s="158"/>
      <c r="Z3" s="158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60"/>
      <c r="AO3" s="159"/>
      <c r="AP3" s="159"/>
      <c r="AQ3" s="159"/>
      <c r="AR3" s="159"/>
      <c r="AS3" s="159"/>
      <c r="AT3" s="161"/>
      <c r="BF3" s="294"/>
      <c r="BG3" s="416"/>
      <c r="BH3" s="280"/>
    </row>
    <row r="4" spans="1:60" s="148" customFormat="1" ht="11.25" x14ac:dyDescent="0.4">
      <c r="A4" s="374"/>
      <c r="B4" s="90"/>
      <c r="C4" s="90"/>
      <c r="D4" s="147"/>
      <c r="E4" s="162"/>
      <c r="F4" s="154"/>
      <c r="G4" s="155"/>
      <c r="H4" s="156"/>
      <c r="I4" s="156"/>
      <c r="J4" s="155"/>
      <c r="K4" s="299"/>
      <c r="L4" s="155"/>
      <c r="M4" s="155"/>
      <c r="N4" s="155"/>
      <c r="O4" s="155"/>
      <c r="P4" s="181"/>
      <c r="Q4" s="157"/>
      <c r="R4" s="155"/>
      <c r="S4" s="158"/>
      <c r="T4" s="158"/>
      <c r="U4" s="158"/>
      <c r="V4" s="158"/>
      <c r="W4" s="158"/>
      <c r="X4" s="158"/>
      <c r="Y4" s="158"/>
      <c r="Z4" s="158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60"/>
      <c r="AO4" s="159"/>
      <c r="AP4" s="159"/>
      <c r="AQ4" s="159"/>
      <c r="AR4" s="159"/>
      <c r="AS4" s="159"/>
      <c r="AT4" s="161"/>
      <c r="BF4" s="294"/>
      <c r="BG4" s="416"/>
      <c r="BH4" s="280"/>
    </row>
    <row r="5" spans="1:60" s="148" customFormat="1" ht="11.25" x14ac:dyDescent="0.4">
      <c r="A5" s="374"/>
      <c r="B5" s="90"/>
      <c r="C5" s="90"/>
      <c r="D5" s="147"/>
      <c r="E5" s="162"/>
      <c r="F5" s="154"/>
      <c r="G5" s="155"/>
      <c r="H5" s="156"/>
      <c r="I5" s="156"/>
      <c r="J5" s="155"/>
      <c r="K5" s="299"/>
      <c r="L5" s="155"/>
      <c r="M5" s="155"/>
      <c r="N5" s="155"/>
      <c r="O5" s="155"/>
      <c r="P5" s="181"/>
      <c r="Q5" s="157"/>
      <c r="R5" s="155"/>
      <c r="S5" s="163"/>
      <c r="T5" s="163"/>
      <c r="U5" s="163"/>
      <c r="V5" s="163"/>
      <c r="W5" s="163"/>
      <c r="X5" s="163"/>
      <c r="Y5" s="163"/>
      <c r="Z5" s="163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60"/>
      <c r="AO5" s="159"/>
      <c r="AP5" s="159"/>
      <c r="AQ5" s="159"/>
      <c r="AR5" s="159"/>
      <c r="AS5" s="159"/>
      <c r="AT5" s="161"/>
      <c r="BF5" s="294"/>
      <c r="BG5" s="416"/>
      <c r="BH5" s="280"/>
    </row>
    <row r="6" spans="1:60" s="148" customFormat="1" ht="11.25" x14ac:dyDescent="0.4">
      <c r="A6" s="374"/>
      <c r="B6" s="90"/>
      <c r="C6" s="90"/>
      <c r="D6" s="147"/>
      <c r="E6" s="162"/>
      <c r="F6" s="154"/>
      <c r="G6" s="155"/>
      <c r="H6" s="156"/>
      <c r="I6" s="164" t="s">
        <v>286</v>
      </c>
      <c r="J6" s="196" t="s">
        <v>287</v>
      </c>
      <c r="K6" s="300"/>
      <c r="L6" s="196"/>
      <c r="M6" s="196"/>
      <c r="N6" s="196"/>
      <c r="O6" s="196"/>
      <c r="P6" s="182"/>
      <c r="Q6" s="157"/>
      <c r="R6" s="165"/>
      <c r="S6" s="166">
        <v>1</v>
      </c>
      <c r="T6" s="190">
        <v>10</v>
      </c>
      <c r="U6" s="166">
        <v>0</v>
      </c>
      <c r="V6" s="166">
        <v>0</v>
      </c>
      <c r="W6" s="166">
        <v>10</v>
      </c>
      <c r="X6" s="166">
        <v>17</v>
      </c>
      <c r="Y6" s="190">
        <v>10</v>
      </c>
      <c r="Z6" s="350"/>
      <c r="AA6" s="166">
        <v>9</v>
      </c>
      <c r="AB6" s="166">
        <v>2</v>
      </c>
      <c r="AC6" s="166">
        <v>5</v>
      </c>
      <c r="AD6" s="166">
        <v>20</v>
      </c>
      <c r="AE6" s="166">
        <v>10</v>
      </c>
      <c r="AF6" s="167"/>
      <c r="AG6" s="167"/>
      <c r="AH6" s="166"/>
      <c r="AI6" s="166"/>
      <c r="AJ6" s="166"/>
      <c r="AK6" s="166"/>
      <c r="AL6" s="166"/>
      <c r="AM6" s="166"/>
      <c r="AN6" s="168"/>
      <c r="AO6" s="169"/>
      <c r="AP6" s="159"/>
      <c r="AQ6" s="159"/>
      <c r="AR6" s="159"/>
      <c r="AS6" s="159"/>
      <c r="AT6" s="170"/>
      <c r="AU6" s="165">
        <v>3</v>
      </c>
      <c r="AV6" s="165"/>
      <c r="AW6" s="165">
        <v>10</v>
      </c>
      <c r="AX6" s="148">
        <v>2</v>
      </c>
      <c r="BF6" s="294"/>
      <c r="BG6" s="416"/>
      <c r="BH6" s="280"/>
    </row>
    <row r="7" spans="1:60" s="148" customFormat="1" ht="11.25" x14ac:dyDescent="0.4">
      <c r="A7" s="374"/>
      <c r="B7" s="90"/>
      <c r="C7" s="90"/>
      <c r="D7" s="147"/>
      <c r="E7" s="162"/>
      <c r="F7" s="154"/>
      <c r="G7" s="155"/>
      <c r="H7" s="156"/>
      <c r="I7" s="156" t="s">
        <v>288</v>
      </c>
      <c r="J7" s="196" t="s">
        <v>289</v>
      </c>
      <c r="K7" s="300"/>
      <c r="L7" s="196"/>
      <c r="M7" s="196"/>
      <c r="N7" s="196"/>
      <c r="O7" s="196"/>
      <c r="P7" s="182"/>
      <c r="Q7" s="157"/>
      <c r="R7" s="165"/>
      <c r="S7" s="166">
        <v>1</v>
      </c>
      <c r="T7" s="190">
        <v>10</v>
      </c>
      <c r="U7" s="166">
        <v>0</v>
      </c>
      <c r="V7" s="166">
        <v>0</v>
      </c>
      <c r="W7" s="166">
        <v>10</v>
      </c>
      <c r="X7" s="166">
        <v>17</v>
      </c>
      <c r="Y7" s="190">
        <v>10</v>
      </c>
      <c r="Z7" s="350"/>
      <c r="AA7" s="166">
        <v>9</v>
      </c>
      <c r="AB7" s="166">
        <v>2</v>
      </c>
      <c r="AC7" s="166">
        <v>5</v>
      </c>
      <c r="AD7" s="166">
        <v>20</v>
      </c>
      <c r="AE7" s="166">
        <v>10</v>
      </c>
      <c r="AF7" s="167"/>
      <c r="AG7" s="167"/>
      <c r="AH7" s="166"/>
      <c r="AI7" s="166"/>
      <c r="AJ7" s="166"/>
      <c r="AK7" s="166"/>
      <c r="AL7" s="166"/>
      <c r="AM7" s="166"/>
      <c r="AN7" s="168"/>
      <c r="AO7" s="169"/>
      <c r="AP7" s="159"/>
      <c r="AQ7" s="159"/>
      <c r="AR7" s="159"/>
      <c r="AS7" s="159"/>
      <c r="AT7" s="170"/>
      <c r="AU7" s="165">
        <v>3</v>
      </c>
      <c r="AV7" s="165"/>
      <c r="AW7" s="165">
        <v>10</v>
      </c>
      <c r="AX7" s="148">
        <v>2</v>
      </c>
      <c r="BF7" s="294"/>
      <c r="BG7" s="416"/>
      <c r="BH7" s="280"/>
    </row>
    <row r="8" spans="1:60" s="148" customFormat="1" ht="11.25" x14ac:dyDescent="0.4">
      <c r="A8" s="374"/>
      <c r="B8" s="90"/>
      <c r="C8" s="90"/>
      <c r="D8" s="147"/>
      <c r="E8" s="162"/>
      <c r="F8" s="154"/>
      <c r="G8" s="155"/>
      <c r="H8" s="156"/>
      <c r="I8" s="156" t="s">
        <v>290</v>
      </c>
      <c r="J8" s="196" t="s">
        <v>291</v>
      </c>
      <c r="K8" s="300"/>
      <c r="L8" s="196"/>
      <c r="M8" s="196"/>
      <c r="N8" s="196"/>
      <c r="O8" s="196"/>
      <c r="P8" s="182"/>
      <c r="Q8" s="157"/>
      <c r="R8" s="165"/>
      <c r="S8" s="166">
        <v>1</v>
      </c>
      <c r="T8" s="190">
        <v>10</v>
      </c>
      <c r="U8" s="166">
        <v>0</v>
      </c>
      <c r="V8" s="166">
        <v>0</v>
      </c>
      <c r="W8" s="166">
        <v>10</v>
      </c>
      <c r="X8" s="166">
        <v>13</v>
      </c>
      <c r="Y8" s="190">
        <v>10</v>
      </c>
      <c r="Z8" s="350"/>
      <c r="AA8" s="166">
        <v>9</v>
      </c>
      <c r="AB8" s="166">
        <v>2</v>
      </c>
      <c r="AC8" s="166">
        <v>5</v>
      </c>
      <c r="AD8" s="166">
        <v>15</v>
      </c>
      <c r="AE8" s="166">
        <v>10</v>
      </c>
      <c r="AF8" s="167"/>
      <c r="AG8" s="167"/>
      <c r="AH8" s="166"/>
      <c r="AI8" s="166"/>
      <c r="AJ8" s="166"/>
      <c r="AK8" s="166"/>
      <c r="AL8" s="166"/>
      <c r="AM8" s="166"/>
      <c r="AN8" s="168"/>
      <c r="AO8" s="169"/>
      <c r="AP8" s="159"/>
      <c r="AQ8" s="159"/>
      <c r="AR8" s="159"/>
      <c r="AS8" s="159"/>
      <c r="AT8" s="170"/>
      <c r="AU8" s="165">
        <v>3</v>
      </c>
      <c r="AV8" s="165"/>
      <c r="AW8" s="165">
        <v>10</v>
      </c>
      <c r="AX8" s="148">
        <v>2</v>
      </c>
      <c r="BF8" s="294"/>
      <c r="BG8" s="416"/>
      <c r="BH8" s="280"/>
    </row>
    <row r="9" spans="1:60" s="148" customFormat="1" ht="11.25" x14ac:dyDescent="0.4">
      <c r="A9" s="375" t="s">
        <v>2</v>
      </c>
      <c r="B9" s="171"/>
      <c r="C9" s="90"/>
      <c r="D9" s="147"/>
      <c r="E9" s="162"/>
      <c r="F9" s="154"/>
      <c r="G9" s="155"/>
      <c r="H9" s="156"/>
      <c r="I9" s="156" t="s">
        <v>292</v>
      </c>
      <c r="J9" s="196" t="s">
        <v>293</v>
      </c>
      <c r="K9" s="300"/>
      <c r="L9" s="196"/>
      <c r="M9" s="196"/>
      <c r="N9" s="196"/>
      <c r="O9" s="196"/>
      <c r="P9" s="182"/>
      <c r="Q9" s="157"/>
      <c r="R9" s="165"/>
      <c r="S9" s="166">
        <v>1</v>
      </c>
      <c r="T9" s="190">
        <v>10</v>
      </c>
      <c r="U9" s="166">
        <v>0</v>
      </c>
      <c r="V9" s="166">
        <v>0</v>
      </c>
      <c r="W9" s="166">
        <v>5</v>
      </c>
      <c r="X9" s="166">
        <v>7</v>
      </c>
      <c r="Y9" s="190">
        <v>10</v>
      </c>
      <c r="Z9" s="350"/>
      <c r="AA9" s="166">
        <v>5</v>
      </c>
      <c r="AB9" s="166">
        <v>2</v>
      </c>
      <c r="AC9" s="166">
        <v>5</v>
      </c>
      <c r="AD9" s="166">
        <v>10</v>
      </c>
      <c r="AE9" s="166">
        <v>10</v>
      </c>
      <c r="AF9" s="167"/>
      <c r="AG9" s="167"/>
      <c r="AH9" s="166"/>
      <c r="AI9" s="166"/>
      <c r="AJ9" s="166"/>
      <c r="AK9" s="166"/>
      <c r="AL9" s="166"/>
      <c r="AM9" s="166"/>
      <c r="AN9" s="168"/>
      <c r="AO9" s="169"/>
      <c r="AP9" s="159"/>
      <c r="AQ9" s="159"/>
      <c r="AR9" s="159"/>
      <c r="AS9" s="159"/>
      <c r="AT9" s="189" t="s">
        <v>1021</v>
      </c>
      <c r="AU9" s="165">
        <v>2</v>
      </c>
      <c r="AV9" s="165"/>
      <c r="AW9" s="165">
        <v>5</v>
      </c>
      <c r="AX9" s="148">
        <v>2</v>
      </c>
      <c r="BF9" s="294"/>
      <c r="BG9" s="416"/>
      <c r="BH9" s="280"/>
    </row>
    <row r="10" spans="1:60" s="1" customFormat="1" ht="34.5" customHeight="1" x14ac:dyDescent="0.3">
      <c r="A10" s="72" t="s">
        <v>642</v>
      </c>
      <c r="B10" s="72" t="s">
        <v>411</v>
      </c>
      <c r="C10" s="72" t="s">
        <v>4</v>
      </c>
      <c r="D10" s="72" t="s">
        <v>5</v>
      </c>
      <c r="E10" s="114" t="s">
        <v>6</v>
      </c>
      <c r="F10" s="72" t="s">
        <v>7</v>
      </c>
      <c r="G10" s="72" t="s">
        <v>8</v>
      </c>
      <c r="H10" s="72" t="s">
        <v>184</v>
      </c>
      <c r="I10" s="72" t="s">
        <v>285</v>
      </c>
      <c r="J10" s="72" t="s">
        <v>195</v>
      </c>
      <c r="K10" s="72" t="s">
        <v>649</v>
      </c>
      <c r="L10" s="72" t="s">
        <v>647</v>
      </c>
      <c r="M10" s="72" t="s">
        <v>676</v>
      </c>
      <c r="N10" s="72" t="s">
        <v>697</v>
      </c>
      <c r="O10" s="72" t="s">
        <v>648</v>
      </c>
      <c r="P10" s="173" t="s">
        <v>9</v>
      </c>
      <c r="Q10" s="72" t="s">
        <v>10</v>
      </c>
      <c r="R10" s="72" t="s">
        <v>11</v>
      </c>
      <c r="S10" s="72" t="s">
        <v>428</v>
      </c>
      <c r="T10" s="72" t="s">
        <v>12</v>
      </c>
      <c r="U10" s="72" t="s">
        <v>13</v>
      </c>
      <c r="V10" s="72" t="s">
        <v>14</v>
      </c>
      <c r="W10" s="72" t="s">
        <v>419</v>
      </c>
      <c r="X10" s="72" t="s">
        <v>15</v>
      </c>
      <c r="Y10" s="72" t="s">
        <v>808</v>
      </c>
      <c r="Z10" s="72" t="s">
        <v>735</v>
      </c>
      <c r="AA10" s="72" t="s">
        <v>16</v>
      </c>
      <c r="AB10" s="72" t="s">
        <v>17</v>
      </c>
      <c r="AC10" s="73" t="s">
        <v>168</v>
      </c>
      <c r="AD10" s="74" t="s">
        <v>169</v>
      </c>
      <c r="AE10" s="74" t="s">
        <v>1023</v>
      </c>
      <c r="AF10" s="73" t="s">
        <v>170</v>
      </c>
      <c r="AG10" s="73" t="s">
        <v>332</v>
      </c>
      <c r="AH10" s="73" t="s">
        <v>171</v>
      </c>
      <c r="AI10" s="73" t="s">
        <v>172</v>
      </c>
      <c r="AJ10" s="75" t="s">
        <v>173</v>
      </c>
      <c r="AK10" s="73" t="s">
        <v>325</v>
      </c>
      <c r="AL10" s="72" t="s">
        <v>174</v>
      </c>
      <c r="AM10" s="72" t="s">
        <v>175</v>
      </c>
      <c r="AN10" s="50" t="s">
        <v>18</v>
      </c>
      <c r="AO10" s="115" t="s">
        <v>19</v>
      </c>
      <c r="AP10" s="50" t="s">
        <v>20</v>
      </c>
      <c r="AQ10" s="50" t="s">
        <v>21</v>
      </c>
      <c r="AR10" s="72" t="s">
        <v>179</v>
      </c>
      <c r="AS10" s="72" t="s">
        <v>363</v>
      </c>
      <c r="AT10" s="72" t="s">
        <v>22</v>
      </c>
      <c r="AU10" s="10">
        <v>40329</v>
      </c>
      <c r="AV10" s="11">
        <v>40359</v>
      </c>
      <c r="AW10" s="11">
        <v>40390</v>
      </c>
      <c r="AX10" s="11">
        <v>40421</v>
      </c>
      <c r="AY10" s="11">
        <v>40451</v>
      </c>
      <c r="AZ10" s="11">
        <v>40482</v>
      </c>
      <c r="BA10" s="11">
        <v>40512</v>
      </c>
      <c r="BB10" s="11">
        <v>40543</v>
      </c>
      <c r="BC10" s="11">
        <v>40574</v>
      </c>
      <c r="BD10" s="11">
        <v>40602</v>
      </c>
      <c r="BE10" s="11">
        <f ca="1">TODAY()</f>
        <v>46287</v>
      </c>
      <c r="BF10" s="72" t="s">
        <v>897</v>
      </c>
      <c r="BG10" s="72" t="s">
        <v>898</v>
      </c>
      <c r="BH10" s="72" t="s">
        <v>997</v>
      </c>
    </row>
    <row r="11" spans="1:60" s="2" customFormat="1" ht="10.15" x14ac:dyDescent="0.4">
      <c r="A11" s="12"/>
      <c r="B11" s="12"/>
      <c r="C11" s="72"/>
      <c r="D11" s="72"/>
      <c r="E11" s="72"/>
      <c r="F11" s="72"/>
      <c r="G11" s="72"/>
      <c r="H11" s="72"/>
      <c r="I11" s="72"/>
      <c r="J11" s="72"/>
      <c r="K11" s="301"/>
      <c r="L11" s="72"/>
      <c r="M11" s="72"/>
      <c r="N11" s="72"/>
      <c r="O11" s="72"/>
      <c r="P11" s="173"/>
      <c r="Q11" s="72" t="s">
        <v>23</v>
      </c>
      <c r="R11" s="72" t="s">
        <v>24</v>
      </c>
      <c r="S11" s="72" t="s">
        <v>25</v>
      </c>
      <c r="T11" s="72" t="s">
        <v>24</v>
      </c>
      <c r="U11" s="72" t="s">
        <v>26</v>
      </c>
      <c r="V11" s="72" t="s">
        <v>24</v>
      </c>
      <c r="W11" s="72" t="s">
        <v>26</v>
      </c>
      <c r="X11" s="72" t="s">
        <v>25</v>
      </c>
      <c r="Y11" s="72" t="s">
        <v>24</v>
      </c>
      <c r="Z11" s="72" t="s">
        <v>26</v>
      </c>
      <c r="AA11" s="72" t="s">
        <v>26</v>
      </c>
      <c r="AB11" s="72" t="s">
        <v>27</v>
      </c>
      <c r="AC11" s="72" t="s">
        <v>26</v>
      </c>
      <c r="AD11" s="72" t="s">
        <v>176</v>
      </c>
      <c r="AE11" s="72" t="s">
        <v>25</v>
      </c>
      <c r="AF11" s="72" t="s">
        <v>176</v>
      </c>
      <c r="AG11" s="72" t="s">
        <v>177</v>
      </c>
      <c r="AH11" s="72" t="s">
        <v>176</v>
      </c>
      <c r="AI11" s="72" t="s">
        <v>177</v>
      </c>
      <c r="AJ11" s="72" t="s">
        <v>176</v>
      </c>
      <c r="AK11" s="72" t="s">
        <v>178</v>
      </c>
      <c r="AL11" s="72" t="s">
        <v>177</v>
      </c>
      <c r="AM11" s="72" t="s">
        <v>26</v>
      </c>
      <c r="AN11" s="50"/>
      <c r="AO11" s="51"/>
      <c r="AP11" s="72" t="s">
        <v>26</v>
      </c>
      <c r="AQ11" s="72"/>
      <c r="AR11" s="72"/>
      <c r="AS11" s="72"/>
      <c r="AT11" s="153"/>
      <c r="BF11" s="72"/>
      <c r="BG11" s="72"/>
      <c r="BH11" s="72"/>
    </row>
    <row r="12" spans="1:60" s="2" customFormat="1" ht="10.5" thickBot="1" x14ac:dyDescent="0.45">
      <c r="A12" s="12"/>
      <c r="B12" s="12"/>
      <c r="C12" s="72"/>
      <c r="D12" s="72"/>
      <c r="E12" s="72"/>
      <c r="F12" s="72"/>
      <c r="G12" s="72"/>
      <c r="H12" s="72"/>
      <c r="I12" s="72"/>
      <c r="J12" s="72"/>
      <c r="K12" s="301"/>
      <c r="L12" s="72"/>
      <c r="M12" s="72"/>
      <c r="N12" s="72"/>
      <c r="O12" s="72"/>
      <c r="P12" s="173"/>
      <c r="Q12" s="72" t="s">
        <v>318</v>
      </c>
      <c r="R12" s="72" t="s">
        <v>320</v>
      </c>
      <c r="S12" s="72" t="s">
        <v>319</v>
      </c>
      <c r="T12" s="72" t="s">
        <v>319</v>
      </c>
      <c r="U12" s="72" t="s">
        <v>320</v>
      </c>
      <c r="V12" s="72" t="s">
        <v>319</v>
      </c>
      <c r="W12" s="72" t="s">
        <v>320</v>
      </c>
      <c r="X12" s="72" t="s">
        <v>319</v>
      </c>
      <c r="Y12" s="72" t="s">
        <v>319</v>
      </c>
      <c r="Z12" s="72" t="s">
        <v>320</v>
      </c>
      <c r="AA12" s="72" t="s">
        <v>320</v>
      </c>
      <c r="AB12" s="72" t="s">
        <v>427</v>
      </c>
      <c r="AC12" s="72" t="s">
        <v>427</v>
      </c>
      <c r="AD12" s="72" t="s">
        <v>427</v>
      </c>
      <c r="AE12" s="72" t="s">
        <v>319</v>
      </c>
      <c r="AF12" s="72"/>
      <c r="AG12" s="72"/>
      <c r="AH12" s="72"/>
      <c r="AI12" s="72"/>
      <c r="AJ12" s="72"/>
      <c r="AK12" s="72"/>
      <c r="AL12" s="72"/>
      <c r="AM12" s="72"/>
      <c r="AN12" s="50"/>
      <c r="AO12" s="51"/>
      <c r="AP12" s="72"/>
      <c r="AQ12" s="72"/>
      <c r="AR12" s="72"/>
      <c r="AS12" s="72"/>
      <c r="AT12" s="153"/>
      <c r="AU12" s="2" t="s">
        <v>319</v>
      </c>
      <c r="AW12" s="2" t="s">
        <v>320</v>
      </c>
      <c r="AX12" s="2" t="s">
        <v>320</v>
      </c>
      <c r="BF12" s="72"/>
      <c r="BG12" s="72"/>
      <c r="BH12" s="72"/>
    </row>
    <row r="13" spans="1:60" s="3" customFormat="1" ht="14.25" thickTop="1" thickBot="1" x14ac:dyDescent="0.45">
      <c r="A13" s="507">
        <v>1</v>
      </c>
      <c r="B13" s="91"/>
      <c r="C13" s="13" t="s">
        <v>1091</v>
      </c>
      <c r="D13" s="14" t="s">
        <v>345</v>
      </c>
      <c r="E13" s="67" t="s">
        <v>107</v>
      </c>
      <c r="F13" s="15" t="s">
        <v>100</v>
      </c>
      <c r="G13" s="16" t="s">
        <v>31</v>
      </c>
      <c r="H13" s="13" t="s">
        <v>0</v>
      </c>
      <c r="I13" s="13" t="s">
        <v>286</v>
      </c>
      <c r="J13" s="344" t="s">
        <v>653</v>
      </c>
      <c r="K13" s="219" t="s">
        <v>652</v>
      </c>
      <c r="L13" s="191" t="s">
        <v>652</v>
      </c>
      <c r="M13" s="191"/>
      <c r="N13" s="191"/>
      <c r="O13" s="191"/>
      <c r="P13" s="174" t="s">
        <v>32</v>
      </c>
      <c r="Q13" s="17" t="s">
        <v>33</v>
      </c>
      <c r="R13" s="18"/>
      <c r="S13" s="56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57">
        <v>44</v>
      </c>
      <c r="AO13" s="58">
        <v>308</v>
      </c>
      <c r="AP13" s="77">
        <v>46482</v>
      </c>
      <c r="AQ13" s="77">
        <v>46515</v>
      </c>
      <c r="AR13" s="19">
        <f>AQ13-AP14</f>
        <v>54</v>
      </c>
      <c r="AS13" s="142" t="s">
        <v>449</v>
      </c>
      <c r="AT13" s="498"/>
      <c r="AU13" s="20"/>
      <c r="AV13" s="21"/>
      <c r="AW13" s="21"/>
      <c r="AX13" s="21"/>
      <c r="AY13" s="21"/>
      <c r="AZ13" s="21"/>
      <c r="BA13" s="21"/>
      <c r="BB13" s="21"/>
      <c r="BC13" s="21"/>
      <c r="BD13" s="21"/>
      <c r="BE13" s="402"/>
      <c r="BF13" s="415"/>
      <c r="BG13" s="428"/>
      <c r="BH13" s="428"/>
    </row>
    <row r="14" spans="1:60" s="3" customFormat="1" ht="14.25" thickTop="1" thickBot="1" x14ac:dyDescent="0.45">
      <c r="A14" s="508"/>
      <c r="B14" s="92"/>
      <c r="C14" s="40" t="s">
        <v>1090</v>
      </c>
      <c r="D14" s="23" t="s">
        <v>345</v>
      </c>
      <c r="E14" s="42" t="s">
        <v>107</v>
      </c>
      <c r="F14" s="45" t="s">
        <v>100</v>
      </c>
      <c r="G14" s="70" t="s">
        <v>31</v>
      </c>
      <c r="H14" s="40" t="s">
        <v>0</v>
      </c>
      <c r="I14" s="40" t="s">
        <v>286</v>
      </c>
      <c r="J14" s="208"/>
      <c r="K14" s="192" t="s">
        <v>653</v>
      </c>
      <c r="L14" s="192" t="s">
        <v>653</v>
      </c>
      <c r="M14" s="192" t="s">
        <v>653</v>
      </c>
      <c r="N14" s="192" t="s">
        <v>653</v>
      </c>
      <c r="O14" s="192" t="s">
        <v>653</v>
      </c>
      <c r="P14" s="175" t="s">
        <v>32</v>
      </c>
      <c r="Q14" s="25" t="s">
        <v>34</v>
      </c>
      <c r="R14" s="26"/>
      <c r="S14" s="27"/>
      <c r="T14" s="82"/>
      <c r="U14" s="27"/>
      <c r="V14" s="27"/>
      <c r="W14" s="27"/>
      <c r="X14" s="14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80">
        <v>36</v>
      </c>
      <c r="AO14" s="78">
        <f>AN14*7</f>
        <v>252</v>
      </c>
      <c r="AP14" s="82">
        <f>BG14+7</f>
        <v>46461</v>
      </c>
      <c r="AQ14" s="82"/>
      <c r="AR14" s="28"/>
      <c r="AS14" s="361" t="s">
        <v>776</v>
      </c>
      <c r="AT14" s="502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402"/>
      <c r="BF14" s="415" t="s">
        <v>901</v>
      </c>
      <c r="BG14" s="428">
        <v>46454</v>
      </c>
      <c r="BH14" s="428"/>
    </row>
    <row r="15" spans="1:60" s="3" customFormat="1" ht="14.25" thickTop="1" thickBot="1" x14ac:dyDescent="0.45">
      <c r="A15" s="509"/>
      <c r="B15" s="93"/>
      <c r="C15" s="31" t="s">
        <v>1090</v>
      </c>
      <c r="D15" s="32" t="s">
        <v>345</v>
      </c>
      <c r="E15" s="43" t="s">
        <v>107</v>
      </c>
      <c r="F15" s="33" t="s">
        <v>100</v>
      </c>
      <c r="G15" s="71" t="s">
        <v>31</v>
      </c>
      <c r="H15" s="31" t="s">
        <v>0</v>
      </c>
      <c r="I15" s="31" t="s">
        <v>286</v>
      </c>
      <c r="J15" s="201"/>
      <c r="K15" s="201" t="s">
        <v>654</v>
      </c>
      <c r="L15" s="201" t="s">
        <v>654</v>
      </c>
      <c r="M15" s="201" t="s">
        <v>654</v>
      </c>
      <c r="N15" s="201"/>
      <c r="O15" s="201"/>
      <c r="P15" s="176" t="s">
        <v>32</v>
      </c>
      <c r="Q15" s="34" t="s">
        <v>35</v>
      </c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81"/>
      <c r="AO15" s="79"/>
      <c r="AP15" s="275" t="s">
        <v>903</v>
      </c>
      <c r="AQ15" s="36"/>
      <c r="AR15" s="37"/>
      <c r="AS15" s="141"/>
      <c r="AT15" s="503"/>
      <c r="AU15" s="38"/>
      <c r="AV15" s="39"/>
      <c r="AW15" s="39"/>
      <c r="AX15" s="39"/>
      <c r="AY15" s="39"/>
      <c r="AZ15" s="39"/>
      <c r="BA15" s="39"/>
      <c r="BB15" s="39"/>
      <c r="BC15" s="39"/>
      <c r="BD15" s="39"/>
      <c r="BE15" s="405"/>
      <c r="BF15" s="415"/>
      <c r="BG15" s="428"/>
      <c r="BH15" s="428"/>
    </row>
    <row r="16" spans="1:60" s="3" customFormat="1" ht="14.25" thickTop="1" thickBot="1" x14ac:dyDescent="0.45">
      <c r="A16" s="507">
        <f>A13+1</f>
        <v>2</v>
      </c>
      <c r="B16" s="91"/>
      <c r="C16" s="13" t="s">
        <v>1092</v>
      </c>
      <c r="D16" s="14" t="s">
        <v>187</v>
      </c>
      <c r="E16" s="63" t="s">
        <v>101</v>
      </c>
      <c r="F16" s="15" t="s">
        <v>100</v>
      </c>
      <c r="G16" s="13" t="s">
        <v>31</v>
      </c>
      <c r="H16" s="13" t="s">
        <v>0</v>
      </c>
      <c r="I16" s="13" t="s">
        <v>286</v>
      </c>
      <c r="J16" s="345" t="s">
        <v>713</v>
      </c>
      <c r="K16" s="191" t="s">
        <v>661</v>
      </c>
      <c r="L16" s="191" t="s">
        <v>485</v>
      </c>
      <c r="M16" s="191" t="s">
        <v>696</v>
      </c>
      <c r="N16" s="191"/>
      <c r="O16" s="191"/>
      <c r="P16" s="174" t="s">
        <v>32</v>
      </c>
      <c r="Q16" s="17" t="s">
        <v>33</v>
      </c>
      <c r="R16" s="18"/>
      <c r="S16" s="56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57">
        <v>40</v>
      </c>
      <c r="AO16" s="58">
        <v>280</v>
      </c>
      <c r="AP16" s="77">
        <f>AQ16-7</f>
        <v>46500</v>
      </c>
      <c r="AQ16" s="77">
        <v>46507</v>
      </c>
      <c r="AR16" s="19">
        <f>AQ16-AP17</f>
        <v>46507</v>
      </c>
      <c r="AS16" s="142" t="s">
        <v>449</v>
      </c>
      <c r="AT16" s="498"/>
      <c r="AU16" s="20"/>
      <c r="AV16" s="21"/>
      <c r="AW16" s="21"/>
      <c r="AX16" s="21"/>
      <c r="AY16" s="21"/>
      <c r="AZ16" s="21"/>
      <c r="BA16" s="21"/>
      <c r="BB16" s="21"/>
      <c r="BC16" s="21"/>
      <c r="BD16" s="21"/>
      <c r="BE16" s="402"/>
      <c r="BF16" s="415"/>
      <c r="BG16" s="428"/>
      <c r="BH16" s="428"/>
    </row>
    <row r="17" spans="1:60" s="3" customFormat="1" ht="21" thickTop="1" thickBot="1" x14ac:dyDescent="0.45">
      <c r="A17" s="508"/>
      <c r="B17" s="92"/>
      <c r="C17" s="40" t="s">
        <v>1092</v>
      </c>
      <c r="D17" s="23" t="s">
        <v>187</v>
      </c>
      <c r="E17" s="42" t="s">
        <v>101</v>
      </c>
      <c r="F17" s="45" t="s">
        <v>100</v>
      </c>
      <c r="G17" s="22" t="s">
        <v>31</v>
      </c>
      <c r="H17" s="40" t="s">
        <v>0</v>
      </c>
      <c r="I17" s="40" t="s">
        <v>286</v>
      </c>
      <c r="J17" s="208"/>
      <c r="K17" s="208" t="s">
        <v>659</v>
      </c>
      <c r="L17" s="208" t="s">
        <v>660</v>
      </c>
      <c r="M17" s="208" t="s">
        <v>712</v>
      </c>
      <c r="N17" s="208" t="s">
        <v>660</v>
      </c>
      <c r="O17" s="208" t="s">
        <v>660</v>
      </c>
      <c r="P17" s="175" t="s">
        <v>32</v>
      </c>
      <c r="Q17" s="25" t="s">
        <v>34</v>
      </c>
      <c r="R17" s="26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80"/>
      <c r="AO17" s="78"/>
      <c r="AP17" s="82"/>
      <c r="AQ17" s="82"/>
      <c r="AR17" s="28"/>
      <c r="AS17" s="363" t="s">
        <v>777</v>
      </c>
      <c r="AT17" s="502"/>
      <c r="AU17" s="20"/>
      <c r="AV17" s="21"/>
      <c r="AW17" s="21"/>
      <c r="AX17" s="21"/>
      <c r="AY17" s="21"/>
      <c r="AZ17" s="21"/>
      <c r="BA17" s="21"/>
      <c r="BB17" s="21"/>
      <c r="BC17" s="21"/>
      <c r="BD17" s="21"/>
      <c r="BE17" s="402"/>
      <c r="BF17" s="415"/>
      <c r="BG17" s="428"/>
      <c r="BH17" s="428"/>
    </row>
    <row r="18" spans="1:60" s="3" customFormat="1" ht="17.649999999999999" customHeight="1" thickTop="1" thickBot="1" x14ac:dyDescent="0.45">
      <c r="A18" s="509"/>
      <c r="B18" s="93"/>
      <c r="C18" s="31" t="s">
        <v>1092</v>
      </c>
      <c r="D18" s="47" t="s">
        <v>187</v>
      </c>
      <c r="E18" s="44" t="s">
        <v>101</v>
      </c>
      <c r="F18" s="33" t="s">
        <v>100</v>
      </c>
      <c r="G18" s="31" t="s">
        <v>31</v>
      </c>
      <c r="H18" s="31" t="s">
        <v>0</v>
      </c>
      <c r="I18" s="31" t="s">
        <v>286</v>
      </c>
      <c r="J18" s="209"/>
      <c r="K18" s="209" t="s">
        <v>662</v>
      </c>
      <c r="L18" s="209" t="s">
        <v>628</v>
      </c>
      <c r="M18" s="209" t="s">
        <v>695</v>
      </c>
      <c r="N18" s="209"/>
      <c r="O18" s="209"/>
      <c r="P18" s="176" t="s">
        <v>32</v>
      </c>
      <c r="Q18" s="34" t="s">
        <v>35</v>
      </c>
      <c r="R18" s="35"/>
      <c r="S18" s="36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72"/>
      <c r="AF18" s="35"/>
      <c r="AG18" s="35"/>
      <c r="AH18" s="35"/>
      <c r="AI18" s="35"/>
      <c r="AJ18" s="35"/>
      <c r="AK18" s="35"/>
      <c r="AL18" s="35"/>
      <c r="AM18" s="35"/>
      <c r="AN18" s="81"/>
      <c r="AO18" s="79"/>
      <c r="AP18" s="36" t="s">
        <v>904</v>
      </c>
      <c r="AQ18" s="36"/>
      <c r="AR18" s="37"/>
      <c r="AS18" s="141"/>
      <c r="AT18" s="503"/>
      <c r="AU18" s="38"/>
      <c r="AV18" s="39"/>
      <c r="AW18" s="39"/>
      <c r="AX18" s="39"/>
      <c r="AY18" s="39"/>
      <c r="AZ18" s="39"/>
      <c r="BA18" s="39"/>
      <c r="BB18" s="39"/>
      <c r="BC18" s="39"/>
      <c r="BD18" s="39"/>
      <c r="BE18" s="405"/>
      <c r="BF18" s="415"/>
      <c r="BG18" s="428"/>
      <c r="BH18" s="428"/>
    </row>
    <row r="19" spans="1:60" ht="19.5" thickTop="1" x14ac:dyDescent="0.6"/>
  </sheetData>
  <mergeCells count="6">
    <mergeCell ref="A13:A15"/>
    <mergeCell ref="AT13:AT15"/>
    <mergeCell ref="A16:A18"/>
    <mergeCell ref="AT16:AT18"/>
    <mergeCell ref="A1:AT1"/>
    <mergeCell ref="A2:AT2"/>
  </mergeCells>
  <phoneticPr fontId="1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463-91B9-4A1A-BC8D-B12778D86566}">
  <dimension ref="A1:I63"/>
  <sheetViews>
    <sheetView workbookViewId="0">
      <selection activeCell="D36" sqref="D36"/>
    </sheetView>
  </sheetViews>
  <sheetFormatPr defaultColWidth="9" defaultRowHeight="12.75" x14ac:dyDescent="0.35"/>
  <cols>
    <col min="1" max="1" width="13.73046875" style="107" customWidth="1"/>
    <col min="2" max="2" width="55.1328125" style="106" customWidth="1"/>
    <col min="3" max="3" width="25.46484375" style="106" customWidth="1"/>
    <col min="4" max="16384" width="9" style="106"/>
  </cols>
  <sheetData>
    <row r="1" spans="1:9" s="101" customFormat="1" ht="15.95" customHeight="1" x14ac:dyDescent="0.4">
      <c r="A1" s="99" t="s">
        <v>294</v>
      </c>
      <c r="B1" s="108" t="s">
        <v>295</v>
      </c>
      <c r="C1" s="100"/>
      <c r="D1" s="98"/>
      <c r="E1" s="98"/>
      <c r="F1" s="98"/>
      <c r="G1" s="98"/>
      <c r="H1" s="98"/>
      <c r="I1" s="98"/>
    </row>
    <row r="2" spans="1:9" s="101" customFormat="1" ht="15.95" customHeight="1" x14ac:dyDescent="0.35">
      <c r="A2" s="102">
        <v>45996</v>
      </c>
      <c r="B2" s="103" t="s">
        <v>296</v>
      </c>
      <c r="C2" s="104"/>
      <c r="D2" s="98"/>
      <c r="E2" s="98"/>
      <c r="F2" s="98"/>
      <c r="G2" s="98"/>
      <c r="H2" s="98"/>
      <c r="I2" s="98"/>
    </row>
    <row r="3" spans="1:9" s="101" customFormat="1" ht="15.95" customHeight="1" x14ac:dyDescent="0.35">
      <c r="A3" s="102">
        <v>46001</v>
      </c>
      <c r="B3" s="103" t="s">
        <v>297</v>
      </c>
      <c r="C3" s="104"/>
      <c r="D3" s="98"/>
      <c r="E3" s="98"/>
      <c r="F3" s="98"/>
      <c r="G3" s="98"/>
      <c r="H3" s="98"/>
      <c r="I3" s="98"/>
    </row>
    <row r="4" spans="1:9" s="101" customFormat="1" ht="15.95" customHeight="1" x14ac:dyDescent="0.35">
      <c r="A4" s="102">
        <v>46020</v>
      </c>
      <c r="B4" s="103" t="s">
        <v>298</v>
      </c>
      <c r="C4" s="104"/>
      <c r="D4" s="98"/>
      <c r="E4" s="98"/>
      <c r="F4" s="98"/>
      <c r="G4" s="98"/>
      <c r="H4" s="98"/>
      <c r="I4" s="98"/>
    </row>
    <row r="5" spans="1:9" s="101" customFormat="1" ht="15.95" customHeight="1" x14ac:dyDescent="0.35">
      <c r="A5" s="102">
        <v>46021</v>
      </c>
      <c r="B5" s="103" t="s">
        <v>298</v>
      </c>
      <c r="C5" s="104"/>
      <c r="D5" s="98"/>
      <c r="E5" s="98"/>
      <c r="F5" s="98"/>
      <c r="G5" s="98"/>
      <c r="H5" s="98"/>
      <c r="I5" s="98"/>
    </row>
    <row r="6" spans="1:9" s="101" customFormat="1" ht="15.95" customHeight="1" x14ac:dyDescent="0.35">
      <c r="A6" s="102">
        <v>46022</v>
      </c>
      <c r="B6" s="103" t="s">
        <v>298</v>
      </c>
      <c r="C6" s="104"/>
      <c r="D6" s="98"/>
      <c r="E6" s="98"/>
      <c r="F6" s="98"/>
      <c r="G6" s="98"/>
      <c r="H6" s="98"/>
      <c r="I6" s="98"/>
    </row>
    <row r="7" spans="1:9" s="101" customFormat="1" ht="15.95" customHeight="1" x14ac:dyDescent="0.35">
      <c r="A7" s="102">
        <v>46023</v>
      </c>
      <c r="B7" s="103" t="s">
        <v>298</v>
      </c>
      <c r="C7" s="104"/>
      <c r="D7" s="98"/>
      <c r="E7" s="98"/>
      <c r="F7" s="98"/>
      <c r="G7" s="98"/>
      <c r="H7" s="98"/>
      <c r="I7" s="98"/>
    </row>
    <row r="8" spans="1:9" s="101" customFormat="1" ht="15.95" customHeight="1" x14ac:dyDescent="0.35">
      <c r="A8" s="102">
        <v>46024</v>
      </c>
      <c r="B8" s="103" t="s">
        <v>298</v>
      </c>
      <c r="C8" s="104"/>
      <c r="D8" s="98"/>
      <c r="E8" s="98"/>
      <c r="F8" s="98"/>
      <c r="G8" s="98"/>
      <c r="H8" s="98"/>
      <c r="I8" s="98"/>
    </row>
    <row r="9" spans="1:9" s="101" customFormat="1" ht="15.95" customHeight="1" x14ac:dyDescent="0.35">
      <c r="A9" s="102">
        <v>46065</v>
      </c>
      <c r="B9" s="103" t="s">
        <v>299</v>
      </c>
      <c r="C9" s="104"/>
      <c r="D9" s="98"/>
      <c r="E9" s="98"/>
      <c r="F9" s="98"/>
      <c r="G9" s="98"/>
      <c r="H9" s="98"/>
      <c r="I9" s="98"/>
    </row>
    <row r="10" spans="1:9" s="101" customFormat="1" ht="15.95" customHeight="1" x14ac:dyDescent="0.35">
      <c r="A10" s="102">
        <v>46118</v>
      </c>
      <c r="B10" s="103" t="s">
        <v>300</v>
      </c>
      <c r="C10" s="104"/>
      <c r="D10" s="98"/>
      <c r="E10" s="98"/>
      <c r="F10" s="98"/>
      <c r="G10" s="98"/>
      <c r="H10" s="98"/>
      <c r="I10" s="98"/>
    </row>
    <row r="11" spans="1:9" s="101" customFormat="1" ht="15.95" customHeight="1" x14ac:dyDescent="0.35">
      <c r="A11" s="102">
        <v>46125</v>
      </c>
      <c r="B11" s="103" t="s">
        <v>301</v>
      </c>
      <c r="C11" s="104"/>
      <c r="D11" s="98"/>
      <c r="E11" s="98"/>
      <c r="F11" s="98"/>
      <c r="G11" s="98"/>
      <c r="H11" s="98"/>
      <c r="I11" s="98"/>
    </row>
    <row r="12" spans="1:9" s="101" customFormat="1" ht="15.95" customHeight="1" x14ac:dyDescent="0.35">
      <c r="A12" s="102">
        <v>46126</v>
      </c>
      <c r="B12" s="103" t="s">
        <v>301</v>
      </c>
      <c r="C12" s="104"/>
      <c r="D12" s="98"/>
      <c r="E12" s="98"/>
      <c r="F12" s="98"/>
      <c r="G12" s="98"/>
      <c r="H12" s="98"/>
      <c r="I12" s="98"/>
    </row>
    <row r="13" spans="1:9" s="101" customFormat="1" ht="15.95" customHeight="1" x14ac:dyDescent="0.35">
      <c r="A13" s="102">
        <v>46127</v>
      </c>
      <c r="B13" s="103" t="s">
        <v>301</v>
      </c>
      <c r="C13" s="104"/>
      <c r="D13" s="98"/>
      <c r="E13" s="98"/>
      <c r="F13" s="98"/>
      <c r="G13" s="98"/>
      <c r="H13" s="98"/>
      <c r="I13" s="98"/>
    </row>
    <row r="14" spans="1:9" s="101" customFormat="1" ht="15.95" customHeight="1" x14ac:dyDescent="0.35">
      <c r="A14" s="102">
        <v>46128</v>
      </c>
      <c r="B14" s="103" t="s">
        <v>301</v>
      </c>
      <c r="C14" s="104"/>
      <c r="D14" s="98"/>
      <c r="E14" s="98"/>
      <c r="F14" s="98"/>
      <c r="G14" s="98"/>
      <c r="H14" s="98"/>
      <c r="I14" s="98"/>
    </row>
    <row r="15" spans="1:9" s="101" customFormat="1" ht="15.95" customHeight="1" x14ac:dyDescent="0.35">
      <c r="A15" s="102">
        <v>46129</v>
      </c>
      <c r="B15" s="103" t="s">
        <v>301</v>
      </c>
      <c r="C15" s="104"/>
      <c r="D15" s="98"/>
      <c r="E15" s="98"/>
      <c r="F15" s="98"/>
      <c r="G15" s="98"/>
      <c r="H15" s="98"/>
      <c r="I15" s="98"/>
    </row>
    <row r="16" spans="1:9" s="101" customFormat="1" ht="15.95" customHeight="1" x14ac:dyDescent="0.35">
      <c r="A16" s="102">
        <v>46143</v>
      </c>
      <c r="B16" s="103" t="s">
        <v>302</v>
      </c>
      <c r="C16" s="104"/>
      <c r="D16" s="98"/>
      <c r="E16" s="98"/>
      <c r="F16" s="98"/>
      <c r="G16" s="98"/>
      <c r="H16" s="98"/>
      <c r="I16" s="98"/>
    </row>
    <row r="17" spans="1:9" s="101" customFormat="1" ht="15.95" customHeight="1" x14ac:dyDescent="0.35">
      <c r="A17" s="102">
        <v>46146</v>
      </c>
      <c r="B17" s="103" t="s">
        <v>303</v>
      </c>
      <c r="C17" s="104"/>
      <c r="D17" s="98"/>
      <c r="E17" s="98"/>
      <c r="F17" s="98"/>
      <c r="G17" s="98"/>
      <c r="H17" s="98"/>
      <c r="I17" s="98"/>
    </row>
    <row r="18" spans="1:9" s="101" customFormat="1" ht="15.95" customHeight="1" x14ac:dyDescent="0.35">
      <c r="A18" s="102">
        <v>46174</v>
      </c>
      <c r="B18" s="103"/>
      <c r="C18" s="104"/>
      <c r="D18" s="98"/>
      <c r="E18" s="98"/>
      <c r="F18" s="98"/>
      <c r="G18" s="98"/>
      <c r="H18" s="98"/>
      <c r="I18" s="98"/>
    </row>
    <row r="19" spans="1:9" s="101" customFormat="1" ht="15.95" customHeight="1" x14ac:dyDescent="0.35">
      <c r="A19" s="102">
        <v>46176</v>
      </c>
      <c r="B19" s="103"/>
      <c r="C19" s="104"/>
      <c r="D19" s="98"/>
      <c r="E19" s="98"/>
      <c r="F19" s="98"/>
      <c r="G19" s="98"/>
      <c r="H19" s="98"/>
      <c r="I19" s="98"/>
    </row>
    <row r="20" spans="1:9" s="101" customFormat="1" ht="15.95" customHeight="1" x14ac:dyDescent="0.35">
      <c r="A20" s="102">
        <v>46231</v>
      </c>
      <c r="B20" s="103"/>
      <c r="C20" s="104"/>
      <c r="D20" s="98"/>
      <c r="E20" s="98"/>
      <c r="F20" s="98"/>
      <c r="G20" s="98"/>
      <c r="H20" s="98"/>
      <c r="I20" s="98"/>
    </row>
    <row r="21" spans="1:9" s="101" customFormat="1" ht="15.95" customHeight="1" x14ac:dyDescent="0.35">
      <c r="A21" s="102">
        <v>46232</v>
      </c>
      <c r="B21" s="103"/>
      <c r="C21" s="104"/>
      <c r="D21" s="98"/>
      <c r="E21" s="98"/>
      <c r="F21" s="98"/>
      <c r="G21" s="98"/>
      <c r="H21" s="98"/>
      <c r="I21" s="98"/>
    </row>
    <row r="22" spans="1:9" s="101" customFormat="1" ht="15.95" customHeight="1" x14ac:dyDescent="0.35">
      <c r="A22" s="102">
        <v>46246</v>
      </c>
      <c r="B22" s="103" t="s">
        <v>304</v>
      </c>
      <c r="C22" s="104"/>
      <c r="D22" s="98"/>
      <c r="E22" s="98"/>
      <c r="F22" s="98"/>
      <c r="G22" s="98"/>
      <c r="H22" s="98"/>
      <c r="I22" s="98"/>
    </row>
    <row r="23" spans="1:9" s="101" customFormat="1" ht="15.95" customHeight="1" x14ac:dyDescent="0.35">
      <c r="A23" s="102">
        <v>46308</v>
      </c>
      <c r="B23" s="103" t="s">
        <v>305</v>
      </c>
      <c r="C23" s="104"/>
      <c r="D23" s="98"/>
      <c r="E23" s="98"/>
      <c r="F23" s="98"/>
      <c r="G23" s="98"/>
      <c r="H23" s="98"/>
      <c r="I23" s="98"/>
    </row>
    <row r="24" spans="1:9" s="101" customFormat="1" ht="15.95" customHeight="1" x14ac:dyDescent="0.35">
      <c r="A24" s="102">
        <v>46318</v>
      </c>
      <c r="B24" s="105" t="s">
        <v>306</v>
      </c>
      <c r="C24" s="104"/>
      <c r="D24" s="98"/>
      <c r="E24" s="98"/>
      <c r="F24" s="98"/>
      <c r="G24" s="98"/>
      <c r="H24" s="98"/>
      <c r="I24" s="98"/>
    </row>
    <row r="25" spans="1:9" s="101" customFormat="1" ht="15.95" customHeight="1" x14ac:dyDescent="0.35">
      <c r="A25" s="102">
        <v>46363</v>
      </c>
      <c r="B25" s="103" t="s">
        <v>296</v>
      </c>
      <c r="C25" s="104"/>
      <c r="D25" s="98"/>
      <c r="E25" s="98"/>
      <c r="F25" s="98"/>
      <c r="G25" s="98"/>
      <c r="H25" s="98"/>
      <c r="I25" s="98"/>
    </row>
    <row r="26" spans="1:9" s="101" customFormat="1" ht="15.95" customHeight="1" x14ac:dyDescent="0.35">
      <c r="A26" s="102">
        <v>46387</v>
      </c>
      <c r="B26" s="103" t="s">
        <v>298</v>
      </c>
      <c r="C26" s="104"/>
      <c r="D26" s="98"/>
      <c r="E26" s="98"/>
      <c r="F26" s="98"/>
      <c r="G26" s="98"/>
      <c r="H26" s="98"/>
      <c r="I26" s="98"/>
    </row>
    <row r="27" spans="1:9" s="101" customFormat="1" ht="15.95" customHeight="1" x14ac:dyDescent="0.35">
      <c r="A27" s="102">
        <v>46388</v>
      </c>
      <c r="B27" s="103" t="s">
        <v>298</v>
      </c>
      <c r="C27" s="104" t="s">
        <v>307</v>
      </c>
      <c r="D27" s="98"/>
      <c r="E27" s="98"/>
      <c r="F27" s="98"/>
      <c r="G27" s="98"/>
      <c r="H27" s="98"/>
      <c r="I27" s="98"/>
    </row>
    <row r="28" spans="1:9" s="101" customFormat="1" ht="15.95" customHeight="1" x14ac:dyDescent="0.35">
      <c r="A28" s="102">
        <v>46389</v>
      </c>
      <c r="B28" s="103"/>
      <c r="C28" s="104"/>
      <c r="D28" s="98"/>
      <c r="E28" s="98"/>
      <c r="F28" s="98"/>
      <c r="G28" s="98"/>
      <c r="H28" s="98"/>
      <c r="I28" s="98"/>
    </row>
    <row r="29" spans="1:9" s="101" customFormat="1" ht="15.95" customHeight="1" x14ac:dyDescent="0.35">
      <c r="A29" s="102">
        <v>46439</v>
      </c>
      <c r="B29" s="103" t="s">
        <v>299</v>
      </c>
      <c r="C29" s="104"/>
      <c r="D29" s="98"/>
      <c r="E29" s="98"/>
      <c r="F29" s="98"/>
      <c r="G29" s="98"/>
      <c r="H29" s="98"/>
      <c r="I29" s="98"/>
    </row>
    <row r="30" spans="1:9" s="101" customFormat="1" ht="15.95" customHeight="1" x14ac:dyDescent="0.35">
      <c r="A30" s="102">
        <v>46440</v>
      </c>
      <c r="B30" s="103"/>
      <c r="C30" s="104"/>
      <c r="D30" s="98"/>
      <c r="E30" s="98"/>
      <c r="F30" s="98"/>
      <c r="G30" s="98"/>
      <c r="H30" s="98"/>
      <c r="I30" s="98"/>
    </row>
    <row r="31" spans="1:9" s="101" customFormat="1" ht="15.95" customHeight="1" x14ac:dyDescent="0.35">
      <c r="A31" s="102">
        <v>46483</v>
      </c>
      <c r="B31" s="103" t="s">
        <v>300</v>
      </c>
      <c r="C31" s="104"/>
      <c r="D31" s="98"/>
      <c r="E31" s="98"/>
      <c r="F31" s="98"/>
      <c r="G31" s="98"/>
      <c r="H31" s="98"/>
      <c r="I31" s="98"/>
    </row>
    <row r="32" spans="1:9" s="101" customFormat="1" ht="15.95" customHeight="1" x14ac:dyDescent="0.35">
      <c r="A32" s="102">
        <v>46490</v>
      </c>
      <c r="B32" s="103" t="s">
        <v>301</v>
      </c>
      <c r="C32" s="104"/>
      <c r="D32" s="98"/>
      <c r="E32" s="98"/>
      <c r="F32" s="98"/>
      <c r="G32" s="98"/>
      <c r="H32" s="98"/>
      <c r="I32" s="98"/>
    </row>
    <row r="33" spans="1:9" s="101" customFormat="1" ht="15.95" customHeight="1" x14ac:dyDescent="0.35">
      <c r="A33" s="102">
        <v>46491</v>
      </c>
      <c r="B33" s="103" t="s">
        <v>301</v>
      </c>
      <c r="C33" s="104"/>
      <c r="D33" s="98"/>
      <c r="E33" s="98"/>
      <c r="F33" s="98"/>
      <c r="G33" s="98"/>
      <c r="H33" s="98"/>
      <c r="I33" s="98"/>
    </row>
    <row r="34" spans="1:9" s="101" customFormat="1" ht="15.95" customHeight="1" x14ac:dyDescent="0.35">
      <c r="A34" s="102">
        <v>46492</v>
      </c>
      <c r="B34" s="103" t="s">
        <v>301</v>
      </c>
      <c r="C34" s="104" t="s">
        <v>307</v>
      </c>
      <c r="D34" s="98"/>
      <c r="E34" s="98"/>
      <c r="F34" s="98"/>
      <c r="G34" s="98"/>
      <c r="H34" s="98"/>
      <c r="I34" s="98"/>
    </row>
    <row r="35" spans="1:9" s="101" customFormat="1" ht="15.95" customHeight="1" x14ac:dyDescent="0.35">
      <c r="A35" s="102">
        <v>46508</v>
      </c>
      <c r="B35" s="103" t="s">
        <v>302</v>
      </c>
      <c r="C35" s="104"/>
      <c r="D35" s="98"/>
      <c r="E35" s="98"/>
      <c r="F35" s="98"/>
      <c r="G35" s="98"/>
      <c r="H35" s="98"/>
      <c r="I35" s="98"/>
    </row>
    <row r="36" spans="1:9" s="101" customFormat="1" ht="15.95" customHeight="1" x14ac:dyDescent="0.35">
      <c r="A36" s="102">
        <v>46511</v>
      </c>
      <c r="B36" s="103" t="s">
        <v>303</v>
      </c>
      <c r="C36" s="104"/>
      <c r="D36" s="98"/>
      <c r="E36" s="98"/>
      <c r="F36" s="98"/>
      <c r="G36" s="98"/>
      <c r="H36" s="98"/>
      <c r="I36" s="98"/>
    </row>
    <row r="37" spans="1:9" s="101" customFormat="1" ht="15.95" customHeight="1" x14ac:dyDescent="0.35">
      <c r="A37" s="102">
        <v>46527</v>
      </c>
      <c r="B37" s="103" t="s">
        <v>308</v>
      </c>
      <c r="C37" s="104"/>
      <c r="D37" s="98"/>
      <c r="E37" s="98"/>
      <c r="F37" s="98"/>
      <c r="G37" s="98"/>
      <c r="H37" s="98"/>
      <c r="I37" s="98"/>
    </row>
    <row r="38" spans="1:9" s="101" customFormat="1" ht="15.95" customHeight="1" x14ac:dyDescent="0.35">
      <c r="A38" s="102">
        <v>46541</v>
      </c>
      <c r="B38" s="103" t="s">
        <v>309</v>
      </c>
      <c r="C38" s="104"/>
      <c r="D38" s="98"/>
      <c r="E38" s="98"/>
      <c r="F38" s="98"/>
      <c r="G38" s="98"/>
      <c r="H38" s="98"/>
      <c r="I38" s="98"/>
    </row>
    <row r="39" spans="1:9" s="101" customFormat="1" ht="15.95" customHeight="1" x14ac:dyDescent="0.35">
      <c r="A39" s="102">
        <v>46611</v>
      </c>
      <c r="B39" s="103" t="s">
        <v>304</v>
      </c>
      <c r="C39" s="104" t="s">
        <v>307</v>
      </c>
      <c r="D39" s="98"/>
      <c r="E39" s="98"/>
      <c r="F39" s="98"/>
      <c r="G39" s="98"/>
      <c r="H39" s="98"/>
      <c r="I39" s="98"/>
    </row>
    <row r="40" spans="1:9" s="101" customFormat="1" ht="15.95" customHeight="1" x14ac:dyDescent="0.35">
      <c r="A40" s="102">
        <v>46673</v>
      </c>
      <c r="B40" s="103" t="s">
        <v>305</v>
      </c>
      <c r="C40" s="104"/>
      <c r="D40" s="98"/>
      <c r="E40" s="98"/>
      <c r="F40" s="98"/>
      <c r="G40" s="98"/>
      <c r="H40" s="98"/>
      <c r="I40" s="98"/>
    </row>
    <row r="41" spans="1:9" s="101" customFormat="1" ht="15.95" customHeight="1" x14ac:dyDescent="0.35">
      <c r="A41" s="102">
        <v>46683</v>
      </c>
      <c r="B41" s="103" t="s">
        <v>306</v>
      </c>
      <c r="C41" s="104"/>
      <c r="D41" s="103" t="s">
        <v>306</v>
      </c>
      <c r="E41" s="98"/>
      <c r="F41" s="98"/>
      <c r="G41" s="98"/>
      <c r="H41" s="98"/>
      <c r="I41" s="98"/>
    </row>
    <row r="42" spans="1:9" s="101" customFormat="1" ht="15.95" customHeight="1" x14ac:dyDescent="0.35">
      <c r="A42" s="102">
        <v>46685</v>
      </c>
      <c r="B42" s="103"/>
      <c r="C42" s="104"/>
      <c r="D42" s="98"/>
      <c r="E42" s="98"/>
      <c r="F42" s="98"/>
      <c r="G42" s="98"/>
      <c r="H42" s="98"/>
      <c r="I42" s="98"/>
    </row>
    <row r="43" spans="1:9" s="101" customFormat="1" ht="15.95" customHeight="1" x14ac:dyDescent="0.35">
      <c r="A43" s="102">
        <v>46726</v>
      </c>
      <c r="B43" s="103" t="s">
        <v>296</v>
      </c>
      <c r="C43" s="104"/>
      <c r="D43" s="98"/>
      <c r="E43" s="98"/>
      <c r="F43" s="98"/>
      <c r="G43" s="98"/>
      <c r="H43" s="98"/>
      <c r="I43" s="98"/>
    </row>
    <row r="44" spans="1:9" s="101" customFormat="1" ht="15.95" customHeight="1" x14ac:dyDescent="0.35">
      <c r="A44" s="102">
        <v>46727</v>
      </c>
      <c r="B44" s="103"/>
      <c r="C44" s="104"/>
      <c r="D44" s="98"/>
      <c r="E44" s="98"/>
      <c r="F44" s="98"/>
      <c r="G44" s="98"/>
      <c r="H44" s="98"/>
      <c r="I44" s="98"/>
    </row>
    <row r="45" spans="1:9" s="101" customFormat="1" ht="15.95" customHeight="1" x14ac:dyDescent="0.35">
      <c r="A45" s="102">
        <v>46731</v>
      </c>
      <c r="B45" s="103" t="s">
        <v>310</v>
      </c>
      <c r="C45" s="104"/>
      <c r="D45" s="98"/>
      <c r="E45" s="98"/>
      <c r="F45" s="98"/>
      <c r="G45" s="98"/>
      <c r="H45" s="98"/>
      <c r="I45" s="98"/>
    </row>
    <row r="46" spans="1:9" s="101" customFormat="1" ht="15.95" customHeight="1" x14ac:dyDescent="0.35">
      <c r="A46" s="102">
        <v>46752</v>
      </c>
      <c r="B46" s="103" t="s">
        <v>298</v>
      </c>
      <c r="C46" s="104"/>
      <c r="D46" s="98"/>
      <c r="E46" s="98"/>
      <c r="F46" s="98"/>
      <c r="G46" s="98"/>
      <c r="H46" s="98"/>
      <c r="I46" s="98"/>
    </row>
    <row r="47" spans="1:9" s="101" customFormat="1" ht="15.95" customHeight="1" x14ac:dyDescent="0.35">
      <c r="A47" s="102">
        <v>46753</v>
      </c>
      <c r="B47" s="103" t="s">
        <v>298</v>
      </c>
      <c r="C47" s="104" t="s">
        <v>307</v>
      </c>
      <c r="D47" s="98"/>
      <c r="E47" s="98"/>
      <c r="F47" s="98"/>
      <c r="G47" s="98"/>
      <c r="H47" s="98"/>
      <c r="I47" s="98"/>
    </row>
    <row r="48" spans="1:9" s="101" customFormat="1" ht="15.95" customHeight="1" x14ac:dyDescent="0.35">
      <c r="A48" s="102">
        <v>46791</v>
      </c>
      <c r="B48" s="103" t="s">
        <v>311</v>
      </c>
      <c r="C48" s="104"/>
      <c r="D48" s="98"/>
      <c r="E48" s="98"/>
      <c r="F48" s="98"/>
      <c r="G48" s="98"/>
      <c r="H48" s="98"/>
      <c r="I48" s="98"/>
    </row>
    <row r="49" spans="1:9" s="101" customFormat="1" ht="15.95" customHeight="1" x14ac:dyDescent="0.35">
      <c r="A49" s="102">
        <v>46849</v>
      </c>
      <c r="B49" s="103" t="s">
        <v>312</v>
      </c>
      <c r="C49" s="104"/>
      <c r="D49" s="98"/>
      <c r="E49" s="98"/>
      <c r="F49" s="98"/>
      <c r="G49" s="98"/>
      <c r="H49" s="98"/>
      <c r="I49" s="98"/>
    </row>
    <row r="50" spans="1:9" s="101" customFormat="1" ht="15.95" customHeight="1" x14ac:dyDescent="0.35">
      <c r="A50" s="102">
        <v>46856</v>
      </c>
      <c r="B50" s="103" t="s">
        <v>301</v>
      </c>
      <c r="C50" s="104"/>
      <c r="D50" s="98"/>
      <c r="E50" s="98"/>
      <c r="F50" s="98"/>
      <c r="G50" s="98"/>
      <c r="H50" s="98"/>
      <c r="I50" s="98"/>
    </row>
    <row r="51" spans="1:9" s="101" customFormat="1" ht="15.95" customHeight="1" x14ac:dyDescent="0.35">
      <c r="A51" s="102">
        <v>46857</v>
      </c>
      <c r="B51" s="103" t="s">
        <v>301</v>
      </c>
      <c r="C51" s="104"/>
      <c r="D51" s="98"/>
      <c r="E51" s="98"/>
      <c r="F51" s="98"/>
      <c r="G51" s="98"/>
      <c r="H51" s="98"/>
      <c r="I51" s="98"/>
    </row>
    <row r="52" spans="1:9" s="101" customFormat="1" ht="15.95" customHeight="1" x14ac:dyDescent="0.35">
      <c r="A52" s="102">
        <v>46858</v>
      </c>
      <c r="B52" s="103" t="s">
        <v>301</v>
      </c>
      <c r="C52" s="104"/>
      <c r="D52" s="98"/>
      <c r="E52" s="98"/>
      <c r="F52" s="98"/>
      <c r="G52" s="98"/>
      <c r="H52" s="98"/>
      <c r="I52" s="98"/>
    </row>
    <row r="53" spans="1:9" s="101" customFormat="1" ht="15.95" customHeight="1" x14ac:dyDescent="0.35">
      <c r="A53" s="102">
        <v>46874</v>
      </c>
      <c r="B53" s="103" t="s">
        <v>302</v>
      </c>
      <c r="C53" s="104"/>
      <c r="D53" s="98"/>
      <c r="E53" s="98"/>
      <c r="F53" s="98"/>
      <c r="G53" s="98"/>
      <c r="H53" s="98"/>
      <c r="I53" s="98"/>
    </row>
    <row r="54" spans="1:9" s="101" customFormat="1" ht="15.95" customHeight="1" x14ac:dyDescent="0.35">
      <c r="A54" s="102">
        <v>46878</v>
      </c>
      <c r="B54" s="103" t="s">
        <v>303</v>
      </c>
      <c r="C54" s="104" t="s">
        <v>307</v>
      </c>
      <c r="D54" s="98"/>
      <c r="E54" s="98"/>
      <c r="F54" s="98"/>
      <c r="G54" s="98"/>
      <c r="H54" s="98"/>
      <c r="I54" s="98"/>
    </row>
    <row r="55" spans="1:9" s="101" customFormat="1" ht="15.95" customHeight="1" x14ac:dyDescent="0.35">
      <c r="A55" s="102">
        <v>46912</v>
      </c>
      <c r="B55" s="103" t="s">
        <v>313</v>
      </c>
      <c r="C55" s="104"/>
      <c r="D55" s="98"/>
      <c r="E55" s="98"/>
      <c r="F55" s="98"/>
      <c r="G55" s="98"/>
      <c r="H55" s="98"/>
      <c r="I55" s="98"/>
    </row>
    <row r="56" spans="1:9" s="101" customFormat="1" ht="15.95" customHeight="1" x14ac:dyDescent="0.35">
      <c r="A56" s="102">
        <v>46907</v>
      </c>
      <c r="B56" s="103" t="s">
        <v>309</v>
      </c>
      <c r="C56" s="104" t="s">
        <v>307</v>
      </c>
      <c r="D56" s="98"/>
      <c r="E56" s="98"/>
      <c r="F56" s="98"/>
      <c r="G56" s="98"/>
      <c r="H56" s="98"/>
      <c r="I56" s="98"/>
    </row>
    <row r="57" spans="1:9" s="101" customFormat="1" ht="15.95" customHeight="1" x14ac:dyDescent="0.35">
      <c r="A57" s="102">
        <v>46958</v>
      </c>
      <c r="B57" s="103" t="s">
        <v>314</v>
      </c>
      <c r="C57" s="104"/>
      <c r="D57" s="98"/>
      <c r="E57" s="98"/>
      <c r="F57" s="98"/>
      <c r="G57" s="98"/>
      <c r="H57" s="98"/>
      <c r="I57" s="98"/>
    </row>
    <row r="58" spans="1:9" s="101" customFormat="1" ht="15.95" customHeight="1" x14ac:dyDescent="0.35">
      <c r="A58" s="102">
        <v>46977</v>
      </c>
      <c r="B58" s="103" t="s">
        <v>304</v>
      </c>
      <c r="C58" s="104"/>
      <c r="D58" s="98"/>
      <c r="E58" s="98"/>
      <c r="F58" s="98"/>
      <c r="G58" s="98"/>
      <c r="H58" s="98"/>
      <c r="I58" s="98"/>
    </row>
    <row r="59" spans="1:9" s="101" customFormat="1" ht="15.95" customHeight="1" x14ac:dyDescent="0.35">
      <c r="A59" s="102">
        <v>47039</v>
      </c>
      <c r="B59" s="103" t="s">
        <v>305</v>
      </c>
      <c r="C59" s="104"/>
      <c r="D59" s="98"/>
      <c r="E59" s="98"/>
      <c r="F59" s="98"/>
      <c r="G59" s="98"/>
      <c r="H59" s="98"/>
      <c r="I59" s="98"/>
    </row>
    <row r="60" spans="1:9" s="101" customFormat="1" ht="15.95" customHeight="1" x14ac:dyDescent="0.35">
      <c r="A60" s="102">
        <v>47049</v>
      </c>
      <c r="B60" s="103" t="s">
        <v>306</v>
      </c>
      <c r="C60" s="104"/>
      <c r="D60" s="98"/>
      <c r="E60" s="98"/>
      <c r="F60" s="98"/>
      <c r="G60" s="98"/>
      <c r="H60" s="98"/>
      <c r="I60" s="98"/>
    </row>
    <row r="61" spans="1:9" s="101" customFormat="1" ht="15.95" customHeight="1" x14ac:dyDescent="0.35">
      <c r="A61" s="102">
        <v>47092</v>
      </c>
      <c r="B61" s="103" t="s">
        <v>296</v>
      </c>
      <c r="C61" s="104"/>
      <c r="D61" s="98"/>
      <c r="E61" s="98"/>
      <c r="F61" s="98"/>
      <c r="G61" s="98"/>
      <c r="H61" s="98"/>
      <c r="I61" s="98"/>
    </row>
    <row r="62" spans="1:9" s="101" customFormat="1" ht="15.95" customHeight="1" x14ac:dyDescent="0.35">
      <c r="A62" s="102">
        <v>47097</v>
      </c>
      <c r="B62" s="103" t="s">
        <v>310</v>
      </c>
      <c r="C62" s="104"/>
      <c r="D62" s="98"/>
      <c r="E62" s="98"/>
      <c r="F62" s="98"/>
      <c r="G62" s="98"/>
      <c r="H62" s="98"/>
      <c r="I62" s="98"/>
    </row>
    <row r="63" spans="1:9" x14ac:dyDescent="0.35">
      <c r="A63" s="102">
        <v>47118</v>
      </c>
      <c r="B63" s="103" t="s">
        <v>298</v>
      </c>
    </row>
  </sheetData>
  <phoneticPr fontId="19" type="noConversion"/>
  <conditionalFormatting sqref="A2:A6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A64E-C380-4C38-B4C3-AC1CE9E57C1C}">
  <dimension ref="A1:I84"/>
  <sheetViews>
    <sheetView topLeftCell="A67" workbookViewId="0">
      <selection activeCell="H83" sqref="H83"/>
    </sheetView>
  </sheetViews>
  <sheetFormatPr defaultColWidth="9" defaultRowHeight="12.75" x14ac:dyDescent="0.35"/>
  <cols>
    <col min="1" max="1" width="12.265625" style="106" customWidth="1"/>
    <col min="2" max="2" width="34.265625" style="106" customWidth="1"/>
    <col min="3" max="16384" width="9" style="106"/>
  </cols>
  <sheetData>
    <row r="1" spans="1:9" ht="18" customHeight="1" x14ac:dyDescent="0.35">
      <c r="A1" s="126" t="s">
        <v>294</v>
      </c>
      <c r="B1" s="127" t="s">
        <v>295</v>
      </c>
      <c r="C1" s="109"/>
      <c r="D1" s="109"/>
      <c r="E1" s="109"/>
      <c r="F1" s="109"/>
      <c r="G1" s="109"/>
      <c r="H1" s="109"/>
      <c r="I1" s="109"/>
    </row>
    <row r="2" spans="1:9" ht="18" customHeight="1" x14ac:dyDescent="0.55000000000000004">
      <c r="A2" s="111">
        <v>46023</v>
      </c>
      <c r="B2" s="112" t="s">
        <v>298</v>
      </c>
      <c r="C2" s="110"/>
      <c r="D2" s="110"/>
      <c r="E2" s="110"/>
      <c r="F2" s="110"/>
      <c r="G2" s="110"/>
      <c r="H2" s="110"/>
      <c r="I2" s="110"/>
    </row>
    <row r="3" spans="1:9" ht="18" customHeight="1" x14ac:dyDescent="0.55000000000000004">
      <c r="A3" s="111">
        <v>46024</v>
      </c>
      <c r="B3" s="112" t="s">
        <v>298</v>
      </c>
      <c r="C3" s="110"/>
      <c r="D3" s="110"/>
      <c r="E3" s="110"/>
      <c r="F3" s="110"/>
      <c r="G3" s="110"/>
      <c r="H3" s="110"/>
      <c r="I3" s="110"/>
    </row>
    <row r="4" spans="1:9" ht="18" customHeight="1" x14ac:dyDescent="0.55000000000000004">
      <c r="A4" s="111">
        <v>46025</v>
      </c>
      <c r="B4" s="112" t="s">
        <v>298</v>
      </c>
      <c r="C4" s="110"/>
      <c r="D4" s="110"/>
      <c r="E4" s="110"/>
      <c r="F4" s="110"/>
      <c r="G4" s="110"/>
      <c r="H4" s="110"/>
      <c r="I4" s="110"/>
    </row>
    <row r="5" spans="1:9" ht="18" customHeight="1" x14ac:dyDescent="0.55000000000000004">
      <c r="A5" s="111">
        <v>46068</v>
      </c>
      <c r="B5" s="112" t="s">
        <v>328</v>
      </c>
      <c r="C5" s="110"/>
      <c r="D5" s="110"/>
      <c r="E5" s="110"/>
      <c r="F5" s="110"/>
      <c r="G5" s="110"/>
      <c r="H5" s="110"/>
      <c r="I5" s="110"/>
    </row>
    <row r="6" spans="1:9" ht="18" customHeight="1" x14ac:dyDescent="0.55000000000000004">
      <c r="A6" s="111">
        <v>46069</v>
      </c>
      <c r="B6" s="112" t="s">
        <v>328</v>
      </c>
      <c r="C6" s="110"/>
      <c r="D6" s="110"/>
      <c r="E6" s="110"/>
      <c r="F6" s="110"/>
      <c r="G6" s="110"/>
      <c r="H6" s="110"/>
      <c r="I6" s="110"/>
    </row>
    <row r="7" spans="1:9" ht="18" customHeight="1" x14ac:dyDescent="0.55000000000000004">
      <c r="A7" s="111">
        <v>46070</v>
      </c>
      <c r="B7" s="112" t="s">
        <v>328</v>
      </c>
      <c r="C7" s="110"/>
      <c r="D7" s="110"/>
      <c r="E7" s="110"/>
      <c r="F7" s="110"/>
      <c r="G7" s="110"/>
      <c r="H7" s="110"/>
      <c r="I7" s="110"/>
    </row>
    <row r="8" spans="1:9" ht="18" customHeight="1" x14ac:dyDescent="0.55000000000000004">
      <c r="A8" s="111">
        <v>46071</v>
      </c>
      <c r="B8" s="112" t="s">
        <v>328</v>
      </c>
      <c r="C8" s="110"/>
      <c r="D8" s="110"/>
      <c r="E8" s="110"/>
      <c r="F8" s="110"/>
      <c r="G8" s="110"/>
      <c r="H8" s="110"/>
      <c r="I8" s="110"/>
    </row>
    <row r="9" spans="1:9" ht="18" customHeight="1" x14ac:dyDescent="0.55000000000000004">
      <c r="A9" s="111">
        <v>46072</v>
      </c>
      <c r="B9" s="112" t="s">
        <v>328</v>
      </c>
      <c r="C9" s="110"/>
      <c r="D9" s="110"/>
      <c r="E9" s="110"/>
      <c r="F9" s="110"/>
      <c r="G9" s="110"/>
      <c r="H9" s="110"/>
      <c r="I9" s="110"/>
    </row>
    <row r="10" spans="1:9" ht="18" customHeight="1" x14ac:dyDescent="0.55000000000000004">
      <c r="A10" s="111">
        <v>46073</v>
      </c>
      <c r="B10" s="112" t="s">
        <v>328</v>
      </c>
      <c r="C10" s="110"/>
      <c r="D10" s="110"/>
      <c r="E10" s="110"/>
      <c r="F10" s="110"/>
      <c r="G10" s="110"/>
      <c r="H10" s="110"/>
      <c r="I10" s="110"/>
    </row>
    <row r="11" spans="1:9" ht="18" customHeight="1" x14ac:dyDescent="0.55000000000000004">
      <c r="A11" s="111">
        <v>46074</v>
      </c>
      <c r="B11" s="112" t="s">
        <v>328</v>
      </c>
      <c r="C11" s="110"/>
      <c r="D11" s="110"/>
      <c r="E11" s="110"/>
      <c r="F11" s="110"/>
      <c r="G11" s="110"/>
      <c r="H11" s="110"/>
      <c r="I11" s="110"/>
    </row>
    <row r="12" spans="1:9" ht="18" customHeight="1" x14ac:dyDescent="0.55000000000000004">
      <c r="A12" s="111">
        <v>46116</v>
      </c>
      <c r="B12" s="112" t="s">
        <v>315</v>
      </c>
      <c r="C12" s="110"/>
      <c r="D12" s="110"/>
      <c r="E12" s="110"/>
      <c r="F12" s="110"/>
      <c r="G12" s="110"/>
      <c r="H12" s="110"/>
      <c r="I12" s="110"/>
    </row>
    <row r="13" spans="1:9" ht="18" customHeight="1" x14ac:dyDescent="0.55000000000000004">
      <c r="A13" s="111">
        <v>46117</v>
      </c>
      <c r="B13" s="112" t="s">
        <v>315</v>
      </c>
      <c r="C13" s="110"/>
      <c r="D13" s="110"/>
      <c r="E13" s="110"/>
      <c r="F13" s="110"/>
      <c r="G13" s="110"/>
      <c r="H13" s="110"/>
      <c r="I13" s="110"/>
    </row>
    <row r="14" spans="1:9" ht="18" customHeight="1" x14ac:dyDescent="0.55000000000000004">
      <c r="A14" s="111">
        <v>46118</v>
      </c>
      <c r="B14" s="112" t="s">
        <v>315</v>
      </c>
      <c r="C14" s="110"/>
      <c r="D14" s="110"/>
      <c r="E14" s="110"/>
      <c r="F14" s="110"/>
      <c r="G14" s="110"/>
      <c r="H14" s="110"/>
      <c r="I14" s="110"/>
    </row>
    <row r="15" spans="1:9" ht="18" customHeight="1" x14ac:dyDescent="0.55000000000000004">
      <c r="A15" s="111">
        <v>46143</v>
      </c>
      <c r="B15" s="112" t="s">
        <v>302</v>
      </c>
      <c r="C15" s="110"/>
      <c r="D15" s="110"/>
      <c r="E15" s="110"/>
      <c r="F15" s="110"/>
      <c r="G15" s="110"/>
      <c r="H15" s="110"/>
      <c r="I15" s="110"/>
    </row>
    <row r="16" spans="1:9" ht="18" customHeight="1" x14ac:dyDescent="0.55000000000000004">
      <c r="A16" s="111">
        <v>46144</v>
      </c>
      <c r="B16" s="112" t="s">
        <v>302</v>
      </c>
      <c r="C16" s="110"/>
      <c r="D16" s="110"/>
      <c r="E16" s="110"/>
      <c r="F16" s="110"/>
      <c r="G16" s="110"/>
      <c r="H16" s="110"/>
      <c r="I16" s="110"/>
    </row>
    <row r="17" spans="1:9" ht="18" customHeight="1" x14ac:dyDescent="0.55000000000000004">
      <c r="A17" s="111">
        <v>46145</v>
      </c>
      <c r="B17" s="112" t="s">
        <v>302</v>
      </c>
      <c r="C17" s="110"/>
      <c r="D17" s="110"/>
      <c r="E17" s="110"/>
      <c r="F17" s="110"/>
      <c r="G17" s="110"/>
      <c r="H17" s="110"/>
      <c r="I17" s="110"/>
    </row>
    <row r="18" spans="1:9" ht="18" customHeight="1" x14ac:dyDescent="0.55000000000000004">
      <c r="A18" s="111">
        <v>46192</v>
      </c>
      <c r="B18" s="112" t="s">
        <v>316</v>
      </c>
      <c r="C18" s="110"/>
      <c r="D18" s="110"/>
      <c r="E18" s="110"/>
      <c r="F18" s="110"/>
      <c r="G18" s="110"/>
      <c r="H18" s="110"/>
      <c r="I18" s="110"/>
    </row>
    <row r="19" spans="1:9" ht="18" customHeight="1" x14ac:dyDescent="0.55000000000000004">
      <c r="A19" s="111">
        <v>46193</v>
      </c>
      <c r="B19" s="112" t="s">
        <v>316</v>
      </c>
      <c r="C19" s="110"/>
      <c r="D19" s="110"/>
      <c r="E19" s="110"/>
      <c r="F19" s="110"/>
      <c r="G19" s="110"/>
      <c r="H19" s="110"/>
      <c r="I19" s="110"/>
    </row>
    <row r="20" spans="1:9" ht="18" customHeight="1" x14ac:dyDescent="0.55000000000000004">
      <c r="A20" s="111">
        <v>46194</v>
      </c>
      <c r="B20" s="112" t="s">
        <v>316</v>
      </c>
      <c r="C20" s="110"/>
      <c r="D20" s="110"/>
      <c r="E20" s="110"/>
      <c r="F20" s="110"/>
      <c r="G20" s="110"/>
      <c r="H20" s="110"/>
      <c r="I20" s="110"/>
    </row>
    <row r="21" spans="1:9" ht="18" customHeight="1" x14ac:dyDescent="0.55000000000000004">
      <c r="A21" s="111">
        <v>46290</v>
      </c>
      <c r="B21" s="112" t="s">
        <v>326</v>
      </c>
      <c r="C21" s="110"/>
      <c r="D21" s="110"/>
      <c r="E21" s="110"/>
      <c r="F21" s="110"/>
      <c r="G21" s="110"/>
      <c r="H21" s="110"/>
      <c r="I21" s="110"/>
    </row>
    <row r="22" spans="1:9" ht="18" customHeight="1" x14ac:dyDescent="0.55000000000000004">
      <c r="A22" s="111">
        <v>46291</v>
      </c>
      <c r="B22" s="112" t="s">
        <v>326</v>
      </c>
      <c r="C22" s="110"/>
      <c r="D22" s="110"/>
      <c r="E22" s="110"/>
      <c r="F22" s="110"/>
      <c r="G22" s="110"/>
      <c r="H22" s="110"/>
      <c r="I22" s="110"/>
    </row>
    <row r="23" spans="1:9" ht="18" customHeight="1" x14ac:dyDescent="0.55000000000000004">
      <c r="A23" s="111">
        <v>46292</v>
      </c>
      <c r="B23" s="112" t="s">
        <v>326</v>
      </c>
      <c r="C23" s="110"/>
      <c r="D23" s="110"/>
      <c r="E23" s="110"/>
      <c r="F23" s="110"/>
      <c r="G23" s="110"/>
      <c r="H23" s="110"/>
      <c r="I23" s="110"/>
    </row>
    <row r="24" spans="1:9" ht="18" customHeight="1" x14ac:dyDescent="0.55000000000000004">
      <c r="A24" s="111">
        <v>46296</v>
      </c>
      <c r="B24" s="112" t="s">
        <v>317</v>
      </c>
      <c r="C24" s="110"/>
      <c r="D24" s="110"/>
      <c r="E24" s="110"/>
      <c r="F24" s="110"/>
      <c r="G24" s="110"/>
      <c r="H24" s="110"/>
      <c r="I24" s="110"/>
    </row>
    <row r="25" spans="1:9" ht="18" customHeight="1" x14ac:dyDescent="0.55000000000000004">
      <c r="A25" s="111">
        <v>46297</v>
      </c>
      <c r="B25" s="112" t="s">
        <v>317</v>
      </c>
      <c r="C25" s="110"/>
      <c r="D25" s="110"/>
      <c r="E25" s="110"/>
      <c r="F25" s="110"/>
      <c r="G25" s="110"/>
      <c r="H25" s="110"/>
      <c r="I25" s="110"/>
    </row>
    <row r="26" spans="1:9" ht="18" customHeight="1" x14ac:dyDescent="0.55000000000000004">
      <c r="A26" s="111">
        <v>46298</v>
      </c>
      <c r="B26" s="112" t="s">
        <v>317</v>
      </c>
      <c r="C26" s="110"/>
      <c r="D26" s="110"/>
      <c r="E26" s="110"/>
      <c r="F26" s="110"/>
      <c r="G26" s="110"/>
      <c r="H26" s="110"/>
      <c r="I26" s="110"/>
    </row>
    <row r="27" spans="1:9" ht="18" customHeight="1" x14ac:dyDescent="0.55000000000000004">
      <c r="A27" s="111">
        <v>46299</v>
      </c>
      <c r="B27" s="112" t="s">
        <v>317</v>
      </c>
      <c r="C27" s="110"/>
      <c r="D27" s="110"/>
      <c r="E27" s="110"/>
      <c r="F27" s="110"/>
      <c r="G27" s="110"/>
      <c r="H27" s="110"/>
      <c r="I27" s="110"/>
    </row>
    <row r="28" spans="1:9" ht="18" customHeight="1" x14ac:dyDescent="0.55000000000000004">
      <c r="A28" s="111">
        <v>46300</v>
      </c>
      <c r="B28" s="112" t="s">
        <v>317</v>
      </c>
      <c r="C28" s="110"/>
      <c r="D28" s="110"/>
      <c r="E28" s="110"/>
      <c r="F28" s="110"/>
      <c r="G28" s="110"/>
      <c r="H28" s="110"/>
      <c r="I28" s="110"/>
    </row>
    <row r="29" spans="1:9" ht="18" customHeight="1" x14ac:dyDescent="0.55000000000000004">
      <c r="A29" s="111">
        <v>46301</v>
      </c>
      <c r="B29" s="112" t="s">
        <v>317</v>
      </c>
      <c r="C29" s="110"/>
      <c r="D29" s="110"/>
      <c r="E29" s="110"/>
      <c r="F29" s="110"/>
      <c r="G29" s="110"/>
      <c r="H29" s="110"/>
      <c r="I29" s="110"/>
    </row>
    <row r="30" spans="1:9" ht="18" customHeight="1" x14ac:dyDescent="0.55000000000000004">
      <c r="A30" s="111">
        <v>46302</v>
      </c>
      <c r="B30" s="112" t="s">
        <v>317</v>
      </c>
      <c r="C30" s="110"/>
      <c r="D30" s="110"/>
      <c r="E30" s="110"/>
      <c r="F30" s="110"/>
      <c r="G30" s="110"/>
      <c r="H30" s="110"/>
      <c r="I30" s="110"/>
    </row>
    <row r="31" spans="1:9" ht="18" customHeight="1" x14ac:dyDescent="0.55000000000000004">
      <c r="A31" s="111">
        <v>46388</v>
      </c>
      <c r="B31" s="112" t="s">
        <v>298</v>
      </c>
      <c r="C31" s="110"/>
      <c r="D31" s="110"/>
      <c r="E31" s="110"/>
      <c r="F31" s="110"/>
      <c r="G31" s="110"/>
      <c r="H31" s="110"/>
      <c r="I31" s="110"/>
    </row>
    <row r="32" spans="1:9" ht="18" customHeight="1" x14ac:dyDescent="0.55000000000000004">
      <c r="A32" s="111">
        <v>46389</v>
      </c>
      <c r="B32" s="112" t="s">
        <v>298</v>
      </c>
      <c r="C32" s="110"/>
      <c r="D32" s="110"/>
      <c r="E32" s="110"/>
      <c r="F32" s="110"/>
      <c r="G32" s="110"/>
      <c r="H32" s="110"/>
      <c r="I32" s="110"/>
    </row>
    <row r="33" spans="1:9" ht="18" customHeight="1" x14ac:dyDescent="0.55000000000000004">
      <c r="A33" s="111">
        <v>46390</v>
      </c>
      <c r="B33" s="112" t="s">
        <v>298</v>
      </c>
      <c r="C33" s="110"/>
      <c r="D33" s="110"/>
      <c r="E33" s="110"/>
      <c r="F33" s="110"/>
      <c r="G33" s="110"/>
      <c r="H33" s="110"/>
      <c r="I33" s="110"/>
    </row>
    <row r="34" spans="1:9" ht="18" customHeight="1" x14ac:dyDescent="0.55000000000000004">
      <c r="A34" s="111">
        <v>46424</v>
      </c>
      <c r="B34" s="112" t="s">
        <v>327</v>
      </c>
      <c r="C34" s="110"/>
      <c r="D34" s="110"/>
      <c r="E34" s="110"/>
      <c r="F34" s="110"/>
      <c r="G34" s="110"/>
      <c r="H34" s="110"/>
      <c r="I34" s="110"/>
    </row>
    <row r="35" spans="1:9" ht="18" customHeight="1" x14ac:dyDescent="0.55000000000000004">
      <c r="A35" s="111">
        <v>46425</v>
      </c>
      <c r="B35" s="112" t="s">
        <v>327</v>
      </c>
      <c r="C35" s="110"/>
      <c r="D35" s="110"/>
      <c r="E35" s="110"/>
      <c r="F35" s="110"/>
      <c r="G35" s="110"/>
      <c r="H35" s="110"/>
      <c r="I35" s="110"/>
    </row>
    <row r="36" spans="1:9" ht="18" customHeight="1" x14ac:dyDescent="0.55000000000000004">
      <c r="A36" s="111">
        <v>46426</v>
      </c>
      <c r="B36" s="112" t="s">
        <v>327</v>
      </c>
      <c r="C36" s="110"/>
      <c r="D36" s="110"/>
      <c r="E36" s="110"/>
      <c r="F36" s="110"/>
      <c r="G36" s="110"/>
      <c r="H36" s="110"/>
      <c r="I36" s="110"/>
    </row>
    <row r="37" spans="1:9" ht="18" customHeight="1" x14ac:dyDescent="0.55000000000000004">
      <c r="A37" s="111">
        <v>46427</v>
      </c>
      <c r="B37" s="112" t="s">
        <v>327</v>
      </c>
      <c r="C37" s="110"/>
      <c r="D37" s="110"/>
      <c r="E37" s="110"/>
      <c r="F37" s="110"/>
      <c r="G37" s="110"/>
      <c r="H37" s="110"/>
      <c r="I37" s="110"/>
    </row>
    <row r="38" spans="1:9" ht="18" customHeight="1" x14ac:dyDescent="0.55000000000000004">
      <c r="A38" s="111">
        <v>46428</v>
      </c>
      <c r="B38" s="112" t="s">
        <v>327</v>
      </c>
      <c r="C38" s="110"/>
      <c r="D38" s="110"/>
      <c r="E38" s="110"/>
      <c r="F38" s="110"/>
      <c r="G38" s="110"/>
      <c r="H38" s="110"/>
      <c r="I38" s="110"/>
    </row>
    <row r="39" spans="1:9" ht="18" customHeight="1" x14ac:dyDescent="0.55000000000000004">
      <c r="A39" s="111">
        <v>46429</v>
      </c>
      <c r="B39" s="112" t="s">
        <v>327</v>
      </c>
      <c r="C39" s="110"/>
      <c r="D39" s="110"/>
      <c r="E39" s="110"/>
      <c r="F39" s="110"/>
      <c r="G39" s="110"/>
      <c r="H39" s="110"/>
      <c r="I39" s="110"/>
    </row>
    <row r="40" spans="1:9" ht="18" customHeight="1" x14ac:dyDescent="0.55000000000000004">
      <c r="A40" s="111">
        <v>46430</v>
      </c>
      <c r="B40" s="112" t="s">
        <v>327</v>
      </c>
      <c r="C40" s="110"/>
      <c r="D40" s="110"/>
      <c r="E40" s="110"/>
      <c r="F40" s="110"/>
      <c r="G40" s="110"/>
      <c r="H40" s="110"/>
      <c r="I40" s="110"/>
    </row>
    <row r="41" spans="1:9" ht="18" customHeight="1" x14ac:dyDescent="0.55000000000000004">
      <c r="A41" s="111">
        <v>46480</v>
      </c>
      <c r="B41" s="112" t="s">
        <v>315</v>
      </c>
      <c r="C41" s="110"/>
      <c r="D41" s="110"/>
      <c r="E41" s="110"/>
      <c r="F41" s="110"/>
      <c r="G41" s="110"/>
      <c r="H41" s="110"/>
      <c r="I41" s="110"/>
    </row>
    <row r="42" spans="1:9" ht="18" customHeight="1" x14ac:dyDescent="0.55000000000000004">
      <c r="A42" s="111">
        <v>46481</v>
      </c>
      <c r="B42" s="112" t="s">
        <v>315</v>
      </c>
      <c r="C42" s="110"/>
      <c r="D42" s="110"/>
      <c r="E42" s="110"/>
      <c r="F42" s="110"/>
      <c r="G42" s="110"/>
      <c r="H42" s="110"/>
      <c r="I42" s="110"/>
    </row>
    <row r="43" spans="1:9" ht="18" customHeight="1" x14ac:dyDescent="0.55000000000000004">
      <c r="A43" s="111">
        <v>46482</v>
      </c>
      <c r="B43" s="112" t="s">
        <v>315</v>
      </c>
      <c r="C43" s="110"/>
      <c r="D43" s="110"/>
      <c r="E43" s="110"/>
      <c r="F43" s="110"/>
      <c r="G43" s="110"/>
      <c r="H43" s="110"/>
      <c r="I43" s="110"/>
    </row>
    <row r="44" spans="1:9" ht="18" customHeight="1" x14ac:dyDescent="0.55000000000000004">
      <c r="A44" s="111">
        <v>46508</v>
      </c>
      <c r="B44" s="112" t="s">
        <v>302</v>
      </c>
      <c r="C44" s="110"/>
      <c r="D44" s="110"/>
      <c r="E44" s="110"/>
      <c r="F44" s="110"/>
      <c r="G44" s="110"/>
      <c r="H44" s="110"/>
      <c r="I44" s="110"/>
    </row>
    <row r="45" spans="1:9" ht="18" customHeight="1" x14ac:dyDescent="0.55000000000000004">
      <c r="A45" s="111">
        <v>46509</v>
      </c>
      <c r="B45" s="112" t="s">
        <v>302</v>
      </c>
      <c r="C45" s="110"/>
      <c r="D45" s="110"/>
      <c r="E45" s="110"/>
      <c r="F45" s="110"/>
      <c r="G45" s="110"/>
      <c r="H45" s="110"/>
      <c r="I45" s="110"/>
    </row>
    <row r="46" spans="1:9" ht="18" customHeight="1" x14ac:dyDescent="0.55000000000000004">
      <c r="A46" s="111">
        <v>46510</v>
      </c>
      <c r="B46" s="112" t="s">
        <v>302</v>
      </c>
      <c r="C46" s="110"/>
      <c r="D46" s="110"/>
      <c r="E46" s="110"/>
      <c r="F46" s="110"/>
      <c r="G46" s="110"/>
      <c r="H46" s="110"/>
      <c r="I46" s="110"/>
    </row>
    <row r="47" spans="1:9" ht="18" customHeight="1" x14ac:dyDescent="0.55000000000000004">
      <c r="A47" s="111">
        <v>46549</v>
      </c>
      <c r="B47" s="112" t="s">
        <v>316</v>
      </c>
      <c r="C47" s="110"/>
      <c r="D47" s="110"/>
      <c r="E47" s="110"/>
      <c r="F47" s="110"/>
      <c r="G47" s="110"/>
      <c r="H47" s="110"/>
      <c r="I47" s="110"/>
    </row>
    <row r="48" spans="1:9" ht="18" customHeight="1" x14ac:dyDescent="0.55000000000000004">
      <c r="A48" s="111">
        <v>46550</v>
      </c>
      <c r="B48" s="112" t="s">
        <v>316</v>
      </c>
      <c r="C48" s="110"/>
      <c r="D48" s="110"/>
      <c r="E48" s="110"/>
      <c r="F48" s="110"/>
      <c r="G48" s="110"/>
      <c r="H48" s="110"/>
      <c r="I48" s="110"/>
    </row>
    <row r="49" spans="1:9" ht="18" customHeight="1" x14ac:dyDescent="0.55000000000000004">
      <c r="A49" s="111">
        <v>46551</v>
      </c>
      <c r="B49" s="112" t="s">
        <v>316</v>
      </c>
      <c r="C49" s="110"/>
      <c r="D49" s="110"/>
      <c r="E49" s="110"/>
      <c r="F49" s="110"/>
      <c r="G49" s="110"/>
      <c r="H49" s="110"/>
      <c r="I49" s="110"/>
    </row>
    <row r="50" spans="1:9" ht="18" customHeight="1" x14ac:dyDescent="0.55000000000000004">
      <c r="A50" s="111">
        <v>46552</v>
      </c>
      <c r="B50" s="112" t="s">
        <v>316</v>
      </c>
      <c r="C50" s="110"/>
      <c r="D50" s="110"/>
      <c r="E50" s="110"/>
      <c r="F50" s="110"/>
      <c r="G50" s="110"/>
      <c r="H50" s="110"/>
      <c r="I50" s="110"/>
    </row>
    <row r="51" spans="1:9" ht="18" customHeight="1" x14ac:dyDescent="0.55000000000000004">
      <c r="A51" s="111">
        <v>46645</v>
      </c>
      <c r="B51" s="112" t="s">
        <v>326</v>
      </c>
      <c r="C51" s="110"/>
      <c r="D51" s="110"/>
      <c r="E51" s="110"/>
      <c r="F51" s="110"/>
      <c r="G51" s="110"/>
      <c r="H51" s="110"/>
      <c r="I51" s="110"/>
    </row>
    <row r="52" spans="1:9" ht="18" customHeight="1" x14ac:dyDescent="0.55000000000000004">
      <c r="A52" s="111">
        <v>46661</v>
      </c>
      <c r="B52" s="112" t="s">
        <v>317</v>
      </c>
      <c r="C52" s="110"/>
      <c r="D52" s="110"/>
      <c r="E52" s="110"/>
      <c r="F52" s="110"/>
      <c r="G52" s="110"/>
      <c r="H52" s="110"/>
      <c r="I52" s="110"/>
    </row>
    <row r="53" spans="1:9" ht="18" customHeight="1" x14ac:dyDescent="0.55000000000000004">
      <c r="A53" s="111">
        <v>46662</v>
      </c>
      <c r="B53" s="112" t="s">
        <v>317</v>
      </c>
      <c r="C53" s="110"/>
      <c r="D53" s="110"/>
      <c r="E53" s="110"/>
      <c r="F53" s="110"/>
      <c r="G53" s="110"/>
      <c r="H53" s="110"/>
      <c r="I53" s="110"/>
    </row>
    <row r="54" spans="1:9" ht="18" customHeight="1" x14ac:dyDescent="0.55000000000000004">
      <c r="A54" s="111">
        <v>46663</v>
      </c>
      <c r="B54" s="112" t="s">
        <v>317</v>
      </c>
      <c r="C54" s="110"/>
      <c r="D54" s="110"/>
      <c r="E54" s="110"/>
      <c r="F54" s="110"/>
      <c r="G54" s="110"/>
      <c r="H54" s="110"/>
      <c r="I54" s="110"/>
    </row>
    <row r="55" spans="1:9" ht="18" customHeight="1" x14ac:dyDescent="0.55000000000000004">
      <c r="A55" s="111">
        <v>46664</v>
      </c>
      <c r="B55" s="112" t="s">
        <v>317</v>
      </c>
      <c r="C55" s="110"/>
      <c r="D55" s="110"/>
      <c r="E55" s="110"/>
      <c r="F55" s="110"/>
      <c r="G55" s="110"/>
      <c r="H55" s="110"/>
      <c r="I55" s="110"/>
    </row>
    <row r="56" spans="1:9" ht="18" customHeight="1" x14ac:dyDescent="0.55000000000000004">
      <c r="A56" s="111">
        <v>46665</v>
      </c>
      <c r="B56" s="112" t="s">
        <v>317</v>
      </c>
      <c r="C56" s="110"/>
      <c r="D56" s="110"/>
      <c r="E56" s="110"/>
      <c r="F56" s="110"/>
      <c r="G56" s="110"/>
      <c r="H56" s="110"/>
      <c r="I56" s="110"/>
    </row>
    <row r="57" spans="1:9" ht="18" customHeight="1" x14ac:dyDescent="0.55000000000000004">
      <c r="A57" s="111">
        <v>46666</v>
      </c>
      <c r="B57" s="112" t="s">
        <v>317</v>
      </c>
      <c r="C57" s="110"/>
      <c r="D57" s="110"/>
      <c r="E57" s="110"/>
      <c r="F57" s="110"/>
      <c r="G57" s="110"/>
      <c r="H57" s="110"/>
      <c r="I57" s="110"/>
    </row>
    <row r="58" spans="1:9" ht="18" customHeight="1" x14ac:dyDescent="0.55000000000000004">
      <c r="A58" s="111">
        <v>46667</v>
      </c>
      <c r="B58" s="112" t="s">
        <v>317</v>
      </c>
      <c r="C58" s="110"/>
      <c r="D58" s="110"/>
      <c r="E58" s="110"/>
      <c r="F58" s="110"/>
      <c r="G58" s="110"/>
      <c r="H58" s="110"/>
      <c r="I58" s="110"/>
    </row>
    <row r="59" spans="1:9" ht="18" customHeight="1" x14ac:dyDescent="0.55000000000000004">
      <c r="A59" s="111">
        <v>46753</v>
      </c>
      <c r="B59" s="112" t="s">
        <v>298</v>
      </c>
      <c r="C59" s="110"/>
      <c r="D59" s="110"/>
      <c r="E59" s="110"/>
      <c r="F59" s="110"/>
      <c r="G59" s="110"/>
      <c r="H59" s="110"/>
      <c r="I59" s="110"/>
    </row>
    <row r="60" spans="1:9" ht="18" customHeight="1" x14ac:dyDescent="0.55000000000000004">
      <c r="A60" s="111">
        <v>46754</v>
      </c>
      <c r="B60" s="112" t="s">
        <v>298</v>
      </c>
      <c r="C60" s="110"/>
      <c r="D60" s="110"/>
      <c r="E60" s="110"/>
      <c r="F60" s="110"/>
      <c r="G60" s="110"/>
      <c r="H60" s="110"/>
      <c r="I60" s="110"/>
    </row>
    <row r="61" spans="1:9" ht="18" customHeight="1" x14ac:dyDescent="0.55000000000000004">
      <c r="A61" s="111">
        <v>46755</v>
      </c>
      <c r="B61" s="112" t="s">
        <v>298</v>
      </c>
      <c r="C61" s="110"/>
      <c r="D61" s="110"/>
      <c r="E61" s="110"/>
      <c r="F61" s="110"/>
      <c r="G61" s="110"/>
      <c r="H61" s="110"/>
      <c r="I61" s="110"/>
    </row>
    <row r="62" spans="1:9" ht="18" customHeight="1" x14ac:dyDescent="0.55000000000000004">
      <c r="A62" s="111">
        <v>46777</v>
      </c>
      <c r="B62" s="112" t="s">
        <v>328</v>
      </c>
      <c r="C62" s="110"/>
      <c r="D62" s="110"/>
      <c r="E62" s="110"/>
      <c r="F62" s="110"/>
      <c r="G62" s="110"/>
      <c r="H62" s="110"/>
      <c r="I62" s="110"/>
    </row>
    <row r="63" spans="1:9" ht="18" customHeight="1" x14ac:dyDescent="0.55000000000000004">
      <c r="A63" s="111">
        <v>46778</v>
      </c>
      <c r="B63" s="112" t="s">
        <v>328</v>
      </c>
      <c r="C63" s="110"/>
      <c r="D63" s="110"/>
      <c r="E63" s="110"/>
      <c r="F63" s="110"/>
      <c r="G63" s="110"/>
      <c r="H63" s="110"/>
      <c r="I63" s="110"/>
    </row>
    <row r="64" spans="1:9" ht="18" customHeight="1" x14ac:dyDescent="0.55000000000000004">
      <c r="A64" s="111">
        <v>46779</v>
      </c>
      <c r="B64" s="112" t="s">
        <v>328</v>
      </c>
      <c r="C64" s="110"/>
      <c r="D64" s="110"/>
      <c r="E64" s="110"/>
      <c r="F64" s="110"/>
      <c r="G64" s="110"/>
      <c r="H64" s="110"/>
      <c r="I64" s="110"/>
    </row>
    <row r="65" spans="1:9" ht="18" customHeight="1" x14ac:dyDescent="0.55000000000000004">
      <c r="A65" s="111">
        <v>46780</v>
      </c>
      <c r="B65" s="112" t="s">
        <v>328</v>
      </c>
      <c r="C65" s="110"/>
      <c r="D65" s="110"/>
      <c r="E65" s="110"/>
      <c r="F65" s="110"/>
      <c r="G65" s="110"/>
      <c r="H65" s="110"/>
      <c r="I65" s="110"/>
    </row>
    <row r="66" spans="1:9" ht="18" customHeight="1" x14ac:dyDescent="0.55000000000000004">
      <c r="A66" s="111">
        <v>46781</v>
      </c>
      <c r="B66" s="112" t="s">
        <v>328</v>
      </c>
      <c r="C66" s="110"/>
      <c r="D66" s="110"/>
      <c r="E66" s="110"/>
      <c r="F66" s="110"/>
      <c r="G66" s="110"/>
      <c r="H66" s="110"/>
      <c r="I66" s="110"/>
    </row>
    <row r="67" spans="1:9" ht="18" customHeight="1" x14ac:dyDescent="0.55000000000000004">
      <c r="A67" s="111">
        <v>46782</v>
      </c>
      <c r="B67" s="112" t="s">
        <v>328</v>
      </c>
      <c r="C67" s="110"/>
      <c r="D67" s="110"/>
      <c r="E67" s="110"/>
      <c r="F67" s="110"/>
      <c r="G67" s="110"/>
      <c r="H67" s="110"/>
      <c r="I67" s="110"/>
    </row>
    <row r="68" spans="1:9" ht="18" customHeight="1" x14ac:dyDescent="0.55000000000000004">
      <c r="A68" s="111">
        <v>46783</v>
      </c>
      <c r="B68" s="112" t="s">
        <v>328</v>
      </c>
      <c r="C68" s="110"/>
      <c r="D68" s="110"/>
      <c r="E68" s="110"/>
      <c r="F68" s="110"/>
      <c r="G68" s="110"/>
      <c r="H68" s="110"/>
      <c r="I68" s="110"/>
    </row>
    <row r="69" spans="1:9" ht="18" customHeight="1" x14ac:dyDescent="0.55000000000000004">
      <c r="A69" s="111">
        <v>46847</v>
      </c>
      <c r="B69" s="112" t="s">
        <v>315</v>
      </c>
      <c r="C69" s="110"/>
      <c r="D69" s="110"/>
      <c r="E69" s="110"/>
      <c r="F69" s="110"/>
      <c r="G69" s="110"/>
      <c r="H69" s="110"/>
      <c r="I69" s="110"/>
    </row>
    <row r="70" spans="1:9" ht="18" customHeight="1" x14ac:dyDescent="0.55000000000000004">
      <c r="A70" s="111">
        <v>46848</v>
      </c>
      <c r="B70" s="112" t="s">
        <v>315</v>
      </c>
      <c r="C70" s="110"/>
      <c r="D70" s="110"/>
      <c r="E70" s="110"/>
      <c r="F70" s="110"/>
      <c r="G70" s="110"/>
      <c r="H70" s="110"/>
      <c r="I70" s="110"/>
    </row>
    <row r="71" spans="1:9" ht="18" customHeight="1" x14ac:dyDescent="0.55000000000000004">
      <c r="A71" s="111">
        <v>46849</v>
      </c>
      <c r="B71" s="112" t="s">
        <v>315</v>
      </c>
      <c r="C71" s="110"/>
      <c r="D71" s="110"/>
      <c r="E71" s="110"/>
      <c r="F71" s="110"/>
      <c r="G71" s="110"/>
      <c r="H71" s="110"/>
      <c r="I71" s="110"/>
    </row>
    <row r="72" spans="1:9" ht="18" customHeight="1" x14ac:dyDescent="0.55000000000000004">
      <c r="A72" s="111">
        <v>46874</v>
      </c>
      <c r="B72" s="112" t="s">
        <v>302</v>
      </c>
      <c r="C72" s="110"/>
      <c r="D72" s="110"/>
      <c r="E72" s="110"/>
      <c r="F72" s="110"/>
      <c r="G72" s="110"/>
      <c r="H72" s="110"/>
      <c r="I72" s="110"/>
    </row>
    <row r="73" spans="1:9" ht="18" customHeight="1" x14ac:dyDescent="0.55000000000000004">
      <c r="A73" s="111">
        <v>46875</v>
      </c>
      <c r="B73" s="112" t="s">
        <v>302</v>
      </c>
      <c r="C73" s="110"/>
      <c r="D73" s="110"/>
      <c r="E73" s="110"/>
      <c r="F73" s="110"/>
      <c r="G73" s="110"/>
      <c r="H73" s="110"/>
      <c r="I73" s="110"/>
    </row>
    <row r="74" spans="1:9" ht="18" customHeight="1" x14ac:dyDescent="0.55000000000000004">
      <c r="A74" s="111">
        <v>46876</v>
      </c>
      <c r="B74" s="112" t="s">
        <v>302</v>
      </c>
      <c r="C74" s="110"/>
      <c r="D74" s="110"/>
      <c r="E74" s="110"/>
      <c r="F74" s="110"/>
      <c r="G74" s="110"/>
      <c r="H74" s="110"/>
      <c r="I74" s="110"/>
    </row>
    <row r="75" spans="1:9" ht="18" customHeight="1" x14ac:dyDescent="0.55000000000000004">
      <c r="A75" s="111">
        <v>46904</v>
      </c>
      <c r="B75" s="112" t="s">
        <v>316</v>
      </c>
      <c r="C75" s="110"/>
      <c r="D75" s="110"/>
      <c r="E75" s="110"/>
      <c r="F75" s="110"/>
      <c r="G75" s="110"/>
      <c r="H75" s="110"/>
      <c r="I75" s="110"/>
    </row>
    <row r="76" spans="1:9" ht="18" customHeight="1" x14ac:dyDescent="0.55000000000000004">
      <c r="A76" s="111">
        <v>46905</v>
      </c>
      <c r="B76" s="112" t="s">
        <v>316</v>
      </c>
      <c r="C76" s="110"/>
      <c r="D76" s="110"/>
      <c r="E76" s="110"/>
      <c r="F76" s="110"/>
      <c r="G76" s="110"/>
      <c r="H76" s="110"/>
      <c r="I76" s="110"/>
    </row>
    <row r="77" spans="1:9" ht="18" customHeight="1" x14ac:dyDescent="0.55000000000000004">
      <c r="A77" s="111">
        <v>46906</v>
      </c>
      <c r="B77" s="112" t="s">
        <v>316</v>
      </c>
      <c r="C77" s="110"/>
      <c r="D77" s="110"/>
      <c r="E77" s="110"/>
      <c r="F77" s="110"/>
      <c r="G77" s="110"/>
      <c r="H77" s="110"/>
      <c r="I77" s="110"/>
    </row>
    <row r="78" spans="1:9" ht="18" customHeight="1" x14ac:dyDescent="0.55000000000000004">
      <c r="A78" s="111">
        <v>47027</v>
      </c>
      <c r="B78" s="112" t="s">
        <v>317</v>
      </c>
      <c r="C78" s="110"/>
      <c r="D78" s="110"/>
      <c r="E78" s="110"/>
      <c r="F78" s="110"/>
      <c r="G78" s="110"/>
      <c r="H78" s="110"/>
      <c r="I78" s="110"/>
    </row>
    <row r="79" spans="1:9" ht="18" customHeight="1" x14ac:dyDescent="0.55000000000000004">
      <c r="A79" s="111">
        <v>47028</v>
      </c>
      <c r="B79" s="112" t="s">
        <v>317</v>
      </c>
      <c r="C79" s="110"/>
      <c r="D79" s="110"/>
      <c r="E79" s="110"/>
      <c r="F79" s="110"/>
      <c r="G79" s="110"/>
      <c r="H79" s="110"/>
      <c r="I79" s="110"/>
    </row>
    <row r="80" spans="1:9" ht="18" customHeight="1" x14ac:dyDescent="0.55000000000000004">
      <c r="A80" s="111">
        <v>47029</v>
      </c>
      <c r="B80" s="112" t="s">
        <v>317</v>
      </c>
      <c r="C80" s="110"/>
      <c r="D80" s="110"/>
      <c r="E80" s="110"/>
      <c r="F80" s="110"/>
      <c r="G80" s="110"/>
      <c r="H80" s="110"/>
      <c r="I80" s="110"/>
    </row>
    <row r="81" spans="1:9" ht="18" customHeight="1" x14ac:dyDescent="0.55000000000000004">
      <c r="A81" s="111">
        <v>47030</v>
      </c>
      <c r="B81" s="112" t="s">
        <v>317</v>
      </c>
      <c r="C81" s="110"/>
      <c r="D81" s="110"/>
      <c r="E81" s="110"/>
      <c r="F81" s="110"/>
      <c r="G81" s="110"/>
      <c r="H81" s="110"/>
      <c r="I81" s="110"/>
    </row>
    <row r="82" spans="1:9" ht="18" customHeight="1" x14ac:dyDescent="0.55000000000000004">
      <c r="A82" s="111">
        <v>47031</v>
      </c>
      <c r="B82" s="112" t="s">
        <v>317</v>
      </c>
      <c r="C82" s="110"/>
      <c r="D82" s="110"/>
      <c r="E82" s="110"/>
      <c r="F82" s="110"/>
      <c r="G82" s="110"/>
      <c r="H82" s="110"/>
      <c r="I82" s="110"/>
    </row>
    <row r="83" spans="1:9" ht="18" customHeight="1" x14ac:dyDescent="0.55000000000000004">
      <c r="A83" s="111">
        <v>47032</v>
      </c>
      <c r="B83" s="112" t="s">
        <v>317</v>
      </c>
      <c r="C83" s="110"/>
      <c r="D83" s="110"/>
      <c r="E83" s="110"/>
      <c r="F83" s="110"/>
      <c r="G83" s="110"/>
      <c r="H83" s="110"/>
      <c r="I83" s="110"/>
    </row>
    <row r="84" spans="1:9" ht="18" customHeight="1" x14ac:dyDescent="0.55000000000000004">
      <c r="A84" s="111">
        <v>47033</v>
      </c>
      <c r="B84" s="112" t="s">
        <v>317</v>
      </c>
      <c r="C84" s="110"/>
      <c r="D84" s="110"/>
      <c r="E84" s="110"/>
      <c r="F84" s="110"/>
      <c r="G84" s="110"/>
      <c r="H84" s="110"/>
      <c r="I84" s="110"/>
    </row>
  </sheetData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PSR</vt:lpstr>
      <vt:lpstr>Brownfield</vt:lpstr>
      <vt:lpstr>Future Well</vt:lpstr>
      <vt:lpstr>Thai Holidays</vt:lpstr>
      <vt:lpstr>China 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Juan</cp:lastModifiedBy>
  <cp:lastPrinted>2026-07-20T02:16:12Z</cp:lastPrinted>
  <dcterms:created xsi:type="dcterms:W3CDTF">2015-06-05T18:19:00Z</dcterms:created>
  <dcterms:modified xsi:type="dcterms:W3CDTF">2026-09-22T07:34:06Z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140EE7BC5BFF4F18AFADD19451E52797_12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